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filterPrivacy="1"/>
  <xr:revisionPtr revIDLastSave="1348" documentId="1_{ACD8E261-D096-0043-BC5D-B5CF078FD47F}" xr6:coauthVersionLast="47" xr6:coauthVersionMax="47" xr10:uidLastSave="{03E92904-B161-A343-9C94-E602CBEA0940}"/>
  <bookViews>
    <workbookView xWindow="0" yWindow="760" windowWidth="30240" windowHeight="17260" activeTab="1" xr2:uid="{00000000-000D-0000-FFFF-FFFF00000000}"/>
  </bookViews>
  <sheets>
    <sheet name="表紙" sheetId="1" r:id="rId1"/>
    <sheet name="要求機能一覧" sheetId="2" r:id="rId2"/>
    <sheet name="(参考)現行システム機能階層一覧" sheetId="3" r:id="rId3"/>
    <sheet name="sheet1" sheetId="4" r:id="rId4"/>
  </sheets>
  <definedNames>
    <definedName name="_xlnm._FilterDatabase" localSheetId="2" hidden="1">'(参考)現行システム機能階層一覧'!$A$2:$AJ$1158</definedName>
    <definedName name="_xlnm._FilterDatabase" localSheetId="3" hidden="1">sheet1!$A$1:$L$3210</definedName>
    <definedName name="_xlnm._FilterDatabase" localSheetId="1" hidden="1">要求機能一覧!$A$4:$O$199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DtDzSCEOgFfM2dl8y2YojwLnmzxdej4N2O/LZxOz2E="/>
    </ext>
  </extLst>
</workbook>
</file>

<file path=xl/calcChain.xml><?xml version="1.0" encoding="utf-8"?>
<calcChain xmlns="http://schemas.openxmlformats.org/spreadsheetml/2006/main">
  <c r="C3210" i="4" l="1"/>
  <c r="H3209" i="4"/>
  <c r="H3208" i="4"/>
  <c r="H3207" i="4"/>
  <c r="H3206" i="4"/>
  <c r="H3205" i="4"/>
  <c r="H3204" i="4"/>
  <c r="H3203" i="4"/>
  <c r="H3202" i="4"/>
  <c r="H3201" i="4"/>
  <c r="H3200" i="4"/>
  <c r="H3199" i="4"/>
  <c r="H3198" i="4"/>
  <c r="H3197" i="4"/>
  <c r="H3196" i="4"/>
  <c r="H3195" i="4"/>
  <c r="H3194" i="4"/>
  <c r="H3193" i="4"/>
  <c r="H3192" i="4"/>
  <c r="H3191" i="4"/>
  <c r="H3190" i="4"/>
  <c r="H3189" i="4"/>
  <c r="H3188" i="4"/>
  <c r="H3187" i="4"/>
  <c r="H3186" i="4"/>
  <c r="H3185" i="4"/>
  <c r="H3184" i="4"/>
  <c r="H3183" i="4"/>
  <c r="H3182" i="4"/>
  <c r="H3181" i="4"/>
  <c r="H3180" i="4"/>
  <c r="H3179" i="4"/>
  <c r="H3178" i="4"/>
  <c r="H3177" i="4"/>
  <c r="H3176" i="4"/>
  <c r="H3175" i="4"/>
  <c r="H3174" i="4"/>
  <c r="H3173" i="4"/>
  <c r="H3172" i="4"/>
  <c r="H3171" i="4"/>
  <c r="H3170" i="4"/>
  <c r="H3169" i="4"/>
  <c r="H3168" i="4"/>
  <c r="H3167" i="4"/>
  <c r="H3166" i="4"/>
  <c r="H3165" i="4"/>
  <c r="H3164" i="4"/>
  <c r="H3163" i="4"/>
  <c r="H3162" i="4"/>
  <c r="H3161" i="4"/>
  <c r="H3160" i="4"/>
  <c r="H3159" i="4"/>
  <c r="H3158" i="4"/>
  <c r="H3157" i="4"/>
  <c r="H3156" i="4"/>
  <c r="H3155" i="4"/>
  <c r="H3154" i="4"/>
  <c r="H3153" i="4"/>
  <c r="H3152" i="4"/>
  <c r="H3151" i="4"/>
  <c r="H3150" i="4"/>
  <c r="H3149" i="4"/>
  <c r="H3148" i="4"/>
  <c r="H3147" i="4"/>
  <c r="H3146" i="4"/>
  <c r="H3145" i="4"/>
  <c r="H3144" i="4"/>
  <c r="H3143" i="4"/>
  <c r="H3142" i="4"/>
  <c r="H3141" i="4"/>
  <c r="H3140" i="4"/>
  <c r="H3139" i="4"/>
  <c r="H3138" i="4"/>
  <c r="H3137" i="4"/>
  <c r="H3136" i="4"/>
  <c r="H3135" i="4"/>
  <c r="H3134" i="4"/>
  <c r="H3133" i="4"/>
  <c r="H3132" i="4"/>
  <c r="H3131" i="4"/>
  <c r="H3130" i="4"/>
  <c r="H3129" i="4"/>
  <c r="H3128" i="4"/>
  <c r="H3127" i="4"/>
  <c r="H3126" i="4"/>
  <c r="H3125" i="4"/>
  <c r="H3124" i="4"/>
  <c r="H3123" i="4"/>
  <c r="H3122" i="4"/>
  <c r="H3121" i="4"/>
  <c r="H3120" i="4"/>
  <c r="H3119" i="4"/>
  <c r="H3118" i="4"/>
  <c r="H3117" i="4"/>
  <c r="H3116" i="4"/>
  <c r="H3115" i="4"/>
  <c r="H3114" i="4"/>
  <c r="H3113" i="4"/>
  <c r="H3112" i="4"/>
  <c r="H3111" i="4"/>
  <c r="H3110" i="4"/>
  <c r="H3109" i="4"/>
  <c r="H3108" i="4"/>
  <c r="H3107" i="4"/>
  <c r="H3106" i="4"/>
  <c r="H3105" i="4"/>
  <c r="H3104" i="4"/>
  <c r="H3103" i="4"/>
  <c r="H3102" i="4"/>
  <c r="H3101" i="4"/>
  <c r="H3100" i="4"/>
  <c r="H3099" i="4"/>
  <c r="H3098" i="4"/>
  <c r="H3097" i="4"/>
  <c r="H3096" i="4"/>
  <c r="H3095" i="4"/>
  <c r="H3094" i="4"/>
  <c r="H3093" i="4"/>
  <c r="H3092" i="4"/>
  <c r="H3091" i="4"/>
  <c r="H3090" i="4"/>
  <c r="H3089" i="4"/>
  <c r="H3088" i="4"/>
  <c r="H3087" i="4"/>
  <c r="H3086" i="4"/>
  <c r="H3085" i="4"/>
  <c r="H3084" i="4"/>
  <c r="H3083" i="4"/>
  <c r="H3082" i="4"/>
  <c r="H3081" i="4"/>
  <c r="H3080" i="4"/>
  <c r="H3079" i="4"/>
  <c r="H3078" i="4"/>
  <c r="H3077" i="4"/>
  <c r="H3076" i="4"/>
  <c r="H3075" i="4"/>
  <c r="H3074" i="4"/>
  <c r="H3073" i="4"/>
  <c r="H3072" i="4"/>
  <c r="H3071" i="4"/>
  <c r="H3070" i="4"/>
  <c r="H3069" i="4"/>
  <c r="H3068" i="4"/>
  <c r="H3067" i="4"/>
  <c r="H3066" i="4"/>
  <c r="H3065" i="4"/>
  <c r="H3064" i="4"/>
  <c r="H3063" i="4"/>
  <c r="H3062" i="4"/>
  <c r="H3061" i="4"/>
  <c r="H3060" i="4"/>
  <c r="H3059" i="4"/>
  <c r="H3058" i="4"/>
  <c r="H3057" i="4"/>
  <c r="H3056" i="4"/>
  <c r="H3055" i="4"/>
  <c r="H3054" i="4"/>
  <c r="H3053" i="4"/>
  <c r="H3052" i="4"/>
  <c r="H3051" i="4"/>
  <c r="H3050" i="4"/>
  <c r="H3049" i="4"/>
  <c r="H3048" i="4"/>
  <c r="H3047" i="4"/>
  <c r="H3046" i="4"/>
  <c r="H3045" i="4"/>
  <c r="H3044" i="4"/>
  <c r="H3043" i="4"/>
  <c r="H3042" i="4"/>
  <c r="H3041" i="4"/>
  <c r="H3040" i="4"/>
  <c r="H3039" i="4"/>
  <c r="H3038" i="4"/>
  <c r="H3037" i="4"/>
  <c r="H3036" i="4"/>
  <c r="H3035" i="4"/>
  <c r="H3034" i="4"/>
  <c r="H3033" i="4"/>
  <c r="H3032" i="4"/>
  <c r="H3031" i="4"/>
  <c r="H3030" i="4"/>
  <c r="H3029" i="4"/>
  <c r="H3028" i="4"/>
  <c r="H3027" i="4"/>
  <c r="H3026" i="4"/>
  <c r="H3025" i="4"/>
  <c r="H3024" i="4"/>
  <c r="H3023" i="4"/>
  <c r="H3022" i="4"/>
  <c r="H3021" i="4"/>
  <c r="H3020" i="4"/>
  <c r="H3019" i="4"/>
  <c r="H3018" i="4"/>
  <c r="H3017" i="4"/>
  <c r="H3016" i="4"/>
  <c r="H3015" i="4"/>
  <c r="H3014" i="4"/>
  <c r="H3013" i="4"/>
  <c r="H3012" i="4"/>
  <c r="H3011" i="4"/>
  <c r="H3010" i="4"/>
  <c r="H3009" i="4"/>
  <c r="H3008" i="4"/>
  <c r="H3007" i="4"/>
  <c r="H3006" i="4"/>
  <c r="H3005" i="4"/>
  <c r="H3004" i="4"/>
  <c r="H3003" i="4"/>
  <c r="H3002" i="4"/>
  <c r="H3001" i="4"/>
  <c r="H3000" i="4"/>
  <c r="H2999" i="4"/>
  <c r="H2998" i="4"/>
  <c r="H2997" i="4"/>
  <c r="H2996" i="4"/>
  <c r="H2995" i="4"/>
  <c r="H2994" i="4"/>
  <c r="H2993" i="4"/>
  <c r="H2992" i="4"/>
  <c r="H2991" i="4"/>
  <c r="H2990" i="4"/>
  <c r="H2989" i="4"/>
  <c r="H2988" i="4"/>
  <c r="H2987" i="4"/>
  <c r="H2986" i="4"/>
  <c r="H2985" i="4"/>
  <c r="H2984" i="4"/>
  <c r="H2983" i="4"/>
  <c r="H2982" i="4"/>
  <c r="H2981" i="4"/>
  <c r="H2980" i="4"/>
  <c r="H2979" i="4"/>
  <c r="H2978" i="4"/>
  <c r="H2977" i="4"/>
  <c r="H2976" i="4"/>
  <c r="H2975" i="4"/>
  <c r="H2974" i="4"/>
  <c r="H2973" i="4"/>
  <c r="H2972" i="4"/>
  <c r="H2971" i="4"/>
  <c r="H2970" i="4"/>
  <c r="H2969" i="4"/>
  <c r="H2968" i="4"/>
  <c r="H2967" i="4"/>
  <c r="H2966" i="4"/>
  <c r="H2965" i="4"/>
  <c r="H2964" i="4"/>
  <c r="H2963" i="4"/>
  <c r="H2962" i="4"/>
  <c r="H2961" i="4"/>
  <c r="H2960" i="4"/>
  <c r="H2959" i="4"/>
  <c r="H2958" i="4"/>
  <c r="H2957" i="4"/>
  <c r="H2956" i="4"/>
  <c r="H2955" i="4"/>
  <c r="H2954" i="4"/>
  <c r="H2953" i="4"/>
  <c r="H2952" i="4"/>
  <c r="H2951" i="4"/>
  <c r="H2950" i="4"/>
  <c r="H2949" i="4"/>
  <c r="H2948" i="4"/>
  <c r="H2947" i="4"/>
  <c r="H2946" i="4"/>
  <c r="H2945" i="4"/>
  <c r="H2944" i="4"/>
  <c r="H2943" i="4"/>
  <c r="H2942" i="4"/>
  <c r="H2941" i="4"/>
  <c r="H2940" i="4"/>
  <c r="H2939" i="4"/>
  <c r="H2938" i="4"/>
  <c r="H2937" i="4"/>
  <c r="H2936" i="4"/>
  <c r="H2935" i="4"/>
  <c r="H2934" i="4"/>
  <c r="H2933" i="4"/>
  <c r="H2932" i="4"/>
  <c r="H2931" i="4"/>
  <c r="H2930" i="4"/>
  <c r="H2929" i="4"/>
  <c r="H2928" i="4"/>
  <c r="H2927" i="4"/>
  <c r="H2926" i="4"/>
  <c r="H2925" i="4"/>
  <c r="H2924" i="4"/>
  <c r="H2923" i="4"/>
  <c r="H2922" i="4"/>
  <c r="H2921" i="4"/>
  <c r="H2920" i="4"/>
  <c r="H2919" i="4"/>
  <c r="H2918" i="4"/>
  <c r="H2917" i="4"/>
  <c r="H2916" i="4"/>
  <c r="H2915" i="4"/>
  <c r="H2914" i="4"/>
  <c r="H2913" i="4"/>
  <c r="H2912" i="4"/>
  <c r="H2911" i="4"/>
  <c r="H2910" i="4"/>
  <c r="H2909" i="4"/>
  <c r="H2908" i="4"/>
  <c r="H2907" i="4"/>
  <c r="H2906" i="4"/>
  <c r="H2905" i="4"/>
  <c r="H2904" i="4"/>
  <c r="H2903" i="4"/>
  <c r="H2902" i="4"/>
  <c r="H2901" i="4"/>
  <c r="H2900" i="4"/>
  <c r="H2899" i="4"/>
  <c r="H2898" i="4"/>
  <c r="H2897" i="4"/>
  <c r="H2896" i="4"/>
  <c r="H2895" i="4"/>
  <c r="H2894" i="4"/>
  <c r="H2893" i="4"/>
  <c r="H2892" i="4"/>
  <c r="H2891" i="4"/>
  <c r="H2890" i="4"/>
  <c r="H2889" i="4"/>
  <c r="H2888" i="4"/>
  <c r="H2887" i="4"/>
  <c r="H2886" i="4"/>
  <c r="H2885" i="4"/>
  <c r="H2884" i="4"/>
  <c r="H2883" i="4"/>
  <c r="H2882" i="4"/>
  <c r="H2881" i="4"/>
  <c r="H2880" i="4"/>
  <c r="H2879" i="4"/>
  <c r="H2878" i="4"/>
  <c r="H2877" i="4"/>
  <c r="H2876" i="4"/>
  <c r="H2875" i="4"/>
  <c r="H2874" i="4"/>
  <c r="H2873" i="4"/>
  <c r="H2872" i="4"/>
  <c r="H2871" i="4"/>
  <c r="H2870" i="4"/>
  <c r="H2869" i="4"/>
  <c r="H2868" i="4"/>
  <c r="H2867" i="4"/>
  <c r="H2866" i="4"/>
  <c r="H2865" i="4"/>
  <c r="H2864" i="4"/>
  <c r="H2863" i="4"/>
  <c r="H2862" i="4"/>
  <c r="H2861" i="4"/>
  <c r="H2860" i="4"/>
  <c r="H2859" i="4"/>
  <c r="H2858" i="4"/>
  <c r="H2857" i="4"/>
  <c r="H2856" i="4"/>
  <c r="H2855" i="4"/>
  <c r="H2854" i="4"/>
  <c r="H2853" i="4"/>
  <c r="H2852" i="4"/>
  <c r="H2851" i="4"/>
  <c r="H2850" i="4"/>
  <c r="H2849" i="4"/>
  <c r="H2848" i="4"/>
  <c r="H2847" i="4"/>
  <c r="H2846" i="4"/>
  <c r="H2845" i="4"/>
  <c r="H2844" i="4"/>
  <c r="H2843" i="4"/>
  <c r="H2842" i="4"/>
  <c r="H2841" i="4"/>
  <c r="H2840" i="4"/>
  <c r="H2839" i="4"/>
  <c r="H2838" i="4"/>
  <c r="H2837" i="4"/>
  <c r="H2836" i="4"/>
  <c r="H2835" i="4"/>
  <c r="H2834" i="4"/>
  <c r="H2833" i="4"/>
  <c r="H2832" i="4"/>
  <c r="H2831" i="4"/>
  <c r="H2830" i="4"/>
  <c r="H2829" i="4"/>
  <c r="H2828" i="4"/>
  <c r="H2827" i="4"/>
  <c r="H2826" i="4"/>
  <c r="H2825" i="4"/>
  <c r="H2824" i="4"/>
  <c r="H2823" i="4"/>
  <c r="H2822" i="4"/>
  <c r="H2821" i="4"/>
  <c r="H2820" i="4"/>
  <c r="H2819" i="4"/>
  <c r="H2818" i="4"/>
  <c r="H2817" i="4"/>
  <c r="H2816" i="4"/>
  <c r="H2815" i="4"/>
  <c r="H2814" i="4"/>
  <c r="H2813" i="4"/>
  <c r="H2812" i="4"/>
  <c r="H2811" i="4"/>
  <c r="H2810" i="4"/>
  <c r="H2809" i="4"/>
  <c r="H2808" i="4"/>
  <c r="H2807" i="4"/>
  <c r="H2806" i="4"/>
  <c r="H2805" i="4"/>
  <c r="H2804" i="4"/>
  <c r="H2803" i="4"/>
  <c r="H2802" i="4"/>
  <c r="H2801" i="4"/>
  <c r="H2800" i="4"/>
  <c r="H2799" i="4"/>
  <c r="H2798" i="4"/>
  <c r="H2797" i="4"/>
  <c r="H2796" i="4"/>
  <c r="H2795" i="4"/>
  <c r="H2794" i="4"/>
  <c r="H2793" i="4"/>
  <c r="H2792" i="4"/>
  <c r="H2791" i="4"/>
  <c r="H2790" i="4"/>
  <c r="H2789" i="4"/>
  <c r="H2788" i="4"/>
  <c r="H2787" i="4"/>
  <c r="H2786" i="4"/>
  <c r="H2785" i="4"/>
  <c r="H2784" i="4"/>
  <c r="H2783" i="4"/>
  <c r="H2782" i="4"/>
  <c r="H2781" i="4"/>
  <c r="H2780" i="4"/>
  <c r="H2779" i="4"/>
  <c r="H2778" i="4"/>
  <c r="H2777" i="4"/>
  <c r="H2776" i="4"/>
  <c r="H2775" i="4"/>
  <c r="H2774" i="4"/>
  <c r="H2773" i="4"/>
  <c r="H2772" i="4"/>
  <c r="H2771" i="4"/>
  <c r="H2770" i="4"/>
  <c r="H2769" i="4"/>
  <c r="H2768" i="4"/>
  <c r="H2767" i="4"/>
  <c r="H2766" i="4"/>
  <c r="H2765" i="4"/>
  <c r="H2764" i="4"/>
  <c r="H2763" i="4"/>
  <c r="H2762" i="4"/>
  <c r="H2761" i="4"/>
  <c r="H2760" i="4"/>
  <c r="H2759" i="4"/>
  <c r="H2758" i="4"/>
  <c r="H2757" i="4"/>
  <c r="H2756" i="4"/>
  <c r="H2755" i="4"/>
  <c r="H2754" i="4"/>
  <c r="H2753" i="4"/>
  <c r="H2752" i="4"/>
  <c r="H2751" i="4"/>
  <c r="H2750" i="4"/>
  <c r="H2749" i="4"/>
  <c r="H2748" i="4"/>
  <c r="H2747" i="4"/>
  <c r="H2746" i="4"/>
  <c r="H2745" i="4"/>
  <c r="H2744" i="4"/>
  <c r="H2743" i="4"/>
  <c r="H2742" i="4"/>
  <c r="H2741" i="4"/>
  <c r="H2740" i="4"/>
  <c r="H2739" i="4"/>
  <c r="H2738" i="4"/>
  <c r="H2737" i="4"/>
  <c r="H2736" i="4"/>
  <c r="H2735" i="4"/>
  <c r="H2734" i="4"/>
  <c r="H2733" i="4"/>
  <c r="H2732" i="4"/>
  <c r="H2731" i="4"/>
  <c r="H2730" i="4"/>
  <c r="H2729" i="4"/>
  <c r="H2728" i="4"/>
  <c r="H2727" i="4"/>
  <c r="H2726" i="4"/>
  <c r="H2725" i="4"/>
  <c r="H2724" i="4"/>
  <c r="H2723" i="4"/>
  <c r="H2722" i="4"/>
  <c r="H2721" i="4"/>
  <c r="H2720" i="4"/>
  <c r="H2719" i="4"/>
  <c r="H2718" i="4"/>
  <c r="H2717" i="4"/>
  <c r="H2716" i="4"/>
  <c r="H2715" i="4"/>
  <c r="H2714" i="4"/>
  <c r="H2713" i="4"/>
  <c r="H2712" i="4"/>
  <c r="H2711" i="4"/>
  <c r="H2710" i="4"/>
  <c r="H2709" i="4"/>
  <c r="H2708" i="4"/>
  <c r="H2707" i="4"/>
  <c r="H2706" i="4"/>
  <c r="H2705" i="4"/>
  <c r="H2704" i="4"/>
  <c r="H2703" i="4"/>
  <c r="H2702" i="4"/>
  <c r="H2701" i="4"/>
  <c r="H2700" i="4"/>
  <c r="H2699" i="4"/>
  <c r="H2698" i="4"/>
  <c r="H2697" i="4"/>
  <c r="H2696" i="4"/>
  <c r="H2695" i="4"/>
  <c r="H2694" i="4"/>
  <c r="H2693" i="4"/>
  <c r="H2692" i="4"/>
  <c r="H2691" i="4"/>
  <c r="H2690" i="4"/>
  <c r="H2689" i="4"/>
  <c r="H2688" i="4"/>
  <c r="H2687" i="4"/>
  <c r="H2686" i="4"/>
  <c r="H2685" i="4"/>
  <c r="H2684" i="4"/>
  <c r="H2683" i="4"/>
  <c r="H2682" i="4"/>
  <c r="H2681" i="4"/>
  <c r="H2680" i="4"/>
  <c r="H2679" i="4"/>
  <c r="H2678" i="4"/>
  <c r="H2677" i="4"/>
  <c r="H2676" i="4"/>
  <c r="H2675" i="4"/>
  <c r="H2674" i="4"/>
  <c r="H2673" i="4"/>
  <c r="H2672" i="4"/>
  <c r="H2671" i="4"/>
  <c r="H2670" i="4"/>
  <c r="H2669" i="4"/>
  <c r="H2668" i="4"/>
  <c r="H2667" i="4"/>
  <c r="H2666" i="4"/>
  <c r="H2665" i="4"/>
  <c r="H2664" i="4"/>
  <c r="H2663" i="4"/>
  <c r="H2662" i="4"/>
  <c r="H2661" i="4"/>
  <c r="H2660" i="4"/>
  <c r="H2659" i="4"/>
  <c r="H2658" i="4"/>
  <c r="H2657" i="4"/>
  <c r="H2656" i="4"/>
  <c r="H2655" i="4"/>
  <c r="H2654" i="4"/>
  <c r="H2653" i="4"/>
  <c r="H2652" i="4"/>
  <c r="H2651" i="4"/>
  <c r="H2650" i="4"/>
  <c r="H2649" i="4"/>
  <c r="H2648" i="4"/>
  <c r="H2647" i="4"/>
  <c r="H2646" i="4"/>
  <c r="H2645" i="4"/>
  <c r="H2644" i="4"/>
  <c r="H2643" i="4"/>
  <c r="H2642" i="4"/>
  <c r="H2641" i="4"/>
  <c r="H2640" i="4"/>
  <c r="H2639" i="4"/>
  <c r="H2638" i="4"/>
  <c r="H2637" i="4"/>
  <c r="H2636" i="4"/>
  <c r="H2635" i="4"/>
  <c r="H2634" i="4"/>
  <c r="H2633" i="4"/>
  <c r="H2632" i="4"/>
  <c r="H2631" i="4"/>
  <c r="H2630" i="4"/>
  <c r="H2629" i="4"/>
  <c r="H2628" i="4"/>
  <c r="H2627" i="4"/>
  <c r="H2626" i="4"/>
  <c r="H2625" i="4"/>
  <c r="H2624" i="4"/>
  <c r="H2623" i="4"/>
  <c r="H2622" i="4"/>
  <c r="H2621" i="4"/>
  <c r="H2620" i="4"/>
  <c r="H2619" i="4"/>
  <c r="H2618" i="4"/>
  <c r="H2617" i="4"/>
  <c r="H2616" i="4"/>
  <c r="H2615" i="4"/>
  <c r="H2614" i="4"/>
  <c r="H2613" i="4"/>
  <c r="H2612" i="4"/>
  <c r="H2611" i="4"/>
  <c r="H2610" i="4"/>
  <c r="H2609" i="4"/>
  <c r="H2608" i="4"/>
  <c r="H2607" i="4"/>
  <c r="H2606" i="4"/>
  <c r="H2605" i="4"/>
  <c r="H2604" i="4"/>
  <c r="H2603" i="4"/>
  <c r="H2602" i="4"/>
  <c r="H2601" i="4"/>
  <c r="H2600" i="4"/>
  <c r="H2599" i="4"/>
  <c r="H2598" i="4"/>
  <c r="H2597" i="4"/>
  <c r="H2596" i="4"/>
  <c r="H2595" i="4"/>
  <c r="H2594" i="4"/>
  <c r="H2593" i="4"/>
  <c r="H2592" i="4"/>
  <c r="H2591" i="4"/>
  <c r="H2590" i="4"/>
  <c r="H2589" i="4"/>
  <c r="H2588" i="4"/>
  <c r="H2587" i="4"/>
  <c r="H2586" i="4"/>
  <c r="H2585" i="4"/>
  <c r="H2584" i="4"/>
  <c r="H2583" i="4"/>
  <c r="H2582" i="4"/>
  <c r="H2581" i="4"/>
  <c r="H2580" i="4"/>
  <c r="H2579" i="4"/>
  <c r="H2578" i="4"/>
  <c r="H2577" i="4"/>
  <c r="H2576" i="4"/>
  <c r="H2575" i="4"/>
  <c r="H2574" i="4"/>
  <c r="H2573" i="4"/>
  <c r="H2572" i="4"/>
  <c r="H2571" i="4"/>
  <c r="H2570" i="4"/>
  <c r="H2569" i="4"/>
  <c r="H2568" i="4"/>
  <c r="H2567" i="4"/>
  <c r="H2566" i="4"/>
  <c r="H2565" i="4"/>
  <c r="H2564" i="4"/>
  <c r="H2563" i="4"/>
  <c r="H2562" i="4"/>
  <c r="H2561" i="4"/>
  <c r="H2560" i="4"/>
  <c r="H2559" i="4"/>
  <c r="H2558" i="4"/>
  <c r="H2557" i="4"/>
  <c r="H2556" i="4"/>
  <c r="H2555" i="4"/>
  <c r="H2554" i="4"/>
  <c r="H2553" i="4"/>
  <c r="H2552" i="4"/>
  <c r="H2551" i="4"/>
  <c r="H2550" i="4"/>
  <c r="H2549" i="4"/>
  <c r="H2548" i="4"/>
  <c r="H2547" i="4"/>
  <c r="H2546" i="4"/>
  <c r="H2545" i="4"/>
  <c r="H2544" i="4"/>
  <c r="H2543" i="4"/>
  <c r="H2542" i="4"/>
  <c r="H2541" i="4"/>
  <c r="H2540" i="4"/>
  <c r="H2539" i="4"/>
  <c r="H2538" i="4"/>
  <c r="H2537" i="4"/>
  <c r="H2536" i="4"/>
  <c r="H2535" i="4"/>
  <c r="H2534" i="4"/>
  <c r="H2533" i="4"/>
  <c r="H2532" i="4"/>
  <c r="H2531" i="4"/>
  <c r="H2530" i="4"/>
  <c r="H2529" i="4"/>
  <c r="H2528" i="4"/>
  <c r="H2527" i="4"/>
  <c r="H2526" i="4"/>
  <c r="H2525" i="4"/>
  <c r="H2524" i="4"/>
  <c r="H2523" i="4"/>
  <c r="H2522" i="4"/>
  <c r="H2521" i="4"/>
  <c r="H2520" i="4"/>
  <c r="H2519" i="4"/>
  <c r="H2518" i="4"/>
  <c r="H2517" i="4"/>
  <c r="H2516" i="4"/>
  <c r="H2515" i="4"/>
  <c r="H2514" i="4"/>
  <c r="H2513" i="4"/>
  <c r="H2512" i="4"/>
  <c r="H2511" i="4"/>
  <c r="H2510" i="4"/>
  <c r="H2509" i="4"/>
  <c r="H2508" i="4"/>
  <c r="H2507" i="4"/>
  <c r="H2506" i="4"/>
  <c r="H2505" i="4"/>
  <c r="H2504" i="4"/>
  <c r="H2503" i="4"/>
  <c r="H2502" i="4"/>
  <c r="H2501" i="4"/>
  <c r="H2500" i="4"/>
  <c r="H2499" i="4"/>
  <c r="H2498" i="4"/>
  <c r="H2497" i="4"/>
  <c r="H2496" i="4"/>
  <c r="H2495" i="4"/>
  <c r="H2494" i="4"/>
  <c r="H2493" i="4"/>
  <c r="H2492" i="4"/>
  <c r="H2491" i="4"/>
  <c r="H2490" i="4"/>
  <c r="H2489" i="4"/>
  <c r="H2488" i="4"/>
  <c r="H2487" i="4"/>
  <c r="H2486" i="4"/>
  <c r="H2485" i="4"/>
  <c r="H2484" i="4"/>
  <c r="H2483" i="4"/>
  <c r="H2482" i="4"/>
  <c r="H2481" i="4"/>
  <c r="H2480" i="4"/>
  <c r="H2479" i="4"/>
  <c r="H2478" i="4"/>
  <c r="H2477" i="4"/>
  <c r="H2476" i="4"/>
  <c r="H2475" i="4"/>
  <c r="H2474" i="4"/>
  <c r="H2473" i="4"/>
  <c r="H2472" i="4"/>
  <c r="H2471" i="4"/>
  <c r="H2470" i="4"/>
  <c r="H2469" i="4"/>
  <c r="H2468" i="4"/>
  <c r="H2467" i="4"/>
  <c r="H2466" i="4"/>
  <c r="H2465" i="4"/>
  <c r="H2464" i="4"/>
  <c r="H2463" i="4"/>
  <c r="H2462" i="4"/>
  <c r="H2461" i="4"/>
  <c r="H2460" i="4"/>
  <c r="H2459" i="4"/>
  <c r="H2458" i="4"/>
  <c r="H2457" i="4"/>
  <c r="H2456" i="4"/>
  <c r="H2455" i="4"/>
  <c r="H2454" i="4"/>
  <c r="H2453" i="4"/>
  <c r="H2452" i="4"/>
  <c r="H2451" i="4"/>
  <c r="H2450" i="4"/>
  <c r="H2449" i="4"/>
  <c r="H2448" i="4"/>
  <c r="H2447" i="4"/>
  <c r="H2446" i="4"/>
  <c r="H2445" i="4"/>
  <c r="H2444" i="4"/>
  <c r="H2443" i="4"/>
  <c r="H2442" i="4"/>
  <c r="H2441" i="4"/>
  <c r="H2440" i="4"/>
  <c r="H2439" i="4"/>
  <c r="H2438" i="4"/>
  <c r="H2437" i="4"/>
  <c r="H2436" i="4"/>
  <c r="H2435" i="4"/>
  <c r="H2434" i="4"/>
  <c r="H2433" i="4"/>
  <c r="H2432" i="4"/>
  <c r="H2431" i="4"/>
  <c r="H2430" i="4"/>
  <c r="H2429" i="4"/>
  <c r="H2428" i="4"/>
  <c r="H2427" i="4"/>
  <c r="H2426" i="4"/>
  <c r="H2425" i="4"/>
  <c r="H2424" i="4"/>
  <c r="H2423" i="4"/>
  <c r="H2422" i="4"/>
  <c r="H2421" i="4"/>
  <c r="H2420" i="4"/>
  <c r="H2419" i="4"/>
  <c r="H2418" i="4"/>
  <c r="H2417" i="4"/>
  <c r="H2416" i="4"/>
  <c r="H2415" i="4"/>
  <c r="H2414" i="4"/>
  <c r="H2413" i="4"/>
  <c r="H2412" i="4"/>
  <c r="H2411" i="4"/>
  <c r="H2410" i="4"/>
  <c r="H2409" i="4"/>
  <c r="H2408" i="4"/>
  <c r="H2407" i="4"/>
  <c r="H2406" i="4"/>
  <c r="H2405" i="4"/>
  <c r="H2404" i="4"/>
  <c r="H2403" i="4"/>
  <c r="H2402" i="4"/>
  <c r="H2401" i="4"/>
  <c r="H2400" i="4"/>
  <c r="H2399" i="4"/>
  <c r="H2398" i="4"/>
  <c r="H2397" i="4"/>
  <c r="H2396" i="4"/>
  <c r="H2395" i="4"/>
  <c r="H2394" i="4"/>
  <c r="H2393" i="4"/>
  <c r="H2392" i="4"/>
  <c r="H2391" i="4"/>
  <c r="H2390" i="4"/>
  <c r="H2389" i="4"/>
  <c r="H2388" i="4"/>
  <c r="H2387" i="4"/>
  <c r="H2386" i="4"/>
  <c r="H2385" i="4"/>
  <c r="H2384" i="4"/>
  <c r="H2383" i="4"/>
  <c r="H2382" i="4"/>
  <c r="H2381" i="4"/>
  <c r="H2380" i="4"/>
  <c r="H2379" i="4"/>
  <c r="H2378" i="4"/>
  <c r="H2377" i="4"/>
  <c r="H2376" i="4"/>
  <c r="H2375" i="4"/>
  <c r="H2374" i="4"/>
  <c r="H2373" i="4"/>
  <c r="H2372" i="4"/>
  <c r="H2371" i="4"/>
  <c r="H2370" i="4"/>
  <c r="H2369" i="4"/>
  <c r="H2368" i="4"/>
  <c r="H2367" i="4"/>
  <c r="H2366" i="4"/>
  <c r="H2365" i="4"/>
  <c r="H2364" i="4"/>
  <c r="H2363" i="4"/>
  <c r="H2362" i="4"/>
  <c r="H2361" i="4"/>
  <c r="H2360" i="4"/>
  <c r="H2359" i="4"/>
  <c r="H2358" i="4"/>
  <c r="H2357" i="4"/>
  <c r="H2356" i="4"/>
  <c r="H2355" i="4"/>
  <c r="H2354" i="4"/>
  <c r="H2353" i="4"/>
  <c r="H2352" i="4"/>
  <c r="H2351" i="4"/>
  <c r="H2350" i="4"/>
  <c r="H2349" i="4"/>
  <c r="H2348" i="4"/>
  <c r="H2347" i="4"/>
  <c r="H2346" i="4"/>
  <c r="H2345" i="4"/>
  <c r="H2344" i="4"/>
  <c r="H2343" i="4"/>
  <c r="H2342" i="4"/>
  <c r="H2341" i="4"/>
  <c r="H2340" i="4"/>
  <c r="H2339" i="4"/>
  <c r="H2338" i="4"/>
  <c r="H2337" i="4"/>
  <c r="H2336" i="4"/>
  <c r="H2335" i="4"/>
  <c r="H2334" i="4"/>
  <c r="H2333" i="4"/>
  <c r="H2332" i="4"/>
  <c r="H2331" i="4"/>
  <c r="H2330" i="4"/>
  <c r="H2329" i="4"/>
  <c r="H2328" i="4"/>
  <c r="H2327" i="4"/>
  <c r="H2326" i="4"/>
  <c r="H2325" i="4"/>
  <c r="H2324" i="4"/>
  <c r="H2323" i="4"/>
  <c r="H2322" i="4"/>
  <c r="H2321" i="4"/>
  <c r="H2320" i="4"/>
  <c r="H2319" i="4"/>
  <c r="H2318" i="4"/>
  <c r="H2317" i="4"/>
  <c r="H2316" i="4"/>
  <c r="H2315" i="4"/>
  <c r="H2314" i="4"/>
  <c r="H2313" i="4"/>
  <c r="H2312" i="4"/>
  <c r="H2311" i="4"/>
  <c r="H2310" i="4"/>
  <c r="H2309" i="4"/>
  <c r="H2308" i="4"/>
  <c r="H2307" i="4"/>
  <c r="H2306" i="4"/>
  <c r="H2305" i="4"/>
  <c r="H2304" i="4"/>
  <c r="H2303" i="4"/>
  <c r="H2302" i="4"/>
  <c r="H2301" i="4"/>
  <c r="H2300" i="4"/>
  <c r="H2299" i="4"/>
  <c r="H2298" i="4"/>
  <c r="H2297" i="4"/>
  <c r="H2296" i="4"/>
  <c r="H2295" i="4"/>
  <c r="H2294" i="4"/>
  <c r="H2293" i="4"/>
  <c r="H2292" i="4"/>
  <c r="H2291" i="4"/>
  <c r="H2290" i="4"/>
  <c r="H2289" i="4"/>
  <c r="H2288" i="4"/>
  <c r="H2287" i="4"/>
  <c r="H2286" i="4"/>
  <c r="H2285" i="4"/>
  <c r="H2284" i="4"/>
  <c r="H2283" i="4"/>
  <c r="H2282" i="4"/>
  <c r="H2281" i="4"/>
  <c r="H2280" i="4"/>
  <c r="H2279" i="4"/>
  <c r="H2278" i="4"/>
  <c r="H2277" i="4"/>
  <c r="H2276" i="4"/>
  <c r="H2275" i="4"/>
  <c r="H2274" i="4"/>
  <c r="H2273" i="4"/>
  <c r="H2272" i="4"/>
  <c r="H2271" i="4"/>
  <c r="H2270" i="4"/>
  <c r="H2269" i="4"/>
  <c r="H2268" i="4"/>
  <c r="H2267" i="4"/>
  <c r="H2266" i="4"/>
  <c r="H2265" i="4"/>
  <c r="H2264" i="4"/>
  <c r="H2263" i="4"/>
  <c r="H2262" i="4"/>
  <c r="H2261" i="4"/>
  <c r="H2260" i="4"/>
  <c r="H2259" i="4"/>
  <c r="H2258" i="4"/>
  <c r="H2257" i="4"/>
  <c r="H2256" i="4"/>
  <c r="H2255" i="4"/>
  <c r="H2254" i="4"/>
  <c r="H2253" i="4"/>
  <c r="H2252" i="4"/>
  <c r="H2251" i="4"/>
  <c r="H2250" i="4"/>
  <c r="H2249" i="4"/>
  <c r="H2248" i="4"/>
  <c r="H2247" i="4"/>
  <c r="H2246" i="4"/>
  <c r="H2245" i="4"/>
  <c r="H2244" i="4"/>
  <c r="H2243" i="4"/>
  <c r="H2242" i="4"/>
  <c r="H2241" i="4"/>
  <c r="H2240" i="4"/>
  <c r="H2239" i="4"/>
  <c r="H2238" i="4"/>
  <c r="H2237" i="4"/>
  <c r="H2236" i="4"/>
  <c r="H2235" i="4"/>
  <c r="H2234" i="4"/>
  <c r="H2233" i="4"/>
  <c r="H2232" i="4"/>
  <c r="H2231" i="4"/>
  <c r="H2230" i="4"/>
  <c r="H2229" i="4"/>
  <c r="H2228" i="4"/>
  <c r="H2227" i="4"/>
  <c r="H2226" i="4"/>
  <c r="H2225" i="4"/>
  <c r="H2224" i="4"/>
  <c r="H2223" i="4"/>
  <c r="H2222" i="4"/>
  <c r="H2221" i="4"/>
  <c r="H2220" i="4"/>
  <c r="H2219" i="4"/>
  <c r="H2218" i="4"/>
  <c r="H2217" i="4"/>
  <c r="H2216" i="4"/>
  <c r="H2215" i="4"/>
  <c r="H2214" i="4"/>
  <c r="H2213" i="4"/>
  <c r="H2212" i="4"/>
  <c r="H2211" i="4"/>
  <c r="H2210" i="4"/>
  <c r="H2209" i="4"/>
  <c r="H2208" i="4"/>
  <c r="H2207" i="4"/>
  <c r="H2206" i="4"/>
  <c r="H2205" i="4"/>
  <c r="H2204" i="4"/>
  <c r="H2203" i="4"/>
  <c r="H2202" i="4"/>
  <c r="H2201" i="4"/>
  <c r="H2200" i="4"/>
  <c r="H2199" i="4"/>
  <c r="H2198" i="4"/>
  <c r="H2197" i="4"/>
  <c r="H2196" i="4"/>
  <c r="H2195" i="4"/>
  <c r="H2194" i="4"/>
  <c r="H2193" i="4"/>
  <c r="H2192" i="4"/>
  <c r="H2191" i="4"/>
  <c r="H2190" i="4"/>
  <c r="H2189" i="4"/>
  <c r="H2188" i="4"/>
  <c r="H2187" i="4"/>
  <c r="H2186" i="4"/>
  <c r="H2185" i="4"/>
  <c r="H2184" i="4"/>
  <c r="H2183" i="4"/>
  <c r="H2182" i="4"/>
  <c r="H2181" i="4"/>
  <c r="H2180" i="4"/>
  <c r="H2179" i="4"/>
  <c r="H2178" i="4"/>
  <c r="H2177" i="4"/>
  <c r="H2176" i="4"/>
  <c r="H2175" i="4"/>
  <c r="H2174" i="4"/>
  <c r="H2173" i="4"/>
  <c r="H2172" i="4"/>
  <c r="H2171" i="4"/>
  <c r="H2170" i="4"/>
  <c r="H2169" i="4"/>
  <c r="H2168" i="4"/>
  <c r="H2167" i="4"/>
  <c r="H2166" i="4"/>
  <c r="H2165" i="4"/>
  <c r="H2164" i="4"/>
  <c r="H2163" i="4"/>
  <c r="H2162" i="4"/>
  <c r="H2161" i="4"/>
  <c r="H2160" i="4"/>
  <c r="H2159" i="4"/>
  <c r="H2158" i="4"/>
  <c r="H2157" i="4"/>
  <c r="H2156" i="4"/>
  <c r="H2155" i="4"/>
  <c r="H2154" i="4"/>
  <c r="H2153" i="4"/>
  <c r="H2152" i="4"/>
  <c r="H2151" i="4"/>
  <c r="H2150" i="4"/>
  <c r="H2149" i="4"/>
  <c r="H2148" i="4"/>
  <c r="H2147" i="4"/>
  <c r="H2146" i="4"/>
  <c r="H2145" i="4"/>
  <c r="H2144" i="4"/>
  <c r="H2143" i="4"/>
  <c r="H2142" i="4"/>
  <c r="H2141" i="4"/>
  <c r="H2140" i="4"/>
  <c r="H2139" i="4"/>
  <c r="H2138" i="4"/>
  <c r="H2137" i="4"/>
  <c r="H2136" i="4"/>
  <c r="H2135" i="4"/>
  <c r="H2134" i="4"/>
  <c r="H2133" i="4"/>
  <c r="H2132" i="4"/>
  <c r="H2131" i="4"/>
  <c r="H2130" i="4"/>
  <c r="H2129" i="4"/>
  <c r="H2128" i="4"/>
  <c r="H2127" i="4"/>
  <c r="H2126" i="4"/>
  <c r="H2125" i="4"/>
  <c r="H2124" i="4"/>
  <c r="H2123" i="4"/>
  <c r="H2122" i="4"/>
  <c r="H2121" i="4"/>
  <c r="H2120" i="4"/>
  <c r="H2119" i="4"/>
  <c r="H2118" i="4"/>
  <c r="H2117" i="4"/>
  <c r="H2116" i="4"/>
  <c r="H2115" i="4"/>
  <c r="H2114" i="4"/>
  <c r="H2113" i="4"/>
  <c r="H2112" i="4"/>
  <c r="H2111" i="4"/>
  <c r="H2110" i="4"/>
  <c r="H2109" i="4"/>
  <c r="H2108" i="4"/>
  <c r="H2107" i="4"/>
  <c r="H2106" i="4"/>
  <c r="H2105" i="4"/>
  <c r="H2104" i="4"/>
  <c r="H2103" i="4"/>
  <c r="H2102" i="4"/>
  <c r="H2101" i="4"/>
  <c r="H2100" i="4"/>
  <c r="H2099" i="4"/>
  <c r="H2098" i="4"/>
  <c r="H2097" i="4"/>
  <c r="H2096" i="4"/>
  <c r="H2095" i="4"/>
  <c r="H2094" i="4"/>
  <c r="H2093" i="4"/>
  <c r="H2092" i="4"/>
  <c r="H2091" i="4"/>
  <c r="H2090" i="4"/>
  <c r="H2089" i="4"/>
  <c r="H2088" i="4"/>
  <c r="H2087" i="4"/>
  <c r="H2086" i="4"/>
  <c r="H2085" i="4"/>
  <c r="H2084" i="4"/>
  <c r="H2083" i="4"/>
  <c r="H2082" i="4"/>
  <c r="H2081" i="4"/>
  <c r="H2080" i="4"/>
  <c r="H2079" i="4"/>
  <c r="H2078" i="4"/>
  <c r="H2077" i="4"/>
  <c r="H2076" i="4"/>
  <c r="H2075" i="4"/>
  <c r="H2074" i="4"/>
  <c r="H2073" i="4"/>
  <c r="H2072" i="4"/>
  <c r="H2071" i="4"/>
  <c r="H2070" i="4"/>
  <c r="H2069" i="4"/>
  <c r="H2068" i="4"/>
  <c r="H2067" i="4"/>
  <c r="H2066" i="4"/>
  <c r="H2065" i="4"/>
  <c r="H2064" i="4"/>
  <c r="H2063" i="4"/>
  <c r="H2062" i="4"/>
  <c r="H2061" i="4"/>
  <c r="H2060" i="4"/>
  <c r="H2059" i="4"/>
  <c r="H2058" i="4"/>
  <c r="H2057" i="4"/>
  <c r="H2056" i="4"/>
  <c r="H2055" i="4"/>
  <c r="H2054" i="4"/>
  <c r="H2053" i="4"/>
  <c r="H2052" i="4"/>
  <c r="H2051" i="4"/>
  <c r="H2050" i="4"/>
  <c r="H2049" i="4"/>
  <c r="H2048" i="4"/>
  <c r="H2047" i="4"/>
  <c r="H2046" i="4"/>
  <c r="H2045" i="4"/>
  <c r="H2044" i="4"/>
  <c r="H2043" i="4"/>
  <c r="H2042" i="4"/>
  <c r="H2041" i="4"/>
  <c r="H2040" i="4"/>
  <c r="H2039" i="4"/>
  <c r="H2038" i="4"/>
  <c r="H2037" i="4"/>
  <c r="H2036" i="4"/>
  <c r="H2035" i="4"/>
  <c r="H2034" i="4"/>
  <c r="H2033" i="4"/>
  <c r="H2032" i="4"/>
  <c r="H2031" i="4"/>
  <c r="H2030" i="4"/>
  <c r="H2029" i="4"/>
  <c r="H2028" i="4"/>
  <c r="H2027" i="4"/>
  <c r="H2026" i="4"/>
  <c r="H2025" i="4"/>
  <c r="H2024" i="4"/>
  <c r="H2023" i="4"/>
  <c r="H2022" i="4"/>
  <c r="H2021" i="4"/>
  <c r="H2020" i="4"/>
  <c r="H2019" i="4"/>
  <c r="H2018" i="4"/>
  <c r="H2017" i="4"/>
  <c r="H2016" i="4"/>
  <c r="H2015" i="4"/>
  <c r="H2014" i="4"/>
  <c r="H2013" i="4"/>
  <c r="H2012" i="4"/>
  <c r="H2011" i="4"/>
  <c r="H2010" i="4"/>
  <c r="H2009" i="4"/>
  <c r="H2008" i="4"/>
  <c r="H2007" i="4"/>
  <c r="H2006" i="4"/>
  <c r="H2005" i="4"/>
  <c r="H2004" i="4"/>
  <c r="H2003" i="4"/>
  <c r="H2002" i="4"/>
  <c r="H2001" i="4"/>
  <c r="H2000" i="4"/>
  <c r="H1999" i="4"/>
  <c r="H1998" i="4"/>
  <c r="H1997" i="4"/>
  <c r="H1996" i="4"/>
  <c r="H1995" i="4"/>
  <c r="H1994" i="4"/>
  <c r="H1993" i="4"/>
  <c r="H1992" i="4"/>
  <c r="H1991" i="4"/>
  <c r="H1990" i="4"/>
  <c r="H1989" i="4"/>
  <c r="H1988" i="4"/>
  <c r="H1987" i="4"/>
  <c r="H1986" i="4"/>
  <c r="H1985" i="4"/>
  <c r="H1984" i="4"/>
  <c r="H1983" i="4"/>
  <c r="H1982" i="4"/>
  <c r="H1981" i="4"/>
  <c r="H1980" i="4"/>
  <c r="H1979" i="4"/>
  <c r="H1978" i="4"/>
  <c r="H1977" i="4"/>
  <c r="H1976" i="4"/>
  <c r="H1975" i="4"/>
  <c r="H1974" i="4"/>
  <c r="H1973" i="4"/>
  <c r="H1972" i="4"/>
  <c r="H1971" i="4"/>
  <c r="H1970" i="4"/>
  <c r="H1969" i="4"/>
  <c r="H1968" i="4"/>
  <c r="H1967" i="4"/>
  <c r="H1966" i="4"/>
  <c r="H1965" i="4"/>
  <c r="H1964" i="4"/>
  <c r="H1963" i="4"/>
  <c r="H1962" i="4"/>
  <c r="H1961" i="4"/>
  <c r="H1960" i="4"/>
  <c r="H1959" i="4"/>
  <c r="H1958" i="4"/>
  <c r="H1957" i="4"/>
  <c r="H1956" i="4"/>
  <c r="H1955" i="4"/>
  <c r="H1954" i="4"/>
  <c r="H1953" i="4"/>
  <c r="H1952" i="4"/>
  <c r="H1951" i="4"/>
  <c r="H1950" i="4"/>
  <c r="H1949" i="4"/>
  <c r="H1948" i="4"/>
  <c r="H1947" i="4"/>
  <c r="H1946" i="4"/>
  <c r="H1945" i="4"/>
  <c r="H1944" i="4"/>
  <c r="H1943" i="4"/>
  <c r="H1942" i="4"/>
  <c r="H1941" i="4"/>
  <c r="H1940" i="4"/>
  <c r="H1939" i="4"/>
  <c r="H1938" i="4"/>
  <c r="H1937" i="4"/>
  <c r="H1936" i="4"/>
  <c r="H1935" i="4"/>
  <c r="H1934" i="4"/>
  <c r="H1933" i="4"/>
  <c r="H1932" i="4"/>
  <c r="H1931" i="4"/>
  <c r="H1930" i="4"/>
  <c r="H1929" i="4"/>
  <c r="H1928" i="4"/>
  <c r="H1927" i="4"/>
  <c r="H1926" i="4"/>
  <c r="H1925" i="4"/>
  <c r="H1924" i="4"/>
  <c r="H1923" i="4"/>
  <c r="H1922" i="4"/>
  <c r="H1921" i="4"/>
  <c r="H1920" i="4"/>
  <c r="H1919" i="4"/>
  <c r="H1918" i="4"/>
  <c r="H1917" i="4"/>
  <c r="H1916" i="4"/>
  <c r="H1915" i="4"/>
  <c r="H1914" i="4"/>
  <c r="H1913" i="4"/>
  <c r="H1912" i="4"/>
  <c r="H1911" i="4"/>
  <c r="H1910" i="4"/>
  <c r="H1909" i="4"/>
  <c r="H1908" i="4"/>
  <c r="H1907" i="4"/>
  <c r="H1906" i="4"/>
  <c r="H1905" i="4"/>
  <c r="H1904" i="4"/>
  <c r="H1903" i="4"/>
  <c r="H1902" i="4"/>
  <c r="H1901" i="4"/>
  <c r="H1900" i="4"/>
  <c r="H1899" i="4"/>
  <c r="H1898" i="4"/>
  <c r="H1897" i="4"/>
  <c r="H1896" i="4"/>
  <c r="H1895" i="4"/>
  <c r="H1894" i="4"/>
  <c r="H1893" i="4"/>
  <c r="H1892" i="4"/>
  <c r="H1891" i="4"/>
  <c r="H1890" i="4"/>
  <c r="H1889" i="4"/>
  <c r="H1888" i="4"/>
  <c r="H1887" i="4"/>
  <c r="H1886" i="4"/>
  <c r="H1885" i="4"/>
  <c r="H1884" i="4"/>
  <c r="H1883" i="4"/>
  <c r="H1882" i="4"/>
  <c r="H1881" i="4"/>
  <c r="H1880" i="4"/>
  <c r="H1879" i="4"/>
  <c r="H1878" i="4"/>
  <c r="H1877" i="4"/>
  <c r="H1876" i="4"/>
  <c r="H1875" i="4"/>
  <c r="H1874" i="4"/>
  <c r="H1873" i="4"/>
  <c r="H1872" i="4"/>
  <c r="H1871" i="4"/>
  <c r="H1870" i="4"/>
  <c r="H1869" i="4"/>
  <c r="H1868" i="4"/>
  <c r="H1867" i="4"/>
  <c r="H1866" i="4"/>
  <c r="H1865" i="4"/>
  <c r="H1864" i="4"/>
  <c r="H1863" i="4"/>
  <c r="H1862" i="4"/>
  <c r="H1861" i="4"/>
  <c r="H1860" i="4"/>
  <c r="H1859" i="4"/>
  <c r="H1858" i="4"/>
  <c r="H1857" i="4"/>
  <c r="H1856" i="4"/>
  <c r="H1855" i="4"/>
  <c r="H1854" i="4"/>
  <c r="H1853" i="4"/>
  <c r="H1852" i="4"/>
  <c r="H1851" i="4"/>
  <c r="H1850" i="4"/>
  <c r="H1849" i="4"/>
  <c r="H1848" i="4"/>
  <c r="H1847" i="4"/>
  <c r="H1846" i="4"/>
  <c r="H1845" i="4"/>
  <c r="H1844" i="4"/>
  <c r="H1843" i="4"/>
  <c r="H1842" i="4"/>
  <c r="H1841" i="4"/>
  <c r="H1840" i="4"/>
  <c r="H1839" i="4"/>
  <c r="H1838" i="4"/>
  <c r="H1837" i="4"/>
  <c r="H1836" i="4"/>
  <c r="H1835" i="4"/>
  <c r="H1834" i="4"/>
  <c r="H1833" i="4"/>
  <c r="H1832" i="4"/>
  <c r="H1831" i="4"/>
  <c r="H1830" i="4"/>
  <c r="H1829" i="4"/>
  <c r="H1828" i="4"/>
  <c r="H1827" i="4"/>
  <c r="H1826" i="4"/>
  <c r="H1825" i="4"/>
  <c r="H1824" i="4"/>
  <c r="H1823" i="4"/>
  <c r="H1822" i="4"/>
  <c r="H1821" i="4"/>
  <c r="H1820" i="4"/>
  <c r="H1819" i="4"/>
  <c r="H1818" i="4"/>
  <c r="H1817" i="4"/>
  <c r="H1816" i="4"/>
  <c r="H1815" i="4"/>
  <c r="H1814" i="4"/>
  <c r="H1813" i="4"/>
  <c r="H1812" i="4"/>
  <c r="H1811" i="4"/>
  <c r="H1810" i="4"/>
  <c r="H1809" i="4"/>
  <c r="H1808" i="4"/>
  <c r="H1807" i="4"/>
  <c r="H1806" i="4"/>
  <c r="H1805" i="4"/>
  <c r="H1804" i="4"/>
  <c r="H1803" i="4"/>
  <c r="H1802" i="4"/>
  <c r="H1801" i="4"/>
  <c r="H1800" i="4"/>
  <c r="H1799" i="4"/>
  <c r="H1798" i="4"/>
  <c r="H1797" i="4"/>
  <c r="H1796" i="4"/>
  <c r="H1795" i="4"/>
  <c r="H1794" i="4"/>
  <c r="H1793" i="4"/>
  <c r="H1792" i="4"/>
  <c r="H1791" i="4"/>
  <c r="H1790" i="4"/>
  <c r="H1789" i="4"/>
  <c r="H1788" i="4"/>
  <c r="H1787" i="4"/>
  <c r="H1786" i="4"/>
  <c r="H1785" i="4"/>
  <c r="H1784" i="4"/>
  <c r="H1783" i="4"/>
  <c r="H1782" i="4"/>
  <c r="H1781" i="4"/>
  <c r="H1780" i="4"/>
  <c r="H1779" i="4"/>
  <c r="H1778" i="4"/>
  <c r="H1777" i="4"/>
  <c r="H1776" i="4"/>
  <c r="H1775" i="4"/>
  <c r="H1774" i="4"/>
  <c r="H1773" i="4"/>
  <c r="H1772" i="4"/>
  <c r="H1771" i="4"/>
  <c r="H1770" i="4"/>
  <c r="H1769" i="4"/>
  <c r="H1768" i="4"/>
  <c r="H1767" i="4"/>
  <c r="H1766" i="4"/>
  <c r="H1765" i="4"/>
  <c r="H1764" i="4"/>
  <c r="H1763" i="4"/>
  <c r="H1762" i="4"/>
  <c r="H1761" i="4"/>
  <c r="H1760" i="4"/>
  <c r="H1759" i="4"/>
  <c r="H1758" i="4"/>
  <c r="H1757" i="4"/>
  <c r="H1756" i="4"/>
  <c r="H1755" i="4"/>
  <c r="H1754" i="4"/>
  <c r="H1753" i="4"/>
  <c r="H1752" i="4"/>
  <c r="H1751" i="4"/>
  <c r="H1750" i="4"/>
  <c r="H1749" i="4"/>
  <c r="H1748" i="4"/>
  <c r="H1747" i="4"/>
  <c r="H1746" i="4"/>
  <c r="H1745" i="4"/>
  <c r="H1744" i="4"/>
  <c r="H1743" i="4"/>
  <c r="H1742" i="4"/>
  <c r="H1741" i="4"/>
  <c r="H1740" i="4"/>
  <c r="H1739" i="4"/>
  <c r="H1738" i="4"/>
  <c r="H1737" i="4"/>
  <c r="H1736" i="4"/>
  <c r="H1735" i="4"/>
  <c r="H1734" i="4"/>
  <c r="H1733" i="4"/>
  <c r="H1732" i="4"/>
  <c r="H1731" i="4"/>
  <c r="H1730" i="4"/>
  <c r="H1729" i="4"/>
  <c r="H1728" i="4"/>
  <c r="H1727" i="4"/>
  <c r="H1726" i="4"/>
  <c r="H1725" i="4"/>
  <c r="H1724" i="4"/>
  <c r="H1723" i="4"/>
  <c r="H1722" i="4"/>
  <c r="H1721" i="4"/>
  <c r="H1720" i="4"/>
  <c r="H1719" i="4"/>
  <c r="H1718" i="4"/>
  <c r="H1717" i="4"/>
  <c r="H1716" i="4"/>
  <c r="H1715" i="4"/>
  <c r="H1714" i="4"/>
  <c r="H1713" i="4"/>
  <c r="H1712" i="4"/>
  <c r="H1711" i="4"/>
  <c r="H1710" i="4"/>
  <c r="H1709" i="4"/>
  <c r="H1708" i="4"/>
  <c r="H1707" i="4"/>
  <c r="H1706" i="4"/>
  <c r="H1705" i="4"/>
  <c r="H1704" i="4"/>
  <c r="H1703" i="4"/>
  <c r="H1702" i="4"/>
  <c r="H1701" i="4"/>
  <c r="H1700" i="4"/>
  <c r="H1699" i="4"/>
  <c r="H1698" i="4"/>
  <c r="H1697" i="4"/>
  <c r="H1696" i="4"/>
  <c r="H1695" i="4"/>
  <c r="H1694" i="4"/>
  <c r="H1693" i="4"/>
  <c r="H1692" i="4"/>
  <c r="H1691" i="4"/>
  <c r="H1690" i="4"/>
  <c r="H1689" i="4"/>
  <c r="H1688" i="4"/>
  <c r="H1687" i="4"/>
  <c r="H1686" i="4"/>
  <c r="H1685" i="4"/>
  <c r="H1684" i="4"/>
  <c r="H1683" i="4"/>
  <c r="H1682" i="4"/>
  <c r="H1681" i="4"/>
  <c r="H1680" i="4"/>
  <c r="H1679" i="4"/>
  <c r="H1678" i="4"/>
  <c r="H1677" i="4"/>
  <c r="H1676" i="4"/>
  <c r="H1675" i="4"/>
  <c r="H1674" i="4"/>
  <c r="H1673" i="4"/>
  <c r="H1672" i="4"/>
  <c r="H1671" i="4"/>
  <c r="H1670" i="4"/>
  <c r="H1669" i="4"/>
  <c r="H1668" i="4"/>
  <c r="H1667" i="4"/>
  <c r="H1666" i="4"/>
  <c r="H1665" i="4"/>
  <c r="H1664" i="4"/>
  <c r="H1663" i="4"/>
  <c r="H1662" i="4"/>
  <c r="H1661" i="4"/>
  <c r="H1660" i="4"/>
  <c r="H1659" i="4"/>
  <c r="H1658" i="4"/>
  <c r="H1657" i="4"/>
  <c r="H1656" i="4"/>
  <c r="H1655" i="4"/>
  <c r="H1654" i="4"/>
  <c r="H1653" i="4"/>
  <c r="H1652" i="4"/>
  <c r="H1651" i="4"/>
  <c r="H1650" i="4"/>
  <c r="H1649" i="4"/>
  <c r="H1648" i="4"/>
  <c r="H1647" i="4"/>
  <c r="H1646" i="4"/>
  <c r="H1645" i="4"/>
  <c r="H1644" i="4"/>
  <c r="H1643" i="4"/>
  <c r="H1642" i="4"/>
  <c r="H1641" i="4"/>
  <c r="H1640" i="4"/>
  <c r="H1639" i="4"/>
  <c r="H1638" i="4"/>
  <c r="H1637" i="4"/>
  <c r="H1636" i="4"/>
  <c r="H1635" i="4"/>
  <c r="H1634" i="4"/>
  <c r="H1633" i="4"/>
  <c r="H1632" i="4"/>
  <c r="H1631" i="4"/>
  <c r="H1630" i="4"/>
  <c r="H1629" i="4"/>
  <c r="H1628" i="4"/>
  <c r="H1627" i="4"/>
  <c r="H1626" i="4"/>
  <c r="H1625" i="4"/>
  <c r="H1624" i="4"/>
  <c r="H1623" i="4"/>
  <c r="H1622" i="4"/>
  <c r="H1621" i="4"/>
  <c r="H1620" i="4"/>
  <c r="H1619" i="4"/>
  <c r="H1618" i="4"/>
  <c r="H1617" i="4"/>
  <c r="H1616" i="4"/>
  <c r="H1615" i="4"/>
  <c r="H1614" i="4"/>
  <c r="H1613" i="4"/>
  <c r="H1612" i="4"/>
  <c r="H1611" i="4"/>
  <c r="H1610" i="4"/>
  <c r="H1609" i="4"/>
  <c r="H1608" i="4"/>
  <c r="H1607" i="4"/>
  <c r="H1606" i="4"/>
  <c r="H1605" i="4"/>
  <c r="H1604" i="4"/>
  <c r="H1603" i="4"/>
  <c r="H1602" i="4"/>
  <c r="H1601" i="4"/>
  <c r="H1600" i="4"/>
  <c r="H1599" i="4"/>
  <c r="H1598" i="4"/>
  <c r="H1597" i="4"/>
  <c r="H1596" i="4"/>
  <c r="H1595" i="4"/>
  <c r="H1594" i="4"/>
  <c r="H1593" i="4"/>
  <c r="H1592" i="4"/>
  <c r="H1591" i="4"/>
  <c r="H1590" i="4"/>
  <c r="H1589" i="4"/>
  <c r="H1588" i="4"/>
  <c r="H1587" i="4"/>
  <c r="H1586" i="4"/>
  <c r="H1585" i="4"/>
  <c r="H1584" i="4"/>
  <c r="H1583" i="4"/>
  <c r="H1582" i="4"/>
  <c r="H1581" i="4"/>
  <c r="H1580" i="4"/>
  <c r="H1579" i="4"/>
  <c r="H1578" i="4"/>
  <c r="H1577" i="4"/>
  <c r="H1576" i="4"/>
  <c r="H1575" i="4"/>
  <c r="H1574" i="4"/>
  <c r="H1573" i="4"/>
  <c r="H1572" i="4"/>
  <c r="H1571" i="4"/>
  <c r="H1570" i="4"/>
  <c r="H1569" i="4"/>
  <c r="H1568" i="4"/>
  <c r="H1567" i="4"/>
  <c r="H1566" i="4"/>
  <c r="H1565" i="4"/>
  <c r="H1564" i="4"/>
  <c r="H1563" i="4"/>
  <c r="H1562" i="4"/>
  <c r="H1561" i="4"/>
  <c r="H1560" i="4"/>
  <c r="H1559" i="4"/>
  <c r="H1558" i="4"/>
  <c r="H1557" i="4"/>
  <c r="H1556" i="4"/>
  <c r="H1555" i="4"/>
  <c r="H1554" i="4"/>
  <c r="H1553" i="4"/>
  <c r="H1552" i="4"/>
  <c r="H1551" i="4"/>
  <c r="H1550" i="4"/>
  <c r="H1549" i="4"/>
  <c r="H1548" i="4"/>
  <c r="H1547" i="4"/>
  <c r="H1546" i="4"/>
  <c r="H1545" i="4"/>
  <c r="H1544" i="4"/>
  <c r="H1543" i="4"/>
  <c r="H1542" i="4"/>
  <c r="H1541" i="4"/>
  <c r="H1540" i="4"/>
  <c r="H1539" i="4"/>
  <c r="H1538" i="4"/>
  <c r="H1537" i="4"/>
  <c r="H1536" i="4"/>
  <c r="H1535" i="4"/>
  <c r="H1534" i="4"/>
  <c r="H1533" i="4"/>
  <c r="H1532" i="4"/>
  <c r="H1531" i="4"/>
  <c r="H1530" i="4"/>
  <c r="H1529" i="4"/>
  <c r="H1528" i="4"/>
  <c r="H1527" i="4"/>
  <c r="H1526" i="4"/>
  <c r="H1525" i="4"/>
  <c r="H1524" i="4"/>
  <c r="H1523" i="4"/>
  <c r="H1522" i="4"/>
  <c r="H1521" i="4"/>
  <c r="H1520" i="4"/>
  <c r="H1519" i="4"/>
  <c r="H1518" i="4"/>
  <c r="H1517" i="4"/>
  <c r="H1516" i="4"/>
  <c r="H1515" i="4"/>
  <c r="H1514" i="4"/>
  <c r="H1513" i="4"/>
  <c r="H1512" i="4"/>
  <c r="H1511" i="4"/>
  <c r="H1510" i="4"/>
  <c r="H1509" i="4"/>
  <c r="H1508" i="4"/>
  <c r="H1507" i="4"/>
  <c r="H1506" i="4"/>
  <c r="H1505" i="4"/>
  <c r="H1504" i="4"/>
  <c r="H1503" i="4"/>
  <c r="H1502" i="4"/>
  <c r="H1501" i="4"/>
  <c r="H1500" i="4"/>
  <c r="H1499" i="4"/>
  <c r="H1498" i="4"/>
  <c r="H1497" i="4"/>
  <c r="H1496" i="4"/>
  <c r="H1495" i="4"/>
  <c r="H1494" i="4"/>
  <c r="H1493" i="4"/>
  <c r="H1492" i="4"/>
  <c r="H1491" i="4"/>
  <c r="H1490" i="4"/>
  <c r="H1489" i="4"/>
  <c r="H1488" i="4"/>
  <c r="H1487" i="4"/>
  <c r="H1486" i="4"/>
  <c r="H1485" i="4"/>
  <c r="H1484" i="4"/>
  <c r="H1483" i="4"/>
  <c r="H1482" i="4"/>
  <c r="H1481" i="4"/>
  <c r="H1480" i="4"/>
  <c r="H1479" i="4"/>
  <c r="H1478" i="4"/>
  <c r="H1477" i="4"/>
  <c r="H1476" i="4"/>
  <c r="H1475" i="4"/>
  <c r="H1474" i="4"/>
  <c r="H1473" i="4"/>
  <c r="H1472" i="4"/>
  <c r="H1471" i="4"/>
  <c r="H1470" i="4"/>
  <c r="H1469" i="4"/>
  <c r="H1468" i="4"/>
  <c r="H1467" i="4"/>
  <c r="H1466" i="4"/>
  <c r="H1465" i="4"/>
  <c r="H1464" i="4"/>
  <c r="H1463" i="4"/>
  <c r="H1462" i="4"/>
  <c r="H1461" i="4"/>
  <c r="H1460" i="4"/>
  <c r="H1459" i="4"/>
  <c r="H1458" i="4"/>
  <c r="H1457" i="4"/>
  <c r="H1456" i="4"/>
  <c r="H1455" i="4"/>
  <c r="H1454" i="4"/>
  <c r="H1453" i="4"/>
  <c r="H1452" i="4"/>
  <c r="H1451" i="4"/>
  <c r="H1450" i="4"/>
  <c r="H1449" i="4"/>
  <c r="H1448" i="4"/>
  <c r="H1447" i="4"/>
  <c r="H1446" i="4"/>
  <c r="H1445" i="4"/>
  <c r="H1444" i="4"/>
  <c r="H1443" i="4"/>
  <c r="H1442" i="4"/>
  <c r="H1441" i="4"/>
  <c r="H1440" i="4"/>
  <c r="H1439" i="4"/>
  <c r="H1438" i="4"/>
  <c r="H1437" i="4"/>
  <c r="H1436" i="4"/>
  <c r="H1435" i="4"/>
  <c r="H1434" i="4"/>
  <c r="H1433" i="4"/>
  <c r="H1432" i="4"/>
  <c r="H1431" i="4"/>
  <c r="H1430" i="4"/>
  <c r="H1429" i="4"/>
  <c r="H1428" i="4"/>
  <c r="H1427" i="4"/>
  <c r="H1426" i="4"/>
  <c r="H1425" i="4"/>
  <c r="H1424" i="4"/>
  <c r="H1423" i="4"/>
  <c r="H1422" i="4"/>
  <c r="H1421" i="4"/>
  <c r="H1420" i="4"/>
  <c r="H1419" i="4"/>
  <c r="H1418" i="4"/>
  <c r="H1417" i="4"/>
  <c r="H1416" i="4"/>
  <c r="H1415" i="4"/>
  <c r="H1414" i="4"/>
  <c r="H1413" i="4"/>
  <c r="H1412" i="4"/>
  <c r="H1411" i="4"/>
  <c r="H1410" i="4"/>
  <c r="H1409" i="4"/>
  <c r="H1408" i="4"/>
  <c r="H1407" i="4"/>
  <c r="H1406" i="4"/>
  <c r="H1405" i="4"/>
  <c r="H1404" i="4"/>
  <c r="H1403" i="4"/>
  <c r="H1402" i="4"/>
  <c r="H1401" i="4"/>
  <c r="H1400" i="4"/>
  <c r="H1399" i="4"/>
  <c r="H1398" i="4"/>
  <c r="H1397" i="4"/>
  <c r="H1396" i="4"/>
  <c r="H1395" i="4"/>
  <c r="H1394" i="4"/>
  <c r="H1393" i="4"/>
  <c r="H1392" i="4"/>
  <c r="H1391" i="4"/>
  <c r="H1390" i="4"/>
  <c r="H1389" i="4"/>
  <c r="H1388" i="4"/>
  <c r="H1387" i="4"/>
  <c r="H1386" i="4"/>
  <c r="H1385" i="4"/>
  <c r="H1384" i="4"/>
  <c r="H1383" i="4"/>
  <c r="H1382" i="4"/>
  <c r="H1381" i="4"/>
  <c r="H1380" i="4"/>
  <c r="H1379" i="4"/>
  <c r="H1378" i="4"/>
  <c r="H1377" i="4"/>
  <c r="H1376" i="4"/>
  <c r="H1375" i="4"/>
  <c r="H1374" i="4"/>
  <c r="H1373" i="4"/>
  <c r="H1372" i="4"/>
  <c r="H1371" i="4"/>
  <c r="H1370" i="4"/>
  <c r="H1369" i="4"/>
  <c r="H1368" i="4"/>
  <c r="H1367" i="4"/>
  <c r="H1366" i="4"/>
  <c r="H1365" i="4"/>
  <c r="H1364" i="4"/>
  <c r="H1363" i="4"/>
  <c r="H1362" i="4"/>
  <c r="H1361" i="4"/>
  <c r="H1360" i="4"/>
  <c r="H1359" i="4"/>
  <c r="H1358" i="4"/>
  <c r="H1357" i="4"/>
  <c r="H1356" i="4"/>
  <c r="H1355" i="4"/>
  <c r="H1354" i="4"/>
  <c r="H1353" i="4"/>
  <c r="H1352" i="4"/>
  <c r="H1351" i="4"/>
  <c r="H1350" i="4"/>
  <c r="H1349" i="4"/>
  <c r="H1348" i="4"/>
  <c r="H1347" i="4"/>
  <c r="H1346" i="4"/>
  <c r="H1345" i="4"/>
  <c r="H1344" i="4"/>
  <c r="H1343" i="4"/>
  <c r="H1342" i="4"/>
  <c r="H1341" i="4"/>
  <c r="H1340" i="4"/>
  <c r="H1339" i="4"/>
  <c r="H1338" i="4"/>
  <c r="H1337" i="4"/>
  <c r="H1336" i="4"/>
  <c r="H1335" i="4"/>
  <c r="H1334" i="4"/>
  <c r="H1333" i="4"/>
  <c r="H1332" i="4"/>
  <c r="H1331" i="4"/>
  <c r="H1330" i="4"/>
  <c r="H1329" i="4"/>
  <c r="H1328" i="4"/>
  <c r="H1327" i="4"/>
  <c r="H1326" i="4"/>
  <c r="H1325" i="4"/>
  <c r="H1324" i="4"/>
  <c r="H1323" i="4"/>
  <c r="H1322" i="4"/>
  <c r="H1321" i="4"/>
  <c r="H1320" i="4"/>
  <c r="H1319" i="4"/>
  <c r="H1318" i="4"/>
  <c r="H1317" i="4"/>
  <c r="H1316" i="4"/>
  <c r="H1315" i="4"/>
  <c r="H1314" i="4"/>
  <c r="H1313" i="4"/>
  <c r="H1312" i="4"/>
  <c r="H1311" i="4"/>
  <c r="H1310" i="4"/>
  <c r="H1309" i="4"/>
  <c r="H1308" i="4"/>
  <c r="H1307" i="4"/>
  <c r="H1306" i="4"/>
  <c r="H1305" i="4"/>
  <c r="H1304" i="4"/>
  <c r="H1303" i="4"/>
  <c r="H1302" i="4"/>
  <c r="H1301" i="4"/>
  <c r="H1300" i="4"/>
  <c r="H1299" i="4"/>
  <c r="H1298" i="4"/>
  <c r="H1297" i="4"/>
  <c r="H1296" i="4"/>
  <c r="H1295" i="4"/>
  <c r="H1294" i="4"/>
  <c r="H1293" i="4"/>
  <c r="H1292" i="4"/>
  <c r="H1291" i="4"/>
  <c r="H1290" i="4"/>
  <c r="H1289" i="4"/>
  <c r="H1288" i="4"/>
  <c r="H1287" i="4"/>
  <c r="H1286" i="4"/>
  <c r="H1285" i="4"/>
  <c r="H1284" i="4"/>
  <c r="H1283" i="4"/>
  <c r="H1282" i="4"/>
  <c r="H1281" i="4"/>
  <c r="H1280" i="4"/>
  <c r="H1279" i="4"/>
  <c r="H1278" i="4"/>
  <c r="H1277" i="4"/>
  <c r="H1276" i="4"/>
  <c r="H1275" i="4"/>
  <c r="H1274" i="4"/>
  <c r="H1273" i="4"/>
  <c r="H1272" i="4"/>
  <c r="H1271" i="4"/>
  <c r="H1270" i="4"/>
  <c r="H1269" i="4"/>
  <c r="H1268" i="4"/>
  <c r="H1267" i="4"/>
  <c r="H1266" i="4"/>
  <c r="H1265" i="4"/>
  <c r="H1264" i="4"/>
  <c r="H1263" i="4"/>
  <c r="H1262" i="4"/>
  <c r="H1261" i="4"/>
  <c r="H1260" i="4"/>
  <c r="H1259" i="4"/>
  <c r="H1258" i="4"/>
  <c r="H1257" i="4"/>
  <c r="H1256" i="4"/>
  <c r="H1255" i="4"/>
  <c r="H1254" i="4"/>
  <c r="H1253" i="4"/>
  <c r="H1252" i="4"/>
  <c r="H1251" i="4"/>
  <c r="H1250" i="4"/>
  <c r="H1249" i="4"/>
  <c r="H1248" i="4"/>
  <c r="H1247" i="4"/>
  <c r="H1246" i="4"/>
  <c r="H1245" i="4"/>
  <c r="H1244" i="4"/>
  <c r="H1243" i="4"/>
  <c r="H1242" i="4"/>
  <c r="H1241" i="4"/>
  <c r="H1240" i="4"/>
  <c r="H1239" i="4"/>
  <c r="H1238" i="4"/>
  <c r="H1237" i="4"/>
  <c r="H1236" i="4"/>
  <c r="H1235" i="4"/>
  <c r="H1234" i="4"/>
  <c r="H1233" i="4"/>
  <c r="H1232" i="4"/>
  <c r="H1231" i="4"/>
  <c r="H1230" i="4"/>
  <c r="H1229" i="4"/>
  <c r="H1228" i="4"/>
  <c r="H1227" i="4"/>
  <c r="H1226" i="4"/>
  <c r="H1225" i="4"/>
  <c r="H1224" i="4"/>
  <c r="H1223" i="4"/>
  <c r="H1222" i="4"/>
  <c r="H1221" i="4"/>
  <c r="H1220" i="4"/>
  <c r="H1219" i="4"/>
  <c r="H1218" i="4"/>
  <c r="H1217" i="4"/>
  <c r="H1216" i="4"/>
  <c r="H1215" i="4"/>
  <c r="H1214" i="4"/>
  <c r="H1213" i="4"/>
  <c r="H1212" i="4"/>
  <c r="H1211" i="4"/>
  <c r="H1210" i="4"/>
  <c r="H1209" i="4"/>
  <c r="H1208" i="4"/>
  <c r="H1207" i="4"/>
  <c r="H1206" i="4"/>
  <c r="H1205" i="4"/>
  <c r="H1204" i="4"/>
  <c r="H1203" i="4"/>
  <c r="H1202" i="4"/>
  <c r="H1201" i="4"/>
  <c r="H1200" i="4"/>
  <c r="H1199" i="4"/>
  <c r="H1198" i="4"/>
  <c r="H1197" i="4"/>
  <c r="H1196" i="4"/>
  <c r="H1195" i="4"/>
  <c r="H1194" i="4"/>
  <c r="H1193" i="4"/>
  <c r="H1192" i="4"/>
  <c r="H1191" i="4"/>
  <c r="H1190" i="4"/>
  <c r="H1189" i="4"/>
  <c r="H1188" i="4"/>
  <c r="H1187" i="4"/>
  <c r="H1186" i="4"/>
  <c r="H1185" i="4"/>
  <c r="H1184" i="4"/>
  <c r="H1183" i="4"/>
  <c r="H1182" i="4"/>
  <c r="H1181" i="4"/>
  <c r="H1180" i="4"/>
  <c r="H1179" i="4"/>
  <c r="H1178" i="4"/>
  <c r="H1177" i="4"/>
  <c r="H1176" i="4"/>
  <c r="H1175" i="4"/>
  <c r="H1174" i="4"/>
  <c r="H1173" i="4"/>
  <c r="H1172" i="4"/>
  <c r="H1171" i="4"/>
  <c r="H1170" i="4"/>
  <c r="H1169" i="4"/>
  <c r="H1168" i="4"/>
  <c r="H1167" i="4"/>
  <c r="H1166" i="4"/>
  <c r="H1165" i="4"/>
  <c r="H1164" i="4"/>
  <c r="H1163" i="4"/>
  <c r="H1162" i="4"/>
  <c r="H1161" i="4"/>
  <c r="H1160" i="4"/>
  <c r="H1159" i="4"/>
  <c r="H1158" i="4"/>
  <c r="H1157" i="4"/>
  <c r="H1156" i="4"/>
  <c r="H1155" i="4"/>
  <c r="H1154" i="4"/>
  <c r="H1153" i="4"/>
  <c r="H1152" i="4"/>
  <c r="H1151" i="4"/>
  <c r="H1150" i="4"/>
  <c r="H1149" i="4"/>
  <c r="H1148" i="4"/>
  <c r="H1147" i="4"/>
  <c r="H1146" i="4"/>
  <c r="H1145" i="4"/>
  <c r="H1144" i="4"/>
  <c r="H1143" i="4"/>
  <c r="H1142" i="4"/>
  <c r="H1141" i="4"/>
  <c r="H1140" i="4"/>
  <c r="H1139" i="4"/>
  <c r="H1138" i="4"/>
  <c r="H1137" i="4"/>
  <c r="H1136" i="4"/>
  <c r="H1135" i="4"/>
  <c r="H1134" i="4"/>
  <c r="H1133" i="4"/>
  <c r="H1132" i="4"/>
  <c r="H1131" i="4"/>
  <c r="H1130" i="4"/>
  <c r="H1129" i="4"/>
  <c r="H1128" i="4"/>
  <c r="H1127" i="4"/>
  <c r="H1126" i="4"/>
  <c r="H1125" i="4"/>
  <c r="H1124" i="4"/>
  <c r="H1123" i="4"/>
  <c r="H1122" i="4"/>
  <c r="H1121" i="4"/>
  <c r="H1120" i="4"/>
  <c r="H1119" i="4"/>
  <c r="H1118" i="4"/>
  <c r="H1117" i="4"/>
  <c r="H1116" i="4"/>
  <c r="H1115" i="4"/>
  <c r="H1114" i="4"/>
  <c r="H1113" i="4"/>
  <c r="H1112" i="4"/>
  <c r="H1111" i="4"/>
  <c r="H1110" i="4"/>
  <c r="H1109" i="4"/>
  <c r="H1108" i="4"/>
  <c r="H1107" i="4"/>
  <c r="H1106" i="4"/>
  <c r="H1105" i="4"/>
  <c r="H1104" i="4"/>
  <c r="H1103" i="4"/>
  <c r="H1102" i="4"/>
  <c r="H1101" i="4"/>
  <c r="H1100" i="4"/>
  <c r="H1099" i="4"/>
  <c r="H1098" i="4"/>
  <c r="H1097" i="4"/>
  <c r="H1096" i="4"/>
  <c r="H1095" i="4"/>
  <c r="H1094" i="4"/>
  <c r="H1093" i="4"/>
  <c r="H1092" i="4"/>
  <c r="H1091" i="4"/>
  <c r="H1090" i="4"/>
  <c r="H1089" i="4"/>
  <c r="H1088" i="4"/>
  <c r="H1087" i="4"/>
  <c r="H1086" i="4"/>
  <c r="H1085" i="4"/>
  <c r="H1084" i="4"/>
  <c r="H1083" i="4"/>
  <c r="H1082" i="4"/>
  <c r="H1081" i="4"/>
  <c r="H1080" i="4"/>
  <c r="H1079" i="4"/>
  <c r="H1078" i="4"/>
  <c r="H1077" i="4"/>
  <c r="H1076" i="4"/>
  <c r="H1075" i="4"/>
  <c r="H1074" i="4"/>
  <c r="H1073" i="4"/>
  <c r="H1072" i="4"/>
  <c r="H1071" i="4"/>
  <c r="H1070" i="4"/>
  <c r="H1069" i="4"/>
  <c r="H1068" i="4"/>
  <c r="H1067" i="4"/>
  <c r="H1066" i="4"/>
  <c r="H1065" i="4"/>
  <c r="H1064" i="4"/>
  <c r="H1063" i="4"/>
  <c r="H1062" i="4"/>
  <c r="H1061" i="4"/>
  <c r="H1060" i="4"/>
  <c r="H1059" i="4"/>
  <c r="H1058" i="4"/>
  <c r="H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1" i="4"/>
  <c r="H1030" i="4"/>
  <c r="H1029" i="4"/>
  <c r="H1028" i="4"/>
  <c r="H1027" i="4"/>
  <c r="H1026" i="4"/>
  <c r="H1025" i="4"/>
  <c r="H1024" i="4"/>
  <c r="H1023" i="4"/>
  <c r="H1022" i="4"/>
  <c r="H1021" i="4"/>
  <c r="H1020" i="4"/>
  <c r="H1019" i="4"/>
  <c r="H1018" i="4"/>
  <c r="H1017" i="4"/>
  <c r="H1016" i="4"/>
  <c r="H1015" i="4"/>
  <c r="H1014" i="4"/>
  <c r="H1013" i="4"/>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L1" i="4"/>
  <c r="AT1151" i="3"/>
  <c r="AS1151" i="3"/>
  <c r="AP1151" i="3"/>
  <c r="AO1151" i="3"/>
  <c r="AT1150" i="3"/>
  <c r="AS1150" i="3"/>
  <c r="AP1150" i="3"/>
  <c r="AO1150" i="3"/>
  <c r="AT1149" i="3"/>
  <c r="AS1149" i="3"/>
  <c r="AP1149" i="3"/>
  <c r="AO1149" i="3"/>
  <c r="AT1148" i="3"/>
  <c r="AS1148" i="3"/>
  <c r="AP1148" i="3"/>
  <c r="AO1148" i="3"/>
  <c r="AT1147" i="3"/>
  <c r="AS1147" i="3"/>
  <c r="AP1147" i="3"/>
  <c r="AO1147" i="3"/>
  <c r="AT1146" i="3"/>
  <c r="AS1146" i="3"/>
  <c r="AP1146" i="3"/>
  <c r="AO1146" i="3"/>
  <c r="AT1145" i="3"/>
  <c r="AS1145" i="3"/>
  <c r="AP1145" i="3"/>
  <c r="AO1145" i="3"/>
  <c r="AT1144" i="3"/>
  <c r="AS1144" i="3"/>
  <c r="AP1144" i="3"/>
  <c r="AO1144" i="3"/>
  <c r="AT1143" i="3"/>
  <c r="AS1143" i="3"/>
  <c r="AP1143" i="3"/>
  <c r="AO1143" i="3"/>
  <c r="AT1142" i="3"/>
  <c r="AS1142" i="3"/>
  <c r="AP1142" i="3"/>
  <c r="AO1142" i="3"/>
  <c r="AT1141" i="3"/>
  <c r="AS1141" i="3"/>
  <c r="AP1141" i="3"/>
  <c r="AO1141" i="3"/>
  <c r="AT1140" i="3"/>
  <c r="AS1140" i="3"/>
  <c r="AP1140" i="3"/>
  <c r="AO1140" i="3"/>
  <c r="AT1139" i="3"/>
  <c r="AS1139" i="3"/>
  <c r="AP1139" i="3"/>
  <c r="AO1139" i="3"/>
  <c r="AT1138" i="3"/>
  <c r="AS1138" i="3"/>
  <c r="AP1138" i="3"/>
  <c r="AO1138" i="3"/>
  <c r="AT1137" i="3"/>
  <c r="AS1137" i="3"/>
  <c r="AP1137" i="3"/>
  <c r="AO1137" i="3"/>
  <c r="AT1136" i="3"/>
  <c r="AS1136" i="3"/>
  <c r="AP1136" i="3"/>
  <c r="AO1136" i="3"/>
  <c r="AT1135" i="3"/>
  <c r="AS1135" i="3"/>
  <c r="AP1135" i="3"/>
  <c r="AO1135" i="3"/>
  <c r="AT1134" i="3"/>
  <c r="AS1134" i="3"/>
  <c r="AP1134" i="3"/>
  <c r="AO1134" i="3"/>
  <c r="AT1133" i="3"/>
  <c r="AS1133" i="3"/>
  <c r="AP1133" i="3"/>
  <c r="AO1133" i="3"/>
  <c r="AT1132" i="3"/>
  <c r="AS1132" i="3"/>
  <c r="AP1132" i="3"/>
  <c r="AO1132" i="3"/>
  <c r="AT1131" i="3"/>
  <c r="AS1131" i="3"/>
  <c r="AP1131" i="3"/>
  <c r="AO1131" i="3"/>
  <c r="AT1130" i="3"/>
  <c r="AS1130" i="3"/>
  <c r="AP1130" i="3"/>
  <c r="AO1130" i="3"/>
  <c r="AT1129" i="3"/>
  <c r="AS1129" i="3"/>
  <c r="AP1129" i="3"/>
  <c r="AO1129" i="3"/>
  <c r="AT1128" i="3"/>
  <c r="AS1128" i="3"/>
  <c r="AP1128" i="3"/>
  <c r="AO1128" i="3"/>
  <c r="AT1127" i="3"/>
  <c r="AS1127" i="3"/>
  <c r="AP1127" i="3"/>
  <c r="AO1127" i="3"/>
  <c r="AT1126" i="3"/>
  <c r="AS1126" i="3"/>
  <c r="AP1126" i="3"/>
  <c r="AO1126" i="3"/>
  <c r="AT1125" i="3"/>
  <c r="AS1125" i="3"/>
  <c r="AP1125" i="3"/>
  <c r="AO1125" i="3"/>
  <c r="AT1124" i="3"/>
  <c r="AS1124" i="3"/>
  <c r="AP1124" i="3"/>
  <c r="AO1124" i="3"/>
  <c r="AT1123" i="3"/>
  <c r="AS1123" i="3"/>
  <c r="AP1123" i="3"/>
  <c r="AO1123" i="3"/>
  <c r="AT1122" i="3"/>
  <c r="AS1122" i="3"/>
  <c r="AP1122" i="3"/>
  <c r="AO1122" i="3"/>
  <c r="AT1121" i="3"/>
  <c r="AS1121" i="3"/>
  <c r="AP1121" i="3"/>
  <c r="AO1121" i="3"/>
  <c r="AT1120" i="3"/>
  <c r="AS1120" i="3"/>
  <c r="AP1120" i="3"/>
  <c r="AO1120" i="3"/>
  <c r="AT1119" i="3"/>
  <c r="AS1119" i="3"/>
  <c r="AP1119" i="3"/>
  <c r="AO1119" i="3"/>
  <c r="AT1118" i="3"/>
  <c r="AS1118" i="3"/>
  <c r="AP1118" i="3"/>
  <c r="AO1118" i="3"/>
  <c r="AT1117" i="3"/>
  <c r="AS1117" i="3"/>
  <c r="AP1117" i="3"/>
  <c r="AO1117" i="3"/>
  <c r="AT1116" i="3"/>
  <c r="AS1116" i="3"/>
  <c r="AP1116" i="3"/>
  <c r="AO1116" i="3"/>
  <c r="AT1115" i="3"/>
  <c r="AS1115" i="3"/>
  <c r="AP1115" i="3"/>
  <c r="AO1115" i="3"/>
  <c r="AT1114" i="3"/>
  <c r="AS1114" i="3"/>
  <c r="AP1114" i="3"/>
  <c r="AO1114" i="3"/>
  <c r="AT1113" i="3"/>
  <c r="AS1113" i="3"/>
  <c r="AP1113" i="3"/>
  <c r="AO1113" i="3"/>
  <c r="AT1112" i="3"/>
  <c r="AS1112" i="3"/>
  <c r="AP1112" i="3"/>
  <c r="AO1112" i="3"/>
  <c r="AT1111" i="3"/>
  <c r="AS1111" i="3"/>
  <c r="AP1111" i="3"/>
  <c r="AO1111" i="3"/>
  <c r="AT1110" i="3"/>
  <c r="AS1110" i="3"/>
  <c r="AP1110" i="3"/>
  <c r="AO1110" i="3"/>
  <c r="AT1109" i="3"/>
  <c r="AS1109" i="3"/>
  <c r="AP1109" i="3"/>
  <c r="AO1109" i="3"/>
  <c r="AT1108" i="3"/>
  <c r="AS1108" i="3"/>
  <c r="AP1108" i="3"/>
  <c r="AO1108" i="3"/>
  <c r="AT1107" i="3"/>
  <c r="AS1107" i="3"/>
  <c r="AP1107" i="3"/>
  <c r="AO1107" i="3"/>
  <c r="AT1106" i="3"/>
  <c r="AS1106" i="3"/>
  <c r="AP1106" i="3"/>
  <c r="AO1106" i="3"/>
  <c r="AT1105" i="3"/>
  <c r="AS1105" i="3"/>
  <c r="AP1105" i="3"/>
  <c r="AO1105" i="3"/>
  <c r="AT1104" i="3"/>
  <c r="AS1104" i="3"/>
  <c r="AP1104" i="3"/>
  <c r="AO1104" i="3"/>
  <c r="AT1103" i="3"/>
  <c r="AS1103" i="3"/>
  <c r="AP1103" i="3"/>
  <c r="AO1103" i="3"/>
  <c r="AT1102" i="3"/>
  <c r="AS1102" i="3"/>
  <c r="AP1102" i="3"/>
  <c r="AO1102" i="3"/>
  <c r="AT1101" i="3"/>
  <c r="AS1101" i="3"/>
  <c r="AP1101" i="3"/>
  <c r="AO1101" i="3"/>
  <c r="Q1101" i="3"/>
  <c r="AT1100" i="3"/>
  <c r="AS1100" i="3"/>
  <c r="AP1100" i="3"/>
  <c r="AO1100" i="3"/>
  <c r="Q1100" i="3"/>
  <c r="AT1099" i="3"/>
  <c r="AS1099" i="3"/>
  <c r="AP1099" i="3"/>
  <c r="AO1099" i="3"/>
  <c r="Q1099" i="3"/>
  <c r="AT1098" i="3"/>
  <c r="AS1098" i="3"/>
  <c r="AP1098" i="3"/>
  <c r="AO1098" i="3"/>
  <c r="Q1098" i="3"/>
  <c r="AT1097" i="3"/>
  <c r="AS1097" i="3"/>
  <c r="AP1097" i="3"/>
  <c r="AO1097" i="3"/>
  <c r="Q1097" i="3"/>
  <c r="AT1096" i="3"/>
  <c r="AS1096" i="3"/>
  <c r="AP1096" i="3"/>
  <c r="AO1096" i="3"/>
  <c r="Q1096" i="3"/>
  <c r="AT1095" i="3"/>
  <c r="AS1095" i="3"/>
  <c r="AP1095" i="3"/>
  <c r="AO1095" i="3"/>
  <c r="Q1095" i="3"/>
  <c r="AT1094" i="3"/>
  <c r="AS1094" i="3"/>
  <c r="AP1094" i="3"/>
  <c r="AO1094" i="3"/>
  <c r="Q1094" i="3"/>
  <c r="AT1093" i="3"/>
  <c r="AS1093" i="3"/>
  <c r="AP1093" i="3"/>
  <c r="AO1093" i="3"/>
  <c r="Q1093" i="3"/>
  <c r="AT1092" i="3"/>
  <c r="AS1092" i="3"/>
  <c r="AP1092" i="3"/>
  <c r="AO1092" i="3"/>
  <c r="Q1092" i="3"/>
  <c r="AT1091" i="3"/>
  <c r="AS1091" i="3"/>
  <c r="AP1091" i="3"/>
  <c r="AO1091" i="3"/>
  <c r="Q1091" i="3"/>
  <c r="AT1090" i="3"/>
  <c r="AS1090" i="3"/>
  <c r="AP1090" i="3"/>
  <c r="AO1090" i="3"/>
  <c r="Q1090" i="3"/>
  <c r="AT1089" i="3"/>
  <c r="AS1089" i="3"/>
  <c r="AP1089" i="3"/>
  <c r="AO1089" i="3"/>
  <c r="Q1089" i="3"/>
  <c r="AT1088" i="3"/>
  <c r="AS1088" i="3"/>
  <c r="AP1088" i="3"/>
  <c r="AO1088" i="3"/>
  <c r="Q1088" i="3"/>
  <c r="AT1087" i="3"/>
  <c r="AS1087" i="3"/>
  <c r="AP1087" i="3"/>
  <c r="AO1087" i="3"/>
  <c r="Q1087" i="3"/>
  <c r="AT1086" i="3"/>
  <c r="AS1086" i="3"/>
  <c r="AP1086" i="3"/>
  <c r="AO1086" i="3"/>
  <c r="Q1086" i="3"/>
  <c r="AT1085" i="3"/>
  <c r="AS1085" i="3"/>
  <c r="AP1085" i="3"/>
  <c r="AO1085" i="3"/>
  <c r="Q1085" i="3"/>
  <c r="AT1084" i="3"/>
  <c r="AS1084" i="3"/>
  <c r="AP1084" i="3"/>
  <c r="AO1084" i="3"/>
  <c r="Q1084" i="3"/>
  <c r="AT1083" i="3"/>
  <c r="AS1083" i="3"/>
  <c r="AP1083" i="3"/>
  <c r="AO1083" i="3"/>
  <c r="Q1083" i="3"/>
  <c r="AT1082" i="3"/>
  <c r="AS1082" i="3"/>
  <c r="AP1082" i="3"/>
  <c r="AO1082" i="3"/>
  <c r="AD1082" i="3"/>
  <c r="Q1082" i="3"/>
  <c r="AT1081" i="3"/>
  <c r="AS1081" i="3"/>
  <c r="AP1081" i="3"/>
  <c r="AO1081" i="3"/>
  <c r="AD1081" i="3"/>
  <c r="Q1081" i="3"/>
  <c r="AT1080" i="3"/>
  <c r="AS1080" i="3"/>
  <c r="AP1080" i="3"/>
  <c r="AO1080" i="3"/>
  <c r="AD1080" i="3"/>
  <c r="Q1080" i="3"/>
  <c r="AT1079" i="3"/>
  <c r="AS1079" i="3"/>
  <c r="AP1079" i="3"/>
  <c r="AO1079" i="3"/>
  <c r="AD1079" i="3"/>
  <c r="Q1079" i="3"/>
  <c r="AT1078" i="3"/>
  <c r="AS1078" i="3"/>
  <c r="AP1078" i="3"/>
  <c r="AO1078" i="3"/>
  <c r="AD1078" i="3"/>
  <c r="Q1078" i="3"/>
  <c r="AT1077" i="3"/>
  <c r="AS1077" i="3"/>
  <c r="AP1077" i="3"/>
  <c r="AO1077" i="3"/>
  <c r="AD1077" i="3"/>
  <c r="Q1077" i="3"/>
  <c r="AT1076" i="3"/>
  <c r="AS1076" i="3"/>
  <c r="AP1076" i="3"/>
  <c r="AO1076" i="3"/>
  <c r="AD1076" i="3"/>
  <c r="Q1076" i="3"/>
  <c r="AT1075" i="3"/>
  <c r="AS1075" i="3"/>
  <c r="AP1075" i="3"/>
  <c r="AO1075" i="3"/>
  <c r="AD1075" i="3"/>
  <c r="Q1075" i="3"/>
  <c r="AT1074" i="3"/>
  <c r="AS1074" i="3"/>
  <c r="AP1074" i="3"/>
  <c r="AO1074" i="3"/>
  <c r="AD1074" i="3"/>
  <c r="Q1074" i="3"/>
  <c r="AT1073" i="3"/>
  <c r="AS1073" i="3"/>
  <c r="AP1073" i="3"/>
  <c r="AO1073" i="3"/>
  <c r="AD1073" i="3"/>
  <c r="Q1073" i="3"/>
  <c r="AT1072" i="3"/>
  <c r="AS1072" i="3"/>
  <c r="AP1072" i="3"/>
  <c r="AO1072" i="3"/>
  <c r="AD1072" i="3"/>
  <c r="Q1072" i="3"/>
  <c r="AT1071" i="3"/>
  <c r="AS1071" i="3"/>
  <c r="AP1071" i="3"/>
  <c r="AO1071" i="3"/>
  <c r="AD1071" i="3"/>
  <c r="Q1071" i="3"/>
  <c r="AT1070" i="3"/>
  <c r="AS1070" i="3"/>
  <c r="AP1070" i="3"/>
  <c r="AO1070" i="3"/>
  <c r="AD1070" i="3"/>
  <c r="Q1070" i="3"/>
  <c r="AT1069" i="3"/>
  <c r="AS1069" i="3"/>
  <c r="AP1069" i="3"/>
  <c r="AO1069" i="3"/>
  <c r="AH1069" i="3"/>
  <c r="AD1069" i="3"/>
  <c r="Q1069" i="3"/>
  <c r="AT1068" i="3"/>
  <c r="AS1068" i="3"/>
  <c r="AP1068" i="3"/>
  <c r="AO1068" i="3"/>
  <c r="AH1068" i="3"/>
  <c r="AD1068" i="3"/>
  <c r="Q1068" i="3"/>
  <c r="AT1067" i="3"/>
  <c r="AS1067" i="3"/>
  <c r="AP1067" i="3"/>
  <c r="AO1067" i="3"/>
  <c r="AH1067" i="3"/>
  <c r="AD1067" i="3"/>
  <c r="Q1067" i="3"/>
  <c r="AT1066" i="3"/>
  <c r="AS1066" i="3"/>
  <c r="AP1066" i="3"/>
  <c r="AO1066" i="3"/>
  <c r="AH1066" i="3"/>
  <c r="AD1066" i="3"/>
  <c r="Q1066" i="3"/>
  <c r="AT1065" i="3"/>
  <c r="AS1065" i="3"/>
  <c r="AP1065" i="3"/>
  <c r="AO1065" i="3"/>
  <c r="AH1065" i="3"/>
  <c r="AD1065" i="3"/>
  <c r="Q1065" i="3"/>
  <c r="AT1064" i="3"/>
  <c r="AS1064" i="3"/>
  <c r="AP1064" i="3"/>
  <c r="AO1064" i="3"/>
  <c r="AL1064" i="3"/>
  <c r="AH1064" i="3"/>
  <c r="AD1064" i="3"/>
  <c r="Q1064" i="3"/>
  <c r="AT1063" i="3"/>
  <c r="AS1063" i="3"/>
  <c r="AP1063" i="3"/>
  <c r="AO1063" i="3"/>
  <c r="AL1063" i="3"/>
  <c r="AH1063" i="3"/>
  <c r="AD1063" i="3"/>
  <c r="Q1063" i="3"/>
  <c r="AT1062" i="3"/>
  <c r="AS1062" i="3"/>
  <c r="AP1062" i="3"/>
  <c r="AO1062" i="3"/>
  <c r="AL1062" i="3"/>
  <c r="AH1062" i="3"/>
  <c r="AD1062" i="3"/>
  <c r="Q1062" i="3"/>
  <c r="AT1061" i="3"/>
  <c r="AS1061" i="3"/>
  <c r="AP1061" i="3"/>
  <c r="AO1061" i="3"/>
  <c r="AL1061" i="3"/>
  <c r="AH1061" i="3"/>
  <c r="AD1061" i="3"/>
  <c r="Q1061" i="3"/>
  <c r="AT1060" i="3"/>
  <c r="AS1060" i="3"/>
  <c r="AP1060" i="3"/>
  <c r="AO1060" i="3"/>
  <c r="AL1060" i="3"/>
  <c r="AH1060" i="3"/>
  <c r="AD1060" i="3"/>
  <c r="Q1060" i="3"/>
  <c r="AT1059" i="3"/>
  <c r="AS1059" i="3"/>
  <c r="AP1059" i="3"/>
  <c r="AO1059" i="3"/>
  <c r="AL1059" i="3"/>
  <c r="AH1059" i="3"/>
  <c r="AD1059" i="3"/>
  <c r="Q1059" i="3"/>
  <c r="AT1058" i="3"/>
  <c r="AS1058" i="3"/>
  <c r="AP1058" i="3"/>
  <c r="AO1058" i="3"/>
  <c r="AL1058" i="3"/>
  <c r="AH1058" i="3"/>
  <c r="AD1058" i="3"/>
  <c r="Q1058" i="3"/>
  <c r="AT1057" i="3"/>
  <c r="AS1057" i="3"/>
  <c r="AP1057" i="3"/>
  <c r="AO1057" i="3"/>
  <c r="AL1057" i="3"/>
  <c r="AH1057" i="3"/>
  <c r="AD1057" i="3"/>
  <c r="Q1057" i="3"/>
  <c r="AT1056" i="3"/>
  <c r="AS1056" i="3"/>
  <c r="AP1056" i="3"/>
  <c r="AO1056" i="3"/>
  <c r="AL1056" i="3"/>
  <c r="AH1056" i="3"/>
  <c r="AD1056" i="3"/>
  <c r="Q1056" i="3"/>
  <c r="AT1055" i="3"/>
  <c r="AS1055" i="3"/>
  <c r="AP1055" i="3"/>
  <c r="AO1055" i="3"/>
  <c r="AL1055" i="3"/>
  <c r="AH1055" i="3"/>
  <c r="AD1055" i="3"/>
  <c r="Q1055" i="3"/>
  <c r="AT1054" i="3"/>
  <c r="AS1054" i="3"/>
  <c r="AP1054" i="3"/>
  <c r="AO1054" i="3"/>
  <c r="AL1054" i="3"/>
  <c r="AH1054" i="3"/>
  <c r="AD1054" i="3"/>
  <c r="Q1054" i="3"/>
  <c r="AT1053" i="3"/>
  <c r="AS1053" i="3"/>
  <c r="AP1053" i="3"/>
  <c r="AO1053" i="3"/>
  <c r="AL1053" i="3"/>
  <c r="AH1053" i="3"/>
  <c r="AD1053" i="3"/>
  <c r="Q1053" i="3"/>
  <c r="AT1052" i="3"/>
  <c r="AS1052" i="3"/>
  <c r="AP1052" i="3"/>
  <c r="AO1052" i="3"/>
  <c r="AL1052" i="3"/>
  <c r="AH1052" i="3"/>
  <c r="AD1052" i="3"/>
  <c r="Q1052" i="3"/>
  <c r="AT1051" i="3"/>
  <c r="AS1051" i="3"/>
  <c r="AP1051" i="3"/>
  <c r="AO1051" i="3"/>
  <c r="AL1051" i="3"/>
  <c r="AH1051" i="3"/>
  <c r="AD1051" i="3"/>
  <c r="Q1051" i="3"/>
  <c r="AT1050" i="3"/>
  <c r="AS1050" i="3"/>
  <c r="AP1050" i="3"/>
  <c r="AO1050" i="3"/>
  <c r="AL1050" i="3"/>
  <c r="AH1050" i="3"/>
  <c r="AD1050" i="3"/>
  <c r="Q1050" i="3"/>
  <c r="AT1049" i="3"/>
  <c r="AS1049" i="3"/>
  <c r="AP1049" i="3"/>
  <c r="AO1049" i="3"/>
  <c r="AL1049" i="3"/>
  <c r="AH1049" i="3"/>
  <c r="AD1049" i="3"/>
  <c r="Q1049" i="3"/>
  <c r="AT1048" i="3"/>
  <c r="AS1048" i="3"/>
  <c r="AP1048" i="3"/>
  <c r="AO1048" i="3"/>
  <c r="AL1048" i="3"/>
  <c r="AH1048" i="3"/>
  <c r="AD1048" i="3"/>
  <c r="Q1048" i="3"/>
  <c r="AT1047" i="3"/>
  <c r="AS1047" i="3"/>
  <c r="AP1047" i="3"/>
  <c r="AO1047" i="3"/>
  <c r="AH1047" i="3"/>
  <c r="Q1047" i="3"/>
  <c r="AT1046" i="3"/>
  <c r="AS1046" i="3"/>
  <c r="AP1046" i="3"/>
  <c r="AO1046" i="3"/>
  <c r="AH1046" i="3"/>
  <c r="Q1046" i="3"/>
  <c r="AT1045" i="3"/>
  <c r="AS1045" i="3"/>
  <c r="AP1045" i="3"/>
  <c r="AO1045" i="3"/>
  <c r="AH1045" i="3"/>
  <c r="Q1045" i="3"/>
  <c r="AT1044" i="3"/>
  <c r="AS1044" i="3"/>
  <c r="AP1044" i="3"/>
  <c r="AO1044" i="3"/>
  <c r="AH1044" i="3"/>
  <c r="Q1044" i="3"/>
  <c r="AT1043" i="3"/>
  <c r="AS1043" i="3"/>
  <c r="AP1043" i="3"/>
  <c r="AO1043" i="3"/>
  <c r="AH1043" i="3"/>
  <c r="Q1043" i="3"/>
  <c r="AT1042" i="3"/>
  <c r="AS1042" i="3"/>
  <c r="AP1042" i="3"/>
  <c r="AO1042" i="3"/>
  <c r="AH1042" i="3"/>
  <c r="Q1042" i="3"/>
  <c r="AT1041" i="3"/>
  <c r="AS1041" i="3"/>
  <c r="AP1041" i="3"/>
  <c r="AO1041" i="3"/>
  <c r="AH1041" i="3"/>
  <c r="Q1041" i="3"/>
  <c r="AT1040" i="3"/>
  <c r="AS1040" i="3"/>
  <c r="AP1040" i="3"/>
  <c r="AO1040" i="3"/>
  <c r="AH1040" i="3"/>
  <c r="Q1040" i="3"/>
  <c r="AT1039" i="3"/>
  <c r="AS1039" i="3"/>
  <c r="AP1039" i="3"/>
  <c r="AO1039" i="3"/>
  <c r="AH1039" i="3"/>
  <c r="Q1039" i="3"/>
  <c r="AT1038" i="3"/>
  <c r="AS1038" i="3"/>
  <c r="AP1038" i="3"/>
  <c r="AO1038" i="3"/>
  <c r="AH1038" i="3"/>
  <c r="Q1038" i="3"/>
  <c r="AT1037" i="3"/>
  <c r="AS1037" i="3"/>
  <c r="AP1037" i="3"/>
  <c r="AO1037" i="3"/>
  <c r="AH1037" i="3"/>
  <c r="Q1037" i="3"/>
  <c r="AT1036" i="3"/>
  <c r="AS1036" i="3"/>
  <c r="AP1036" i="3"/>
  <c r="AO1036" i="3"/>
  <c r="AH1036" i="3"/>
  <c r="Q1036" i="3"/>
  <c r="AT1035" i="3"/>
  <c r="AS1035" i="3"/>
  <c r="AP1035" i="3"/>
  <c r="AO1035" i="3"/>
  <c r="AH1035" i="3"/>
  <c r="Q1035" i="3"/>
  <c r="AT1034" i="3"/>
  <c r="AS1034" i="3"/>
  <c r="AP1034" i="3"/>
  <c r="AO1034" i="3"/>
  <c r="AH1034" i="3"/>
  <c r="Q1034" i="3"/>
  <c r="AT1033" i="3"/>
  <c r="AS1033" i="3"/>
  <c r="AP1033" i="3"/>
  <c r="AO1033" i="3"/>
  <c r="AH1033" i="3"/>
  <c r="Q1033" i="3"/>
  <c r="AT1032" i="3"/>
  <c r="AS1032" i="3"/>
  <c r="AP1032" i="3"/>
  <c r="AO1032" i="3"/>
  <c r="AH1032" i="3"/>
  <c r="Q1032" i="3"/>
  <c r="AT1031" i="3"/>
  <c r="AS1031" i="3"/>
  <c r="AP1031" i="3"/>
  <c r="AO1031" i="3"/>
  <c r="AH1031" i="3"/>
  <c r="Q1031" i="3"/>
  <c r="AT1030" i="3"/>
  <c r="AS1030" i="3"/>
  <c r="AP1030" i="3"/>
  <c r="AO1030" i="3"/>
  <c r="AH1030" i="3"/>
  <c r="Q1030" i="3"/>
  <c r="AT1029" i="3"/>
  <c r="AS1029" i="3"/>
  <c r="AP1029" i="3"/>
  <c r="AO1029" i="3"/>
  <c r="AH1029" i="3"/>
  <c r="Q1029" i="3"/>
  <c r="AT1028" i="3"/>
  <c r="AS1028" i="3"/>
  <c r="AP1028" i="3"/>
  <c r="AO1028" i="3"/>
  <c r="AH1028" i="3"/>
  <c r="Q1028" i="3"/>
  <c r="AT1027" i="3"/>
  <c r="AS1027" i="3"/>
  <c r="AP1027" i="3"/>
  <c r="AO1027" i="3"/>
  <c r="AH1027" i="3"/>
  <c r="Q1027" i="3"/>
  <c r="AT1026" i="3"/>
  <c r="AS1026" i="3"/>
  <c r="AP1026" i="3"/>
  <c r="AO1026" i="3"/>
  <c r="AH1026" i="3"/>
  <c r="Q1026" i="3"/>
  <c r="AT1025" i="3"/>
  <c r="AS1025" i="3"/>
  <c r="AP1025" i="3"/>
  <c r="AO1025" i="3"/>
  <c r="AH1025" i="3"/>
  <c r="Q1025" i="3"/>
  <c r="AT1024" i="3"/>
  <c r="AS1024" i="3"/>
  <c r="AP1024" i="3"/>
  <c r="AO1024" i="3"/>
  <c r="AH1024" i="3"/>
  <c r="Q1024" i="3"/>
  <c r="AT1023" i="3"/>
  <c r="AS1023" i="3"/>
  <c r="AP1023" i="3"/>
  <c r="AO1023" i="3"/>
  <c r="AH1023" i="3"/>
  <c r="Q1023" i="3"/>
  <c r="AT1022" i="3"/>
  <c r="AS1022" i="3"/>
  <c r="AP1022" i="3"/>
  <c r="AO1022" i="3"/>
  <c r="AH1022" i="3"/>
  <c r="Q1022" i="3"/>
  <c r="AT1021" i="3"/>
  <c r="AS1021" i="3"/>
  <c r="AP1021" i="3"/>
  <c r="AO1021" i="3"/>
  <c r="AH1021" i="3"/>
  <c r="Q1021" i="3"/>
  <c r="AT1020" i="3"/>
  <c r="AS1020" i="3"/>
  <c r="AP1020" i="3"/>
  <c r="AO1020" i="3"/>
  <c r="AH1020" i="3"/>
  <c r="Q1020" i="3"/>
  <c r="AT1019" i="3"/>
  <c r="AS1019" i="3"/>
  <c r="AP1019" i="3"/>
  <c r="AO1019" i="3"/>
  <c r="AH1019" i="3"/>
  <c r="Q1019" i="3"/>
  <c r="AT1018" i="3"/>
  <c r="AS1018" i="3"/>
  <c r="AP1018" i="3"/>
  <c r="AO1018" i="3"/>
  <c r="AH1018" i="3"/>
  <c r="Q1018" i="3"/>
  <c r="AT1017" i="3"/>
  <c r="AS1017" i="3"/>
  <c r="AP1017" i="3"/>
  <c r="AO1017" i="3"/>
  <c r="AH1017" i="3"/>
  <c r="Q1017" i="3"/>
  <c r="AT1016" i="3"/>
  <c r="AS1016" i="3"/>
  <c r="AP1016" i="3"/>
  <c r="AO1016" i="3"/>
  <c r="AH1016" i="3"/>
  <c r="Q1016" i="3"/>
  <c r="AT1015" i="3"/>
  <c r="AS1015" i="3"/>
  <c r="AP1015" i="3"/>
  <c r="AO1015" i="3"/>
  <c r="AH1015" i="3"/>
  <c r="Q1015" i="3"/>
  <c r="AT1014" i="3"/>
  <c r="AS1014" i="3"/>
  <c r="AP1014" i="3"/>
  <c r="AO1014" i="3"/>
  <c r="AH1014" i="3"/>
  <c r="Q1014" i="3"/>
  <c r="AT1013" i="3"/>
  <c r="AS1013" i="3"/>
  <c r="AP1013" i="3"/>
  <c r="AO1013" i="3"/>
  <c r="AH1013" i="3"/>
  <c r="Q1013" i="3"/>
  <c r="AT1012" i="3"/>
  <c r="AS1012" i="3"/>
  <c r="AP1012" i="3"/>
  <c r="AO1012" i="3"/>
  <c r="AH1012" i="3"/>
  <c r="Q1012" i="3"/>
  <c r="AT1011" i="3"/>
  <c r="AS1011" i="3"/>
  <c r="AP1011" i="3"/>
  <c r="AO1011" i="3"/>
  <c r="AH1011" i="3"/>
  <c r="Q1011" i="3"/>
  <c r="AT1010" i="3"/>
  <c r="AS1010" i="3"/>
  <c r="AP1010" i="3"/>
  <c r="AO1010" i="3"/>
  <c r="AH1010" i="3"/>
  <c r="Q1010" i="3"/>
  <c r="AT1009" i="3"/>
  <c r="AS1009" i="3"/>
  <c r="AP1009" i="3"/>
  <c r="AO1009" i="3"/>
  <c r="AH1009" i="3"/>
  <c r="Q1009" i="3"/>
  <c r="AT1008" i="3"/>
  <c r="AS1008" i="3"/>
  <c r="AP1008" i="3"/>
  <c r="AO1008" i="3"/>
  <c r="AH1008" i="3"/>
  <c r="Q1008" i="3"/>
  <c r="AT1007" i="3"/>
  <c r="AS1007" i="3"/>
  <c r="AP1007" i="3"/>
  <c r="AO1007" i="3"/>
  <c r="AH1007" i="3"/>
  <c r="Q1007" i="3"/>
  <c r="AT1006" i="3"/>
  <c r="AS1006" i="3"/>
  <c r="AP1006" i="3"/>
  <c r="AO1006" i="3"/>
  <c r="AH1006" i="3"/>
  <c r="Q1006" i="3"/>
  <c r="AT1005" i="3"/>
  <c r="AS1005" i="3"/>
  <c r="AP1005" i="3"/>
  <c r="AO1005" i="3"/>
  <c r="AH1005" i="3"/>
  <c r="Q1005" i="3"/>
  <c r="AT1004" i="3"/>
  <c r="AS1004" i="3"/>
  <c r="AP1004" i="3"/>
  <c r="AO1004" i="3"/>
  <c r="AH1004" i="3"/>
  <c r="Q1004" i="3"/>
  <c r="AT1003" i="3"/>
  <c r="AS1003" i="3"/>
  <c r="AP1003" i="3"/>
  <c r="AO1003" i="3"/>
  <c r="AH1003" i="3"/>
  <c r="Q1003" i="3"/>
  <c r="AT1002" i="3"/>
  <c r="AS1002" i="3"/>
  <c r="AP1002" i="3"/>
  <c r="AO1002" i="3"/>
  <c r="AH1002" i="3"/>
  <c r="Q1002" i="3"/>
  <c r="AT1001" i="3"/>
  <c r="AS1001" i="3"/>
  <c r="AP1001" i="3"/>
  <c r="AO1001" i="3"/>
  <c r="AH1001" i="3"/>
  <c r="Q1001" i="3"/>
  <c r="AT1000" i="3"/>
  <c r="AS1000" i="3"/>
  <c r="AP1000" i="3"/>
  <c r="AO1000" i="3"/>
  <c r="AH1000" i="3"/>
  <c r="Q1000" i="3"/>
  <c r="AT999" i="3"/>
  <c r="AS999" i="3"/>
  <c r="AP999" i="3"/>
  <c r="AO999" i="3"/>
  <c r="AH999" i="3"/>
  <c r="Q999" i="3"/>
  <c r="AT998" i="3"/>
  <c r="AS998" i="3"/>
  <c r="AP998" i="3"/>
  <c r="AO998" i="3"/>
  <c r="AH998" i="3"/>
  <c r="Q998" i="3"/>
  <c r="AT997" i="3"/>
  <c r="AS997" i="3"/>
  <c r="AP997" i="3"/>
  <c r="AO997" i="3"/>
  <c r="AH997" i="3"/>
  <c r="Q997" i="3"/>
  <c r="AT996" i="3"/>
  <c r="AS996" i="3"/>
  <c r="AP996" i="3"/>
  <c r="AO996" i="3"/>
  <c r="AH996" i="3"/>
  <c r="Q996" i="3"/>
  <c r="AT995" i="3"/>
  <c r="AS995" i="3"/>
  <c r="AP995" i="3"/>
  <c r="AO995" i="3"/>
  <c r="AH995" i="3"/>
  <c r="Q995" i="3"/>
  <c r="AT994" i="3"/>
  <c r="AS994" i="3"/>
  <c r="AP994" i="3"/>
  <c r="AO994" i="3"/>
  <c r="AH994" i="3"/>
  <c r="Q994" i="3"/>
  <c r="AT993" i="3"/>
  <c r="AS993" i="3"/>
  <c r="AP993" i="3"/>
  <c r="AO993" i="3"/>
  <c r="AH993" i="3"/>
  <c r="Q993" i="3"/>
  <c r="AT992" i="3"/>
  <c r="AS992" i="3"/>
  <c r="AP992" i="3"/>
  <c r="AO992" i="3"/>
  <c r="AH992" i="3"/>
  <c r="Q992" i="3"/>
  <c r="AT991" i="3"/>
  <c r="AS991" i="3"/>
  <c r="AP991" i="3"/>
  <c r="AO991" i="3"/>
  <c r="AH991" i="3"/>
  <c r="Q991" i="3"/>
  <c r="AT990" i="3"/>
  <c r="AS990" i="3"/>
  <c r="AP990" i="3"/>
  <c r="AO990" i="3"/>
  <c r="AH990" i="3"/>
  <c r="Q990" i="3"/>
  <c r="AT989" i="3"/>
  <c r="AS989" i="3"/>
  <c r="AP989" i="3"/>
  <c r="AO989" i="3"/>
  <c r="AH989" i="3"/>
  <c r="Q989" i="3"/>
  <c r="AT988" i="3"/>
  <c r="AS988" i="3"/>
  <c r="AP988" i="3"/>
  <c r="AO988" i="3"/>
  <c r="AH988" i="3"/>
  <c r="Q988" i="3"/>
  <c r="AT987" i="3"/>
  <c r="AS987" i="3"/>
  <c r="AP987" i="3"/>
  <c r="AO987" i="3"/>
  <c r="AH987" i="3"/>
  <c r="Q987" i="3"/>
  <c r="AT986" i="3"/>
  <c r="AS986" i="3"/>
  <c r="AP986" i="3"/>
  <c r="AO986" i="3"/>
  <c r="AH986" i="3"/>
  <c r="Q986" i="3"/>
  <c r="AT985" i="3"/>
  <c r="AS985" i="3"/>
  <c r="AP985" i="3"/>
  <c r="AO985" i="3"/>
  <c r="AH985" i="3"/>
  <c r="Q985" i="3"/>
  <c r="AT984" i="3"/>
  <c r="AS984" i="3"/>
  <c r="AP984" i="3"/>
  <c r="AO984" i="3"/>
  <c r="AH984" i="3"/>
  <c r="Q984" i="3"/>
  <c r="AT983" i="3"/>
  <c r="AS983" i="3"/>
  <c r="AP983" i="3"/>
  <c r="AO983" i="3"/>
  <c r="AH983" i="3"/>
  <c r="Q983" i="3"/>
  <c r="AT982" i="3"/>
  <c r="AS982" i="3"/>
  <c r="AP982" i="3"/>
  <c r="AO982" i="3"/>
  <c r="AH982" i="3"/>
  <c r="Q982" i="3"/>
  <c r="AT981" i="3"/>
  <c r="AS981" i="3"/>
  <c r="AP981" i="3"/>
  <c r="AO981" i="3"/>
  <c r="AH981" i="3"/>
  <c r="Q981" i="3"/>
  <c r="AT980" i="3"/>
  <c r="AS980" i="3"/>
  <c r="AP980" i="3"/>
  <c r="AO980" i="3"/>
  <c r="AH980" i="3"/>
  <c r="Q980" i="3"/>
  <c r="AT979" i="3"/>
  <c r="AS979" i="3"/>
  <c r="AP979" i="3"/>
  <c r="AO979" i="3"/>
  <c r="AH979" i="3"/>
  <c r="Q979" i="3"/>
  <c r="AT978" i="3"/>
  <c r="AS978" i="3"/>
  <c r="AP978" i="3"/>
  <c r="AO978" i="3"/>
  <c r="AH978" i="3"/>
  <c r="Q978" i="3"/>
  <c r="AT977" i="3"/>
  <c r="AS977" i="3"/>
  <c r="AP977" i="3"/>
  <c r="AO977" i="3"/>
  <c r="AH977" i="3"/>
  <c r="Q977" i="3"/>
  <c r="AT976" i="3"/>
  <c r="AS976" i="3"/>
  <c r="AP976" i="3"/>
  <c r="AO976" i="3"/>
  <c r="AH976" i="3"/>
  <c r="Q976" i="3"/>
  <c r="AT975" i="3"/>
  <c r="AS975" i="3"/>
  <c r="AP975" i="3"/>
  <c r="AO975" i="3"/>
  <c r="AH975" i="3"/>
  <c r="Q975" i="3"/>
  <c r="AT974" i="3"/>
  <c r="AS974" i="3"/>
  <c r="AP974" i="3"/>
  <c r="AO974" i="3"/>
  <c r="AH974" i="3"/>
  <c r="Q974" i="3"/>
  <c r="AT973" i="3"/>
  <c r="AS973" i="3"/>
  <c r="AP973" i="3"/>
  <c r="AO973" i="3"/>
  <c r="AH973" i="3"/>
  <c r="Q973" i="3"/>
  <c r="AT972" i="3"/>
  <c r="AS972" i="3"/>
  <c r="AP972" i="3"/>
  <c r="AO972" i="3"/>
  <c r="AH972" i="3"/>
  <c r="Q972" i="3"/>
  <c r="AT971" i="3"/>
  <c r="AS971" i="3"/>
  <c r="AP971" i="3"/>
  <c r="AO971" i="3"/>
  <c r="AH971" i="3"/>
  <c r="Q971" i="3"/>
  <c r="AT970" i="3"/>
  <c r="AS970" i="3"/>
  <c r="AP970" i="3"/>
  <c r="AO970" i="3"/>
  <c r="AH970" i="3"/>
  <c r="Q970" i="3"/>
  <c r="AT969" i="3"/>
  <c r="AS969" i="3"/>
  <c r="AP969" i="3"/>
  <c r="AO969" i="3"/>
  <c r="AH969" i="3"/>
  <c r="Q969" i="3"/>
  <c r="AT968" i="3"/>
  <c r="AS968" i="3"/>
  <c r="AP968" i="3"/>
  <c r="AO968" i="3"/>
  <c r="AH968" i="3"/>
  <c r="Q968" i="3"/>
  <c r="AT967" i="3"/>
  <c r="AS967" i="3"/>
  <c r="AP967" i="3"/>
  <c r="AO967" i="3"/>
  <c r="AH967" i="3"/>
  <c r="Q967" i="3"/>
  <c r="AT966" i="3"/>
  <c r="AS966" i="3"/>
  <c r="AP966" i="3"/>
  <c r="AO966" i="3"/>
  <c r="AH966" i="3"/>
  <c r="Q966" i="3"/>
  <c r="AT965" i="3"/>
  <c r="AS965" i="3"/>
  <c r="AP965" i="3"/>
  <c r="AO965" i="3"/>
  <c r="AH965" i="3"/>
  <c r="Q965" i="3"/>
  <c r="AT964" i="3"/>
  <c r="AS964" i="3"/>
  <c r="AP964" i="3"/>
  <c r="AO964" i="3"/>
  <c r="AH964" i="3"/>
  <c r="Q964" i="3"/>
  <c r="AT963" i="3"/>
  <c r="AS963" i="3"/>
  <c r="AP963" i="3"/>
  <c r="AO963" i="3"/>
  <c r="AH963" i="3"/>
  <c r="Q963" i="3"/>
  <c r="AT962" i="3"/>
  <c r="AS962" i="3"/>
  <c r="AP962" i="3"/>
  <c r="AO962" i="3"/>
  <c r="AH962" i="3"/>
  <c r="Q962" i="3"/>
  <c r="AT961" i="3"/>
  <c r="AS961" i="3"/>
  <c r="AP961" i="3"/>
  <c r="AO961" i="3"/>
  <c r="AH961" i="3"/>
  <c r="Q961" i="3"/>
  <c r="AT960" i="3"/>
  <c r="AS960" i="3"/>
  <c r="AP960" i="3"/>
  <c r="AO960" i="3"/>
  <c r="AH960" i="3"/>
  <c r="Q960" i="3"/>
  <c r="AT959" i="3"/>
  <c r="AS959" i="3"/>
  <c r="AP959" i="3"/>
  <c r="AO959" i="3"/>
  <c r="AH959" i="3"/>
  <c r="Q959" i="3"/>
  <c r="AT958" i="3"/>
  <c r="AS958" i="3"/>
  <c r="AP958" i="3"/>
  <c r="AO958" i="3"/>
  <c r="AH958" i="3"/>
  <c r="Q958" i="3"/>
  <c r="AT957" i="3"/>
  <c r="AS957" i="3"/>
  <c r="AP957" i="3"/>
  <c r="AO957" i="3"/>
  <c r="AH957" i="3"/>
  <c r="Q957" i="3"/>
  <c r="AT956" i="3"/>
  <c r="AS956" i="3"/>
  <c r="AP956" i="3"/>
  <c r="AO956" i="3"/>
  <c r="AH956" i="3"/>
  <c r="Q956" i="3"/>
  <c r="AT955" i="3"/>
  <c r="AS955" i="3"/>
  <c r="AP955" i="3"/>
  <c r="AO955" i="3"/>
  <c r="AH955" i="3"/>
  <c r="Q955" i="3"/>
  <c r="AT954" i="3"/>
  <c r="AS954" i="3"/>
  <c r="AP954" i="3"/>
  <c r="AO954" i="3"/>
  <c r="AH954" i="3"/>
  <c r="Q954" i="3"/>
  <c r="AT953" i="3"/>
  <c r="AS953" i="3"/>
  <c r="AP953" i="3"/>
  <c r="AO953" i="3"/>
  <c r="AH953" i="3"/>
  <c r="Q953" i="3"/>
  <c r="AT952" i="3"/>
  <c r="AS952" i="3"/>
  <c r="AP952" i="3"/>
  <c r="AO952" i="3"/>
  <c r="AH952" i="3"/>
  <c r="Q952" i="3"/>
  <c r="AT951" i="3"/>
  <c r="AS951" i="3"/>
  <c r="AP951" i="3"/>
  <c r="AO951" i="3"/>
  <c r="AH951" i="3"/>
  <c r="Q951" i="3"/>
  <c r="AT950" i="3"/>
  <c r="AS950" i="3"/>
  <c r="AP950" i="3"/>
  <c r="AO950" i="3"/>
  <c r="AH950" i="3"/>
  <c r="Q950" i="3"/>
  <c r="AT949" i="3"/>
  <c r="AS949" i="3"/>
  <c r="AP949" i="3"/>
  <c r="AO949" i="3"/>
  <c r="AH949" i="3"/>
  <c r="Q949" i="3"/>
  <c r="AT948" i="3"/>
  <c r="AS948" i="3"/>
  <c r="AP948" i="3"/>
  <c r="AO948" i="3"/>
  <c r="AH948" i="3"/>
  <c r="Q948" i="3"/>
  <c r="AT947" i="3"/>
  <c r="AS947" i="3"/>
  <c r="AP947" i="3"/>
  <c r="AO947" i="3"/>
  <c r="AH947" i="3"/>
  <c r="Q947" i="3"/>
  <c r="AT946" i="3"/>
  <c r="AS946" i="3"/>
  <c r="AP946" i="3"/>
  <c r="AO946" i="3"/>
  <c r="AH946" i="3"/>
  <c r="Q946" i="3"/>
  <c r="AT945" i="3"/>
  <c r="AS945" i="3"/>
  <c r="AP945" i="3"/>
  <c r="AO945" i="3"/>
  <c r="AH945" i="3"/>
  <c r="Q945" i="3"/>
  <c r="AT944" i="3"/>
  <c r="AS944" i="3"/>
  <c r="AP944" i="3"/>
  <c r="AO944" i="3"/>
  <c r="AH944" i="3"/>
  <c r="Q944" i="3"/>
  <c r="AT943" i="3"/>
  <c r="AS943" i="3"/>
  <c r="AP943" i="3"/>
  <c r="AO943" i="3"/>
  <c r="AH943" i="3"/>
  <c r="Q943" i="3"/>
  <c r="AT942" i="3"/>
  <c r="AS942" i="3"/>
  <c r="AP942" i="3"/>
  <c r="AO942" i="3"/>
  <c r="AH942" i="3"/>
  <c r="Q942" i="3"/>
  <c r="AT941" i="3"/>
  <c r="AS941" i="3"/>
  <c r="AP941" i="3"/>
  <c r="AO941" i="3"/>
  <c r="AH941" i="3"/>
  <c r="Q941" i="3"/>
  <c r="AT940" i="3"/>
  <c r="AS940" i="3"/>
  <c r="AP940" i="3"/>
  <c r="AO940" i="3"/>
  <c r="AH940" i="3"/>
  <c r="Q940" i="3"/>
  <c r="AT939" i="3"/>
  <c r="AS939" i="3"/>
  <c r="AP939" i="3"/>
  <c r="AO939" i="3"/>
  <c r="AH939" i="3"/>
  <c r="Q939" i="3"/>
  <c r="AT938" i="3"/>
  <c r="AS938" i="3"/>
  <c r="AP938" i="3"/>
  <c r="AO938" i="3"/>
  <c r="AH938" i="3"/>
  <c r="Q938" i="3"/>
  <c r="AT937" i="3"/>
  <c r="AS937" i="3"/>
  <c r="AP937" i="3"/>
  <c r="AO937" i="3"/>
  <c r="AH937" i="3"/>
  <c r="Q937" i="3"/>
  <c r="AT936" i="3"/>
  <c r="AS936" i="3"/>
  <c r="AP936" i="3"/>
  <c r="AO936" i="3"/>
  <c r="AH936" i="3"/>
  <c r="Q936" i="3"/>
  <c r="AT935" i="3"/>
  <c r="AS935" i="3"/>
  <c r="AP935" i="3"/>
  <c r="AO935" i="3"/>
  <c r="AH935" i="3"/>
  <c r="Q935" i="3"/>
  <c r="AT934" i="3"/>
  <c r="AS934" i="3"/>
  <c r="AP934" i="3"/>
  <c r="AO934" i="3"/>
  <c r="AH934" i="3"/>
  <c r="Q934" i="3"/>
  <c r="AT933" i="3"/>
  <c r="AS933" i="3"/>
  <c r="AP933" i="3"/>
  <c r="AO933" i="3"/>
  <c r="AH933" i="3"/>
  <c r="Q933" i="3"/>
  <c r="AT932" i="3"/>
  <c r="AS932" i="3"/>
  <c r="AP932" i="3"/>
  <c r="AO932" i="3"/>
  <c r="AH932" i="3"/>
  <c r="Q932" i="3"/>
  <c r="AT931" i="3"/>
  <c r="AS931" i="3"/>
  <c r="AP931" i="3"/>
  <c r="AO931" i="3"/>
  <c r="AH931" i="3"/>
  <c r="Q931" i="3"/>
  <c r="AT930" i="3"/>
  <c r="AS930" i="3"/>
  <c r="AP930" i="3"/>
  <c r="AO930" i="3"/>
  <c r="AH930" i="3"/>
  <c r="Q930" i="3"/>
  <c r="AT929" i="3"/>
  <c r="AS929" i="3"/>
  <c r="AP929" i="3"/>
  <c r="AO929" i="3"/>
  <c r="AH929" i="3"/>
  <c r="Q929" i="3"/>
  <c r="AT928" i="3"/>
  <c r="AS928" i="3"/>
  <c r="AP928" i="3"/>
  <c r="AO928" i="3"/>
  <c r="AH928" i="3"/>
  <c r="Q928" i="3"/>
  <c r="AT927" i="3"/>
  <c r="AS927" i="3"/>
  <c r="AP927" i="3"/>
  <c r="AO927" i="3"/>
  <c r="AH927" i="3"/>
  <c r="Q927" i="3"/>
  <c r="AT926" i="3"/>
  <c r="AS926" i="3"/>
  <c r="AP926" i="3"/>
  <c r="AO926" i="3"/>
  <c r="AH926" i="3"/>
  <c r="Q926" i="3"/>
  <c r="AT925" i="3"/>
  <c r="AS925" i="3"/>
  <c r="AP925" i="3"/>
  <c r="AO925" i="3"/>
  <c r="AH925" i="3"/>
  <c r="Q925" i="3"/>
  <c r="AT924" i="3"/>
  <c r="AS924" i="3"/>
  <c r="AP924" i="3"/>
  <c r="AO924" i="3"/>
  <c r="AH924" i="3"/>
  <c r="Q924" i="3"/>
  <c r="AT923" i="3"/>
  <c r="AS923" i="3"/>
  <c r="AP923" i="3"/>
  <c r="AO923" i="3"/>
  <c r="AH923" i="3"/>
  <c r="Q923" i="3"/>
  <c r="AT922" i="3"/>
  <c r="AS922" i="3"/>
  <c r="AP922" i="3"/>
  <c r="AO922" i="3"/>
  <c r="AH922" i="3"/>
  <c r="Q922" i="3"/>
  <c r="AT921" i="3"/>
  <c r="AS921" i="3"/>
  <c r="AP921" i="3"/>
  <c r="AO921" i="3"/>
  <c r="AH921" i="3"/>
  <c r="Q921" i="3"/>
  <c r="AT920" i="3"/>
  <c r="AS920" i="3"/>
  <c r="AP920" i="3"/>
  <c r="AO920" i="3"/>
  <c r="AH920" i="3"/>
  <c r="Q920" i="3"/>
  <c r="AT919" i="3"/>
  <c r="AS919" i="3"/>
  <c r="AP919" i="3"/>
  <c r="AO919" i="3"/>
  <c r="AH919" i="3"/>
  <c r="Q919" i="3"/>
  <c r="AT918" i="3"/>
  <c r="AS918" i="3"/>
  <c r="AP918" i="3"/>
  <c r="AO918" i="3"/>
  <c r="AH918" i="3"/>
  <c r="Q918" i="3"/>
  <c r="AT917" i="3"/>
  <c r="AS917" i="3"/>
  <c r="AP917" i="3"/>
  <c r="AO917" i="3"/>
  <c r="AH917" i="3"/>
  <c r="Q917" i="3"/>
  <c r="AT916" i="3"/>
  <c r="AS916" i="3"/>
  <c r="AP916" i="3"/>
  <c r="AO916" i="3"/>
  <c r="AH916" i="3"/>
  <c r="Q916" i="3"/>
  <c r="AT915" i="3"/>
  <c r="AS915" i="3"/>
  <c r="AP915" i="3"/>
  <c r="AO915" i="3"/>
  <c r="AH915" i="3"/>
  <c r="Q915" i="3"/>
  <c r="AT914" i="3"/>
  <c r="AS914" i="3"/>
  <c r="AP914" i="3"/>
  <c r="AO914" i="3"/>
  <c r="AH914" i="3"/>
  <c r="Q914" i="3"/>
  <c r="AT913" i="3"/>
  <c r="AS913" i="3"/>
  <c r="AP913" i="3"/>
  <c r="AO913" i="3"/>
  <c r="AH913" i="3"/>
  <c r="Q913" i="3"/>
  <c r="AT912" i="3"/>
  <c r="AS912" i="3"/>
  <c r="AP912" i="3"/>
  <c r="AO912" i="3"/>
  <c r="AH912" i="3"/>
  <c r="Q912" i="3"/>
  <c r="AT911" i="3"/>
  <c r="AS911" i="3"/>
  <c r="AP911" i="3"/>
  <c r="AO911" i="3"/>
  <c r="AH911" i="3"/>
  <c r="Q911" i="3"/>
  <c r="AT910" i="3"/>
  <c r="AS910" i="3"/>
  <c r="AP910" i="3"/>
  <c r="AO910" i="3"/>
  <c r="AH910" i="3"/>
  <c r="Q910" i="3"/>
  <c r="AT909" i="3"/>
  <c r="AS909" i="3"/>
  <c r="AP909" i="3"/>
  <c r="AO909" i="3"/>
  <c r="AH909" i="3"/>
  <c r="Q909" i="3"/>
  <c r="AT908" i="3"/>
  <c r="AS908" i="3"/>
  <c r="AP908" i="3"/>
  <c r="AO908" i="3"/>
  <c r="AH908" i="3"/>
  <c r="Q908" i="3"/>
  <c r="AT907" i="3"/>
  <c r="AS907" i="3"/>
  <c r="AP907" i="3"/>
  <c r="AO907" i="3"/>
  <c r="AH907" i="3"/>
  <c r="Q907" i="3"/>
  <c r="AT906" i="3"/>
  <c r="AS906" i="3"/>
  <c r="AP906" i="3"/>
  <c r="AO906" i="3"/>
  <c r="AH906" i="3"/>
  <c r="Q906" i="3"/>
  <c r="AT905" i="3"/>
  <c r="AS905" i="3"/>
  <c r="AP905" i="3"/>
  <c r="AO905" i="3"/>
  <c r="AH905" i="3"/>
  <c r="Q905" i="3"/>
  <c r="AT904" i="3"/>
  <c r="AS904" i="3"/>
  <c r="AP904" i="3"/>
  <c r="AO904" i="3"/>
  <c r="AH904" i="3"/>
  <c r="Q904" i="3"/>
  <c r="AT903" i="3"/>
  <c r="AS903" i="3"/>
  <c r="AP903" i="3"/>
  <c r="AO903" i="3"/>
  <c r="AH903" i="3"/>
  <c r="Q903" i="3"/>
  <c r="AT902" i="3"/>
  <c r="AS902" i="3"/>
  <c r="AP902" i="3"/>
  <c r="AO902" i="3"/>
  <c r="AH902" i="3"/>
  <c r="Q902" i="3"/>
  <c r="AT901" i="3"/>
  <c r="AS901" i="3"/>
  <c r="AP901" i="3"/>
  <c r="AO901" i="3"/>
  <c r="AH901" i="3"/>
  <c r="Q901" i="3"/>
  <c r="AT900" i="3"/>
  <c r="AS900" i="3"/>
  <c r="AP900" i="3"/>
  <c r="AO900" i="3"/>
  <c r="AH900" i="3"/>
  <c r="Q900" i="3"/>
  <c r="AT899" i="3"/>
  <c r="AS899" i="3"/>
  <c r="AP899" i="3"/>
  <c r="AO899" i="3"/>
  <c r="AH899" i="3"/>
  <c r="Q899" i="3"/>
  <c r="AT898" i="3"/>
  <c r="AS898" i="3"/>
  <c r="AP898" i="3"/>
  <c r="AO898" i="3"/>
  <c r="AH898" i="3"/>
  <c r="Q898" i="3"/>
  <c r="AT897" i="3"/>
  <c r="AS897" i="3"/>
  <c r="AP897" i="3"/>
  <c r="AO897" i="3"/>
  <c r="AH897" i="3"/>
  <c r="Q897" i="3"/>
  <c r="AT896" i="3"/>
  <c r="AS896" i="3"/>
  <c r="AP896" i="3"/>
  <c r="AO896" i="3"/>
  <c r="AH896" i="3"/>
  <c r="Q896" i="3"/>
  <c r="AT895" i="3"/>
  <c r="AS895" i="3"/>
  <c r="AP895" i="3"/>
  <c r="AO895" i="3"/>
  <c r="AH895" i="3"/>
  <c r="Q895" i="3"/>
  <c r="AT894" i="3"/>
  <c r="AS894" i="3"/>
  <c r="AP894" i="3"/>
  <c r="AO894" i="3"/>
  <c r="AH894" i="3"/>
  <c r="Q894" i="3"/>
  <c r="AT893" i="3"/>
  <c r="AS893" i="3"/>
  <c r="AP893" i="3"/>
  <c r="AO893" i="3"/>
  <c r="AH893" i="3"/>
  <c r="Q893" i="3"/>
  <c r="AT892" i="3"/>
  <c r="AS892" i="3"/>
  <c r="AP892" i="3"/>
  <c r="AO892" i="3"/>
  <c r="AH892" i="3"/>
  <c r="Q892" i="3"/>
  <c r="AT891" i="3"/>
  <c r="AS891" i="3"/>
  <c r="AP891" i="3"/>
  <c r="AO891" i="3"/>
  <c r="AH891" i="3"/>
  <c r="Q891" i="3"/>
  <c r="AT890" i="3"/>
  <c r="AS890" i="3"/>
  <c r="AP890" i="3"/>
  <c r="AO890" i="3"/>
  <c r="AH890" i="3"/>
  <c r="Q890" i="3"/>
  <c r="AT889" i="3"/>
  <c r="AS889" i="3"/>
  <c r="AP889" i="3"/>
  <c r="AO889" i="3"/>
  <c r="AH889" i="3"/>
  <c r="Q889" i="3"/>
  <c r="AT888" i="3"/>
  <c r="AS888" i="3"/>
  <c r="AP888" i="3"/>
  <c r="AO888" i="3"/>
  <c r="AH888" i="3"/>
  <c r="Q888" i="3"/>
  <c r="AT887" i="3"/>
  <c r="AS887" i="3"/>
  <c r="AP887" i="3"/>
  <c r="AO887" i="3"/>
  <c r="AH887" i="3"/>
  <c r="Q887" i="3"/>
  <c r="AT886" i="3"/>
  <c r="AS886" i="3"/>
  <c r="AP886" i="3"/>
  <c r="AO886" i="3"/>
  <c r="AH886" i="3"/>
  <c r="Q886" i="3"/>
  <c r="AT885" i="3"/>
  <c r="AS885" i="3"/>
  <c r="AP885" i="3"/>
  <c r="AO885" i="3"/>
  <c r="AH885" i="3"/>
  <c r="Q885" i="3"/>
  <c r="AT884" i="3"/>
  <c r="AS884" i="3"/>
  <c r="AP884" i="3"/>
  <c r="AO884" i="3"/>
  <c r="AH884" i="3"/>
  <c r="Q884" i="3"/>
  <c r="AT883" i="3"/>
  <c r="AS883" i="3"/>
  <c r="AP883" i="3"/>
  <c r="AO883" i="3"/>
  <c r="AH883" i="3"/>
  <c r="Q883" i="3"/>
  <c r="AT882" i="3"/>
  <c r="AS882" i="3"/>
  <c r="AP882" i="3"/>
  <c r="AO882" i="3"/>
  <c r="AH882" i="3"/>
  <c r="Q882" i="3"/>
  <c r="AT881" i="3"/>
  <c r="AS881" i="3"/>
  <c r="AP881" i="3"/>
  <c r="AO881" i="3"/>
  <c r="AH881" i="3"/>
  <c r="Q881" i="3"/>
  <c r="AT880" i="3"/>
  <c r="AS880" i="3"/>
  <c r="AP880" i="3"/>
  <c r="AO880" i="3"/>
  <c r="AH880" i="3"/>
  <c r="Q880" i="3"/>
  <c r="AT879" i="3"/>
  <c r="AS879" i="3"/>
  <c r="AP879" i="3"/>
  <c r="AO879" i="3"/>
  <c r="AH879" i="3"/>
  <c r="Q879" i="3"/>
  <c r="AT878" i="3"/>
  <c r="AS878" i="3"/>
  <c r="AP878" i="3"/>
  <c r="AO878" i="3"/>
  <c r="AH878" i="3"/>
  <c r="Q878" i="3"/>
  <c r="AT877" i="3"/>
  <c r="AS877" i="3"/>
  <c r="AP877" i="3"/>
  <c r="AO877" i="3"/>
  <c r="AH877" i="3"/>
  <c r="Q877" i="3"/>
  <c r="AT876" i="3"/>
  <c r="AS876" i="3"/>
  <c r="AP876" i="3"/>
  <c r="AO876" i="3"/>
  <c r="AH876" i="3"/>
  <c r="Q876" i="3"/>
  <c r="AT875" i="3"/>
  <c r="AS875" i="3"/>
  <c r="AP875" i="3"/>
  <c r="AO875" i="3"/>
  <c r="AH875" i="3"/>
  <c r="Q875" i="3"/>
  <c r="AT874" i="3"/>
  <c r="AS874" i="3"/>
  <c r="AP874" i="3"/>
  <c r="AO874" i="3"/>
  <c r="AH874" i="3"/>
  <c r="Q874" i="3"/>
  <c r="AT873" i="3"/>
  <c r="AS873" i="3"/>
  <c r="AP873" i="3"/>
  <c r="AO873" i="3"/>
  <c r="AH873" i="3"/>
  <c r="Q873" i="3"/>
  <c r="AT872" i="3"/>
  <c r="AS872" i="3"/>
  <c r="AP872" i="3"/>
  <c r="AO872" i="3"/>
  <c r="AH872" i="3"/>
  <c r="Q872" i="3"/>
  <c r="AT871" i="3"/>
  <c r="AS871" i="3"/>
  <c r="AP871" i="3"/>
  <c r="AO871" i="3"/>
  <c r="AH871" i="3"/>
  <c r="Q871" i="3"/>
  <c r="AT870" i="3"/>
  <c r="AS870" i="3"/>
  <c r="AP870" i="3"/>
  <c r="AO870" i="3"/>
  <c r="AH870" i="3"/>
  <c r="Q870" i="3"/>
  <c r="AT869" i="3"/>
  <c r="AS869" i="3"/>
  <c r="AP869" i="3"/>
  <c r="AO869" i="3"/>
  <c r="AH869" i="3"/>
  <c r="Q869" i="3"/>
  <c r="AT868" i="3"/>
  <c r="AS868" i="3"/>
  <c r="AP868" i="3"/>
  <c r="AO868" i="3"/>
  <c r="AH868" i="3"/>
  <c r="Q868" i="3"/>
  <c r="AT867" i="3"/>
  <c r="AS867" i="3"/>
  <c r="AP867" i="3"/>
  <c r="AO867" i="3"/>
  <c r="AH867" i="3"/>
  <c r="Q867" i="3"/>
  <c r="AT866" i="3"/>
  <c r="AS866" i="3"/>
  <c r="AP866" i="3"/>
  <c r="AO866" i="3"/>
  <c r="AH866" i="3"/>
  <c r="Q866" i="3"/>
  <c r="AT865" i="3"/>
  <c r="AS865" i="3"/>
  <c r="AP865" i="3"/>
  <c r="AO865" i="3"/>
  <c r="AH865" i="3"/>
  <c r="Q865" i="3"/>
  <c r="AT864" i="3"/>
  <c r="AS864" i="3"/>
  <c r="AP864" i="3"/>
  <c r="AO864" i="3"/>
  <c r="AH864" i="3"/>
  <c r="Q864" i="3"/>
  <c r="AT863" i="3"/>
  <c r="AS863" i="3"/>
  <c r="AP863" i="3"/>
  <c r="AO863" i="3"/>
  <c r="AH863" i="3"/>
  <c r="Q863" i="3"/>
  <c r="AT862" i="3"/>
  <c r="AS862" i="3"/>
  <c r="AP862" i="3"/>
  <c r="AO862" i="3"/>
  <c r="AH862" i="3"/>
  <c r="Q862" i="3"/>
  <c r="AT861" i="3"/>
  <c r="AS861" i="3"/>
  <c r="AP861" i="3"/>
  <c r="AO861" i="3"/>
  <c r="AH861" i="3"/>
  <c r="Q861" i="3"/>
  <c r="AT860" i="3"/>
  <c r="AS860" i="3"/>
  <c r="AP860" i="3"/>
  <c r="AO860" i="3"/>
  <c r="AH860" i="3"/>
  <c r="Q860" i="3"/>
  <c r="AT859" i="3"/>
  <c r="AS859" i="3"/>
  <c r="AP859" i="3"/>
  <c r="AO859" i="3"/>
  <c r="AH859" i="3"/>
  <c r="Q859" i="3"/>
  <c r="AT858" i="3"/>
  <c r="AS858" i="3"/>
  <c r="AP858" i="3"/>
  <c r="AO858" i="3"/>
  <c r="AH858" i="3"/>
  <c r="Q858" i="3"/>
  <c r="AT857" i="3"/>
  <c r="AS857" i="3"/>
  <c r="AP857" i="3"/>
  <c r="AO857" i="3"/>
  <c r="AH857" i="3"/>
  <c r="Q857" i="3"/>
  <c r="AT856" i="3"/>
  <c r="AS856" i="3"/>
  <c r="AP856" i="3"/>
  <c r="AO856" i="3"/>
  <c r="AH856" i="3"/>
  <c r="Q856" i="3"/>
  <c r="AT855" i="3"/>
  <c r="AS855" i="3"/>
  <c r="AP855" i="3"/>
  <c r="AO855" i="3"/>
  <c r="AH855" i="3"/>
  <c r="Q855" i="3"/>
  <c r="AT854" i="3"/>
  <c r="AS854" i="3"/>
  <c r="AP854" i="3"/>
  <c r="AO854" i="3"/>
  <c r="AH854" i="3"/>
  <c r="Q854" i="3"/>
  <c r="AT853" i="3"/>
  <c r="AS853" i="3"/>
  <c r="AP853" i="3"/>
  <c r="AO853" i="3"/>
  <c r="AH853" i="3"/>
  <c r="Q853" i="3"/>
  <c r="AT852" i="3"/>
  <c r="AS852" i="3"/>
  <c r="AP852" i="3"/>
  <c r="AO852" i="3"/>
  <c r="AH852" i="3"/>
  <c r="Q852" i="3"/>
  <c r="AT851" i="3"/>
  <c r="AS851" i="3"/>
  <c r="AP851" i="3"/>
  <c r="AO851" i="3"/>
  <c r="AH851" i="3"/>
  <c r="Q851" i="3"/>
  <c r="AT850" i="3"/>
  <c r="AS850" i="3"/>
  <c r="AP850" i="3"/>
  <c r="AO850" i="3"/>
  <c r="AH850" i="3"/>
  <c r="Q850" i="3"/>
  <c r="AT849" i="3"/>
  <c r="AS849" i="3"/>
  <c r="AP849" i="3"/>
  <c r="AO849" i="3"/>
  <c r="AH849" i="3"/>
  <c r="Q849" i="3"/>
  <c r="AT848" i="3"/>
  <c r="AS848" i="3"/>
  <c r="AP848" i="3"/>
  <c r="AO848" i="3"/>
  <c r="AH848" i="3"/>
  <c r="Q848" i="3"/>
  <c r="AT847" i="3"/>
  <c r="AS847" i="3"/>
  <c r="AP847" i="3"/>
  <c r="AO847" i="3"/>
  <c r="AH847" i="3"/>
  <c r="Q847" i="3"/>
  <c r="AT846" i="3"/>
  <c r="AS846" i="3"/>
  <c r="AP846" i="3"/>
  <c r="AO846" i="3"/>
  <c r="AH846" i="3"/>
  <c r="Q846" i="3"/>
  <c r="AT845" i="3"/>
  <c r="AS845" i="3"/>
  <c r="AP845" i="3"/>
  <c r="AO845" i="3"/>
  <c r="AH845" i="3"/>
  <c r="Q845" i="3"/>
  <c r="AT844" i="3"/>
  <c r="AS844" i="3"/>
  <c r="AP844" i="3"/>
  <c r="AO844" i="3"/>
  <c r="AH844" i="3"/>
  <c r="Q844" i="3"/>
  <c r="AT843" i="3"/>
  <c r="AS843" i="3"/>
  <c r="AP843" i="3"/>
  <c r="AO843" i="3"/>
  <c r="AH843" i="3"/>
  <c r="Q843" i="3"/>
  <c r="AT842" i="3"/>
  <c r="AS842" i="3"/>
  <c r="AP842" i="3"/>
  <c r="AO842" i="3"/>
  <c r="AH842" i="3"/>
  <c r="Q842" i="3"/>
  <c r="AT841" i="3"/>
  <c r="AS841" i="3"/>
  <c r="AP841" i="3"/>
  <c r="AO841" i="3"/>
  <c r="AH841" i="3"/>
  <c r="Q841" i="3"/>
  <c r="AT840" i="3"/>
  <c r="AS840" i="3"/>
  <c r="AP840" i="3"/>
  <c r="AO840" i="3"/>
  <c r="AH840" i="3"/>
  <c r="Q840" i="3"/>
  <c r="AT839" i="3"/>
  <c r="AS839" i="3"/>
  <c r="AP839" i="3"/>
  <c r="AO839" i="3"/>
  <c r="AH839" i="3"/>
  <c r="Q839" i="3"/>
  <c r="AT838" i="3"/>
  <c r="AS838" i="3"/>
  <c r="AP838" i="3"/>
  <c r="AO838" i="3"/>
  <c r="AH838" i="3"/>
  <c r="Q838" i="3"/>
  <c r="AT837" i="3"/>
  <c r="AS837" i="3"/>
  <c r="AP837" i="3"/>
  <c r="AO837" i="3"/>
  <c r="AH837" i="3"/>
  <c r="Q837" i="3"/>
  <c r="AT836" i="3"/>
  <c r="AS836" i="3"/>
  <c r="AP836" i="3"/>
  <c r="AO836" i="3"/>
  <c r="AH836" i="3"/>
  <c r="Q836" i="3"/>
  <c r="AT835" i="3"/>
  <c r="AS835" i="3"/>
  <c r="AP835" i="3"/>
  <c r="AO835" i="3"/>
  <c r="AH835" i="3"/>
  <c r="Q835" i="3"/>
  <c r="AT834" i="3"/>
  <c r="AS834" i="3"/>
  <c r="AP834" i="3"/>
  <c r="AO834" i="3"/>
  <c r="AH834" i="3"/>
  <c r="Q834" i="3"/>
  <c r="AT833" i="3"/>
  <c r="AS833" i="3"/>
  <c r="AP833" i="3"/>
  <c r="AO833" i="3"/>
  <c r="AH833" i="3"/>
  <c r="Q833" i="3"/>
  <c r="AT832" i="3"/>
  <c r="AS832" i="3"/>
  <c r="AP832" i="3"/>
  <c r="AO832" i="3"/>
  <c r="AH832" i="3"/>
  <c r="Q832" i="3"/>
  <c r="AT831" i="3"/>
  <c r="AS831" i="3"/>
  <c r="AP831" i="3"/>
  <c r="AO831" i="3"/>
  <c r="AH831" i="3"/>
  <c r="Q831" i="3"/>
  <c r="AT830" i="3"/>
  <c r="AS830" i="3"/>
  <c r="AP830" i="3"/>
  <c r="AO830" i="3"/>
  <c r="AH830" i="3"/>
  <c r="Q830" i="3"/>
  <c r="AT829" i="3"/>
  <c r="AS829" i="3"/>
  <c r="AP829" i="3"/>
  <c r="AO829" i="3"/>
  <c r="AH829" i="3"/>
  <c r="Q829" i="3"/>
  <c r="AT828" i="3"/>
  <c r="AS828" i="3"/>
  <c r="AP828" i="3"/>
  <c r="AO828" i="3"/>
  <c r="AH828" i="3"/>
  <c r="Q828" i="3"/>
  <c r="AT827" i="3"/>
  <c r="AS827" i="3"/>
  <c r="AP827" i="3"/>
  <c r="AO827" i="3"/>
  <c r="AH827" i="3"/>
  <c r="Q827" i="3"/>
  <c r="AT826" i="3"/>
  <c r="AS826" i="3"/>
  <c r="AP826" i="3"/>
  <c r="AO826" i="3"/>
  <c r="AH826" i="3"/>
  <c r="Q826" i="3"/>
  <c r="AT825" i="3"/>
  <c r="AS825" i="3"/>
  <c r="AP825" i="3"/>
  <c r="AO825" i="3"/>
  <c r="AH825" i="3"/>
  <c r="Q825" i="3"/>
  <c r="AT824" i="3"/>
  <c r="AS824" i="3"/>
  <c r="AP824" i="3"/>
  <c r="AO824" i="3"/>
  <c r="AH824" i="3"/>
  <c r="Q824" i="3"/>
  <c r="AT823" i="3"/>
  <c r="AS823" i="3"/>
  <c r="AP823" i="3"/>
  <c r="AO823" i="3"/>
  <c r="AH823" i="3"/>
  <c r="Q823" i="3"/>
  <c r="AT822" i="3"/>
  <c r="AS822" i="3"/>
  <c r="AP822" i="3"/>
  <c r="AO822" i="3"/>
  <c r="AH822" i="3"/>
  <c r="Q822" i="3"/>
  <c r="AT821" i="3"/>
  <c r="AS821" i="3"/>
  <c r="AP821" i="3"/>
  <c r="AO821" i="3"/>
  <c r="AH821" i="3"/>
  <c r="Q821" i="3"/>
  <c r="AT820" i="3"/>
  <c r="AS820" i="3"/>
  <c r="AP820" i="3"/>
  <c r="AO820" i="3"/>
  <c r="AH820" i="3"/>
  <c r="Q820" i="3"/>
  <c r="AT819" i="3"/>
  <c r="AS819" i="3"/>
  <c r="AP819" i="3"/>
  <c r="AO819" i="3"/>
  <c r="AH819" i="3"/>
  <c r="Q819" i="3"/>
  <c r="AT818" i="3"/>
  <c r="AS818" i="3"/>
  <c r="AP818" i="3"/>
  <c r="AO818" i="3"/>
  <c r="AH818" i="3"/>
  <c r="Q818" i="3"/>
  <c r="AT817" i="3"/>
  <c r="AS817" i="3"/>
  <c r="AP817" i="3"/>
  <c r="AO817" i="3"/>
  <c r="AH817" i="3"/>
  <c r="Q817" i="3"/>
  <c r="AT816" i="3"/>
  <c r="AS816" i="3"/>
  <c r="AP816" i="3"/>
  <c r="AO816" i="3"/>
  <c r="AH816" i="3"/>
  <c r="Q816" i="3"/>
  <c r="AT815" i="3"/>
  <c r="AS815" i="3"/>
  <c r="AP815" i="3"/>
  <c r="AO815" i="3"/>
  <c r="AH815" i="3"/>
  <c r="Q815" i="3"/>
  <c r="AT814" i="3"/>
  <c r="AS814" i="3"/>
  <c r="AP814" i="3"/>
  <c r="AO814" i="3"/>
  <c r="AH814" i="3"/>
  <c r="Q814" i="3"/>
  <c r="AT813" i="3"/>
  <c r="AS813" i="3"/>
  <c r="AP813" i="3"/>
  <c r="AO813" i="3"/>
  <c r="AH813" i="3"/>
  <c r="Q813" i="3"/>
  <c r="AT812" i="3"/>
  <c r="AS812" i="3"/>
  <c r="AP812" i="3"/>
  <c r="AO812" i="3"/>
  <c r="AH812" i="3"/>
  <c r="Q812" i="3"/>
  <c r="AT811" i="3"/>
  <c r="AS811" i="3"/>
  <c r="AP811" i="3"/>
  <c r="AO811" i="3"/>
  <c r="AH811" i="3"/>
  <c r="Q811" i="3"/>
  <c r="AT810" i="3"/>
  <c r="AS810" i="3"/>
  <c r="AP810" i="3"/>
  <c r="AO810" i="3"/>
  <c r="AH810" i="3"/>
  <c r="Q810" i="3"/>
  <c r="AT809" i="3"/>
  <c r="AS809" i="3"/>
  <c r="AP809" i="3"/>
  <c r="AO809" i="3"/>
  <c r="AH809" i="3"/>
  <c r="Q809" i="3"/>
  <c r="AT808" i="3"/>
  <c r="AS808" i="3"/>
  <c r="AP808" i="3"/>
  <c r="AO808" i="3"/>
  <c r="AH808" i="3"/>
  <c r="Q808" i="3"/>
  <c r="AT807" i="3"/>
  <c r="AS807" i="3"/>
  <c r="AP807" i="3"/>
  <c r="AO807" i="3"/>
  <c r="AH807" i="3"/>
  <c r="Q807" i="3"/>
  <c r="AT806" i="3"/>
  <c r="AS806" i="3"/>
  <c r="AP806" i="3"/>
  <c r="AO806" i="3"/>
  <c r="AH806" i="3"/>
  <c r="Q806" i="3"/>
  <c r="AT805" i="3"/>
  <c r="AS805" i="3"/>
  <c r="AP805" i="3"/>
  <c r="AO805" i="3"/>
  <c r="AH805" i="3"/>
  <c r="Q805" i="3"/>
  <c r="AT804" i="3"/>
  <c r="AS804" i="3"/>
  <c r="AP804" i="3"/>
  <c r="AO804" i="3"/>
  <c r="AH804" i="3"/>
  <c r="Q804" i="3"/>
  <c r="AT803" i="3"/>
  <c r="AS803" i="3"/>
  <c r="AP803" i="3"/>
  <c r="AO803" i="3"/>
  <c r="AH803" i="3"/>
  <c r="Q803" i="3"/>
  <c r="AT802" i="3"/>
  <c r="AS802" i="3"/>
  <c r="AP802" i="3"/>
  <c r="AO802" i="3"/>
  <c r="AH802" i="3"/>
  <c r="Q802" i="3"/>
  <c r="AT801" i="3"/>
  <c r="AS801" i="3"/>
  <c r="AP801" i="3"/>
  <c r="AO801" i="3"/>
  <c r="AH801" i="3"/>
  <c r="Q801" i="3"/>
  <c r="AT800" i="3"/>
  <c r="AS800" i="3"/>
  <c r="AP800" i="3"/>
  <c r="AO800" i="3"/>
  <c r="AH800" i="3"/>
  <c r="Q800" i="3"/>
  <c r="AT799" i="3"/>
  <c r="AS799" i="3"/>
  <c r="AP799" i="3"/>
  <c r="AO799" i="3"/>
  <c r="AH799" i="3"/>
  <c r="Q799" i="3"/>
  <c r="AT798" i="3"/>
  <c r="AS798" i="3"/>
  <c r="AP798" i="3"/>
  <c r="AO798" i="3"/>
  <c r="AH798" i="3"/>
  <c r="Q798" i="3"/>
  <c r="AT797" i="3"/>
  <c r="AS797" i="3"/>
  <c r="AP797" i="3"/>
  <c r="AO797" i="3"/>
  <c r="AH797" i="3"/>
  <c r="Q797" i="3"/>
  <c r="AT796" i="3"/>
  <c r="AS796" i="3"/>
  <c r="AP796" i="3"/>
  <c r="AO796" i="3"/>
  <c r="AH796" i="3"/>
  <c r="Q796" i="3"/>
  <c r="AT795" i="3"/>
  <c r="AS795" i="3"/>
  <c r="AP795" i="3"/>
  <c r="AO795" i="3"/>
  <c r="AH795" i="3"/>
  <c r="Q795" i="3"/>
  <c r="AT794" i="3"/>
  <c r="AS794" i="3"/>
  <c r="AP794" i="3"/>
  <c r="AO794" i="3"/>
  <c r="AH794" i="3"/>
  <c r="Q794" i="3"/>
  <c r="AT793" i="3"/>
  <c r="AS793" i="3"/>
  <c r="AP793" i="3"/>
  <c r="AO793" i="3"/>
  <c r="AH793" i="3"/>
  <c r="Q793" i="3"/>
  <c r="AT792" i="3"/>
  <c r="AS792" i="3"/>
  <c r="AP792" i="3"/>
  <c r="AO792" i="3"/>
  <c r="AH792" i="3"/>
  <c r="Q792" i="3"/>
  <c r="AT791" i="3"/>
  <c r="AS791" i="3"/>
  <c r="AP791" i="3"/>
  <c r="AO791" i="3"/>
  <c r="AH791" i="3"/>
  <c r="Q791" i="3"/>
  <c r="AT790" i="3"/>
  <c r="AS790" i="3"/>
  <c r="AP790" i="3"/>
  <c r="AO790" i="3"/>
  <c r="AH790" i="3"/>
  <c r="Q790" i="3"/>
  <c r="AT789" i="3"/>
  <c r="AS789" i="3"/>
  <c r="AP789" i="3"/>
  <c r="AO789" i="3"/>
  <c r="AH789" i="3"/>
  <c r="Q789" i="3"/>
  <c r="AT788" i="3"/>
  <c r="AS788" i="3"/>
  <c r="AP788" i="3"/>
  <c r="AO788" i="3"/>
  <c r="AH788" i="3"/>
  <c r="Q788" i="3"/>
  <c r="AT787" i="3"/>
  <c r="AS787" i="3"/>
  <c r="AP787" i="3"/>
  <c r="AO787" i="3"/>
  <c r="AH787" i="3"/>
  <c r="Q787" i="3"/>
  <c r="AT786" i="3"/>
  <c r="AS786" i="3"/>
  <c r="AP786" i="3"/>
  <c r="AO786" i="3"/>
  <c r="AH786" i="3"/>
  <c r="Q786" i="3"/>
  <c r="AT785" i="3"/>
  <c r="AS785" i="3"/>
  <c r="AP785" i="3"/>
  <c r="AO785" i="3"/>
  <c r="AH785" i="3"/>
  <c r="Q785" i="3"/>
  <c r="AT784" i="3"/>
  <c r="AS784" i="3"/>
  <c r="AP784" i="3"/>
  <c r="AO784" i="3"/>
  <c r="AH784" i="3"/>
  <c r="Q784" i="3"/>
  <c r="AT783" i="3"/>
  <c r="AS783" i="3"/>
  <c r="AP783" i="3"/>
  <c r="AO783" i="3"/>
  <c r="AH783" i="3"/>
  <c r="Q783" i="3"/>
  <c r="AT782" i="3"/>
  <c r="AS782" i="3"/>
  <c r="AP782" i="3"/>
  <c r="AO782" i="3"/>
  <c r="AH782" i="3"/>
  <c r="Q782" i="3"/>
  <c r="AT781" i="3"/>
  <c r="AS781" i="3"/>
  <c r="AP781" i="3"/>
  <c r="AO781" i="3"/>
  <c r="AH781" i="3"/>
  <c r="Q781" i="3"/>
  <c r="AT780" i="3"/>
  <c r="AS780" i="3"/>
  <c r="AP780" i="3"/>
  <c r="AO780" i="3"/>
  <c r="AH780" i="3"/>
  <c r="Q780" i="3"/>
  <c r="AT779" i="3"/>
  <c r="AS779" i="3"/>
  <c r="AP779" i="3"/>
  <c r="AO779" i="3"/>
  <c r="AH779" i="3"/>
  <c r="Q779" i="3"/>
  <c r="AT778" i="3"/>
  <c r="AS778" i="3"/>
  <c r="AP778" i="3"/>
  <c r="AO778" i="3"/>
  <c r="AH778" i="3"/>
  <c r="Q778" i="3"/>
  <c r="AT777" i="3"/>
  <c r="AS777" i="3"/>
  <c r="AP777" i="3"/>
  <c r="AO777" i="3"/>
  <c r="AH777" i="3"/>
  <c r="Q777" i="3"/>
  <c r="AT776" i="3"/>
  <c r="AS776" i="3"/>
  <c r="AP776" i="3"/>
  <c r="AO776" i="3"/>
  <c r="AH776" i="3"/>
  <c r="Q776" i="3"/>
  <c r="AT775" i="3"/>
  <c r="AS775" i="3"/>
  <c r="AP775" i="3"/>
  <c r="AO775" i="3"/>
  <c r="AH775" i="3"/>
  <c r="Q775" i="3"/>
  <c r="AT774" i="3"/>
  <c r="AS774" i="3"/>
  <c r="AP774" i="3"/>
  <c r="AO774" i="3"/>
  <c r="AH774" i="3"/>
  <c r="Q774" i="3"/>
  <c r="AT773" i="3"/>
  <c r="AS773" i="3"/>
  <c r="AP773" i="3"/>
  <c r="AO773" i="3"/>
  <c r="AH773" i="3"/>
  <c r="Q773" i="3"/>
  <c r="AT772" i="3"/>
  <c r="AS772" i="3"/>
  <c r="AP772" i="3"/>
  <c r="AO772" i="3"/>
  <c r="AH772" i="3"/>
  <c r="Q772" i="3"/>
  <c r="AT771" i="3"/>
  <c r="AS771" i="3"/>
  <c r="AP771" i="3"/>
  <c r="AO771" i="3"/>
  <c r="AH771" i="3"/>
  <c r="Q771" i="3"/>
  <c r="AT770" i="3"/>
  <c r="AS770" i="3"/>
  <c r="AP770" i="3"/>
  <c r="AO770" i="3"/>
  <c r="AH770" i="3"/>
  <c r="Q770" i="3"/>
  <c r="AT769" i="3"/>
  <c r="AS769" i="3"/>
  <c r="AP769" i="3"/>
  <c r="AO769" i="3"/>
  <c r="AH769" i="3"/>
  <c r="Q769" i="3"/>
  <c r="AT768" i="3"/>
  <c r="AS768" i="3"/>
  <c r="AP768" i="3"/>
  <c r="AO768" i="3"/>
  <c r="AH768" i="3"/>
  <c r="Q768" i="3"/>
  <c r="AT767" i="3"/>
  <c r="AS767" i="3"/>
  <c r="AP767" i="3"/>
  <c r="AO767" i="3"/>
  <c r="AH767" i="3"/>
  <c r="Q767" i="3"/>
  <c r="AT766" i="3"/>
  <c r="AS766" i="3"/>
  <c r="AP766" i="3"/>
  <c r="AO766" i="3"/>
  <c r="AH766" i="3"/>
  <c r="Q766" i="3"/>
  <c r="AT765" i="3"/>
  <c r="AS765" i="3"/>
  <c r="AP765" i="3"/>
  <c r="AO765" i="3"/>
  <c r="AH765" i="3"/>
  <c r="Q765" i="3"/>
  <c r="AT764" i="3"/>
  <c r="AS764" i="3"/>
  <c r="AP764" i="3"/>
  <c r="AO764" i="3"/>
  <c r="AH764" i="3"/>
  <c r="Q764" i="3"/>
  <c r="AT763" i="3"/>
  <c r="AS763" i="3"/>
  <c r="AP763" i="3"/>
  <c r="AO763" i="3"/>
  <c r="AH763" i="3"/>
  <c r="Q763" i="3"/>
  <c r="AT762" i="3"/>
  <c r="AS762" i="3"/>
  <c r="AP762" i="3"/>
  <c r="AO762" i="3"/>
  <c r="AH762" i="3"/>
  <c r="Q762" i="3"/>
  <c r="AT761" i="3"/>
  <c r="AS761" i="3"/>
  <c r="AP761" i="3"/>
  <c r="AO761" i="3"/>
  <c r="AH761" i="3"/>
  <c r="Q761" i="3"/>
  <c r="AT760" i="3"/>
  <c r="AS760" i="3"/>
  <c r="AP760" i="3"/>
  <c r="AO760" i="3"/>
  <c r="AH760" i="3"/>
  <c r="Q760" i="3"/>
  <c r="AT759" i="3"/>
  <c r="AS759" i="3"/>
  <c r="AP759" i="3"/>
  <c r="AO759" i="3"/>
  <c r="AH759" i="3"/>
  <c r="Q759" i="3"/>
  <c r="AT758" i="3"/>
  <c r="AS758" i="3"/>
  <c r="AP758" i="3"/>
  <c r="AO758" i="3"/>
  <c r="AH758" i="3"/>
  <c r="Q758" i="3"/>
  <c r="AT757" i="3"/>
  <c r="AS757" i="3"/>
  <c r="AP757" i="3"/>
  <c r="AO757" i="3"/>
  <c r="AH757" i="3"/>
  <c r="Q757" i="3"/>
  <c r="AT756" i="3"/>
  <c r="AS756" i="3"/>
  <c r="AP756" i="3"/>
  <c r="AO756" i="3"/>
  <c r="AH756" i="3"/>
  <c r="Q756" i="3"/>
  <c r="AT755" i="3"/>
  <c r="AS755" i="3"/>
  <c r="AP755" i="3"/>
  <c r="AO755" i="3"/>
  <c r="AH755" i="3"/>
  <c r="Q755" i="3"/>
  <c r="AT754" i="3"/>
  <c r="AS754" i="3"/>
  <c r="AP754" i="3"/>
  <c r="AO754" i="3"/>
  <c r="AH754" i="3"/>
  <c r="Q754" i="3"/>
  <c r="AT753" i="3"/>
  <c r="AS753" i="3"/>
  <c r="AP753" i="3"/>
  <c r="AO753" i="3"/>
  <c r="AH753" i="3"/>
  <c r="AD753" i="3"/>
  <c r="Q753" i="3"/>
  <c r="AT752" i="3"/>
  <c r="AS752" i="3"/>
  <c r="AP752" i="3"/>
  <c r="AO752" i="3"/>
  <c r="AH752" i="3"/>
  <c r="AD752" i="3"/>
  <c r="Q752" i="3"/>
  <c r="AT751" i="3"/>
  <c r="AS751" i="3"/>
  <c r="AP751" i="3"/>
  <c r="AO751" i="3"/>
  <c r="AH751" i="3"/>
  <c r="AD751" i="3"/>
  <c r="Q751" i="3"/>
  <c r="AT750" i="3"/>
  <c r="AS750" i="3"/>
  <c r="AP750" i="3"/>
  <c r="AO750" i="3"/>
  <c r="AH750" i="3"/>
  <c r="AD750" i="3"/>
  <c r="Q750" i="3"/>
  <c r="AT749" i="3"/>
  <c r="AS749" i="3"/>
  <c r="AP749" i="3"/>
  <c r="AO749" i="3"/>
  <c r="AH749" i="3"/>
  <c r="AD749" i="3"/>
  <c r="Q749" i="3"/>
  <c r="AT748" i="3"/>
  <c r="AS748" i="3"/>
  <c r="AP748" i="3"/>
  <c r="AO748" i="3"/>
  <c r="AH748" i="3"/>
  <c r="AD748" i="3"/>
  <c r="Q748" i="3"/>
  <c r="AT747" i="3"/>
  <c r="AS747" i="3"/>
  <c r="AP747" i="3"/>
  <c r="AO747" i="3"/>
  <c r="AH747" i="3"/>
  <c r="AD747" i="3"/>
  <c r="Q747" i="3"/>
  <c r="AT746" i="3"/>
  <c r="AS746" i="3"/>
  <c r="AP746" i="3"/>
  <c r="AO746" i="3"/>
  <c r="AH746" i="3"/>
  <c r="AD746" i="3"/>
  <c r="Q746" i="3"/>
  <c r="AT745" i="3"/>
  <c r="AS745" i="3"/>
  <c r="AP745" i="3"/>
  <c r="AO745" i="3"/>
  <c r="AH745" i="3"/>
  <c r="AD745" i="3"/>
  <c r="Q745" i="3"/>
  <c r="AT744" i="3"/>
  <c r="AS744" i="3"/>
  <c r="AP744" i="3"/>
  <c r="AO744" i="3"/>
  <c r="AH744" i="3"/>
  <c r="AD744" i="3"/>
  <c r="Q744" i="3"/>
  <c r="AT743" i="3"/>
  <c r="AS743" i="3"/>
  <c r="AP743" i="3"/>
  <c r="AO743" i="3"/>
  <c r="AH743" i="3"/>
  <c r="AD743" i="3"/>
  <c r="Q743" i="3"/>
  <c r="AT742" i="3"/>
  <c r="AS742" i="3"/>
  <c r="AP742" i="3"/>
  <c r="AO742" i="3"/>
  <c r="AH742" i="3"/>
  <c r="AD742" i="3"/>
  <c r="Q742" i="3"/>
  <c r="AT741" i="3"/>
  <c r="AS741" i="3"/>
  <c r="AP741" i="3"/>
  <c r="AO741" i="3"/>
  <c r="AH741" i="3"/>
  <c r="AD741" i="3"/>
  <c r="Q741" i="3"/>
  <c r="AT740" i="3"/>
  <c r="AS740" i="3"/>
  <c r="AP740" i="3"/>
  <c r="AO740" i="3"/>
  <c r="AH740" i="3"/>
  <c r="AD740" i="3"/>
  <c r="Q740" i="3"/>
  <c r="AT739" i="3"/>
  <c r="AS739" i="3"/>
  <c r="AP739" i="3"/>
  <c r="AO739" i="3"/>
  <c r="AH739" i="3"/>
  <c r="AD739" i="3"/>
  <c r="Q739" i="3"/>
  <c r="AT738" i="3"/>
  <c r="AS738" i="3"/>
  <c r="AP738" i="3"/>
  <c r="AO738" i="3"/>
  <c r="AH738" i="3"/>
  <c r="AD738" i="3"/>
  <c r="Q738" i="3"/>
  <c r="AT737" i="3"/>
  <c r="AS737" i="3"/>
  <c r="AP737" i="3"/>
  <c r="AO737" i="3"/>
  <c r="AH737" i="3"/>
  <c r="AD737" i="3"/>
  <c r="Q737" i="3"/>
  <c r="AT736" i="3"/>
  <c r="AS736" i="3"/>
  <c r="AP736" i="3"/>
  <c r="AO736" i="3"/>
  <c r="AH736" i="3"/>
  <c r="AD736" i="3"/>
  <c r="Q736" i="3"/>
  <c r="AT735" i="3"/>
  <c r="AS735" i="3"/>
  <c r="AP735" i="3"/>
  <c r="AO735" i="3"/>
  <c r="AH735" i="3"/>
  <c r="AD735" i="3"/>
  <c r="Q735" i="3"/>
  <c r="AT734" i="3"/>
  <c r="AS734" i="3"/>
  <c r="AP734" i="3"/>
  <c r="AO734" i="3"/>
  <c r="AH734" i="3"/>
  <c r="AD734" i="3"/>
  <c r="Q734" i="3"/>
  <c r="AT733" i="3"/>
  <c r="AS733" i="3"/>
  <c r="AP733" i="3"/>
  <c r="AO733" i="3"/>
  <c r="AH733" i="3"/>
  <c r="AD733" i="3"/>
  <c r="Q733" i="3"/>
  <c r="AT732" i="3"/>
  <c r="AS732" i="3"/>
  <c r="AP732" i="3"/>
  <c r="AO732" i="3"/>
  <c r="AH732" i="3"/>
  <c r="AD732" i="3"/>
  <c r="Q732" i="3"/>
  <c r="AT731" i="3"/>
  <c r="AS731" i="3"/>
  <c r="AP731" i="3"/>
  <c r="AO731" i="3"/>
  <c r="AH731" i="3"/>
  <c r="AD731" i="3"/>
  <c r="Q731" i="3"/>
  <c r="AT730" i="3"/>
  <c r="AS730" i="3"/>
  <c r="AP730" i="3"/>
  <c r="AO730" i="3"/>
  <c r="AH730" i="3"/>
  <c r="AD730" i="3"/>
  <c r="Q730" i="3"/>
  <c r="AT729" i="3"/>
  <c r="AS729" i="3"/>
  <c r="AP729" i="3"/>
  <c r="AO729" i="3"/>
  <c r="AD729" i="3"/>
  <c r="Q729" i="3"/>
  <c r="AT728" i="3"/>
  <c r="AS728" i="3"/>
  <c r="AP728" i="3"/>
  <c r="AO728" i="3"/>
  <c r="AD728" i="3"/>
  <c r="Q728" i="3"/>
  <c r="AT727" i="3"/>
  <c r="AS727" i="3"/>
  <c r="AP727" i="3"/>
  <c r="AO727" i="3"/>
  <c r="AH727" i="3"/>
  <c r="AD727" i="3"/>
  <c r="Q727" i="3"/>
  <c r="AT726" i="3"/>
  <c r="AS726" i="3"/>
  <c r="AP726" i="3"/>
  <c r="AO726" i="3"/>
  <c r="AH726" i="3"/>
  <c r="AD726" i="3"/>
  <c r="Q726" i="3"/>
  <c r="AT725" i="3"/>
  <c r="AS725" i="3"/>
  <c r="AP725" i="3"/>
  <c r="AO725" i="3"/>
  <c r="AH725" i="3"/>
  <c r="AD725" i="3"/>
  <c r="Q725" i="3"/>
  <c r="AT724" i="3"/>
  <c r="AS724" i="3"/>
  <c r="AP724" i="3"/>
  <c r="AO724" i="3"/>
  <c r="AH724" i="3"/>
  <c r="AD724" i="3"/>
  <c r="Q724" i="3"/>
  <c r="AT723" i="3"/>
  <c r="AS723" i="3"/>
  <c r="AP723" i="3"/>
  <c r="AO723" i="3"/>
  <c r="AH723" i="3"/>
  <c r="AD723" i="3"/>
  <c r="Q723" i="3"/>
  <c r="AT722" i="3"/>
  <c r="AS722" i="3"/>
  <c r="AP722" i="3"/>
  <c r="AO722" i="3"/>
  <c r="AH722" i="3"/>
  <c r="AD722" i="3"/>
  <c r="Q722" i="3"/>
  <c r="AT721" i="3"/>
  <c r="AS721" i="3"/>
  <c r="AP721" i="3"/>
  <c r="AO721" i="3"/>
  <c r="AH721" i="3"/>
  <c r="AD721" i="3"/>
  <c r="Q721" i="3"/>
  <c r="AT720" i="3"/>
  <c r="AS720" i="3"/>
  <c r="AP720" i="3"/>
  <c r="AO720" i="3"/>
  <c r="AH720" i="3"/>
  <c r="AD720" i="3"/>
  <c r="Q720" i="3"/>
  <c r="AT719" i="3"/>
  <c r="AS719" i="3"/>
  <c r="AP719" i="3"/>
  <c r="AO719" i="3"/>
  <c r="AH719" i="3"/>
  <c r="AD719" i="3"/>
  <c r="Q719" i="3"/>
  <c r="AT718" i="3"/>
  <c r="AS718" i="3"/>
  <c r="AP718" i="3"/>
  <c r="AO718" i="3"/>
  <c r="AH718" i="3"/>
  <c r="AD718" i="3"/>
  <c r="Q718" i="3"/>
  <c r="AT717" i="3"/>
  <c r="AS717" i="3"/>
  <c r="AP717" i="3"/>
  <c r="AO717" i="3"/>
  <c r="AH717" i="3"/>
  <c r="AD717" i="3"/>
  <c r="Q717" i="3"/>
  <c r="AT716" i="3"/>
  <c r="AS716" i="3"/>
  <c r="AP716" i="3"/>
  <c r="AO716" i="3"/>
  <c r="AH716" i="3"/>
  <c r="AD716" i="3"/>
  <c r="Q716" i="3"/>
  <c r="AT715" i="3"/>
  <c r="AS715" i="3"/>
  <c r="AP715" i="3"/>
  <c r="AO715" i="3"/>
  <c r="AH715" i="3"/>
  <c r="AD715" i="3"/>
  <c r="Q715" i="3"/>
  <c r="AT714" i="3"/>
  <c r="AS714" i="3"/>
  <c r="AP714" i="3"/>
  <c r="AO714" i="3"/>
  <c r="AH714" i="3"/>
  <c r="AD714" i="3"/>
  <c r="Q714" i="3"/>
  <c r="AT713" i="3"/>
  <c r="AS713" i="3"/>
  <c r="AP713" i="3"/>
  <c r="AO713" i="3"/>
  <c r="AH713" i="3"/>
  <c r="AD713" i="3"/>
  <c r="Q713" i="3"/>
  <c r="AT712" i="3"/>
  <c r="AS712" i="3"/>
  <c r="AP712" i="3"/>
  <c r="AO712" i="3"/>
  <c r="AH712" i="3"/>
  <c r="AD712" i="3"/>
  <c r="Q712" i="3"/>
  <c r="AT711" i="3"/>
  <c r="AS711" i="3"/>
  <c r="AP711" i="3"/>
  <c r="AO711" i="3"/>
  <c r="AH711" i="3"/>
  <c r="AD711" i="3"/>
  <c r="Q711" i="3"/>
  <c r="AT710" i="3"/>
  <c r="AS710" i="3"/>
  <c r="AP710" i="3"/>
  <c r="AO710" i="3"/>
  <c r="AH710" i="3"/>
  <c r="AD710" i="3"/>
  <c r="Q710" i="3"/>
  <c r="AT709" i="3"/>
  <c r="AS709" i="3"/>
  <c r="AP709" i="3"/>
  <c r="AO709" i="3"/>
  <c r="AH709" i="3"/>
  <c r="AD709" i="3"/>
  <c r="Q709" i="3"/>
  <c r="AT708" i="3"/>
  <c r="AS708" i="3"/>
  <c r="AP708" i="3"/>
  <c r="AO708" i="3"/>
  <c r="AH708" i="3"/>
  <c r="AD708" i="3"/>
  <c r="Q708" i="3"/>
  <c r="AT707" i="3"/>
  <c r="AS707" i="3"/>
  <c r="AP707" i="3"/>
  <c r="AO707" i="3"/>
  <c r="AH707" i="3"/>
  <c r="AD707" i="3"/>
  <c r="Q707" i="3"/>
  <c r="AT706" i="3"/>
  <c r="AS706" i="3"/>
  <c r="AP706" i="3"/>
  <c r="AO706" i="3"/>
  <c r="AH706" i="3"/>
  <c r="AD706" i="3"/>
  <c r="Q706" i="3"/>
  <c r="AT705" i="3"/>
  <c r="AS705" i="3"/>
  <c r="AP705" i="3"/>
  <c r="AO705" i="3"/>
  <c r="AH705" i="3"/>
  <c r="AD705" i="3"/>
  <c r="Q705" i="3"/>
  <c r="AT704" i="3"/>
  <c r="AS704" i="3"/>
  <c r="AP704" i="3"/>
  <c r="AO704" i="3"/>
  <c r="AH704" i="3"/>
  <c r="AD704" i="3"/>
  <c r="Q704" i="3"/>
  <c r="AT703" i="3"/>
  <c r="AS703" i="3"/>
  <c r="AP703" i="3"/>
  <c r="AO703" i="3"/>
  <c r="AH703" i="3"/>
  <c r="AD703" i="3"/>
  <c r="Q703" i="3"/>
  <c r="AT702" i="3"/>
  <c r="AS702" i="3"/>
  <c r="AP702" i="3"/>
  <c r="AO702" i="3"/>
  <c r="AH702" i="3"/>
  <c r="AD702" i="3"/>
  <c r="Q702" i="3"/>
  <c r="AT701" i="3"/>
  <c r="AS701" i="3"/>
  <c r="AP701" i="3"/>
  <c r="AO701" i="3"/>
  <c r="AH701" i="3"/>
  <c r="AD701" i="3"/>
  <c r="Q701" i="3"/>
  <c r="AT700" i="3"/>
  <c r="AS700" i="3"/>
  <c r="AP700" i="3"/>
  <c r="AO700" i="3"/>
  <c r="AH700" i="3"/>
  <c r="AD700" i="3"/>
  <c r="Q700" i="3"/>
  <c r="AT699" i="3"/>
  <c r="AS699" i="3"/>
  <c r="AP699" i="3"/>
  <c r="AO699" i="3"/>
  <c r="AH699" i="3"/>
  <c r="AD699" i="3"/>
  <c r="Q699" i="3"/>
  <c r="AT698" i="3"/>
  <c r="AS698" i="3"/>
  <c r="AP698" i="3"/>
  <c r="AO698" i="3"/>
  <c r="AH698" i="3"/>
  <c r="AD698" i="3"/>
  <c r="Q698" i="3"/>
  <c r="AT697" i="3"/>
  <c r="AS697" i="3"/>
  <c r="AP697" i="3"/>
  <c r="AO697" i="3"/>
  <c r="AH697" i="3"/>
  <c r="AD697" i="3"/>
  <c r="Q697" i="3"/>
  <c r="AT696" i="3"/>
  <c r="AS696" i="3"/>
  <c r="AP696" i="3"/>
  <c r="AO696" i="3"/>
  <c r="AH696" i="3"/>
  <c r="AD696" i="3"/>
  <c r="Q696" i="3"/>
  <c r="AT695" i="3"/>
  <c r="AS695" i="3"/>
  <c r="AP695" i="3"/>
  <c r="AO695" i="3"/>
  <c r="AH695" i="3"/>
  <c r="AD695" i="3"/>
  <c r="Q695" i="3"/>
  <c r="AT694" i="3"/>
  <c r="AS694" i="3"/>
  <c r="AP694" i="3"/>
  <c r="AO694" i="3"/>
  <c r="AH694" i="3"/>
  <c r="AD694" i="3"/>
  <c r="Q694" i="3"/>
  <c r="AT693" i="3"/>
  <c r="AS693" i="3"/>
  <c r="AP693" i="3"/>
  <c r="AO693" i="3"/>
  <c r="AH693" i="3"/>
  <c r="AD693" i="3"/>
  <c r="Q693" i="3"/>
  <c r="AT692" i="3"/>
  <c r="AS692" i="3"/>
  <c r="AP692" i="3"/>
  <c r="AO692" i="3"/>
  <c r="AH692" i="3"/>
  <c r="AD692" i="3"/>
  <c r="Q692" i="3"/>
  <c r="AT691" i="3"/>
  <c r="AS691" i="3"/>
  <c r="AP691" i="3"/>
  <c r="AO691" i="3"/>
  <c r="AH691" i="3"/>
  <c r="AD691" i="3"/>
  <c r="Q691" i="3"/>
  <c r="AT690" i="3"/>
  <c r="AS690" i="3"/>
  <c r="AP690" i="3"/>
  <c r="AO690" i="3"/>
  <c r="AH690" i="3"/>
  <c r="AD690" i="3"/>
  <c r="Q690" i="3"/>
  <c r="AT689" i="3"/>
  <c r="AS689" i="3"/>
  <c r="AP689" i="3"/>
  <c r="AO689" i="3"/>
  <c r="AH689" i="3"/>
  <c r="AD689" i="3"/>
  <c r="Q689" i="3"/>
  <c r="AT688" i="3"/>
  <c r="AS688" i="3"/>
  <c r="AP688" i="3"/>
  <c r="AO688" i="3"/>
  <c r="AH688" i="3"/>
  <c r="AD688" i="3"/>
  <c r="Q688" i="3"/>
  <c r="AT687" i="3"/>
  <c r="AS687" i="3"/>
  <c r="AP687" i="3"/>
  <c r="AO687" i="3"/>
  <c r="AH687" i="3"/>
  <c r="AD687" i="3"/>
  <c r="Q687" i="3"/>
  <c r="AT686" i="3"/>
  <c r="AS686" i="3"/>
  <c r="AP686" i="3"/>
  <c r="AO686" i="3"/>
  <c r="AH686" i="3"/>
  <c r="AD686" i="3"/>
  <c r="Q686" i="3"/>
  <c r="AT685" i="3"/>
  <c r="AS685" i="3"/>
  <c r="AP685" i="3"/>
  <c r="AO685" i="3"/>
  <c r="AH685" i="3"/>
  <c r="AD685" i="3"/>
  <c r="Q685" i="3"/>
  <c r="AT684" i="3"/>
  <c r="AS684" i="3"/>
  <c r="AP684" i="3"/>
  <c r="AO684" i="3"/>
  <c r="AH684" i="3"/>
  <c r="AD684" i="3"/>
  <c r="Q684" i="3"/>
  <c r="AT683" i="3"/>
  <c r="AS683" i="3"/>
  <c r="AP683" i="3"/>
  <c r="AO683" i="3"/>
  <c r="AH683" i="3"/>
  <c r="AD683" i="3"/>
  <c r="Q683" i="3"/>
  <c r="AT682" i="3"/>
  <c r="AS682" i="3"/>
  <c r="AP682" i="3"/>
  <c r="AO682" i="3"/>
  <c r="AH682" i="3"/>
  <c r="AD682" i="3"/>
  <c r="Q682" i="3"/>
  <c r="AT681" i="3"/>
  <c r="AS681" i="3"/>
  <c r="AP681" i="3"/>
  <c r="AO681" i="3"/>
  <c r="AH681" i="3"/>
  <c r="AD681" i="3"/>
  <c r="Q681" i="3"/>
  <c r="AT680" i="3"/>
  <c r="AS680" i="3"/>
  <c r="AP680" i="3"/>
  <c r="AO680" i="3"/>
  <c r="AH680" i="3"/>
  <c r="AD680" i="3"/>
  <c r="Q680" i="3"/>
  <c r="AT679" i="3"/>
  <c r="AS679" i="3"/>
  <c r="AP679" i="3"/>
  <c r="AO679" i="3"/>
  <c r="AH679" i="3"/>
  <c r="AD679" i="3"/>
  <c r="Q679" i="3"/>
  <c r="AT678" i="3"/>
  <c r="AS678" i="3"/>
  <c r="AP678" i="3"/>
  <c r="AO678" i="3"/>
  <c r="AH678" i="3"/>
  <c r="AD678" i="3"/>
  <c r="Q678" i="3"/>
  <c r="AT677" i="3"/>
  <c r="AS677" i="3"/>
  <c r="AP677" i="3"/>
  <c r="AO677" i="3"/>
  <c r="AH677" i="3"/>
  <c r="AD677" i="3"/>
  <c r="Q677" i="3"/>
  <c r="AT676" i="3"/>
  <c r="AS676" i="3"/>
  <c r="AP676" i="3"/>
  <c r="AO676" i="3"/>
  <c r="AH676" i="3"/>
  <c r="AD676" i="3"/>
  <c r="Q676" i="3"/>
  <c r="AT675" i="3"/>
  <c r="AS675" i="3"/>
  <c r="AP675" i="3"/>
  <c r="AO675" i="3"/>
  <c r="AH675" i="3"/>
  <c r="AD675" i="3"/>
  <c r="Q675" i="3"/>
  <c r="AT674" i="3"/>
  <c r="AS674" i="3"/>
  <c r="AP674" i="3"/>
  <c r="AO674" i="3"/>
  <c r="AH674" i="3"/>
  <c r="AD674" i="3"/>
  <c r="Q674" i="3"/>
  <c r="AT673" i="3"/>
  <c r="AS673" i="3"/>
  <c r="AP673" i="3"/>
  <c r="AO673" i="3"/>
  <c r="AH673" i="3"/>
  <c r="AD673" i="3"/>
  <c r="Q673" i="3"/>
  <c r="AT672" i="3"/>
  <c r="AS672" i="3"/>
  <c r="AP672" i="3"/>
  <c r="AO672" i="3"/>
  <c r="AH672" i="3"/>
  <c r="AD672" i="3"/>
  <c r="Q672" i="3"/>
  <c r="AT671" i="3"/>
  <c r="AS671" i="3"/>
  <c r="AP671" i="3"/>
  <c r="AO671" i="3"/>
  <c r="AH671" i="3"/>
  <c r="AD671" i="3"/>
  <c r="Q671" i="3"/>
  <c r="AT670" i="3"/>
  <c r="AS670" i="3"/>
  <c r="AP670" i="3"/>
  <c r="AO670" i="3"/>
  <c r="AL670" i="3"/>
  <c r="AH670" i="3"/>
  <c r="AD670" i="3"/>
  <c r="Q670" i="3"/>
  <c r="AT669" i="3"/>
  <c r="AS669" i="3"/>
  <c r="AP669" i="3"/>
  <c r="AO669" i="3"/>
  <c r="AL669" i="3"/>
  <c r="AH669" i="3"/>
  <c r="AD669" i="3"/>
  <c r="Q669" i="3"/>
  <c r="AT668" i="3"/>
  <c r="AS668" i="3"/>
  <c r="AP668" i="3"/>
  <c r="AO668" i="3"/>
  <c r="AL668" i="3"/>
  <c r="AH668" i="3"/>
  <c r="AD668" i="3"/>
  <c r="Q668" i="3"/>
  <c r="AT667" i="3"/>
  <c r="AS667" i="3"/>
  <c r="AP667" i="3"/>
  <c r="AO667" i="3"/>
  <c r="AL667" i="3"/>
  <c r="AH667" i="3"/>
  <c r="AD667" i="3"/>
  <c r="Q667" i="3"/>
  <c r="AT666" i="3"/>
  <c r="AS666" i="3"/>
  <c r="AP666" i="3"/>
  <c r="AO666" i="3"/>
  <c r="AL666" i="3"/>
  <c r="AH666" i="3"/>
  <c r="AD666" i="3"/>
  <c r="Q666" i="3"/>
  <c r="AT665" i="3"/>
  <c r="AS665" i="3"/>
  <c r="AP665" i="3"/>
  <c r="AO665" i="3"/>
  <c r="AL665" i="3"/>
  <c r="AH665" i="3"/>
  <c r="AD665" i="3"/>
  <c r="Q665" i="3"/>
  <c r="AT664" i="3"/>
  <c r="AS664" i="3"/>
  <c r="AP664" i="3"/>
  <c r="AO664" i="3"/>
  <c r="AL664" i="3"/>
  <c r="AH664" i="3"/>
  <c r="AD664" i="3"/>
  <c r="Q664" i="3"/>
  <c r="AT663" i="3"/>
  <c r="AS663" i="3"/>
  <c r="AP663" i="3"/>
  <c r="AO663" i="3"/>
  <c r="AL663" i="3"/>
  <c r="AH663" i="3"/>
  <c r="AD663" i="3"/>
  <c r="Q663" i="3"/>
  <c r="AT662" i="3"/>
  <c r="AS662" i="3"/>
  <c r="AP662" i="3"/>
  <c r="AO662" i="3"/>
  <c r="AL662" i="3"/>
  <c r="AH662" i="3"/>
  <c r="AD662" i="3"/>
  <c r="Q662" i="3"/>
  <c r="AT661" i="3"/>
  <c r="AS661" i="3"/>
  <c r="AP661" i="3"/>
  <c r="AO661" i="3"/>
  <c r="AL661" i="3"/>
  <c r="AH661" i="3"/>
  <c r="AD661" i="3"/>
  <c r="Q661" i="3"/>
  <c r="AT660" i="3"/>
  <c r="AS660" i="3"/>
  <c r="AP660" i="3"/>
  <c r="AO660" i="3"/>
  <c r="AL660" i="3"/>
  <c r="AH660" i="3"/>
  <c r="AD660" i="3"/>
  <c r="Q660" i="3"/>
  <c r="AT659" i="3"/>
  <c r="AS659" i="3"/>
  <c r="AP659" i="3"/>
  <c r="AO659" i="3"/>
  <c r="AL659" i="3"/>
  <c r="AH659" i="3"/>
  <c r="AD659" i="3"/>
  <c r="Q659" i="3"/>
  <c r="AT658" i="3"/>
  <c r="AS658" i="3"/>
  <c r="AP658" i="3"/>
  <c r="AO658" i="3"/>
  <c r="AL658" i="3"/>
  <c r="AH658" i="3"/>
  <c r="AD658" i="3"/>
  <c r="Q658" i="3"/>
  <c r="AT657" i="3"/>
  <c r="AS657" i="3"/>
  <c r="AP657" i="3"/>
  <c r="AO657" i="3"/>
  <c r="AL657" i="3"/>
  <c r="AH657" i="3"/>
  <c r="AD657" i="3"/>
  <c r="Q657" i="3"/>
  <c r="AT656" i="3"/>
  <c r="AS656" i="3"/>
  <c r="AP656" i="3"/>
  <c r="AO656" i="3"/>
  <c r="AL656" i="3"/>
  <c r="AH656" i="3"/>
  <c r="AD656" i="3"/>
  <c r="Q656" i="3"/>
  <c r="AT655" i="3"/>
  <c r="AS655" i="3"/>
  <c r="AP655" i="3"/>
  <c r="AO655" i="3"/>
  <c r="AL655" i="3"/>
  <c r="AH655" i="3"/>
  <c r="AD655" i="3"/>
  <c r="Q655" i="3"/>
  <c r="AT654" i="3"/>
  <c r="AS654" i="3"/>
  <c r="AP654" i="3"/>
  <c r="AO654" i="3"/>
  <c r="AL654" i="3"/>
  <c r="AH654" i="3"/>
  <c r="AD654" i="3"/>
  <c r="Q654" i="3"/>
  <c r="AT653" i="3"/>
  <c r="AS653" i="3"/>
  <c r="AP653" i="3"/>
  <c r="AO653" i="3"/>
  <c r="AL653" i="3"/>
  <c r="AH653" i="3"/>
  <c r="AD653" i="3"/>
  <c r="Q653" i="3"/>
  <c r="AT652" i="3"/>
  <c r="AS652" i="3"/>
  <c r="AP652" i="3"/>
  <c r="AO652" i="3"/>
  <c r="AL652" i="3"/>
  <c r="AH652" i="3"/>
  <c r="AD652" i="3"/>
  <c r="Q652" i="3"/>
  <c r="AT651" i="3"/>
  <c r="AS651" i="3"/>
  <c r="AP651" i="3"/>
  <c r="AO651" i="3"/>
  <c r="AL651" i="3"/>
  <c r="AH651" i="3"/>
  <c r="AD651" i="3"/>
  <c r="Q651" i="3"/>
  <c r="AT650" i="3"/>
  <c r="AS650" i="3"/>
  <c r="AP650" i="3"/>
  <c r="AO650" i="3"/>
  <c r="AL650" i="3"/>
  <c r="AH650" i="3"/>
  <c r="AD650" i="3"/>
  <c r="Q650" i="3"/>
  <c r="AT649" i="3"/>
  <c r="AS649" i="3"/>
  <c r="AP649" i="3"/>
  <c r="AO649" i="3"/>
  <c r="AL649" i="3"/>
  <c r="AH649" i="3"/>
  <c r="AD649" i="3"/>
  <c r="Q649" i="3"/>
  <c r="AT648" i="3"/>
  <c r="AS648" i="3"/>
  <c r="AP648" i="3"/>
  <c r="AO648" i="3"/>
  <c r="AL648" i="3"/>
  <c r="AH648" i="3"/>
  <c r="AD648" i="3"/>
  <c r="Q648" i="3"/>
  <c r="AT647" i="3"/>
  <c r="AS647" i="3"/>
  <c r="AP647" i="3"/>
  <c r="AO647" i="3"/>
  <c r="AL647" i="3"/>
  <c r="AH647" i="3"/>
  <c r="AD647" i="3"/>
  <c r="Q647" i="3"/>
  <c r="AT646" i="3"/>
  <c r="AS646" i="3"/>
  <c r="AP646" i="3"/>
  <c r="AO646" i="3"/>
  <c r="AL646" i="3"/>
  <c r="AH646" i="3"/>
  <c r="AD646" i="3"/>
  <c r="Q646" i="3"/>
  <c r="AT645" i="3"/>
  <c r="AS645" i="3"/>
  <c r="AP645" i="3"/>
  <c r="AO645" i="3"/>
  <c r="AL645" i="3"/>
  <c r="AH645" i="3"/>
  <c r="AD645" i="3"/>
  <c r="Q645" i="3"/>
  <c r="AT644" i="3"/>
  <c r="AS644" i="3"/>
  <c r="AP644" i="3"/>
  <c r="AO644" i="3"/>
  <c r="AL644" i="3"/>
  <c r="AH644" i="3"/>
  <c r="AD644" i="3"/>
  <c r="Q644" i="3"/>
  <c r="AT643" i="3"/>
  <c r="AS643" i="3"/>
  <c r="AP643" i="3"/>
  <c r="AO643" i="3"/>
  <c r="AL643" i="3"/>
  <c r="AH643" i="3"/>
  <c r="AD643" i="3"/>
  <c r="Q643" i="3"/>
  <c r="AT642" i="3"/>
  <c r="AS642" i="3"/>
  <c r="AP642" i="3"/>
  <c r="AO642" i="3"/>
  <c r="AL642" i="3"/>
  <c r="AH642" i="3"/>
  <c r="AD642" i="3"/>
  <c r="Q642" i="3"/>
  <c r="AT641" i="3"/>
  <c r="AS641" i="3"/>
  <c r="AP641" i="3"/>
  <c r="AO641" i="3"/>
  <c r="AL641" i="3"/>
  <c r="AH641" i="3"/>
  <c r="Q641" i="3"/>
  <c r="AT640" i="3"/>
  <c r="AS640" i="3"/>
  <c r="AP640" i="3"/>
  <c r="AO640" i="3"/>
  <c r="AL640" i="3"/>
  <c r="AH640" i="3"/>
  <c r="Q640" i="3"/>
  <c r="AT639" i="3"/>
  <c r="AS639" i="3"/>
  <c r="AP639" i="3"/>
  <c r="AO639" i="3"/>
  <c r="AL639" i="3"/>
  <c r="AH639" i="3"/>
  <c r="AD639" i="3"/>
  <c r="Q639" i="3"/>
  <c r="AT638" i="3"/>
  <c r="AS638" i="3"/>
  <c r="AP638" i="3"/>
  <c r="AO638" i="3"/>
  <c r="AL638" i="3"/>
  <c r="AH638" i="3"/>
  <c r="AD638" i="3"/>
  <c r="Q638" i="3"/>
  <c r="AT637" i="3"/>
  <c r="AS637" i="3"/>
  <c r="AP637" i="3"/>
  <c r="AO637" i="3"/>
  <c r="AL637" i="3"/>
  <c r="AH637" i="3"/>
  <c r="AD637" i="3"/>
  <c r="Q637" i="3"/>
  <c r="AT636" i="3"/>
  <c r="AS636" i="3"/>
  <c r="AP636" i="3"/>
  <c r="AO636" i="3"/>
  <c r="AL636" i="3"/>
  <c r="AH636" i="3"/>
  <c r="AD636" i="3"/>
  <c r="Q636" i="3"/>
  <c r="AT635" i="3"/>
  <c r="AS635" i="3"/>
  <c r="AP635" i="3"/>
  <c r="AO635" i="3"/>
  <c r="AL635" i="3"/>
  <c r="AH635" i="3"/>
  <c r="AD635" i="3"/>
  <c r="Q635" i="3"/>
  <c r="AT634" i="3"/>
  <c r="AS634" i="3"/>
  <c r="AP634" i="3"/>
  <c r="AO634" i="3"/>
  <c r="AL634" i="3"/>
  <c r="AH634" i="3"/>
  <c r="AD634" i="3"/>
  <c r="Q634" i="3"/>
  <c r="AT633" i="3"/>
  <c r="AS633" i="3"/>
  <c r="AP633" i="3"/>
  <c r="AO633" i="3"/>
  <c r="AL633" i="3"/>
  <c r="AH633" i="3"/>
  <c r="AD633" i="3"/>
  <c r="Q633" i="3"/>
  <c r="AT632" i="3"/>
  <c r="AS632" i="3"/>
  <c r="AP632" i="3"/>
  <c r="AO632" i="3"/>
  <c r="AL632" i="3"/>
  <c r="AH632" i="3"/>
  <c r="AD632" i="3"/>
  <c r="Q632" i="3"/>
  <c r="AT631" i="3"/>
  <c r="AS631" i="3"/>
  <c r="AP631" i="3"/>
  <c r="AO631" i="3"/>
  <c r="AL631" i="3"/>
  <c r="AH631" i="3"/>
  <c r="AD631" i="3"/>
  <c r="Q631" i="3"/>
  <c r="AT630" i="3"/>
  <c r="AS630" i="3"/>
  <c r="AP630" i="3"/>
  <c r="AO630" i="3"/>
  <c r="AL630" i="3"/>
  <c r="AH630" i="3"/>
  <c r="AD630" i="3"/>
  <c r="Q630" i="3"/>
  <c r="AT629" i="3"/>
  <c r="AS629" i="3"/>
  <c r="AP629" i="3"/>
  <c r="AO629" i="3"/>
  <c r="AL629" i="3"/>
  <c r="AH629" i="3"/>
  <c r="AD629" i="3"/>
  <c r="Q629" i="3"/>
  <c r="AT628" i="3"/>
  <c r="AS628" i="3"/>
  <c r="AP628" i="3"/>
  <c r="AO628" i="3"/>
  <c r="AL628" i="3"/>
  <c r="AH628" i="3"/>
  <c r="AD628" i="3"/>
  <c r="Q628" i="3"/>
  <c r="AT627" i="3"/>
  <c r="AS627" i="3"/>
  <c r="AP627" i="3"/>
  <c r="AO627" i="3"/>
  <c r="AL627" i="3"/>
  <c r="AH627" i="3"/>
  <c r="AD627" i="3"/>
  <c r="Q627" i="3"/>
  <c r="AT626" i="3"/>
  <c r="AS626" i="3"/>
  <c r="AP626" i="3"/>
  <c r="AO626" i="3"/>
  <c r="AL626" i="3"/>
  <c r="AH626" i="3"/>
  <c r="AD626" i="3"/>
  <c r="Q626" i="3"/>
  <c r="AT625" i="3"/>
  <c r="AS625" i="3"/>
  <c r="AP625" i="3"/>
  <c r="AO625" i="3"/>
  <c r="AL625" i="3"/>
  <c r="AH625" i="3"/>
  <c r="AD625" i="3"/>
  <c r="Q625" i="3"/>
  <c r="AT624" i="3"/>
  <c r="AS624" i="3"/>
  <c r="AP624" i="3"/>
  <c r="AO624" i="3"/>
  <c r="AL624" i="3"/>
  <c r="AH624" i="3"/>
  <c r="AD624" i="3"/>
  <c r="Q624" i="3"/>
  <c r="AT623" i="3"/>
  <c r="AS623" i="3"/>
  <c r="AP623" i="3"/>
  <c r="AO623" i="3"/>
  <c r="AL623" i="3"/>
  <c r="AH623" i="3"/>
  <c r="AD623" i="3"/>
  <c r="Q623" i="3"/>
  <c r="AT622" i="3"/>
  <c r="AS622" i="3"/>
  <c r="AP622" i="3"/>
  <c r="AO622" i="3"/>
  <c r="AL622" i="3"/>
  <c r="AH622" i="3"/>
  <c r="AD622" i="3"/>
  <c r="Q622" i="3"/>
  <c r="AT621" i="3"/>
  <c r="AS621" i="3"/>
  <c r="AP621" i="3"/>
  <c r="AO621" i="3"/>
  <c r="AL621" i="3"/>
  <c r="AH621" i="3"/>
  <c r="AD621" i="3"/>
  <c r="Q621" i="3"/>
  <c r="AT620" i="3"/>
  <c r="AS620" i="3"/>
  <c r="AP620" i="3"/>
  <c r="AO620" i="3"/>
  <c r="AH620" i="3"/>
  <c r="AD620" i="3"/>
  <c r="Q620" i="3"/>
  <c r="AT619" i="3"/>
  <c r="AS619" i="3"/>
  <c r="AP619" i="3"/>
  <c r="AO619" i="3"/>
  <c r="AH619" i="3"/>
  <c r="AD619" i="3"/>
  <c r="Q619" i="3"/>
  <c r="AT618" i="3"/>
  <c r="AS618" i="3"/>
  <c r="AP618" i="3"/>
  <c r="AO618" i="3"/>
  <c r="AH618" i="3"/>
  <c r="AD618" i="3"/>
  <c r="AT617" i="3"/>
  <c r="AS617" i="3"/>
  <c r="AP617" i="3"/>
  <c r="AO617" i="3"/>
  <c r="AH617" i="3"/>
  <c r="AD617" i="3"/>
  <c r="Q617" i="3"/>
  <c r="AT616" i="3"/>
  <c r="AS616" i="3"/>
  <c r="AP616" i="3"/>
  <c r="AO616" i="3"/>
  <c r="AH616" i="3"/>
  <c r="AD616" i="3"/>
  <c r="Q616" i="3"/>
  <c r="AT615" i="3"/>
  <c r="AS615" i="3"/>
  <c r="AP615" i="3"/>
  <c r="AO615" i="3"/>
  <c r="AH615" i="3"/>
  <c r="AD615" i="3"/>
  <c r="Q615" i="3"/>
  <c r="AT614" i="3"/>
  <c r="AS614" i="3"/>
  <c r="AP614" i="3"/>
  <c r="AO614" i="3"/>
  <c r="AH614" i="3"/>
  <c r="AD614" i="3"/>
  <c r="Q614" i="3"/>
  <c r="AT613" i="3"/>
  <c r="AS613" i="3"/>
  <c r="AP613" i="3"/>
  <c r="AO613" i="3"/>
  <c r="AH613" i="3"/>
  <c r="AD613" i="3"/>
  <c r="Q613" i="3"/>
  <c r="AT612" i="3"/>
  <c r="AS612" i="3"/>
  <c r="AP612" i="3"/>
  <c r="AO612" i="3"/>
  <c r="AH612" i="3"/>
  <c r="AD612" i="3"/>
  <c r="AT611" i="3"/>
  <c r="AS611" i="3"/>
  <c r="AP611" i="3"/>
  <c r="AO611" i="3"/>
  <c r="AH611" i="3"/>
  <c r="AD611" i="3"/>
  <c r="Q611" i="3"/>
  <c r="AT610" i="3"/>
  <c r="AS610" i="3"/>
  <c r="AP610" i="3"/>
  <c r="AO610" i="3"/>
  <c r="AH610" i="3"/>
  <c r="AD610" i="3"/>
  <c r="Q610" i="3"/>
  <c r="AT609" i="3"/>
  <c r="AS609" i="3"/>
  <c r="AP609" i="3"/>
  <c r="AO609" i="3"/>
  <c r="AH609" i="3"/>
  <c r="AD609" i="3"/>
  <c r="Q609" i="3"/>
  <c r="AT608" i="3"/>
  <c r="AS608" i="3"/>
  <c r="AP608" i="3"/>
  <c r="AO608" i="3"/>
  <c r="AH608" i="3"/>
  <c r="AD608" i="3"/>
  <c r="Q608" i="3"/>
  <c r="AT607" i="3"/>
  <c r="AS607" i="3"/>
  <c r="AP607" i="3"/>
  <c r="AO607" i="3"/>
  <c r="Q607" i="3"/>
  <c r="AT606" i="3"/>
  <c r="AS606" i="3"/>
  <c r="AP606" i="3"/>
  <c r="AO606" i="3"/>
  <c r="AH606" i="3"/>
  <c r="AD606" i="3"/>
  <c r="Q606" i="3"/>
  <c r="AT605" i="3"/>
  <c r="AS605" i="3"/>
  <c r="AP605" i="3"/>
  <c r="AO605" i="3"/>
  <c r="AH605" i="3"/>
  <c r="AD605" i="3"/>
  <c r="Q605" i="3"/>
  <c r="AT604" i="3"/>
  <c r="AS604" i="3"/>
  <c r="AP604" i="3"/>
  <c r="AO604" i="3"/>
  <c r="AH604" i="3"/>
  <c r="AD604" i="3"/>
  <c r="Q604" i="3"/>
  <c r="AT603" i="3"/>
  <c r="AS603" i="3"/>
  <c r="AP603" i="3"/>
  <c r="AO603" i="3"/>
  <c r="AH603" i="3"/>
  <c r="AD603" i="3"/>
  <c r="Q603" i="3"/>
  <c r="AT602" i="3"/>
  <c r="AS602" i="3"/>
  <c r="AP602" i="3"/>
  <c r="AO602" i="3"/>
  <c r="AH602" i="3"/>
  <c r="AD602" i="3"/>
  <c r="Q602" i="3"/>
  <c r="AT601" i="3"/>
  <c r="AS601" i="3"/>
  <c r="AP601" i="3"/>
  <c r="AO601" i="3"/>
  <c r="AH601" i="3"/>
  <c r="Q601" i="3"/>
  <c r="AT600" i="3"/>
  <c r="AS600" i="3"/>
  <c r="AP600" i="3"/>
  <c r="AO600" i="3"/>
  <c r="AH600" i="3"/>
  <c r="AD600" i="3"/>
  <c r="Q600" i="3"/>
  <c r="AT599" i="3"/>
  <c r="AS599" i="3"/>
  <c r="AP599" i="3"/>
  <c r="AO599" i="3"/>
  <c r="AH599" i="3"/>
  <c r="Q599" i="3"/>
  <c r="AT598" i="3"/>
  <c r="AS598" i="3"/>
  <c r="AP598" i="3"/>
  <c r="AO598" i="3"/>
  <c r="AH598" i="3"/>
  <c r="AD598" i="3"/>
  <c r="Q598" i="3"/>
  <c r="AT597" i="3"/>
  <c r="AS597" i="3"/>
  <c r="AP597" i="3"/>
  <c r="AO597" i="3"/>
  <c r="AL597" i="3"/>
  <c r="AH597" i="3"/>
  <c r="AD597" i="3"/>
  <c r="Q597" i="3"/>
  <c r="AT596" i="3"/>
  <c r="AS596" i="3"/>
  <c r="AP596" i="3"/>
  <c r="AO596" i="3"/>
  <c r="AL596" i="3"/>
  <c r="AH596" i="3"/>
  <c r="AD596" i="3"/>
  <c r="Q596" i="3"/>
  <c r="AT595" i="3"/>
  <c r="AS595" i="3"/>
  <c r="AP595" i="3"/>
  <c r="AO595" i="3"/>
  <c r="AL595" i="3"/>
  <c r="AH595" i="3"/>
  <c r="AD595" i="3"/>
  <c r="Q595" i="3"/>
  <c r="AT594" i="3"/>
  <c r="AS594" i="3"/>
  <c r="AP594" i="3"/>
  <c r="AO594" i="3"/>
  <c r="AL594" i="3"/>
  <c r="AH594" i="3"/>
  <c r="AD594" i="3"/>
  <c r="Q594" i="3"/>
  <c r="AT593" i="3"/>
  <c r="AS593" i="3"/>
  <c r="AP593" i="3"/>
  <c r="AO593" i="3"/>
  <c r="AL593" i="3"/>
  <c r="AH593" i="3"/>
  <c r="Q593" i="3"/>
  <c r="AT592" i="3"/>
  <c r="AS592" i="3"/>
  <c r="AP592" i="3"/>
  <c r="AO592" i="3"/>
  <c r="AL592" i="3"/>
  <c r="AH592" i="3"/>
  <c r="Q592" i="3"/>
  <c r="AT591" i="3"/>
  <c r="AS591" i="3"/>
  <c r="AP591" i="3"/>
  <c r="AO591" i="3"/>
  <c r="AL591" i="3"/>
  <c r="AH591" i="3"/>
  <c r="AD591" i="3"/>
  <c r="Q591" i="3"/>
  <c r="AT590" i="3"/>
  <c r="AS590" i="3"/>
  <c r="AP590" i="3"/>
  <c r="AO590" i="3"/>
  <c r="AL590" i="3"/>
  <c r="AH590" i="3"/>
  <c r="AD590" i="3"/>
  <c r="Q590" i="3"/>
  <c r="AT589" i="3"/>
  <c r="AS589" i="3"/>
  <c r="AP589" i="3"/>
  <c r="AO589" i="3"/>
  <c r="AL589" i="3"/>
  <c r="AH589" i="3"/>
  <c r="AD589" i="3"/>
  <c r="Q589" i="3"/>
  <c r="AT588" i="3"/>
  <c r="AS588" i="3"/>
  <c r="AP588" i="3"/>
  <c r="AO588" i="3"/>
  <c r="AL588" i="3"/>
  <c r="AH588" i="3"/>
  <c r="Q588" i="3"/>
  <c r="AT587" i="3"/>
  <c r="AS587" i="3"/>
  <c r="AP587" i="3"/>
  <c r="AO587" i="3"/>
  <c r="AL587" i="3"/>
  <c r="AH587" i="3"/>
  <c r="Q587" i="3"/>
  <c r="AT586" i="3"/>
  <c r="AS586" i="3"/>
  <c r="AP586" i="3"/>
  <c r="AO586" i="3"/>
  <c r="AL586" i="3"/>
  <c r="AH586" i="3"/>
  <c r="Q586" i="3"/>
  <c r="AT585" i="3"/>
  <c r="AS585" i="3"/>
  <c r="AP585" i="3"/>
  <c r="AO585" i="3"/>
  <c r="AL585" i="3"/>
  <c r="AH585" i="3"/>
  <c r="Q585" i="3"/>
  <c r="AT584" i="3"/>
  <c r="AS584" i="3"/>
  <c r="AP584" i="3"/>
  <c r="AO584" i="3"/>
  <c r="AL584" i="3"/>
  <c r="AH584" i="3"/>
  <c r="AD584" i="3"/>
  <c r="Q584" i="3"/>
  <c r="AT583" i="3"/>
  <c r="AS583" i="3"/>
  <c r="AP583" i="3"/>
  <c r="AO583" i="3"/>
  <c r="AL583" i="3"/>
  <c r="AH583" i="3"/>
  <c r="AD583" i="3"/>
  <c r="Q583" i="3"/>
  <c r="AT582" i="3"/>
  <c r="AS582" i="3"/>
  <c r="AP582" i="3"/>
  <c r="AO582" i="3"/>
  <c r="AL582" i="3"/>
  <c r="AH582" i="3"/>
  <c r="AD582" i="3"/>
  <c r="Q582" i="3"/>
  <c r="AT581" i="3"/>
  <c r="AS581" i="3"/>
  <c r="AP581" i="3"/>
  <c r="AO581" i="3"/>
  <c r="AL581" i="3"/>
  <c r="AH581" i="3"/>
  <c r="AD581" i="3"/>
  <c r="Q581" i="3"/>
  <c r="AT580" i="3"/>
  <c r="AS580" i="3"/>
  <c r="AP580" i="3"/>
  <c r="AO580" i="3"/>
  <c r="AL580" i="3"/>
  <c r="AH580" i="3"/>
  <c r="AD580" i="3"/>
  <c r="Q580" i="3"/>
  <c r="AT579" i="3"/>
  <c r="AS579" i="3"/>
  <c r="AP579" i="3"/>
  <c r="AO579" i="3"/>
  <c r="AL579" i="3"/>
  <c r="AH579" i="3"/>
  <c r="AD579" i="3"/>
  <c r="Q579" i="3"/>
  <c r="AT578" i="3"/>
  <c r="AS578" i="3"/>
  <c r="AP578" i="3"/>
  <c r="AO578" i="3"/>
  <c r="AL578" i="3"/>
  <c r="AH578" i="3"/>
  <c r="Q578" i="3"/>
  <c r="AT577" i="3"/>
  <c r="AS577" i="3"/>
  <c r="AP577" i="3"/>
  <c r="AO577" i="3"/>
  <c r="AL577" i="3"/>
  <c r="AH577" i="3"/>
  <c r="Q577" i="3"/>
  <c r="AT576" i="3"/>
  <c r="AS576" i="3"/>
  <c r="AP576" i="3"/>
  <c r="AO576" i="3"/>
  <c r="AL576" i="3"/>
  <c r="AH576" i="3"/>
  <c r="Q576" i="3"/>
  <c r="AT575" i="3"/>
  <c r="AS575" i="3"/>
  <c r="AP575" i="3"/>
  <c r="AO575" i="3"/>
  <c r="AL575" i="3"/>
  <c r="AH575" i="3"/>
  <c r="Q575" i="3"/>
  <c r="AT574" i="3"/>
  <c r="AS574" i="3"/>
  <c r="AP574" i="3"/>
  <c r="AO574" i="3"/>
  <c r="AL574" i="3"/>
  <c r="AH574" i="3"/>
  <c r="AD574" i="3"/>
  <c r="Q574" i="3"/>
  <c r="AT573" i="3"/>
  <c r="AS573" i="3"/>
  <c r="AP573" i="3"/>
  <c r="AO573" i="3"/>
  <c r="AL573" i="3"/>
  <c r="AH573" i="3"/>
  <c r="AD573" i="3"/>
  <c r="Q573" i="3"/>
  <c r="AT572" i="3"/>
  <c r="AS572" i="3"/>
  <c r="AP572" i="3"/>
  <c r="AO572" i="3"/>
  <c r="AL572" i="3"/>
  <c r="AH572" i="3"/>
  <c r="AD572" i="3"/>
  <c r="Q572" i="3"/>
  <c r="AT571" i="3"/>
  <c r="AS571" i="3"/>
  <c r="AP571" i="3"/>
  <c r="AO571" i="3"/>
  <c r="AL571" i="3"/>
  <c r="AH571" i="3"/>
  <c r="AD571" i="3"/>
  <c r="Q571" i="3"/>
  <c r="AT570" i="3"/>
  <c r="AS570" i="3"/>
  <c r="AP570" i="3"/>
  <c r="AO570" i="3"/>
  <c r="AL570" i="3"/>
  <c r="AH570" i="3"/>
  <c r="AD570" i="3"/>
  <c r="Q570" i="3"/>
  <c r="AT569" i="3"/>
  <c r="AS569" i="3"/>
  <c r="AP569" i="3"/>
  <c r="AO569" i="3"/>
  <c r="AL569" i="3"/>
  <c r="AH569" i="3"/>
  <c r="AD569" i="3"/>
  <c r="Q569" i="3"/>
  <c r="AT568" i="3"/>
  <c r="AS568" i="3"/>
  <c r="AP568" i="3"/>
  <c r="AO568" i="3"/>
  <c r="AL568" i="3"/>
  <c r="AH568" i="3"/>
  <c r="AD568" i="3"/>
  <c r="Q568" i="3"/>
  <c r="AT567" i="3"/>
  <c r="AS567" i="3"/>
  <c r="AP567" i="3"/>
  <c r="AO567" i="3"/>
  <c r="AL567" i="3"/>
  <c r="AH567" i="3"/>
  <c r="AD567" i="3"/>
  <c r="Q567" i="3"/>
  <c r="AT566" i="3"/>
  <c r="AS566" i="3"/>
  <c r="AP566" i="3"/>
  <c r="AO566" i="3"/>
  <c r="AL566" i="3"/>
  <c r="AH566" i="3"/>
  <c r="AD566" i="3"/>
  <c r="Q566" i="3"/>
  <c r="AT565" i="3"/>
  <c r="AS565" i="3"/>
  <c r="AP565" i="3"/>
  <c r="AO565" i="3"/>
  <c r="AL565" i="3"/>
  <c r="AH565" i="3"/>
  <c r="AD565" i="3"/>
  <c r="Q565" i="3"/>
  <c r="AT564" i="3"/>
  <c r="AS564" i="3"/>
  <c r="AP564" i="3"/>
  <c r="AO564" i="3"/>
  <c r="AL564" i="3"/>
  <c r="AH564" i="3"/>
  <c r="AD564" i="3"/>
  <c r="Q564" i="3"/>
  <c r="AT563" i="3"/>
  <c r="AS563" i="3"/>
  <c r="AP563" i="3"/>
  <c r="AO563" i="3"/>
  <c r="AL563" i="3"/>
  <c r="AH563" i="3"/>
  <c r="AD563" i="3"/>
  <c r="Q563" i="3"/>
  <c r="AT562" i="3"/>
  <c r="AS562" i="3"/>
  <c r="AP562" i="3"/>
  <c r="AO562" i="3"/>
  <c r="AL562" i="3"/>
  <c r="AH562" i="3"/>
  <c r="AD562" i="3"/>
  <c r="Q562" i="3"/>
  <c r="AT561" i="3"/>
  <c r="AS561" i="3"/>
  <c r="AP561" i="3"/>
  <c r="AO561" i="3"/>
  <c r="AL561" i="3"/>
  <c r="AH561" i="3"/>
  <c r="AD561" i="3"/>
  <c r="Q561" i="3"/>
  <c r="AT560" i="3"/>
  <c r="AS560" i="3"/>
  <c r="AP560" i="3"/>
  <c r="AO560" i="3"/>
  <c r="AL560" i="3"/>
  <c r="AH560" i="3"/>
  <c r="AD560" i="3"/>
  <c r="Q560" i="3"/>
  <c r="AT559" i="3"/>
  <c r="AS559" i="3"/>
  <c r="AP559" i="3"/>
  <c r="AO559" i="3"/>
  <c r="AH559" i="3"/>
  <c r="AD559" i="3"/>
  <c r="Q559" i="3"/>
  <c r="AT558" i="3"/>
  <c r="AS558" i="3"/>
  <c r="AP558" i="3"/>
  <c r="AO558" i="3"/>
  <c r="AH558" i="3"/>
  <c r="AD558" i="3"/>
  <c r="Q558" i="3"/>
  <c r="AT557" i="3"/>
  <c r="AS557" i="3"/>
  <c r="AP557" i="3"/>
  <c r="AO557" i="3"/>
  <c r="AH557" i="3"/>
  <c r="AD557" i="3"/>
  <c r="Q557" i="3"/>
  <c r="AT556" i="3"/>
  <c r="AS556" i="3"/>
  <c r="AP556" i="3"/>
  <c r="AO556" i="3"/>
  <c r="AH556" i="3"/>
  <c r="AD556" i="3"/>
  <c r="Q556" i="3"/>
  <c r="AT555" i="3"/>
  <c r="AS555" i="3"/>
  <c r="AP555" i="3"/>
  <c r="AO555" i="3"/>
  <c r="AH555" i="3"/>
  <c r="AD555" i="3"/>
  <c r="Q555" i="3"/>
  <c r="AT554" i="3"/>
  <c r="AS554" i="3"/>
  <c r="AP554" i="3"/>
  <c r="AO554" i="3"/>
  <c r="AH554" i="3"/>
  <c r="AD554" i="3"/>
  <c r="Q554" i="3"/>
  <c r="AT553" i="3"/>
  <c r="AS553" i="3"/>
  <c r="AP553" i="3"/>
  <c r="AO553" i="3"/>
  <c r="AH553" i="3"/>
  <c r="Q553" i="3"/>
  <c r="AT552" i="3"/>
  <c r="AS552" i="3"/>
  <c r="AP552" i="3"/>
  <c r="AO552" i="3"/>
  <c r="AH552" i="3"/>
  <c r="AD552" i="3"/>
  <c r="Q552" i="3"/>
  <c r="AT551" i="3"/>
  <c r="AS551" i="3"/>
  <c r="AP551" i="3"/>
  <c r="AO551" i="3"/>
  <c r="AH551" i="3"/>
  <c r="AD551" i="3"/>
  <c r="Q551" i="3"/>
  <c r="AT550" i="3"/>
  <c r="AS550" i="3"/>
  <c r="AP550" i="3"/>
  <c r="AO550" i="3"/>
  <c r="AH550" i="3"/>
  <c r="Q550" i="3"/>
  <c r="AT549" i="3"/>
  <c r="AS549" i="3"/>
  <c r="AP549" i="3"/>
  <c r="AO549" i="3"/>
  <c r="AH549" i="3"/>
  <c r="AD549" i="3"/>
  <c r="Q549" i="3"/>
  <c r="AT548" i="3"/>
  <c r="AS548" i="3"/>
  <c r="AP548" i="3"/>
  <c r="AO548" i="3"/>
  <c r="AH548" i="3"/>
  <c r="AD548" i="3"/>
  <c r="Q548" i="3"/>
  <c r="AT547" i="3"/>
  <c r="AS547" i="3"/>
  <c r="AP547" i="3"/>
  <c r="AO547" i="3"/>
  <c r="AH547" i="3"/>
  <c r="Q547" i="3"/>
  <c r="AT546" i="3"/>
  <c r="AS546" i="3"/>
  <c r="AP546" i="3"/>
  <c r="AO546" i="3"/>
  <c r="AH546" i="3"/>
  <c r="AD546" i="3"/>
  <c r="Q546" i="3"/>
  <c r="AT545" i="3"/>
  <c r="AS545" i="3"/>
  <c r="AP545" i="3"/>
  <c r="AO545" i="3"/>
  <c r="AH545" i="3"/>
  <c r="AD545" i="3"/>
  <c r="Q545" i="3"/>
  <c r="AT544" i="3"/>
  <c r="AS544" i="3"/>
  <c r="AP544" i="3"/>
  <c r="AO544" i="3"/>
  <c r="AL544" i="3"/>
  <c r="AH544" i="3"/>
  <c r="AD544" i="3"/>
  <c r="Q544" i="3"/>
  <c r="AT543" i="3"/>
  <c r="AS543" i="3"/>
  <c r="AP543" i="3"/>
  <c r="AO543" i="3"/>
  <c r="AL543" i="3"/>
  <c r="AH543" i="3"/>
  <c r="AD543" i="3"/>
  <c r="Q543" i="3"/>
  <c r="AT542" i="3"/>
  <c r="AS542" i="3"/>
  <c r="AP542" i="3"/>
  <c r="AO542" i="3"/>
  <c r="AL542" i="3"/>
  <c r="AH542" i="3"/>
  <c r="AD542" i="3"/>
  <c r="Q542" i="3"/>
  <c r="AT541" i="3"/>
  <c r="AS541" i="3"/>
  <c r="AP541" i="3"/>
  <c r="AO541" i="3"/>
  <c r="AL541" i="3"/>
  <c r="AH541" i="3"/>
  <c r="AD541" i="3"/>
  <c r="Q541" i="3"/>
  <c r="AT540" i="3"/>
  <c r="AS540" i="3"/>
  <c r="AP540" i="3"/>
  <c r="AO540" i="3"/>
  <c r="AL540" i="3"/>
  <c r="AH540" i="3"/>
  <c r="AD540" i="3"/>
  <c r="Q540" i="3"/>
  <c r="AT539" i="3"/>
  <c r="AS539" i="3"/>
  <c r="AP539" i="3"/>
  <c r="AO539" i="3"/>
  <c r="AL539" i="3"/>
  <c r="AH539" i="3"/>
  <c r="AD539" i="3"/>
  <c r="Q539" i="3"/>
  <c r="AT538" i="3"/>
  <c r="AS538" i="3"/>
  <c r="AP538" i="3"/>
  <c r="AO538" i="3"/>
  <c r="AL538" i="3"/>
  <c r="AH538" i="3"/>
  <c r="AD538" i="3"/>
  <c r="Q538" i="3"/>
  <c r="AT537" i="3"/>
  <c r="AS537" i="3"/>
  <c r="AP537" i="3"/>
  <c r="AO537" i="3"/>
  <c r="AL537" i="3"/>
  <c r="AH537" i="3"/>
  <c r="AD537" i="3"/>
  <c r="Q537" i="3"/>
  <c r="AT536" i="3"/>
  <c r="AS536" i="3"/>
  <c r="AP536" i="3"/>
  <c r="AO536" i="3"/>
  <c r="AL536" i="3"/>
  <c r="AH536" i="3"/>
  <c r="AD536" i="3"/>
  <c r="Q536" i="3"/>
  <c r="AT535" i="3"/>
  <c r="AS535" i="3"/>
  <c r="AP535" i="3"/>
  <c r="AO535" i="3"/>
  <c r="AL535" i="3"/>
  <c r="AH535" i="3"/>
  <c r="AD535" i="3"/>
  <c r="Q535" i="3"/>
  <c r="AT534" i="3"/>
  <c r="AS534" i="3"/>
  <c r="AP534" i="3"/>
  <c r="AO534" i="3"/>
  <c r="AL534" i="3"/>
  <c r="AH534" i="3"/>
  <c r="AD534" i="3"/>
  <c r="Q534" i="3"/>
  <c r="AT533" i="3"/>
  <c r="AS533" i="3"/>
  <c r="AP533" i="3"/>
  <c r="AO533" i="3"/>
  <c r="AL533" i="3"/>
  <c r="AH533" i="3"/>
  <c r="AD533" i="3"/>
  <c r="Q533" i="3"/>
  <c r="AT532" i="3"/>
  <c r="AS532" i="3"/>
  <c r="AP532" i="3"/>
  <c r="AO532" i="3"/>
  <c r="AL532" i="3"/>
  <c r="AH532" i="3"/>
  <c r="AD532" i="3"/>
  <c r="Q532" i="3"/>
  <c r="AT531" i="3"/>
  <c r="AS531" i="3"/>
  <c r="AP531" i="3"/>
  <c r="AO531" i="3"/>
  <c r="AL531" i="3"/>
  <c r="AH531" i="3"/>
  <c r="AD531" i="3"/>
  <c r="Q531" i="3"/>
  <c r="AT530" i="3"/>
  <c r="AS530" i="3"/>
  <c r="AP530" i="3"/>
  <c r="AO530" i="3"/>
  <c r="AL530" i="3"/>
  <c r="AH530" i="3"/>
  <c r="AD530" i="3"/>
  <c r="Q530" i="3"/>
  <c r="AT529" i="3"/>
  <c r="AS529" i="3"/>
  <c r="AP529" i="3"/>
  <c r="AO529" i="3"/>
  <c r="AL529" i="3"/>
  <c r="AH529" i="3"/>
  <c r="AD529" i="3"/>
  <c r="Q529" i="3"/>
  <c r="AT528" i="3"/>
  <c r="AS528" i="3"/>
  <c r="AP528" i="3"/>
  <c r="AO528" i="3"/>
  <c r="AL528" i="3"/>
  <c r="AH528" i="3"/>
  <c r="AD528" i="3"/>
  <c r="Q528" i="3"/>
  <c r="AT527" i="3"/>
  <c r="AS527" i="3"/>
  <c r="AP527" i="3"/>
  <c r="AO527" i="3"/>
  <c r="AL527" i="3"/>
  <c r="AH527" i="3"/>
  <c r="AD527" i="3"/>
  <c r="Q527" i="3"/>
  <c r="AT526" i="3"/>
  <c r="AS526" i="3"/>
  <c r="AP526" i="3"/>
  <c r="AO526" i="3"/>
  <c r="AL526" i="3"/>
  <c r="AH526" i="3"/>
  <c r="AD526" i="3"/>
  <c r="Q526" i="3"/>
  <c r="AT525" i="3"/>
  <c r="AS525" i="3"/>
  <c r="AP525" i="3"/>
  <c r="AO525" i="3"/>
  <c r="AL525" i="3"/>
  <c r="AH525" i="3"/>
  <c r="AD525" i="3"/>
  <c r="Q525" i="3"/>
  <c r="AT524" i="3"/>
  <c r="AS524" i="3"/>
  <c r="AP524" i="3"/>
  <c r="AO524" i="3"/>
  <c r="AL524" i="3"/>
  <c r="AH524" i="3"/>
  <c r="AD524" i="3"/>
  <c r="Q524" i="3"/>
  <c r="AT523" i="3"/>
  <c r="AS523" i="3"/>
  <c r="AP523" i="3"/>
  <c r="AO523" i="3"/>
  <c r="AL523" i="3"/>
  <c r="AH523" i="3"/>
  <c r="AD523" i="3"/>
  <c r="Q523" i="3"/>
  <c r="AT522" i="3"/>
  <c r="AS522" i="3"/>
  <c r="AP522" i="3"/>
  <c r="AO522" i="3"/>
  <c r="AL522" i="3"/>
  <c r="AH522" i="3"/>
  <c r="AD522" i="3"/>
  <c r="Q522" i="3"/>
  <c r="AT521" i="3"/>
  <c r="AS521" i="3"/>
  <c r="AP521" i="3"/>
  <c r="AO521" i="3"/>
  <c r="AL521" i="3"/>
  <c r="AH521" i="3"/>
  <c r="AD521" i="3"/>
  <c r="Q521" i="3"/>
  <c r="AT520" i="3"/>
  <c r="AS520" i="3"/>
  <c r="AP520" i="3"/>
  <c r="AO520" i="3"/>
  <c r="AL520" i="3"/>
  <c r="AH520" i="3"/>
  <c r="AD520" i="3"/>
  <c r="Q520" i="3"/>
  <c r="AT519" i="3"/>
  <c r="AS519" i="3"/>
  <c r="AP519" i="3"/>
  <c r="AO519" i="3"/>
  <c r="AL519" i="3"/>
  <c r="AH519" i="3"/>
  <c r="AD519" i="3"/>
  <c r="Q519" i="3"/>
  <c r="AT518" i="3"/>
  <c r="AS518" i="3"/>
  <c r="AP518" i="3"/>
  <c r="AO518" i="3"/>
  <c r="AL518" i="3"/>
  <c r="AH518" i="3"/>
  <c r="AD518" i="3"/>
  <c r="Q518" i="3"/>
  <c r="AT517" i="3"/>
  <c r="AS517" i="3"/>
  <c r="AP517" i="3"/>
  <c r="AO517" i="3"/>
  <c r="AL517" i="3"/>
  <c r="AH517" i="3"/>
  <c r="Q517" i="3"/>
  <c r="AT516" i="3"/>
  <c r="AS516" i="3"/>
  <c r="AP516" i="3"/>
  <c r="AO516" i="3"/>
  <c r="AL516" i="3"/>
  <c r="AH516" i="3"/>
  <c r="Q516" i="3"/>
  <c r="AT515" i="3"/>
  <c r="AS515" i="3"/>
  <c r="AP515" i="3"/>
  <c r="AO515" i="3"/>
  <c r="AL515" i="3"/>
  <c r="AH515" i="3"/>
  <c r="Q515" i="3"/>
  <c r="AT514" i="3"/>
  <c r="AS514" i="3"/>
  <c r="AP514" i="3"/>
  <c r="AO514" i="3"/>
  <c r="AL514" i="3"/>
  <c r="AH514" i="3"/>
  <c r="Q514" i="3"/>
  <c r="AT513" i="3"/>
  <c r="AS513" i="3"/>
  <c r="AP513" i="3"/>
  <c r="AO513" i="3"/>
  <c r="AL513" i="3"/>
  <c r="AH513" i="3"/>
  <c r="AD513" i="3"/>
  <c r="Q513" i="3"/>
  <c r="AT512" i="3"/>
  <c r="AS512" i="3"/>
  <c r="AP512" i="3"/>
  <c r="AO512" i="3"/>
  <c r="AL512" i="3"/>
  <c r="AH512" i="3"/>
  <c r="AD512" i="3"/>
  <c r="Q512" i="3"/>
  <c r="AT511" i="3"/>
  <c r="AS511" i="3"/>
  <c r="AP511" i="3"/>
  <c r="AO511" i="3"/>
  <c r="AL511" i="3"/>
  <c r="AH511" i="3"/>
  <c r="AD511" i="3"/>
  <c r="Q511" i="3"/>
  <c r="AT510" i="3"/>
  <c r="AS510" i="3"/>
  <c r="AP510" i="3"/>
  <c r="AO510" i="3"/>
  <c r="AL510" i="3"/>
  <c r="AH510" i="3"/>
  <c r="AD510" i="3"/>
  <c r="Q510" i="3"/>
  <c r="AT509" i="3"/>
  <c r="AS509" i="3"/>
  <c r="AP509" i="3"/>
  <c r="AO509" i="3"/>
  <c r="AL509" i="3"/>
  <c r="AH509" i="3"/>
  <c r="Q509" i="3"/>
  <c r="AT508" i="3"/>
  <c r="AS508" i="3"/>
  <c r="AP508" i="3"/>
  <c r="AO508" i="3"/>
  <c r="AL508" i="3"/>
  <c r="AH508" i="3"/>
  <c r="Q508" i="3"/>
  <c r="AT507" i="3"/>
  <c r="AS507" i="3"/>
  <c r="AP507" i="3"/>
  <c r="AO507" i="3"/>
  <c r="AL507" i="3"/>
  <c r="AH507" i="3"/>
  <c r="Q507" i="3"/>
  <c r="AT506" i="3"/>
  <c r="AS506" i="3"/>
  <c r="AP506" i="3"/>
  <c r="AO506" i="3"/>
  <c r="AL506" i="3"/>
  <c r="AH506" i="3"/>
  <c r="AT505" i="3"/>
  <c r="AS505" i="3"/>
  <c r="AP505" i="3"/>
  <c r="AO505" i="3"/>
  <c r="AL505" i="3"/>
  <c r="AH505" i="3"/>
  <c r="AD505" i="3"/>
  <c r="AT504" i="3"/>
  <c r="AS504" i="3"/>
  <c r="AP504" i="3"/>
  <c r="AO504" i="3"/>
  <c r="AL504" i="3"/>
  <c r="AH504" i="3"/>
  <c r="AD504" i="3"/>
  <c r="AT503" i="3"/>
  <c r="AS503" i="3"/>
  <c r="AP503" i="3"/>
  <c r="AO503" i="3"/>
  <c r="AL503" i="3"/>
  <c r="AH503" i="3"/>
  <c r="AD503" i="3"/>
  <c r="AT502" i="3"/>
  <c r="AS502" i="3"/>
  <c r="AP502" i="3"/>
  <c r="AO502" i="3"/>
  <c r="AL502" i="3"/>
  <c r="AH502" i="3"/>
  <c r="AD502" i="3"/>
  <c r="Q502" i="3"/>
  <c r="AT501" i="3"/>
  <c r="AS501" i="3"/>
  <c r="AP501" i="3"/>
  <c r="AO501" i="3"/>
  <c r="AL501" i="3"/>
  <c r="AH501" i="3"/>
  <c r="AT500" i="3"/>
  <c r="AS500" i="3"/>
  <c r="AP500" i="3"/>
  <c r="AO500" i="3"/>
  <c r="AL500" i="3"/>
  <c r="AH500" i="3"/>
  <c r="AD500" i="3"/>
  <c r="AT499" i="3"/>
  <c r="AS499" i="3"/>
  <c r="AP499" i="3"/>
  <c r="AO499" i="3"/>
  <c r="AH499" i="3"/>
  <c r="Q499" i="3"/>
  <c r="AT498" i="3"/>
  <c r="AS498" i="3"/>
  <c r="AP498" i="3"/>
  <c r="AO498" i="3"/>
  <c r="AH498" i="3"/>
  <c r="Q498" i="3"/>
  <c r="AT497" i="3"/>
  <c r="AS497" i="3"/>
  <c r="AP497" i="3"/>
  <c r="AO497" i="3"/>
  <c r="AH497" i="3"/>
  <c r="AD497" i="3"/>
  <c r="Q497" i="3"/>
  <c r="AT496" i="3"/>
  <c r="AS496" i="3"/>
  <c r="AP496" i="3"/>
  <c r="AO496" i="3"/>
  <c r="AH496" i="3"/>
  <c r="AD496" i="3"/>
  <c r="Q496" i="3"/>
  <c r="AT495" i="3"/>
  <c r="AS495" i="3"/>
  <c r="AP495" i="3"/>
  <c r="AO495" i="3"/>
  <c r="AH495" i="3"/>
  <c r="AD495" i="3"/>
  <c r="Q495" i="3"/>
  <c r="AT494" i="3"/>
  <c r="AS494" i="3"/>
  <c r="AP494" i="3"/>
  <c r="AO494" i="3"/>
  <c r="AL494" i="3"/>
  <c r="AH494" i="3"/>
  <c r="AD494" i="3"/>
  <c r="Q494" i="3"/>
  <c r="AT493" i="3"/>
  <c r="AS493" i="3"/>
  <c r="AP493" i="3"/>
  <c r="AO493" i="3"/>
  <c r="AL493" i="3"/>
  <c r="AH493" i="3"/>
  <c r="AD493" i="3"/>
  <c r="Q493" i="3"/>
  <c r="AT492" i="3"/>
  <c r="AS492" i="3"/>
  <c r="AP492" i="3"/>
  <c r="AO492" i="3"/>
  <c r="AL492" i="3"/>
  <c r="AH492" i="3"/>
  <c r="AD492" i="3"/>
  <c r="Q492" i="3"/>
  <c r="AT491" i="3"/>
  <c r="AS491" i="3"/>
  <c r="AP491" i="3"/>
  <c r="AO491" i="3"/>
  <c r="AL491" i="3"/>
  <c r="AH491" i="3"/>
  <c r="AD491" i="3"/>
  <c r="Q491" i="3"/>
  <c r="AT490" i="3"/>
  <c r="AS490" i="3"/>
  <c r="AP490" i="3"/>
  <c r="AO490" i="3"/>
  <c r="AL490" i="3"/>
  <c r="AH490" i="3"/>
  <c r="AD490" i="3"/>
  <c r="AT489" i="3"/>
  <c r="AS489" i="3"/>
  <c r="AP489" i="3"/>
  <c r="AO489" i="3"/>
  <c r="AL489" i="3"/>
  <c r="AH489" i="3"/>
  <c r="AD489" i="3"/>
  <c r="Q489" i="3"/>
  <c r="AT488" i="3"/>
  <c r="AS488" i="3"/>
  <c r="AP488" i="3"/>
  <c r="AO488" i="3"/>
  <c r="AL488" i="3"/>
  <c r="AH488" i="3"/>
  <c r="AD488" i="3"/>
  <c r="Q488" i="3"/>
  <c r="AT487" i="3"/>
  <c r="AS487" i="3"/>
  <c r="AP487" i="3"/>
  <c r="AO487" i="3"/>
  <c r="AL487" i="3"/>
  <c r="AH487" i="3"/>
  <c r="AD487" i="3"/>
  <c r="Q487" i="3"/>
  <c r="AT486" i="3"/>
  <c r="AS486" i="3"/>
  <c r="AP486" i="3"/>
  <c r="AO486" i="3"/>
  <c r="AL486" i="3"/>
  <c r="AH486" i="3"/>
  <c r="AD486" i="3"/>
  <c r="Q486" i="3"/>
  <c r="AT485" i="3"/>
  <c r="AS485" i="3"/>
  <c r="AP485" i="3"/>
  <c r="AO485" i="3"/>
  <c r="AL485" i="3"/>
  <c r="AD485" i="3"/>
  <c r="Q485" i="3"/>
  <c r="AT484" i="3"/>
  <c r="AS484" i="3"/>
  <c r="AP484" i="3"/>
  <c r="AO484" i="3"/>
  <c r="AL484" i="3"/>
  <c r="AD484" i="3"/>
  <c r="Q484" i="3"/>
  <c r="AT483" i="3"/>
  <c r="AS483" i="3"/>
  <c r="AP483" i="3"/>
  <c r="AO483" i="3"/>
  <c r="AL483" i="3"/>
  <c r="AD483" i="3"/>
  <c r="Q483" i="3"/>
  <c r="AT482" i="3"/>
  <c r="AS482" i="3"/>
  <c r="AP482" i="3"/>
  <c r="AO482" i="3"/>
  <c r="AL482" i="3"/>
  <c r="AD482" i="3"/>
  <c r="Q482" i="3"/>
  <c r="AT481" i="3"/>
  <c r="AS481" i="3"/>
  <c r="AP481" i="3"/>
  <c r="AO481" i="3"/>
  <c r="AL481" i="3"/>
  <c r="AD481" i="3"/>
  <c r="Q481" i="3"/>
  <c r="AT480" i="3"/>
  <c r="AS480" i="3"/>
  <c r="AP480" i="3"/>
  <c r="AO480" i="3"/>
  <c r="AL480" i="3"/>
  <c r="AD480" i="3"/>
  <c r="Q480" i="3"/>
  <c r="AT479" i="3"/>
  <c r="AS479" i="3"/>
  <c r="AP479" i="3"/>
  <c r="AO479" i="3"/>
  <c r="AL479" i="3"/>
  <c r="AD479" i="3"/>
  <c r="Q479" i="3"/>
  <c r="AT478" i="3"/>
  <c r="AS478" i="3"/>
  <c r="AP478" i="3"/>
  <c r="AO478" i="3"/>
  <c r="AL478" i="3"/>
  <c r="AD478" i="3"/>
  <c r="Q478" i="3"/>
  <c r="AT477" i="3"/>
  <c r="AS477" i="3"/>
  <c r="AP477" i="3"/>
  <c r="AO477" i="3"/>
  <c r="AH477" i="3"/>
  <c r="AD477" i="3"/>
  <c r="Q477" i="3"/>
  <c r="AT476" i="3"/>
  <c r="AS476" i="3"/>
  <c r="AP476" i="3"/>
  <c r="AO476" i="3"/>
  <c r="AH476" i="3"/>
  <c r="AD476" i="3"/>
  <c r="Q476" i="3"/>
  <c r="AT475" i="3"/>
  <c r="AS475" i="3"/>
  <c r="AP475" i="3"/>
  <c r="AO475" i="3"/>
  <c r="AH475" i="3"/>
  <c r="AD475" i="3"/>
  <c r="Q475" i="3"/>
  <c r="AT474" i="3"/>
  <c r="AS474" i="3"/>
  <c r="AP474" i="3"/>
  <c r="AO474" i="3"/>
  <c r="AH474" i="3"/>
  <c r="AD474" i="3"/>
  <c r="Q474" i="3"/>
  <c r="AT473" i="3"/>
  <c r="AS473" i="3"/>
  <c r="AP473" i="3"/>
  <c r="AO473" i="3"/>
  <c r="AH473" i="3"/>
  <c r="AD473" i="3"/>
  <c r="Q473" i="3"/>
  <c r="AT472" i="3"/>
  <c r="AS472" i="3"/>
  <c r="AP472" i="3"/>
  <c r="AO472" i="3"/>
  <c r="AH472" i="3"/>
  <c r="AD472" i="3"/>
  <c r="Q472" i="3"/>
  <c r="AT471" i="3"/>
  <c r="AS471" i="3"/>
  <c r="AP471" i="3"/>
  <c r="AO471" i="3"/>
  <c r="AH471" i="3"/>
  <c r="AD471" i="3"/>
  <c r="Q471" i="3"/>
  <c r="AT470" i="3"/>
  <c r="AS470" i="3"/>
  <c r="AP470" i="3"/>
  <c r="AO470" i="3"/>
  <c r="AH470" i="3"/>
  <c r="AD470" i="3"/>
  <c r="Q470" i="3"/>
  <c r="AT469" i="3"/>
  <c r="AS469" i="3"/>
  <c r="AP469" i="3"/>
  <c r="AO469" i="3"/>
  <c r="AH469" i="3"/>
  <c r="AD469" i="3"/>
  <c r="Q469" i="3"/>
  <c r="AT468" i="3"/>
  <c r="AS468" i="3"/>
  <c r="AP468" i="3"/>
  <c r="AO468" i="3"/>
  <c r="AH468" i="3"/>
  <c r="AD468" i="3"/>
  <c r="Q468" i="3"/>
  <c r="AT467" i="3"/>
  <c r="AS467" i="3"/>
  <c r="AP467" i="3"/>
  <c r="AO467" i="3"/>
  <c r="AH467" i="3"/>
  <c r="AD467" i="3"/>
  <c r="Q467" i="3"/>
  <c r="AT466" i="3"/>
  <c r="AS466" i="3"/>
  <c r="AP466" i="3"/>
  <c r="AO466" i="3"/>
  <c r="AH466" i="3"/>
  <c r="AD466" i="3"/>
  <c r="Q466" i="3"/>
  <c r="AT465" i="3"/>
  <c r="AS465" i="3"/>
  <c r="AP465" i="3"/>
  <c r="AO465" i="3"/>
  <c r="AH465" i="3"/>
  <c r="AD465" i="3"/>
  <c r="Q465" i="3"/>
  <c r="AT464" i="3"/>
  <c r="AS464" i="3"/>
  <c r="AP464" i="3"/>
  <c r="AO464" i="3"/>
  <c r="AH464" i="3"/>
  <c r="AD464" i="3"/>
  <c r="Q464" i="3"/>
  <c r="AT463" i="3"/>
  <c r="AS463" i="3"/>
  <c r="AP463" i="3"/>
  <c r="AO463" i="3"/>
  <c r="AH463" i="3"/>
  <c r="AD463" i="3"/>
  <c r="Q463" i="3"/>
  <c r="AT462" i="3"/>
  <c r="AS462" i="3"/>
  <c r="AP462" i="3"/>
  <c r="AO462" i="3"/>
  <c r="AH462" i="3"/>
  <c r="AD462" i="3"/>
  <c r="F462" i="3"/>
  <c r="AT460" i="3"/>
  <c r="AS460" i="3"/>
  <c r="AP460" i="3"/>
  <c r="AO460" i="3"/>
  <c r="AT459" i="3"/>
  <c r="AS459" i="3"/>
  <c r="AP459" i="3"/>
  <c r="AO459" i="3"/>
  <c r="AT458" i="3"/>
  <c r="AS458" i="3"/>
  <c r="AP458" i="3"/>
  <c r="AO458" i="3"/>
  <c r="Q458" i="3"/>
  <c r="AT457" i="3"/>
  <c r="AS457" i="3"/>
  <c r="AP457" i="3"/>
  <c r="AO457" i="3"/>
  <c r="AH457" i="3"/>
  <c r="AD457" i="3"/>
  <c r="Q457" i="3"/>
  <c r="AT456" i="3"/>
  <c r="AS456" i="3"/>
  <c r="AP456" i="3"/>
  <c r="AO456" i="3"/>
  <c r="AH456" i="3"/>
  <c r="AD456" i="3"/>
  <c r="Q456" i="3"/>
  <c r="AT455" i="3"/>
  <c r="AS455" i="3"/>
  <c r="AP455" i="3"/>
  <c r="AO455" i="3"/>
  <c r="AL455" i="3"/>
  <c r="AH455" i="3"/>
  <c r="AD455" i="3"/>
  <c r="Q455" i="3"/>
  <c r="AT454" i="3"/>
  <c r="AS454" i="3"/>
  <c r="AP454" i="3"/>
  <c r="AO454" i="3"/>
  <c r="AL454" i="3"/>
  <c r="AH454" i="3"/>
  <c r="AD454" i="3"/>
  <c r="Q454" i="3"/>
  <c r="AT453" i="3"/>
  <c r="AS453" i="3"/>
  <c r="AP453" i="3"/>
  <c r="AO453" i="3"/>
  <c r="AL453" i="3"/>
  <c r="AH453" i="3"/>
  <c r="AD453" i="3"/>
  <c r="Q453" i="3"/>
  <c r="AT452" i="3"/>
  <c r="AS452" i="3"/>
  <c r="AP452" i="3"/>
  <c r="AO452" i="3"/>
  <c r="AL452" i="3"/>
  <c r="AH452" i="3"/>
  <c r="AD452" i="3"/>
  <c r="Q452" i="3"/>
  <c r="AT451" i="3"/>
  <c r="AS451" i="3"/>
  <c r="AP451" i="3"/>
  <c r="AO451" i="3"/>
  <c r="AL451" i="3"/>
  <c r="AH451" i="3"/>
  <c r="AD451" i="3"/>
  <c r="Q451" i="3"/>
  <c r="AT450" i="3"/>
  <c r="AS450" i="3"/>
  <c r="AP450" i="3"/>
  <c r="AO450" i="3"/>
  <c r="AL450" i="3"/>
  <c r="AH450" i="3"/>
  <c r="AD450" i="3"/>
  <c r="Q450" i="3"/>
  <c r="AT449" i="3"/>
  <c r="AS449" i="3"/>
  <c r="AP449" i="3"/>
  <c r="AO449" i="3"/>
  <c r="AL449" i="3"/>
  <c r="AH449" i="3"/>
  <c r="AD449" i="3"/>
  <c r="Q449" i="3"/>
  <c r="AT448" i="3"/>
  <c r="AS448" i="3"/>
  <c r="AP448" i="3"/>
  <c r="AO448" i="3"/>
  <c r="AL448" i="3"/>
  <c r="AH448" i="3"/>
  <c r="AD448" i="3"/>
  <c r="Q448" i="3"/>
  <c r="AT447" i="3"/>
  <c r="AS447" i="3"/>
  <c r="AP447" i="3"/>
  <c r="AO447" i="3"/>
  <c r="AL447" i="3"/>
  <c r="AH447" i="3"/>
  <c r="AD447" i="3"/>
  <c r="Q447" i="3"/>
  <c r="AT446" i="3"/>
  <c r="AS446" i="3"/>
  <c r="AP446" i="3"/>
  <c r="AO446" i="3"/>
  <c r="AL446" i="3"/>
  <c r="AH446" i="3"/>
  <c r="AD446" i="3"/>
  <c r="Q446" i="3"/>
  <c r="AT445" i="3"/>
  <c r="AS445" i="3"/>
  <c r="AP445" i="3"/>
  <c r="AO445" i="3"/>
  <c r="AL445" i="3"/>
  <c r="AH445" i="3"/>
  <c r="AD445" i="3"/>
  <c r="Q445" i="3"/>
  <c r="AT444" i="3"/>
  <c r="AS444" i="3"/>
  <c r="AP444" i="3"/>
  <c r="AO444" i="3"/>
  <c r="AL444" i="3"/>
  <c r="AH444" i="3"/>
  <c r="AD444" i="3"/>
  <c r="Q444" i="3"/>
  <c r="AT443" i="3"/>
  <c r="AS443" i="3"/>
  <c r="AP443" i="3"/>
  <c r="AO443" i="3"/>
  <c r="AL443" i="3"/>
  <c r="AH443" i="3"/>
  <c r="AD443" i="3"/>
  <c r="Q443" i="3"/>
  <c r="AT442" i="3"/>
  <c r="AS442" i="3"/>
  <c r="AP442" i="3"/>
  <c r="AO442" i="3"/>
  <c r="AL442" i="3"/>
  <c r="AH442" i="3"/>
  <c r="AD442" i="3"/>
  <c r="Q442" i="3"/>
  <c r="AT441" i="3"/>
  <c r="AS441" i="3"/>
  <c r="AP441" i="3"/>
  <c r="AO441" i="3"/>
  <c r="AL441" i="3"/>
  <c r="AH441" i="3"/>
  <c r="AD441" i="3"/>
  <c r="Q441" i="3"/>
  <c r="AT440" i="3"/>
  <c r="AS440" i="3"/>
  <c r="AP440" i="3"/>
  <c r="AO440" i="3"/>
  <c r="AL440" i="3"/>
  <c r="AH440" i="3"/>
  <c r="AD440" i="3"/>
  <c r="Q440" i="3"/>
  <c r="AT439" i="3"/>
  <c r="AS439" i="3"/>
  <c r="AP439" i="3"/>
  <c r="AO439" i="3"/>
  <c r="AL439" i="3"/>
  <c r="AH439" i="3"/>
  <c r="AD439" i="3"/>
  <c r="Q439" i="3"/>
  <c r="AT438" i="3"/>
  <c r="AS438" i="3"/>
  <c r="AP438" i="3"/>
  <c r="AO438" i="3"/>
  <c r="AL438" i="3"/>
  <c r="AH438" i="3"/>
  <c r="AD438" i="3"/>
  <c r="Q438" i="3"/>
  <c r="AT437" i="3"/>
  <c r="AS437" i="3"/>
  <c r="AP437" i="3"/>
  <c r="AO437" i="3"/>
  <c r="AL437" i="3"/>
  <c r="AH437" i="3"/>
  <c r="AD437" i="3"/>
  <c r="Q437" i="3"/>
  <c r="AT436" i="3"/>
  <c r="AS436" i="3"/>
  <c r="AP436" i="3"/>
  <c r="AO436" i="3"/>
  <c r="AL436" i="3"/>
  <c r="AH436" i="3"/>
  <c r="AD436" i="3"/>
  <c r="Q436" i="3"/>
  <c r="AT435" i="3"/>
  <c r="AS435" i="3"/>
  <c r="AP435" i="3"/>
  <c r="AO435" i="3"/>
  <c r="AL435" i="3"/>
  <c r="AH435" i="3"/>
  <c r="AD435" i="3"/>
  <c r="Q435" i="3"/>
  <c r="AT434" i="3"/>
  <c r="AS434" i="3"/>
  <c r="AP434" i="3"/>
  <c r="AO434" i="3"/>
  <c r="AL434" i="3"/>
  <c r="AH434" i="3"/>
  <c r="AD434" i="3"/>
  <c r="Q434" i="3"/>
  <c r="AT433" i="3"/>
  <c r="AS433" i="3"/>
  <c r="AP433" i="3"/>
  <c r="AO433" i="3"/>
  <c r="AL433" i="3"/>
  <c r="AH433" i="3"/>
  <c r="AD433" i="3"/>
  <c r="Q433" i="3"/>
  <c r="AT432" i="3"/>
  <c r="AS432" i="3"/>
  <c r="AP432" i="3"/>
  <c r="AO432" i="3"/>
  <c r="AL432" i="3"/>
  <c r="AH432" i="3"/>
  <c r="AD432" i="3"/>
  <c r="Q432" i="3"/>
  <c r="AT431" i="3"/>
  <c r="AS431" i="3"/>
  <c r="AP431" i="3"/>
  <c r="AO431" i="3"/>
  <c r="AL431" i="3"/>
  <c r="AH431" i="3"/>
  <c r="AD431" i="3"/>
  <c r="Q431" i="3"/>
  <c r="AT430" i="3"/>
  <c r="AS430" i="3"/>
  <c r="AP430" i="3"/>
  <c r="AO430" i="3"/>
  <c r="AL430" i="3"/>
  <c r="AH430" i="3"/>
  <c r="AD430" i="3"/>
  <c r="Q430" i="3"/>
  <c r="AT429" i="3"/>
  <c r="AS429" i="3"/>
  <c r="AP429" i="3"/>
  <c r="AO429" i="3"/>
  <c r="AL429" i="3"/>
  <c r="AH429" i="3"/>
  <c r="AD429" i="3"/>
  <c r="Q429" i="3"/>
  <c r="AT428" i="3"/>
  <c r="AS428" i="3"/>
  <c r="AP428" i="3"/>
  <c r="AO428" i="3"/>
  <c r="AL428" i="3"/>
  <c r="AH428" i="3"/>
  <c r="AD428" i="3"/>
  <c r="Q428" i="3"/>
  <c r="AT427" i="3"/>
  <c r="AS427" i="3"/>
  <c r="AP427" i="3"/>
  <c r="AO427" i="3"/>
  <c r="AL427" i="3"/>
  <c r="AH427" i="3"/>
  <c r="AD427" i="3"/>
  <c r="Q427" i="3"/>
  <c r="AT426" i="3"/>
  <c r="AS426" i="3"/>
  <c r="AP426" i="3"/>
  <c r="AO426" i="3"/>
  <c r="AL426" i="3"/>
  <c r="AH426" i="3"/>
  <c r="AD426" i="3"/>
  <c r="Q426" i="3"/>
  <c r="AT425" i="3"/>
  <c r="AS425" i="3"/>
  <c r="AP425" i="3"/>
  <c r="AO425" i="3"/>
  <c r="AL425" i="3"/>
  <c r="AH425" i="3"/>
  <c r="AD425" i="3"/>
  <c r="Q425" i="3"/>
  <c r="AT424" i="3"/>
  <c r="AS424" i="3"/>
  <c r="AP424" i="3"/>
  <c r="AO424" i="3"/>
  <c r="AL424" i="3"/>
  <c r="AH424" i="3"/>
  <c r="AD424" i="3"/>
  <c r="Q424" i="3"/>
  <c r="AT423" i="3"/>
  <c r="AS423" i="3"/>
  <c r="AP423" i="3"/>
  <c r="AO423" i="3"/>
  <c r="AL423" i="3"/>
  <c r="AH423" i="3"/>
  <c r="AD423" i="3"/>
  <c r="Q423" i="3"/>
  <c r="AT422" i="3"/>
  <c r="AS422" i="3"/>
  <c r="AP422" i="3"/>
  <c r="AO422" i="3"/>
  <c r="AL422" i="3"/>
  <c r="AD422" i="3"/>
  <c r="Q422" i="3"/>
  <c r="AT421" i="3"/>
  <c r="AS421" i="3"/>
  <c r="AP421" i="3"/>
  <c r="AO421" i="3"/>
  <c r="AL421" i="3"/>
  <c r="AH421" i="3"/>
  <c r="AD421" i="3"/>
  <c r="Q421" i="3"/>
  <c r="AT420" i="3"/>
  <c r="AS420" i="3"/>
  <c r="AP420" i="3"/>
  <c r="AO420" i="3"/>
  <c r="AL420" i="3"/>
  <c r="AH420" i="3"/>
  <c r="AD420" i="3"/>
  <c r="Q420" i="3"/>
  <c r="AT419" i="3"/>
  <c r="AS419" i="3"/>
  <c r="AP419" i="3"/>
  <c r="AO419" i="3"/>
  <c r="AL419" i="3"/>
  <c r="AH419" i="3"/>
  <c r="AD419" i="3"/>
  <c r="Q419" i="3"/>
  <c r="AT418" i="3"/>
  <c r="AS418" i="3"/>
  <c r="AP418" i="3"/>
  <c r="AO418" i="3"/>
  <c r="AL418" i="3"/>
  <c r="AH418" i="3"/>
  <c r="AD418" i="3"/>
  <c r="Q418" i="3"/>
  <c r="AT417" i="3"/>
  <c r="AS417" i="3"/>
  <c r="AP417" i="3"/>
  <c r="AO417" i="3"/>
  <c r="AL417" i="3"/>
  <c r="AH417" i="3"/>
  <c r="AD417" i="3"/>
  <c r="Q417" i="3"/>
  <c r="AT416" i="3"/>
  <c r="AS416" i="3"/>
  <c r="AP416" i="3"/>
  <c r="AO416" i="3"/>
  <c r="AL416" i="3"/>
  <c r="AH416" i="3"/>
  <c r="AD416" i="3"/>
  <c r="Q416" i="3"/>
  <c r="AT415" i="3"/>
  <c r="AS415" i="3"/>
  <c r="AP415" i="3"/>
  <c r="AO415" i="3"/>
  <c r="AL415" i="3"/>
  <c r="AH415" i="3"/>
  <c r="AD415" i="3"/>
  <c r="Q415" i="3"/>
  <c r="AT414" i="3"/>
  <c r="AS414" i="3"/>
  <c r="AP414" i="3"/>
  <c r="AO414" i="3"/>
  <c r="AL414" i="3"/>
  <c r="AH414" i="3"/>
  <c r="AD414" i="3"/>
  <c r="Q414" i="3"/>
  <c r="AT413" i="3"/>
  <c r="AS413" i="3"/>
  <c r="AP413" i="3"/>
  <c r="AO413" i="3"/>
  <c r="AL413" i="3"/>
  <c r="AH413" i="3"/>
  <c r="AD413" i="3"/>
  <c r="Q413" i="3"/>
  <c r="AT412" i="3"/>
  <c r="AS412" i="3"/>
  <c r="AP412" i="3"/>
  <c r="AO412" i="3"/>
  <c r="AL412" i="3"/>
  <c r="AH412" i="3"/>
  <c r="AD412" i="3"/>
  <c r="Q412" i="3"/>
  <c r="AT411" i="3"/>
  <c r="AS411" i="3"/>
  <c r="AP411" i="3"/>
  <c r="AO411" i="3"/>
  <c r="AL411" i="3"/>
  <c r="AH411" i="3"/>
  <c r="AD411" i="3"/>
  <c r="Q411" i="3"/>
  <c r="AT410" i="3"/>
  <c r="AS410" i="3"/>
  <c r="AP410" i="3"/>
  <c r="AO410" i="3"/>
  <c r="AL410" i="3"/>
  <c r="AH410" i="3"/>
  <c r="AD410" i="3"/>
  <c r="Q410" i="3"/>
  <c r="AT409" i="3"/>
  <c r="AS409" i="3"/>
  <c r="AP409" i="3"/>
  <c r="AO409" i="3"/>
  <c r="AL409" i="3"/>
  <c r="AH409" i="3"/>
  <c r="AD409" i="3"/>
  <c r="Q409" i="3"/>
  <c r="AT408" i="3"/>
  <c r="AS408" i="3"/>
  <c r="AP408" i="3"/>
  <c r="AO408" i="3"/>
  <c r="AL408" i="3"/>
  <c r="AH408" i="3"/>
  <c r="AD408" i="3"/>
  <c r="Q408" i="3"/>
  <c r="AT407" i="3"/>
  <c r="AS407" i="3"/>
  <c r="AP407" i="3"/>
  <c r="AO407" i="3"/>
  <c r="AL407" i="3"/>
  <c r="AH407" i="3"/>
  <c r="AD407" i="3"/>
  <c r="Q407" i="3"/>
  <c r="AT406" i="3"/>
  <c r="AS406" i="3"/>
  <c r="AP406" i="3"/>
  <c r="AO406" i="3"/>
  <c r="AL406" i="3"/>
  <c r="AH406" i="3"/>
  <c r="AD406" i="3"/>
  <c r="AT405" i="3"/>
  <c r="AS405" i="3"/>
  <c r="AP405" i="3"/>
  <c r="AO405" i="3"/>
  <c r="Q405" i="3"/>
  <c r="AT404" i="3"/>
  <c r="AS404" i="3"/>
  <c r="AP404" i="3"/>
  <c r="AO404" i="3"/>
  <c r="AH404" i="3"/>
  <c r="AD404" i="3"/>
  <c r="Q404" i="3"/>
  <c r="AT403" i="3"/>
  <c r="AS403" i="3"/>
  <c r="AP403" i="3"/>
  <c r="AO403" i="3"/>
  <c r="AH403" i="3"/>
  <c r="AD403" i="3"/>
  <c r="Q403" i="3"/>
  <c r="AT402" i="3"/>
  <c r="AS402" i="3"/>
  <c r="AP402" i="3"/>
  <c r="AO402" i="3"/>
  <c r="AH402" i="3"/>
  <c r="AD402" i="3"/>
  <c r="Q402" i="3"/>
  <c r="AT401" i="3"/>
  <c r="AS401" i="3"/>
  <c r="AP401" i="3"/>
  <c r="AO401" i="3"/>
  <c r="AH401" i="3"/>
  <c r="AD401" i="3"/>
  <c r="Q401" i="3"/>
  <c r="AT400" i="3"/>
  <c r="AS400" i="3"/>
  <c r="AP400" i="3"/>
  <c r="AO400" i="3"/>
  <c r="AH400" i="3"/>
  <c r="AD400" i="3"/>
  <c r="Q400" i="3"/>
  <c r="AT399" i="3"/>
  <c r="AS399" i="3"/>
  <c r="AP399" i="3"/>
  <c r="AO399" i="3"/>
  <c r="AH399" i="3"/>
  <c r="AD399" i="3"/>
  <c r="Q399" i="3"/>
  <c r="AT398" i="3"/>
  <c r="AS398" i="3"/>
  <c r="AP398" i="3"/>
  <c r="AO398" i="3"/>
  <c r="AH398" i="3"/>
  <c r="AD398" i="3"/>
  <c r="Q398" i="3"/>
  <c r="Q397" i="3"/>
  <c r="AT396" i="3"/>
  <c r="AS396" i="3"/>
  <c r="AP396" i="3"/>
  <c r="AO396" i="3"/>
  <c r="AH396" i="3"/>
  <c r="AD396" i="3"/>
  <c r="Q396" i="3"/>
  <c r="AT395" i="3"/>
  <c r="AS395" i="3"/>
  <c r="AP395" i="3"/>
  <c r="AO395" i="3"/>
  <c r="AH395" i="3"/>
  <c r="AD395" i="3"/>
  <c r="Q395" i="3"/>
  <c r="Q394" i="3"/>
  <c r="AT393" i="3"/>
  <c r="AS393" i="3"/>
  <c r="AP393" i="3"/>
  <c r="AO393" i="3"/>
  <c r="AH393" i="3"/>
  <c r="AD393" i="3"/>
  <c r="Q393" i="3"/>
  <c r="AT392" i="3"/>
  <c r="AS392" i="3"/>
  <c r="AP392" i="3"/>
  <c r="AO392" i="3"/>
  <c r="AH392" i="3"/>
  <c r="AD392" i="3"/>
  <c r="Q392" i="3"/>
  <c r="AT391" i="3"/>
  <c r="AS391" i="3"/>
  <c r="AP391" i="3"/>
  <c r="AO391" i="3"/>
  <c r="AH391" i="3"/>
  <c r="AD391" i="3"/>
  <c r="Q391" i="3"/>
  <c r="AT390" i="3"/>
  <c r="AS390" i="3"/>
  <c r="AP390" i="3"/>
  <c r="AO390" i="3"/>
  <c r="AH390" i="3"/>
  <c r="AD390" i="3"/>
  <c r="Q390" i="3"/>
  <c r="AT389" i="3"/>
  <c r="AS389" i="3"/>
  <c r="AP389" i="3"/>
  <c r="AO389" i="3"/>
  <c r="AH389" i="3"/>
  <c r="AD389" i="3"/>
  <c r="Q389" i="3"/>
  <c r="AT388" i="3"/>
  <c r="AS388" i="3"/>
  <c r="AP388" i="3"/>
  <c r="AO388" i="3"/>
  <c r="AH388" i="3"/>
  <c r="AD388" i="3"/>
  <c r="Q388" i="3"/>
  <c r="AT387" i="3"/>
  <c r="AS387" i="3"/>
  <c r="AP387" i="3"/>
  <c r="AO387" i="3"/>
  <c r="AH387" i="3"/>
  <c r="AD387" i="3"/>
  <c r="Q387" i="3"/>
  <c r="AT386" i="3"/>
  <c r="AS386" i="3"/>
  <c r="AP386" i="3"/>
  <c r="AO386" i="3"/>
  <c r="AH386" i="3"/>
  <c r="AD386" i="3"/>
  <c r="Q386" i="3"/>
  <c r="AT385" i="3"/>
  <c r="AS385" i="3"/>
  <c r="AP385" i="3"/>
  <c r="AO385" i="3"/>
  <c r="AH385" i="3"/>
  <c r="AD385" i="3"/>
  <c r="Q385" i="3"/>
  <c r="AT384" i="3"/>
  <c r="AS384" i="3"/>
  <c r="AP384" i="3"/>
  <c r="AO384" i="3"/>
  <c r="AH384" i="3"/>
  <c r="AD384" i="3"/>
  <c r="Q384" i="3"/>
  <c r="AT383" i="3"/>
  <c r="AS383" i="3"/>
  <c r="AP383" i="3"/>
  <c r="AO383" i="3"/>
  <c r="AH383" i="3"/>
  <c r="AD383" i="3"/>
  <c r="Q383" i="3"/>
  <c r="AT382" i="3"/>
  <c r="AS382" i="3"/>
  <c r="AP382" i="3"/>
  <c r="AO382" i="3"/>
  <c r="AH382" i="3"/>
  <c r="AD382" i="3"/>
  <c r="Q382" i="3"/>
  <c r="AT381" i="3"/>
  <c r="AS381" i="3"/>
  <c r="AP381" i="3"/>
  <c r="AO381" i="3"/>
  <c r="AL381" i="3"/>
  <c r="AH381" i="3"/>
  <c r="Q381" i="3"/>
  <c r="AT380" i="3"/>
  <c r="AS380" i="3"/>
  <c r="AP380" i="3"/>
  <c r="AO380" i="3"/>
  <c r="AL380" i="3"/>
  <c r="AH380" i="3"/>
  <c r="Q380" i="3"/>
  <c r="AT379" i="3"/>
  <c r="AS379" i="3"/>
  <c r="AP379" i="3"/>
  <c r="AO379" i="3"/>
  <c r="AL379" i="3"/>
  <c r="AH379" i="3"/>
  <c r="Q379" i="3"/>
  <c r="AT378" i="3"/>
  <c r="AS378" i="3"/>
  <c r="AP378" i="3"/>
  <c r="AO378" i="3"/>
  <c r="AL378" i="3"/>
  <c r="AH378" i="3"/>
  <c r="Q378" i="3"/>
  <c r="AT377" i="3"/>
  <c r="AS377" i="3"/>
  <c r="AP377" i="3"/>
  <c r="AO377" i="3"/>
  <c r="AL377" i="3"/>
  <c r="AH377" i="3"/>
  <c r="Q377" i="3"/>
  <c r="AT376" i="3"/>
  <c r="AS376" i="3"/>
  <c r="AP376" i="3"/>
  <c r="AO376" i="3"/>
  <c r="AL376" i="3"/>
  <c r="AH376" i="3"/>
  <c r="AD376" i="3"/>
  <c r="Q376" i="3"/>
  <c r="AT375" i="3"/>
  <c r="AS375" i="3"/>
  <c r="AP375" i="3"/>
  <c r="AO375" i="3"/>
  <c r="AL375" i="3"/>
  <c r="AH375" i="3"/>
  <c r="AD375" i="3"/>
  <c r="Q375" i="3"/>
  <c r="AT374" i="3"/>
  <c r="AS374" i="3"/>
  <c r="AP374" i="3"/>
  <c r="AO374" i="3"/>
  <c r="AL374" i="3"/>
  <c r="AH374" i="3"/>
  <c r="AD374" i="3"/>
  <c r="Q374" i="3"/>
  <c r="AT373" i="3"/>
  <c r="AS373" i="3"/>
  <c r="AP373" i="3"/>
  <c r="AO373" i="3"/>
  <c r="AL373" i="3"/>
  <c r="AH373" i="3"/>
  <c r="AD373" i="3"/>
  <c r="Q373" i="3"/>
  <c r="AT372" i="3"/>
  <c r="AS372" i="3"/>
  <c r="AP372" i="3"/>
  <c r="AO372" i="3"/>
  <c r="AL372" i="3"/>
  <c r="AH372" i="3"/>
  <c r="AD372" i="3"/>
  <c r="Q372" i="3"/>
  <c r="AT371" i="3"/>
  <c r="AS371" i="3"/>
  <c r="AP371" i="3"/>
  <c r="AO371" i="3"/>
  <c r="AL371" i="3"/>
  <c r="AH371" i="3"/>
  <c r="AD371" i="3"/>
  <c r="Q371" i="3"/>
  <c r="AT370" i="3"/>
  <c r="AS370" i="3"/>
  <c r="AP370" i="3"/>
  <c r="AO370" i="3"/>
  <c r="AL370" i="3"/>
  <c r="AH370" i="3"/>
  <c r="AD370" i="3"/>
  <c r="Q370" i="3"/>
  <c r="AT369" i="3"/>
  <c r="AS369" i="3"/>
  <c r="AP369" i="3"/>
  <c r="AO369" i="3"/>
  <c r="AL369" i="3"/>
  <c r="AH369" i="3"/>
  <c r="AD369" i="3"/>
  <c r="Q369" i="3"/>
  <c r="AT368" i="3"/>
  <c r="AS368" i="3"/>
  <c r="AP368" i="3"/>
  <c r="AO368" i="3"/>
  <c r="AL368" i="3"/>
  <c r="AH368" i="3"/>
  <c r="AD368" i="3"/>
  <c r="Q368" i="3"/>
  <c r="AT367" i="3"/>
  <c r="AS367" i="3"/>
  <c r="AP367" i="3"/>
  <c r="AO367" i="3"/>
  <c r="AL367" i="3"/>
  <c r="AH367" i="3"/>
  <c r="AD367" i="3"/>
  <c r="Q367" i="3"/>
  <c r="AT366" i="3"/>
  <c r="AS366" i="3"/>
  <c r="AP366" i="3"/>
  <c r="AO366" i="3"/>
  <c r="AL366" i="3"/>
  <c r="AH366" i="3"/>
  <c r="AD366" i="3"/>
  <c r="Q366" i="3"/>
  <c r="AT365" i="3"/>
  <c r="AS365" i="3"/>
  <c r="AP365" i="3"/>
  <c r="AO365" i="3"/>
  <c r="AL365" i="3"/>
  <c r="AH365" i="3"/>
  <c r="AD365" i="3"/>
  <c r="Q365" i="3"/>
  <c r="AT364" i="3"/>
  <c r="AS364" i="3"/>
  <c r="AP364" i="3"/>
  <c r="AO364" i="3"/>
  <c r="AL364" i="3"/>
  <c r="AH364" i="3"/>
  <c r="AD364" i="3"/>
  <c r="Q364" i="3"/>
  <c r="AT363" i="3"/>
  <c r="AS363" i="3"/>
  <c r="AP363" i="3"/>
  <c r="AO363" i="3"/>
  <c r="AL363" i="3"/>
  <c r="AH363" i="3"/>
  <c r="AD363" i="3"/>
  <c r="Q363" i="3"/>
  <c r="AT362" i="3"/>
  <c r="AS362" i="3"/>
  <c r="AP362" i="3"/>
  <c r="AO362" i="3"/>
  <c r="AL362" i="3"/>
  <c r="AH362" i="3"/>
  <c r="AD362" i="3"/>
  <c r="AT361" i="3"/>
  <c r="AS361" i="3"/>
  <c r="AP361" i="3"/>
  <c r="AO361" i="3"/>
  <c r="AL361" i="3"/>
  <c r="AH361" i="3"/>
  <c r="AD361" i="3"/>
  <c r="Q361" i="3"/>
  <c r="AT360" i="3"/>
  <c r="AS360" i="3"/>
  <c r="AP360" i="3"/>
  <c r="AO360" i="3"/>
  <c r="AL360" i="3"/>
  <c r="AH360" i="3"/>
  <c r="AD360" i="3"/>
  <c r="Q360" i="3"/>
  <c r="AT359" i="3"/>
  <c r="AS359" i="3"/>
  <c r="AP359" i="3"/>
  <c r="AO359" i="3"/>
  <c r="AL359" i="3"/>
  <c r="AH359" i="3"/>
  <c r="AD359" i="3"/>
  <c r="Q359" i="3"/>
  <c r="AT358" i="3"/>
  <c r="AS358" i="3"/>
  <c r="AP358" i="3"/>
  <c r="AO358" i="3"/>
  <c r="AL358" i="3"/>
  <c r="AH358" i="3"/>
  <c r="AD358" i="3"/>
  <c r="Q358" i="3"/>
  <c r="AT357" i="3"/>
  <c r="AS357" i="3"/>
  <c r="AP357" i="3"/>
  <c r="AO357" i="3"/>
  <c r="AL357" i="3"/>
  <c r="AH357" i="3"/>
  <c r="AD357" i="3"/>
  <c r="Q357" i="3"/>
  <c r="AT356" i="3"/>
  <c r="AS356" i="3"/>
  <c r="AP356" i="3"/>
  <c r="AO356" i="3"/>
  <c r="AL356" i="3"/>
  <c r="AH356" i="3"/>
  <c r="AD356" i="3"/>
  <c r="Q356" i="3"/>
  <c r="AT355" i="3"/>
  <c r="AS355" i="3"/>
  <c r="AP355" i="3"/>
  <c r="AO355" i="3"/>
  <c r="AL355" i="3"/>
  <c r="AH355" i="3"/>
  <c r="AD355" i="3"/>
  <c r="Q355" i="3"/>
  <c r="AT354" i="3"/>
  <c r="AS354" i="3"/>
  <c r="AP354" i="3"/>
  <c r="AO354" i="3"/>
  <c r="AL354" i="3"/>
  <c r="AH354" i="3"/>
  <c r="AD354" i="3"/>
  <c r="Q354" i="3"/>
  <c r="AT353" i="3"/>
  <c r="AS353" i="3"/>
  <c r="AP353" i="3"/>
  <c r="AO353" i="3"/>
  <c r="AL353" i="3"/>
  <c r="AH353" i="3"/>
  <c r="AD353" i="3"/>
  <c r="Q353" i="3"/>
  <c r="AT352" i="3"/>
  <c r="AS352" i="3"/>
  <c r="AP352" i="3"/>
  <c r="AO352" i="3"/>
  <c r="AL352" i="3"/>
  <c r="AH352" i="3"/>
  <c r="AD352" i="3"/>
  <c r="Q352" i="3"/>
  <c r="AT351" i="3"/>
  <c r="AS351" i="3"/>
  <c r="AP351" i="3"/>
  <c r="AO351" i="3"/>
  <c r="AL351" i="3"/>
  <c r="AH351" i="3"/>
  <c r="AD351" i="3"/>
  <c r="Q351" i="3"/>
  <c r="AT350" i="3"/>
  <c r="AS350" i="3"/>
  <c r="AP350" i="3"/>
  <c r="AO350" i="3"/>
  <c r="AL350" i="3"/>
  <c r="AH350" i="3"/>
  <c r="AD350" i="3"/>
  <c r="Q350" i="3"/>
  <c r="AT349" i="3"/>
  <c r="AS349" i="3"/>
  <c r="AP349" i="3"/>
  <c r="AO349" i="3"/>
  <c r="AL349" i="3"/>
  <c r="AH349" i="3"/>
  <c r="AD349" i="3"/>
  <c r="Q349" i="3"/>
  <c r="AT348" i="3"/>
  <c r="AS348" i="3"/>
  <c r="AP348" i="3"/>
  <c r="AO348" i="3"/>
  <c r="AL348" i="3"/>
  <c r="AH348" i="3"/>
  <c r="AD348" i="3"/>
  <c r="Q348" i="3"/>
  <c r="AT347" i="3"/>
  <c r="AS347" i="3"/>
  <c r="AP347" i="3"/>
  <c r="AO347" i="3"/>
  <c r="AL347" i="3"/>
  <c r="AH347" i="3"/>
  <c r="AD347" i="3"/>
  <c r="Q347" i="3"/>
  <c r="AT346" i="3"/>
  <c r="AS346" i="3"/>
  <c r="AP346" i="3"/>
  <c r="AO346" i="3"/>
  <c r="AL346" i="3"/>
  <c r="AH346" i="3"/>
  <c r="AD346" i="3"/>
  <c r="Q346" i="3"/>
  <c r="AT345" i="3"/>
  <c r="AS345" i="3"/>
  <c r="AP345" i="3"/>
  <c r="AO345" i="3"/>
  <c r="AL345" i="3"/>
  <c r="AH345" i="3"/>
  <c r="AD345" i="3"/>
  <c r="Q345" i="3"/>
  <c r="AT344" i="3"/>
  <c r="AS344" i="3"/>
  <c r="AP344" i="3"/>
  <c r="AO344" i="3"/>
  <c r="AL344" i="3"/>
  <c r="AH344" i="3"/>
  <c r="AD344" i="3"/>
  <c r="Q344" i="3"/>
  <c r="AT343" i="3"/>
  <c r="AS343" i="3"/>
  <c r="AP343" i="3"/>
  <c r="AO343" i="3"/>
  <c r="AL343" i="3"/>
  <c r="AH343" i="3"/>
  <c r="AD343" i="3"/>
  <c r="Q343" i="3"/>
  <c r="AT342" i="3"/>
  <c r="AS342" i="3"/>
  <c r="AP342" i="3"/>
  <c r="AO342" i="3"/>
  <c r="AL342" i="3"/>
  <c r="AH342" i="3"/>
  <c r="AD342" i="3"/>
  <c r="Q342" i="3"/>
  <c r="AT341" i="3"/>
  <c r="AS341" i="3"/>
  <c r="AP341" i="3"/>
  <c r="AO341" i="3"/>
  <c r="AL341" i="3"/>
  <c r="AH341" i="3"/>
  <c r="AD341" i="3"/>
  <c r="Q341" i="3"/>
  <c r="AT340" i="3"/>
  <c r="AS340" i="3"/>
  <c r="AP340" i="3"/>
  <c r="AO340" i="3"/>
  <c r="AL340" i="3"/>
  <c r="AH340" i="3"/>
  <c r="AD340" i="3"/>
  <c r="Q340" i="3"/>
  <c r="AT339" i="3"/>
  <c r="AS339" i="3"/>
  <c r="AP339" i="3"/>
  <c r="AO339" i="3"/>
  <c r="AL339" i="3"/>
  <c r="AH339" i="3"/>
  <c r="AD339" i="3"/>
  <c r="Q339" i="3"/>
  <c r="AT338" i="3"/>
  <c r="AS338" i="3"/>
  <c r="AP338" i="3"/>
  <c r="AO338" i="3"/>
  <c r="AL338" i="3"/>
  <c r="AH338" i="3"/>
  <c r="AD338" i="3"/>
  <c r="Q338" i="3"/>
  <c r="AT337" i="3"/>
  <c r="AS337" i="3"/>
  <c r="AP337" i="3"/>
  <c r="AO337" i="3"/>
  <c r="AL337" i="3"/>
  <c r="AH337" i="3"/>
  <c r="AD337" i="3"/>
  <c r="Q337" i="3"/>
  <c r="AT336" i="3"/>
  <c r="AS336" i="3"/>
  <c r="AP336" i="3"/>
  <c r="AO336" i="3"/>
  <c r="AL336" i="3"/>
  <c r="AH336" i="3"/>
  <c r="AD336" i="3"/>
  <c r="Q336" i="3"/>
  <c r="AT335" i="3"/>
  <c r="AS335" i="3"/>
  <c r="AP335" i="3"/>
  <c r="AO335" i="3"/>
  <c r="AL335" i="3"/>
  <c r="AH335" i="3"/>
  <c r="AD335" i="3"/>
  <c r="Q335" i="3"/>
  <c r="AT334" i="3"/>
  <c r="AS334" i="3"/>
  <c r="AP334" i="3"/>
  <c r="AO334" i="3"/>
  <c r="AL334" i="3"/>
  <c r="AH334" i="3"/>
  <c r="AD334" i="3"/>
  <c r="Q334" i="3"/>
  <c r="AT333" i="3"/>
  <c r="AS333" i="3"/>
  <c r="AP333" i="3"/>
  <c r="AO333" i="3"/>
  <c r="AL333" i="3"/>
  <c r="AH333" i="3"/>
  <c r="AD333" i="3"/>
  <c r="Q333" i="3"/>
  <c r="AT332" i="3"/>
  <c r="AS332" i="3"/>
  <c r="AP332" i="3"/>
  <c r="AO332" i="3"/>
  <c r="AL332" i="3"/>
  <c r="AH332" i="3"/>
  <c r="AD332" i="3"/>
  <c r="Q332" i="3"/>
  <c r="AT331" i="3"/>
  <c r="AS331" i="3"/>
  <c r="AP331" i="3"/>
  <c r="AO331" i="3"/>
  <c r="AL331" i="3"/>
  <c r="AH331" i="3"/>
  <c r="AD331" i="3"/>
  <c r="Q331" i="3"/>
  <c r="AT330" i="3"/>
  <c r="AS330" i="3"/>
  <c r="AP330" i="3"/>
  <c r="AO330" i="3"/>
  <c r="AL330" i="3"/>
  <c r="AH330" i="3"/>
  <c r="AD330" i="3"/>
  <c r="Q330" i="3"/>
  <c r="AT329" i="3"/>
  <c r="AS329" i="3"/>
  <c r="AP329" i="3"/>
  <c r="AO329" i="3"/>
  <c r="AL329" i="3"/>
  <c r="AH329" i="3"/>
  <c r="AD329" i="3"/>
  <c r="Q329" i="3"/>
  <c r="AT328" i="3"/>
  <c r="AS328" i="3"/>
  <c r="AP328" i="3"/>
  <c r="AO328" i="3"/>
  <c r="AL328" i="3"/>
  <c r="AH328" i="3"/>
  <c r="AD328" i="3"/>
  <c r="Q328" i="3"/>
  <c r="AT327" i="3"/>
  <c r="AS327" i="3"/>
  <c r="AP327" i="3"/>
  <c r="AO327" i="3"/>
  <c r="AL327" i="3"/>
  <c r="AH327" i="3"/>
  <c r="AD327" i="3"/>
  <c r="Q327" i="3"/>
  <c r="AT326" i="3"/>
  <c r="AS326" i="3"/>
  <c r="AP326" i="3"/>
  <c r="AO326" i="3"/>
  <c r="AL326" i="3"/>
  <c r="AH326" i="3"/>
  <c r="AD326" i="3"/>
  <c r="Q326" i="3"/>
  <c r="AT325" i="3"/>
  <c r="AS325" i="3"/>
  <c r="AP325" i="3"/>
  <c r="AO325" i="3"/>
  <c r="AH325" i="3"/>
  <c r="AD325" i="3"/>
  <c r="Q325" i="3"/>
  <c r="AT324" i="3"/>
  <c r="AS324" i="3"/>
  <c r="AP324" i="3"/>
  <c r="AO324" i="3"/>
  <c r="AH324" i="3"/>
  <c r="AD324" i="3"/>
  <c r="Q324" i="3"/>
  <c r="AT323" i="3"/>
  <c r="AS323" i="3"/>
  <c r="AP323" i="3"/>
  <c r="AO323" i="3"/>
  <c r="AH323" i="3"/>
  <c r="AD323" i="3"/>
  <c r="Q323" i="3"/>
  <c r="AT322" i="3"/>
  <c r="AS322" i="3"/>
  <c r="AP322" i="3"/>
  <c r="AO322" i="3"/>
  <c r="AH322" i="3"/>
  <c r="AD322" i="3"/>
  <c r="Q322" i="3"/>
  <c r="AT321" i="3"/>
  <c r="AS321" i="3"/>
  <c r="AP321" i="3"/>
  <c r="AO321" i="3"/>
  <c r="AH321" i="3"/>
  <c r="AD321" i="3"/>
  <c r="Q321" i="3"/>
  <c r="AT320" i="3"/>
  <c r="AS320" i="3"/>
  <c r="AP320" i="3"/>
  <c r="AO320" i="3"/>
  <c r="AH320" i="3"/>
  <c r="AD320" i="3"/>
  <c r="Q320" i="3"/>
  <c r="AT319" i="3"/>
  <c r="AS319" i="3"/>
  <c r="AP319" i="3"/>
  <c r="AO319" i="3"/>
  <c r="AH319" i="3"/>
  <c r="AD319" i="3"/>
  <c r="Q319" i="3"/>
  <c r="AT318" i="3"/>
  <c r="AS318" i="3"/>
  <c r="AP318" i="3"/>
  <c r="AO318" i="3"/>
  <c r="AH318" i="3"/>
  <c r="AD318" i="3"/>
  <c r="Q318" i="3"/>
  <c r="AT317" i="3"/>
  <c r="AS317" i="3"/>
  <c r="AP317" i="3"/>
  <c r="AO317" i="3"/>
  <c r="AH317" i="3"/>
  <c r="AD317" i="3"/>
  <c r="Q317" i="3"/>
  <c r="AT316" i="3"/>
  <c r="AS316" i="3"/>
  <c r="AP316" i="3"/>
  <c r="AO316" i="3"/>
  <c r="AH316" i="3"/>
  <c r="AD316" i="3"/>
  <c r="Q316" i="3"/>
  <c r="AT315" i="3"/>
  <c r="AS315" i="3"/>
  <c r="AP315" i="3"/>
  <c r="AO315" i="3"/>
  <c r="AH315" i="3"/>
  <c r="AD315" i="3"/>
  <c r="Q315" i="3"/>
  <c r="AT314" i="3"/>
  <c r="AS314" i="3"/>
  <c r="AP314" i="3"/>
  <c r="AO314" i="3"/>
  <c r="AH314" i="3"/>
  <c r="AD314" i="3"/>
  <c r="Q314" i="3"/>
  <c r="AT313" i="3"/>
  <c r="AS313" i="3"/>
  <c r="AP313" i="3"/>
  <c r="AO313" i="3"/>
  <c r="AH313" i="3"/>
  <c r="AD313" i="3"/>
  <c r="Q313" i="3"/>
  <c r="AT312" i="3"/>
  <c r="AS312" i="3"/>
  <c r="AP312" i="3"/>
  <c r="AO312" i="3"/>
  <c r="AH312" i="3"/>
  <c r="AD312" i="3"/>
  <c r="Q312" i="3"/>
  <c r="AT311" i="3"/>
  <c r="AS311" i="3"/>
  <c r="AP311" i="3"/>
  <c r="AO311" i="3"/>
  <c r="AH311" i="3"/>
  <c r="AD311" i="3"/>
  <c r="Q311" i="3"/>
  <c r="AT310" i="3"/>
  <c r="AS310" i="3"/>
  <c r="AP310" i="3"/>
  <c r="AO310" i="3"/>
  <c r="AH310" i="3"/>
  <c r="AD310" i="3"/>
  <c r="Q310" i="3"/>
  <c r="AT309" i="3"/>
  <c r="AS309" i="3"/>
  <c r="AP309" i="3"/>
  <c r="AO309" i="3"/>
  <c r="AH309" i="3"/>
  <c r="AD309" i="3"/>
  <c r="Q309" i="3"/>
  <c r="AT308" i="3"/>
  <c r="AS308" i="3"/>
  <c r="AP308" i="3"/>
  <c r="AO308" i="3"/>
  <c r="AH308" i="3"/>
  <c r="AD308" i="3"/>
  <c r="Q308" i="3"/>
  <c r="AT307" i="3"/>
  <c r="AS307" i="3"/>
  <c r="AP307" i="3"/>
  <c r="AO307" i="3"/>
  <c r="AH307" i="3"/>
  <c r="AD307" i="3"/>
  <c r="Q307" i="3"/>
  <c r="AT306" i="3"/>
  <c r="AS306" i="3"/>
  <c r="AP306" i="3"/>
  <c r="AO306" i="3"/>
  <c r="AL306" i="3"/>
  <c r="AH306" i="3"/>
  <c r="AD306" i="3"/>
  <c r="Q306" i="3"/>
  <c r="AT305" i="3"/>
  <c r="AS305" i="3"/>
  <c r="AP305" i="3"/>
  <c r="AO305" i="3"/>
  <c r="AL305" i="3"/>
  <c r="AH305" i="3"/>
  <c r="AD305" i="3"/>
  <c r="Q305" i="3"/>
  <c r="AT304" i="3"/>
  <c r="AS304" i="3"/>
  <c r="AP304" i="3"/>
  <c r="AO304" i="3"/>
  <c r="AL304" i="3"/>
  <c r="AH304" i="3"/>
  <c r="AD304" i="3"/>
  <c r="Q304" i="3"/>
  <c r="AT303" i="3"/>
  <c r="AS303" i="3"/>
  <c r="AP303" i="3"/>
  <c r="AO303" i="3"/>
  <c r="AL303" i="3"/>
  <c r="AH303" i="3"/>
  <c r="AD303" i="3"/>
  <c r="Q303" i="3"/>
  <c r="AT302" i="3"/>
  <c r="AS302" i="3"/>
  <c r="AP302" i="3"/>
  <c r="AO302" i="3"/>
  <c r="AL302" i="3"/>
  <c r="AH302" i="3"/>
  <c r="AD302" i="3"/>
  <c r="Q302" i="3"/>
  <c r="AT301" i="3"/>
  <c r="AS301" i="3"/>
  <c r="AP301" i="3"/>
  <c r="AO301" i="3"/>
  <c r="AL301" i="3"/>
  <c r="AH301" i="3"/>
  <c r="AD301" i="3"/>
  <c r="Q301" i="3"/>
  <c r="AT300" i="3"/>
  <c r="AS300" i="3"/>
  <c r="AP300" i="3"/>
  <c r="AO300" i="3"/>
  <c r="AL300" i="3"/>
  <c r="AH300" i="3"/>
  <c r="AD300" i="3"/>
  <c r="Q300" i="3"/>
  <c r="AT299" i="3"/>
  <c r="AS299" i="3"/>
  <c r="AP299" i="3"/>
  <c r="AO299" i="3"/>
  <c r="AL299" i="3"/>
  <c r="AH299" i="3"/>
  <c r="AD299" i="3"/>
  <c r="Q299" i="3"/>
  <c r="AT298" i="3"/>
  <c r="AS298" i="3"/>
  <c r="AT297" i="3"/>
  <c r="AS297" i="3"/>
  <c r="AP297" i="3"/>
  <c r="AO297" i="3"/>
  <c r="AL297" i="3"/>
  <c r="AH297" i="3"/>
  <c r="AD297" i="3"/>
  <c r="Q297" i="3"/>
  <c r="AT296" i="3"/>
  <c r="AS296" i="3"/>
  <c r="AP296" i="3"/>
  <c r="AO296" i="3"/>
  <c r="AL296" i="3"/>
  <c r="AH296" i="3"/>
  <c r="AD296" i="3"/>
  <c r="Q296" i="3"/>
  <c r="AT295" i="3"/>
  <c r="AS295" i="3"/>
  <c r="AP295" i="3"/>
  <c r="AO295" i="3"/>
  <c r="AL295" i="3"/>
  <c r="AH295" i="3"/>
  <c r="AD295" i="3"/>
  <c r="Q295" i="3"/>
  <c r="AT294" i="3"/>
  <c r="AS294" i="3"/>
  <c r="AP294" i="3"/>
  <c r="AO294" i="3"/>
  <c r="AL294" i="3"/>
  <c r="AH294" i="3"/>
  <c r="AD294" i="3"/>
  <c r="Q294" i="3"/>
  <c r="AT293" i="3"/>
  <c r="AS293" i="3"/>
  <c r="AP293" i="3"/>
  <c r="AO293" i="3"/>
  <c r="AL293" i="3"/>
  <c r="AH293" i="3"/>
  <c r="AD293" i="3"/>
  <c r="Q293" i="3"/>
  <c r="AT292" i="3"/>
  <c r="AS292" i="3"/>
  <c r="AP292" i="3"/>
  <c r="AO292" i="3"/>
  <c r="AL292" i="3"/>
  <c r="AH292" i="3"/>
  <c r="AD292" i="3"/>
  <c r="Q292" i="3"/>
  <c r="AT291" i="3"/>
  <c r="AS291" i="3"/>
  <c r="AP291" i="3"/>
  <c r="AO291" i="3"/>
  <c r="AL291" i="3"/>
  <c r="AH291" i="3"/>
  <c r="AD291" i="3"/>
  <c r="Q291" i="3"/>
  <c r="AT290" i="3"/>
  <c r="AS290" i="3"/>
  <c r="AP290" i="3"/>
  <c r="AO290" i="3"/>
  <c r="AL290" i="3"/>
  <c r="AH290" i="3"/>
  <c r="AD290" i="3"/>
  <c r="Q290" i="3"/>
  <c r="AT289" i="3"/>
  <c r="AS289" i="3"/>
  <c r="AP289" i="3"/>
  <c r="AO289" i="3"/>
  <c r="AL289" i="3"/>
  <c r="AH289" i="3"/>
  <c r="AD289" i="3"/>
  <c r="Q289" i="3"/>
  <c r="AT288" i="3"/>
  <c r="AS288" i="3"/>
  <c r="AP288" i="3"/>
  <c r="AO288" i="3"/>
  <c r="AH288" i="3"/>
  <c r="AD288" i="3"/>
  <c r="Q288" i="3"/>
  <c r="AT287" i="3"/>
  <c r="AS287" i="3"/>
  <c r="AP287" i="3"/>
  <c r="AO287" i="3"/>
  <c r="AH287" i="3"/>
  <c r="AD287" i="3"/>
  <c r="Q287" i="3"/>
  <c r="AT286" i="3"/>
  <c r="AS286" i="3"/>
  <c r="AP286" i="3"/>
  <c r="AO286" i="3"/>
  <c r="AH286" i="3"/>
  <c r="AD286" i="3"/>
  <c r="Q286" i="3"/>
  <c r="AT285" i="3"/>
  <c r="AS285" i="3"/>
  <c r="AP285" i="3"/>
  <c r="AO285" i="3"/>
  <c r="AH285" i="3"/>
  <c r="AD285" i="3"/>
  <c r="Q285" i="3"/>
  <c r="AT284" i="3"/>
  <c r="AS284" i="3"/>
  <c r="AP284" i="3"/>
  <c r="AO284" i="3"/>
  <c r="AH284" i="3"/>
  <c r="AD284" i="3"/>
  <c r="Q284" i="3"/>
  <c r="AT283" i="3"/>
  <c r="AS283" i="3"/>
  <c r="AP283" i="3"/>
  <c r="AO283" i="3"/>
  <c r="AH283" i="3"/>
  <c r="AD283" i="3"/>
  <c r="Q283" i="3"/>
  <c r="AT282" i="3"/>
  <c r="AS282" i="3"/>
  <c r="AP282" i="3"/>
  <c r="AO282" i="3"/>
  <c r="AL282" i="3"/>
  <c r="AH282" i="3"/>
  <c r="AD282" i="3"/>
  <c r="Q282" i="3"/>
  <c r="AT281" i="3"/>
  <c r="AS281" i="3"/>
  <c r="AP281" i="3"/>
  <c r="AO281" i="3"/>
  <c r="AL281" i="3"/>
  <c r="AH281" i="3"/>
  <c r="AD281" i="3"/>
  <c r="Q281" i="3"/>
  <c r="AT280" i="3"/>
  <c r="AS280" i="3"/>
  <c r="AP280" i="3"/>
  <c r="AO280" i="3"/>
  <c r="AL280" i="3"/>
  <c r="AH280" i="3"/>
  <c r="AD280" i="3"/>
  <c r="Q280" i="3"/>
  <c r="AT279" i="3"/>
  <c r="AS279" i="3"/>
  <c r="AP279" i="3"/>
  <c r="AO279" i="3"/>
  <c r="AL279" i="3"/>
  <c r="AH279" i="3"/>
  <c r="AD279" i="3"/>
  <c r="Q279" i="3"/>
  <c r="AT278" i="3"/>
  <c r="AS278" i="3"/>
  <c r="AP278" i="3"/>
  <c r="AO278" i="3"/>
  <c r="AL278" i="3"/>
  <c r="AH278" i="3"/>
  <c r="AD278" i="3"/>
  <c r="Q278" i="3"/>
  <c r="AT277" i="3"/>
  <c r="AS277" i="3"/>
  <c r="AP277" i="3"/>
  <c r="AO277" i="3"/>
  <c r="AL277" i="3"/>
  <c r="AH277" i="3"/>
  <c r="AD277" i="3"/>
  <c r="Q277" i="3"/>
  <c r="AT276" i="3"/>
  <c r="AS276" i="3"/>
  <c r="AP276" i="3"/>
  <c r="AO276" i="3"/>
  <c r="AL276" i="3"/>
  <c r="AH276" i="3"/>
  <c r="AD276" i="3"/>
  <c r="Q276" i="3"/>
  <c r="AT275" i="3"/>
  <c r="AS275" i="3"/>
  <c r="AP275" i="3"/>
  <c r="AO275" i="3"/>
  <c r="AL275" i="3"/>
  <c r="AH275" i="3"/>
  <c r="AD275" i="3"/>
  <c r="Q275" i="3"/>
  <c r="AT274" i="3"/>
  <c r="AS274" i="3"/>
  <c r="AP274" i="3"/>
  <c r="AO274" i="3"/>
  <c r="AL274" i="3"/>
  <c r="AH274" i="3"/>
  <c r="AD274" i="3"/>
  <c r="Q274" i="3"/>
  <c r="AT273" i="3"/>
  <c r="AS273" i="3"/>
  <c r="AP273" i="3"/>
  <c r="AO273" i="3"/>
  <c r="AL273" i="3"/>
  <c r="AH273" i="3"/>
  <c r="AD273" i="3"/>
  <c r="Q273" i="3"/>
  <c r="AT272" i="3"/>
  <c r="AS272" i="3"/>
  <c r="AP272" i="3"/>
  <c r="AO272" i="3"/>
  <c r="AL272" i="3"/>
  <c r="AH272" i="3"/>
  <c r="AD272" i="3"/>
  <c r="Q272" i="3"/>
  <c r="AT271" i="3"/>
  <c r="AS271" i="3"/>
  <c r="AP271" i="3"/>
  <c r="AO271" i="3"/>
  <c r="AL271" i="3"/>
  <c r="AH271" i="3"/>
  <c r="AD271" i="3"/>
  <c r="Q271" i="3"/>
  <c r="AT270" i="3"/>
  <c r="AS270" i="3"/>
  <c r="AP270" i="3"/>
  <c r="AO270" i="3"/>
  <c r="AL270" i="3"/>
  <c r="AH270" i="3"/>
  <c r="AD270" i="3"/>
  <c r="Q270" i="3"/>
  <c r="AT269" i="3"/>
  <c r="AS269" i="3"/>
  <c r="AP269" i="3"/>
  <c r="AO269" i="3"/>
  <c r="AL269" i="3"/>
  <c r="AH269" i="3"/>
  <c r="Q269" i="3"/>
  <c r="AT268" i="3"/>
  <c r="AS268" i="3"/>
  <c r="AP268" i="3"/>
  <c r="AO268" i="3"/>
  <c r="AL268" i="3"/>
  <c r="AH268" i="3"/>
  <c r="AD268" i="3"/>
  <c r="Q268" i="3"/>
  <c r="AT267" i="3"/>
  <c r="AS267" i="3"/>
  <c r="AP267" i="3"/>
  <c r="AO267" i="3"/>
  <c r="AL267" i="3"/>
  <c r="AH267" i="3"/>
  <c r="AD267" i="3"/>
  <c r="Q267" i="3"/>
  <c r="AT266" i="3"/>
  <c r="AS266" i="3"/>
  <c r="AP266" i="3"/>
  <c r="AO266" i="3"/>
  <c r="AL266" i="3"/>
  <c r="AH266" i="3"/>
  <c r="AD266" i="3"/>
  <c r="Q266" i="3"/>
  <c r="AT265" i="3"/>
  <c r="AS265" i="3"/>
  <c r="AP265" i="3"/>
  <c r="AO265" i="3"/>
  <c r="AL265" i="3"/>
  <c r="AH265" i="3"/>
  <c r="AD265" i="3"/>
  <c r="Q265" i="3"/>
  <c r="AT264" i="3"/>
  <c r="AS264" i="3"/>
  <c r="AP264" i="3"/>
  <c r="AO264" i="3"/>
  <c r="AL264" i="3"/>
  <c r="AH264" i="3"/>
  <c r="AD264" i="3"/>
  <c r="Q264" i="3"/>
  <c r="AT263" i="3"/>
  <c r="AS263" i="3"/>
  <c r="AP263" i="3"/>
  <c r="AO263" i="3"/>
  <c r="AL263" i="3"/>
  <c r="AH263" i="3"/>
  <c r="AD263" i="3"/>
  <c r="Q263" i="3"/>
  <c r="AT262" i="3"/>
  <c r="AS262" i="3"/>
  <c r="AP262" i="3"/>
  <c r="AO262" i="3"/>
  <c r="AL262" i="3"/>
  <c r="AH262" i="3"/>
  <c r="AD262" i="3"/>
  <c r="Q262" i="3"/>
  <c r="Q261" i="3"/>
  <c r="Q260" i="3"/>
  <c r="Q259" i="3"/>
  <c r="AT258" i="3"/>
  <c r="AS258" i="3"/>
  <c r="AP258" i="3"/>
  <c r="AO258" i="3"/>
  <c r="AH258" i="3"/>
  <c r="AD258" i="3"/>
  <c r="Q258" i="3"/>
  <c r="AT257" i="3"/>
  <c r="AS257" i="3"/>
  <c r="AP257" i="3"/>
  <c r="AO257" i="3"/>
  <c r="AH257" i="3"/>
  <c r="AD257" i="3"/>
  <c r="Q257" i="3"/>
  <c r="AT256" i="3"/>
  <c r="AS256" i="3"/>
  <c r="AP256" i="3"/>
  <c r="AO256" i="3"/>
  <c r="AH256" i="3"/>
  <c r="AD256" i="3"/>
  <c r="Q256" i="3"/>
  <c r="AT255" i="3"/>
  <c r="AS255" i="3"/>
  <c r="AP255" i="3"/>
  <c r="AO255" i="3"/>
  <c r="AH255" i="3"/>
  <c r="AD255" i="3"/>
  <c r="Q255" i="3"/>
  <c r="AT254" i="3"/>
  <c r="AS254" i="3"/>
  <c r="AP254" i="3"/>
  <c r="AO254" i="3"/>
  <c r="AH254" i="3"/>
  <c r="AD254" i="3"/>
  <c r="Q254" i="3"/>
  <c r="AT253" i="3"/>
  <c r="AS253" i="3"/>
  <c r="AP253" i="3"/>
  <c r="AO253" i="3"/>
  <c r="AH253" i="3"/>
  <c r="AD253" i="3"/>
  <c r="Q253" i="3"/>
  <c r="AT252" i="3"/>
  <c r="AS252" i="3"/>
  <c r="AP252" i="3"/>
  <c r="AO252" i="3"/>
  <c r="AH252" i="3"/>
  <c r="AD252" i="3"/>
  <c r="Q252" i="3"/>
  <c r="AT251" i="3"/>
  <c r="AS251" i="3"/>
  <c r="AP251" i="3"/>
  <c r="AO251" i="3"/>
  <c r="AH251" i="3"/>
  <c r="AD251" i="3"/>
  <c r="Q251" i="3"/>
  <c r="AT250" i="3"/>
  <c r="AS250" i="3"/>
  <c r="AP250" i="3"/>
  <c r="AO250" i="3"/>
  <c r="AH250" i="3"/>
  <c r="AD250" i="3"/>
  <c r="Q250" i="3"/>
  <c r="AT249" i="3"/>
  <c r="AS249" i="3"/>
  <c r="AP249" i="3"/>
  <c r="AO249" i="3"/>
  <c r="AH249" i="3"/>
  <c r="AD249" i="3"/>
  <c r="Q249" i="3"/>
  <c r="AT248" i="3"/>
  <c r="AS248" i="3"/>
  <c r="AP248" i="3"/>
  <c r="AO248" i="3"/>
  <c r="AH248" i="3"/>
  <c r="AD248" i="3"/>
  <c r="Q248" i="3"/>
  <c r="AT247" i="3"/>
  <c r="AS247" i="3"/>
  <c r="AP247" i="3"/>
  <c r="AO247" i="3"/>
  <c r="AH247" i="3"/>
  <c r="AD247" i="3"/>
  <c r="Q247" i="3"/>
  <c r="AT246" i="3"/>
  <c r="AS246" i="3"/>
  <c r="AP246" i="3"/>
  <c r="AO246" i="3"/>
  <c r="AH246" i="3"/>
  <c r="Q246" i="3"/>
  <c r="AT245" i="3"/>
  <c r="AS245" i="3"/>
  <c r="AP245" i="3"/>
  <c r="AO245" i="3"/>
  <c r="AH245" i="3"/>
  <c r="AD245" i="3"/>
  <c r="Q245" i="3"/>
  <c r="AT244" i="3"/>
  <c r="AS244" i="3"/>
  <c r="AP244" i="3"/>
  <c r="AO244" i="3"/>
  <c r="AH244" i="3"/>
  <c r="AD244" i="3"/>
  <c r="Q244" i="3"/>
  <c r="AT243" i="3"/>
  <c r="AS243" i="3"/>
  <c r="AP243" i="3"/>
  <c r="AO243" i="3"/>
  <c r="AH243" i="3"/>
  <c r="AD243" i="3"/>
  <c r="Q243" i="3"/>
  <c r="AT242" i="3"/>
  <c r="AS242" i="3"/>
  <c r="AP242" i="3"/>
  <c r="AO242" i="3"/>
  <c r="AH242" i="3"/>
  <c r="AD242" i="3"/>
  <c r="Q242" i="3"/>
  <c r="AT241" i="3"/>
  <c r="AS241" i="3"/>
  <c r="AP241" i="3"/>
  <c r="AO241" i="3"/>
  <c r="AH241" i="3"/>
  <c r="AD241" i="3"/>
  <c r="Q241" i="3"/>
  <c r="AT240" i="3"/>
  <c r="AS240" i="3"/>
  <c r="AP240" i="3"/>
  <c r="AO240" i="3"/>
  <c r="AH240" i="3"/>
  <c r="AD240" i="3"/>
  <c r="Q240" i="3"/>
  <c r="AT239" i="3"/>
  <c r="AS239" i="3"/>
  <c r="AP239" i="3"/>
  <c r="AO239" i="3"/>
  <c r="AH239" i="3"/>
  <c r="AD239" i="3"/>
  <c r="Q239" i="3"/>
  <c r="AT238" i="3"/>
  <c r="AS238" i="3"/>
  <c r="AP238" i="3"/>
  <c r="AO238" i="3"/>
  <c r="AH238" i="3"/>
  <c r="AD238" i="3"/>
  <c r="Q238" i="3"/>
  <c r="AT237" i="3"/>
  <c r="AS237" i="3"/>
  <c r="AP237" i="3"/>
  <c r="AO237" i="3"/>
  <c r="AH237" i="3"/>
  <c r="AD237" i="3"/>
  <c r="Q237" i="3"/>
  <c r="AT236" i="3"/>
  <c r="AS236" i="3"/>
  <c r="AP236" i="3"/>
  <c r="AO236" i="3"/>
  <c r="AH236" i="3"/>
  <c r="AD236" i="3"/>
  <c r="Q236" i="3"/>
  <c r="AT235" i="3"/>
  <c r="AS235" i="3"/>
  <c r="AP235" i="3"/>
  <c r="AO235" i="3"/>
  <c r="AH235" i="3"/>
  <c r="AD235" i="3"/>
  <c r="Q235" i="3"/>
  <c r="AT234" i="3"/>
  <c r="AS234" i="3"/>
  <c r="AP234" i="3"/>
  <c r="AO234" i="3"/>
  <c r="AH234" i="3"/>
  <c r="AD234" i="3"/>
  <c r="Q234" i="3"/>
  <c r="AT233" i="3"/>
  <c r="AS233" i="3"/>
  <c r="AP233" i="3"/>
  <c r="AO233" i="3"/>
  <c r="AH233" i="3"/>
  <c r="AD233" i="3"/>
  <c r="Q233" i="3"/>
  <c r="AT232" i="3"/>
  <c r="AS232" i="3"/>
  <c r="AP232" i="3"/>
  <c r="AO232" i="3"/>
  <c r="AH232" i="3"/>
  <c r="AD232" i="3"/>
  <c r="Q232" i="3"/>
  <c r="AT231" i="3"/>
  <c r="AS231" i="3"/>
  <c r="AP231" i="3"/>
  <c r="AO231" i="3"/>
  <c r="AH231" i="3"/>
  <c r="AD231" i="3"/>
  <c r="Q231" i="3"/>
  <c r="AT230" i="3"/>
  <c r="AS230" i="3"/>
  <c r="AP230" i="3"/>
  <c r="AO230" i="3"/>
  <c r="AH230" i="3"/>
  <c r="AD230" i="3"/>
  <c r="Q230" i="3"/>
  <c r="AT229" i="3"/>
  <c r="AS229" i="3"/>
  <c r="AP229" i="3"/>
  <c r="AO229" i="3"/>
  <c r="AH229" i="3"/>
  <c r="AD229" i="3"/>
  <c r="Q229" i="3"/>
  <c r="AT228" i="3"/>
  <c r="AS228" i="3"/>
  <c r="AP228" i="3"/>
  <c r="AO228" i="3"/>
  <c r="AH228" i="3"/>
  <c r="AD228" i="3"/>
  <c r="Q228" i="3"/>
  <c r="AT227" i="3"/>
  <c r="AS227" i="3"/>
  <c r="AP227" i="3"/>
  <c r="AO227" i="3"/>
  <c r="AH227" i="3"/>
  <c r="AD227" i="3"/>
  <c r="Q227" i="3"/>
  <c r="AT226" i="3"/>
  <c r="AS226" i="3"/>
  <c r="AP226" i="3"/>
  <c r="AO226" i="3"/>
  <c r="AH226" i="3"/>
  <c r="AD226" i="3"/>
  <c r="Q226" i="3"/>
  <c r="AT225" i="3"/>
  <c r="AS225" i="3"/>
  <c r="AP225" i="3"/>
  <c r="AO225" i="3"/>
  <c r="AH225" i="3"/>
  <c r="AD225" i="3"/>
  <c r="Q225" i="3"/>
  <c r="AT224" i="3"/>
  <c r="AS224" i="3"/>
  <c r="AP224" i="3"/>
  <c r="AO224" i="3"/>
  <c r="AH224" i="3"/>
  <c r="AD224" i="3"/>
  <c r="Q224" i="3"/>
  <c r="AT223" i="3"/>
  <c r="AS223" i="3"/>
  <c r="AP223" i="3"/>
  <c r="AO223" i="3"/>
  <c r="AH223" i="3"/>
  <c r="AD223" i="3"/>
  <c r="Q223" i="3"/>
  <c r="AT222" i="3"/>
  <c r="AS222" i="3"/>
  <c r="AP222" i="3"/>
  <c r="AO222" i="3"/>
  <c r="AH222" i="3"/>
  <c r="AD222" i="3"/>
  <c r="Q222" i="3"/>
  <c r="AT221" i="3"/>
  <c r="AS221" i="3"/>
  <c r="AP221" i="3"/>
  <c r="AO221" i="3"/>
  <c r="AH221" i="3"/>
  <c r="AD221" i="3"/>
  <c r="Q221" i="3"/>
  <c r="AT220" i="3"/>
  <c r="AS220" i="3"/>
  <c r="AP220" i="3"/>
  <c r="AO220" i="3"/>
  <c r="AH220" i="3"/>
  <c r="AD220" i="3"/>
  <c r="Q220" i="3"/>
  <c r="AT219" i="3"/>
  <c r="AS219" i="3"/>
  <c r="AP219" i="3"/>
  <c r="AO219" i="3"/>
  <c r="AH219" i="3"/>
  <c r="AD219" i="3"/>
  <c r="Q219" i="3"/>
  <c r="AT218" i="3"/>
  <c r="AS218" i="3"/>
  <c r="AP218" i="3"/>
  <c r="AO218" i="3"/>
  <c r="AH218" i="3"/>
  <c r="AD218" i="3"/>
  <c r="Q218" i="3"/>
  <c r="AT217" i="3"/>
  <c r="AS217" i="3"/>
  <c r="AP217" i="3"/>
  <c r="AO217" i="3"/>
  <c r="AH217" i="3"/>
  <c r="AD217" i="3"/>
  <c r="Q217" i="3"/>
  <c r="AT216" i="3"/>
  <c r="AS216" i="3"/>
  <c r="AO216" i="3"/>
  <c r="AH216" i="3"/>
  <c r="AD216" i="3"/>
  <c r="AT215" i="3"/>
  <c r="AS215" i="3"/>
  <c r="AP215" i="3"/>
  <c r="AO215" i="3"/>
  <c r="AT214" i="3"/>
  <c r="AS214" i="3"/>
  <c r="AP214" i="3"/>
  <c r="AO214" i="3"/>
  <c r="AT213" i="3"/>
  <c r="AS213" i="3"/>
  <c r="AP213" i="3"/>
  <c r="AO213" i="3"/>
  <c r="AL213" i="3"/>
  <c r="AH213" i="3"/>
  <c r="AD213" i="3"/>
  <c r="Q213" i="3"/>
  <c r="AT212" i="3"/>
  <c r="AS212" i="3"/>
  <c r="AP212" i="3"/>
  <c r="AO212" i="3"/>
  <c r="AL212" i="3"/>
  <c r="AH212" i="3"/>
  <c r="AD212" i="3"/>
  <c r="Q212" i="3"/>
  <c r="AT211" i="3"/>
  <c r="AS211" i="3"/>
  <c r="AP211" i="3"/>
  <c r="AO211" i="3"/>
  <c r="AL211" i="3"/>
  <c r="AH211" i="3"/>
  <c r="AD211" i="3"/>
  <c r="Q211" i="3"/>
  <c r="AT210" i="3"/>
  <c r="AS210" i="3"/>
  <c r="AP210" i="3"/>
  <c r="AO210" i="3"/>
  <c r="AL210" i="3"/>
  <c r="AH210" i="3"/>
  <c r="AD210" i="3"/>
  <c r="Q210" i="3"/>
  <c r="AT209" i="3"/>
  <c r="AS209" i="3"/>
  <c r="AP209" i="3"/>
  <c r="AO209" i="3"/>
  <c r="AL209" i="3"/>
  <c r="AH209" i="3"/>
  <c r="AD209" i="3"/>
  <c r="Q209" i="3"/>
  <c r="AT208" i="3"/>
  <c r="AS208" i="3"/>
  <c r="AP208" i="3"/>
  <c r="AO208" i="3"/>
  <c r="AL208" i="3"/>
  <c r="AH208" i="3"/>
  <c r="AD208" i="3"/>
  <c r="Q208" i="3"/>
  <c r="AT207" i="3"/>
  <c r="AS207" i="3"/>
  <c r="AP207" i="3"/>
  <c r="AO207" i="3"/>
  <c r="AL207" i="3"/>
  <c r="AH207" i="3"/>
  <c r="AD207" i="3"/>
  <c r="Q207" i="3"/>
  <c r="AT206" i="3"/>
  <c r="AS206" i="3"/>
  <c r="AP206" i="3"/>
  <c r="AO206" i="3"/>
  <c r="AL206" i="3"/>
  <c r="AH206" i="3"/>
  <c r="AT205" i="3"/>
  <c r="AS205" i="3"/>
  <c r="AP205" i="3"/>
  <c r="AO205" i="3"/>
  <c r="AL205" i="3"/>
  <c r="AH205" i="3"/>
  <c r="AD205" i="3"/>
  <c r="Q205" i="3"/>
  <c r="AT204" i="3"/>
  <c r="AS204" i="3"/>
  <c r="AP204" i="3"/>
  <c r="AO204" i="3"/>
  <c r="AL204" i="3"/>
  <c r="AH204" i="3"/>
  <c r="AD204" i="3"/>
  <c r="Q204" i="3"/>
  <c r="AT203" i="3"/>
  <c r="AS203" i="3"/>
  <c r="AP203" i="3"/>
  <c r="AO203" i="3"/>
  <c r="AL203" i="3"/>
  <c r="AH203" i="3"/>
  <c r="AD203" i="3"/>
  <c r="Q203" i="3"/>
  <c r="AT202" i="3"/>
  <c r="AS202" i="3"/>
  <c r="AP202" i="3"/>
  <c r="AO202" i="3"/>
  <c r="AL202" i="3"/>
  <c r="AH202" i="3"/>
  <c r="AD202" i="3"/>
  <c r="Q202" i="3"/>
  <c r="AT201" i="3"/>
  <c r="AS201" i="3"/>
  <c r="AP201" i="3"/>
  <c r="AO201" i="3"/>
  <c r="AL201" i="3"/>
  <c r="AH201" i="3"/>
  <c r="AD201" i="3"/>
  <c r="Q201" i="3"/>
  <c r="AT200" i="3"/>
  <c r="AS200" i="3"/>
  <c r="AP200" i="3"/>
  <c r="AO200" i="3"/>
  <c r="AL200" i="3"/>
  <c r="AH200" i="3"/>
  <c r="AD200" i="3"/>
  <c r="Q200" i="3"/>
  <c r="AT199" i="3"/>
  <c r="AS199" i="3"/>
  <c r="AP199" i="3"/>
  <c r="AO199" i="3"/>
  <c r="AL199" i="3"/>
  <c r="AH199" i="3"/>
  <c r="AD199" i="3"/>
  <c r="Q199" i="3"/>
  <c r="AT198" i="3"/>
  <c r="AS198" i="3"/>
  <c r="AP198" i="3"/>
  <c r="AO198" i="3"/>
  <c r="AL198" i="3"/>
  <c r="AH198" i="3"/>
  <c r="AT197" i="3"/>
  <c r="AS197" i="3"/>
  <c r="AP197" i="3"/>
  <c r="AO197" i="3"/>
  <c r="AL197" i="3"/>
  <c r="AH197" i="3"/>
  <c r="AT196" i="3"/>
  <c r="AS196" i="3"/>
  <c r="AP196" i="3"/>
  <c r="AO196" i="3"/>
  <c r="AL196" i="3"/>
  <c r="AH196" i="3"/>
  <c r="AD196" i="3"/>
  <c r="Q196" i="3"/>
  <c r="AT195" i="3"/>
  <c r="AS195" i="3"/>
  <c r="AP195" i="3"/>
  <c r="AO195" i="3"/>
  <c r="AL195" i="3"/>
  <c r="AH195" i="3"/>
  <c r="AD195" i="3"/>
  <c r="Q195" i="3"/>
  <c r="AT194" i="3"/>
  <c r="AS194" i="3"/>
  <c r="AP194" i="3"/>
  <c r="AO194" i="3"/>
  <c r="AL194" i="3"/>
  <c r="AH194" i="3"/>
  <c r="AD194" i="3"/>
  <c r="Q194" i="3"/>
  <c r="AT193" i="3"/>
  <c r="AS193" i="3"/>
  <c r="AP193" i="3"/>
  <c r="AO193" i="3"/>
  <c r="AL193" i="3"/>
  <c r="AH193" i="3"/>
  <c r="AD193" i="3"/>
  <c r="Q193" i="3"/>
  <c r="AT192" i="3"/>
  <c r="AS192" i="3"/>
  <c r="AP192" i="3"/>
  <c r="AO192" i="3"/>
  <c r="AL192" i="3"/>
  <c r="AH192" i="3"/>
  <c r="AD192" i="3"/>
  <c r="Q192" i="3"/>
  <c r="AT191" i="3"/>
  <c r="AS191" i="3"/>
  <c r="AP191" i="3"/>
  <c r="AO191" i="3"/>
  <c r="AL191" i="3"/>
  <c r="AH191" i="3"/>
  <c r="AT190" i="3"/>
  <c r="AS190" i="3"/>
  <c r="AP190" i="3"/>
  <c r="AO190" i="3"/>
  <c r="AL190" i="3"/>
  <c r="AH190" i="3"/>
  <c r="AT189" i="3"/>
  <c r="AS189" i="3"/>
  <c r="AP189" i="3"/>
  <c r="AO189" i="3"/>
  <c r="AL189" i="3"/>
  <c r="AH189" i="3"/>
  <c r="AT188" i="3"/>
  <c r="AS188" i="3"/>
  <c r="AP188" i="3"/>
  <c r="AO188" i="3"/>
  <c r="AL188" i="3"/>
  <c r="AH188" i="3"/>
  <c r="AT187" i="3"/>
  <c r="AS187" i="3"/>
  <c r="AP187" i="3"/>
  <c r="AO187" i="3"/>
  <c r="AL187" i="3"/>
  <c r="AH187" i="3"/>
  <c r="AT186" i="3"/>
  <c r="AS186" i="3"/>
  <c r="AP186" i="3"/>
  <c r="AO186" i="3"/>
  <c r="AL186" i="3"/>
  <c r="AH186" i="3"/>
  <c r="AT185" i="3"/>
  <c r="AS185" i="3"/>
  <c r="AP185" i="3"/>
  <c r="AO185" i="3"/>
  <c r="AL185" i="3"/>
  <c r="AH185" i="3"/>
  <c r="AD185" i="3"/>
  <c r="Q185" i="3"/>
  <c r="AT184" i="3"/>
  <c r="AS184" i="3"/>
  <c r="AP184" i="3"/>
  <c r="AO184" i="3"/>
  <c r="AL184" i="3"/>
  <c r="AH184" i="3"/>
  <c r="AT183" i="3"/>
  <c r="AS183" i="3"/>
  <c r="AP183" i="3"/>
  <c r="AO183" i="3"/>
  <c r="AL183" i="3"/>
  <c r="AH183" i="3"/>
  <c r="AD183" i="3"/>
  <c r="Q183" i="3"/>
  <c r="AT182" i="3"/>
  <c r="AS182" i="3"/>
  <c r="AP182" i="3"/>
  <c r="AO182" i="3"/>
  <c r="AL182" i="3"/>
  <c r="AH182" i="3"/>
  <c r="AT181" i="3"/>
  <c r="AS181" i="3"/>
  <c r="AP181" i="3"/>
  <c r="AO181" i="3"/>
  <c r="AL181" i="3"/>
  <c r="AH181" i="3"/>
  <c r="AD181" i="3"/>
  <c r="Q181" i="3"/>
  <c r="AT180" i="3"/>
  <c r="AS180" i="3"/>
  <c r="AP180" i="3"/>
  <c r="AO180" i="3"/>
  <c r="AL180" i="3"/>
  <c r="AH180" i="3"/>
  <c r="AD180" i="3"/>
  <c r="Q180" i="3"/>
  <c r="AT179" i="3"/>
  <c r="AS179" i="3"/>
  <c r="AP179" i="3"/>
  <c r="AO179" i="3"/>
  <c r="AL179" i="3"/>
  <c r="AH179" i="3"/>
  <c r="AT178" i="3"/>
  <c r="AS178" i="3"/>
  <c r="AP178" i="3"/>
  <c r="AO178" i="3"/>
  <c r="AL178" i="3"/>
  <c r="AH178" i="3"/>
  <c r="AT177" i="3"/>
  <c r="AS177" i="3"/>
  <c r="AP177" i="3"/>
  <c r="AO177" i="3"/>
  <c r="AL177" i="3"/>
  <c r="AH177" i="3"/>
  <c r="AT176" i="3"/>
  <c r="AS176" i="3"/>
  <c r="AP176" i="3"/>
  <c r="AO176" i="3"/>
  <c r="AL176" i="3"/>
  <c r="AH176" i="3"/>
  <c r="AT175" i="3"/>
  <c r="AS175" i="3"/>
  <c r="AP175" i="3"/>
  <c r="AO175" i="3"/>
  <c r="AH175" i="3"/>
  <c r="AD175" i="3"/>
  <c r="Q175" i="3"/>
  <c r="AT174" i="3"/>
  <c r="AS174" i="3"/>
  <c r="AP174" i="3"/>
  <c r="AO174" i="3"/>
  <c r="AH174" i="3"/>
  <c r="AD174" i="3"/>
  <c r="Q174" i="3"/>
  <c r="AT173" i="3"/>
  <c r="AS173" i="3"/>
  <c r="AP173" i="3"/>
  <c r="AO173" i="3"/>
  <c r="AH173" i="3"/>
  <c r="AD173" i="3"/>
  <c r="Q173" i="3"/>
  <c r="AT172" i="3"/>
  <c r="AS172" i="3"/>
  <c r="AP172" i="3"/>
  <c r="AO172" i="3"/>
  <c r="AH172" i="3"/>
  <c r="AD172" i="3"/>
  <c r="Q172" i="3"/>
  <c r="AT171" i="3"/>
  <c r="AS171" i="3"/>
  <c r="AP171" i="3"/>
  <c r="AO171" i="3"/>
  <c r="AH171" i="3"/>
  <c r="AD171" i="3"/>
  <c r="Q171" i="3"/>
  <c r="AT170" i="3"/>
  <c r="AS170" i="3"/>
  <c r="AP170" i="3"/>
  <c r="AO170" i="3"/>
  <c r="AH170" i="3"/>
  <c r="AD170" i="3"/>
  <c r="Q170" i="3"/>
  <c r="AT169" i="3"/>
  <c r="AS169" i="3"/>
  <c r="AP169" i="3"/>
  <c r="AO169" i="3"/>
  <c r="AH169" i="3"/>
  <c r="AD169" i="3"/>
  <c r="Q169" i="3"/>
  <c r="AT168" i="3"/>
  <c r="AS168" i="3"/>
  <c r="AP168" i="3"/>
  <c r="AO168" i="3"/>
  <c r="AH168" i="3"/>
  <c r="AD168" i="3"/>
  <c r="Q168" i="3"/>
  <c r="AT167" i="3"/>
  <c r="AS167" i="3"/>
  <c r="AP167" i="3"/>
  <c r="AO167" i="3"/>
  <c r="AH167" i="3"/>
  <c r="AD167" i="3"/>
  <c r="Q167" i="3"/>
  <c r="AT166" i="3"/>
  <c r="AS166" i="3"/>
  <c r="AP166" i="3"/>
  <c r="AO166" i="3"/>
  <c r="AH166" i="3"/>
  <c r="AD166" i="3"/>
  <c r="Q166" i="3"/>
  <c r="AT165" i="3"/>
  <c r="AS165" i="3"/>
  <c r="AP165" i="3"/>
  <c r="AO165" i="3"/>
  <c r="AH165" i="3"/>
  <c r="AD165" i="3"/>
  <c r="Q165" i="3"/>
  <c r="AT164" i="3"/>
  <c r="AS164" i="3"/>
  <c r="AP164" i="3"/>
  <c r="AO164" i="3"/>
  <c r="AH164" i="3"/>
  <c r="AD164" i="3"/>
  <c r="Q164" i="3"/>
  <c r="AT163" i="3"/>
  <c r="AS163" i="3"/>
  <c r="AP163" i="3"/>
  <c r="AO163" i="3"/>
  <c r="AH163" i="3"/>
  <c r="AD163" i="3"/>
  <c r="Q163" i="3"/>
  <c r="AT162" i="3"/>
  <c r="AS162" i="3"/>
  <c r="AP162" i="3"/>
  <c r="AO162" i="3"/>
  <c r="AH162" i="3"/>
  <c r="AD162" i="3"/>
  <c r="Q162" i="3"/>
  <c r="AT161" i="3"/>
  <c r="AS161" i="3"/>
  <c r="AP161" i="3"/>
  <c r="AO161" i="3"/>
  <c r="AH161" i="3"/>
  <c r="AD161" i="3"/>
  <c r="Q161" i="3"/>
  <c r="AT160" i="3"/>
  <c r="AS160" i="3"/>
  <c r="AP160" i="3"/>
  <c r="AO160" i="3"/>
  <c r="AH160" i="3"/>
  <c r="AD160" i="3"/>
  <c r="Q160" i="3"/>
  <c r="AT159" i="3"/>
  <c r="AS159" i="3"/>
  <c r="AP159" i="3"/>
  <c r="AO159" i="3"/>
  <c r="AH159" i="3"/>
  <c r="AD159" i="3"/>
  <c r="Q159" i="3"/>
  <c r="AT158" i="3"/>
  <c r="AS158" i="3"/>
  <c r="AP158" i="3"/>
  <c r="AO158" i="3"/>
  <c r="AH158" i="3"/>
  <c r="AD158" i="3"/>
  <c r="Q158" i="3"/>
  <c r="AT157" i="3"/>
  <c r="AS157" i="3"/>
  <c r="AP157" i="3"/>
  <c r="AO157" i="3"/>
  <c r="AH157" i="3"/>
  <c r="AD157" i="3"/>
  <c r="Q157" i="3"/>
  <c r="AT156" i="3"/>
  <c r="AS156" i="3"/>
  <c r="AP156" i="3"/>
  <c r="AO156" i="3"/>
  <c r="AH156" i="3"/>
  <c r="AD156" i="3"/>
  <c r="Q156" i="3"/>
  <c r="AT155" i="3"/>
  <c r="AS155" i="3"/>
  <c r="AP155" i="3"/>
  <c r="AO155" i="3"/>
  <c r="AH155" i="3"/>
  <c r="AD155" i="3"/>
  <c r="Q155" i="3"/>
  <c r="AT154" i="3"/>
  <c r="AS154" i="3"/>
  <c r="AP154" i="3"/>
  <c r="AO154" i="3"/>
  <c r="AH154" i="3"/>
  <c r="AD154" i="3"/>
  <c r="Q154" i="3"/>
  <c r="AT153" i="3"/>
  <c r="AS153" i="3"/>
  <c r="AP153" i="3"/>
  <c r="AO153" i="3"/>
  <c r="AH153" i="3"/>
  <c r="AD153" i="3"/>
  <c r="Q153" i="3"/>
  <c r="AT152" i="3"/>
  <c r="AS152" i="3"/>
  <c r="AP152" i="3"/>
  <c r="AO152" i="3"/>
  <c r="AH152" i="3"/>
  <c r="AD152" i="3"/>
  <c r="Q152" i="3"/>
  <c r="AT151" i="3"/>
  <c r="AS151" i="3"/>
  <c r="AP151" i="3"/>
  <c r="AO151" i="3"/>
  <c r="AL151" i="3"/>
  <c r="AH151" i="3"/>
  <c r="AD151" i="3"/>
  <c r="Q151" i="3"/>
  <c r="AT150" i="3"/>
  <c r="AS150" i="3"/>
  <c r="AP150" i="3"/>
  <c r="AO150" i="3"/>
  <c r="AL150" i="3"/>
  <c r="AH150" i="3"/>
  <c r="AD150" i="3"/>
  <c r="Q150" i="3"/>
  <c r="AT149" i="3"/>
  <c r="AS149" i="3"/>
  <c r="AP149" i="3"/>
  <c r="AO149" i="3"/>
  <c r="AL149" i="3"/>
  <c r="AH149" i="3"/>
  <c r="AD149" i="3"/>
  <c r="Q149" i="3"/>
  <c r="AT148" i="3"/>
  <c r="AS148" i="3"/>
  <c r="AP148" i="3"/>
  <c r="AO148" i="3"/>
  <c r="AL148" i="3"/>
  <c r="AH148" i="3"/>
  <c r="AD148" i="3"/>
  <c r="Q148" i="3"/>
  <c r="AT147" i="3"/>
  <c r="AS147" i="3"/>
  <c r="AP147" i="3"/>
  <c r="AO147" i="3"/>
  <c r="AL147" i="3"/>
  <c r="AH147" i="3"/>
  <c r="AD147" i="3"/>
  <c r="Q147" i="3"/>
  <c r="AT146" i="3"/>
  <c r="AS146" i="3"/>
  <c r="AP146" i="3"/>
  <c r="AO146" i="3"/>
  <c r="AL146" i="3"/>
  <c r="AH146" i="3"/>
  <c r="AD146" i="3"/>
  <c r="Q146" i="3"/>
  <c r="AT145" i="3"/>
  <c r="AS145" i="3"/>
  <c r="AP145" i="3"/>
  <c r="AO145" i="3"/>
  <c r="AL145" i="3"/>
  <c r="AH145" i="3"/>
  <c r="AD145" i="3"/>
  <c r="Q145" i="3"/>
  <c r="AT144" i="3"/>
  <c r="AS144" i="3"/>
  <c r="AP144" i="3"/>
  <c r="AO144" i="3"/>
  <c r="AL144" i="3"/>
  <c r="AH144" i="3"/>
  <c r="AD144" i="3"/>
  <c r="Q144" i="3"/>
  <c r="AT143" i="3"/>
  <c r="AS143" i="3"/>
  <c r="AP143" i="3"/>
  <c r="AO143" i="3"/>
  <c r="AL143" i="3"/>
  <c r="AH143" i="3"/>
  <c r="AD143" i="3"/>
  <c r="Q143" i="3"/>
  <c r="AT142" i="3"/>
  <c r="AS142" i="3"/>
  <c r="AP142" i="3"/>
  <c r="AO142" i="3"/>
  <c r="AL142" i="3"/>
  <c r="AH142" i="3"/>
  <c r="AD142" i="3"/>
  <c r="Q142" i="3"/>
  <c r="AT141" i="3"/>
  <c r="AS141" i="3"/>
  <c r="AP141" i="3"/>
  <c r="AO141" i="3"/>
  <c r="AL141" i="3"/>
  <c r="AH141" i="3"/>
  <c r="AD141" i="3"/>
  <c r="Q141" i="3"/>
  <c r="AT140" i="3"/>
  <c r="AS140" i="3"/>
  <c r="AP140" i="3"/>
  <c r="AO140" i="3"/>
  <c r="AL140" i="3"/>
  <c r="AH140" i="3"/>
  <c r="AD140" i="3"/>
  <c r="Q140" i="3"/>
  <c r="AT139" i="3"/>
  <c r="AS139" i="3"/>
  <c r="AP139" i="3"/>
  <c r="AO139" i="3"/>
  <c r="AL139" i="3"/>
  <c r="AH139" i="3"/>
  <c r="Q139" i="3"/>
  <c r="AT138" i="3"/>
  <c r="AS138" i="3"/>
  <c r="AP138" i="3"/>
  <c r="AO138" i="3"/>
  <c r="AL138" i="3"/>
  <c r="AH138" i="3"/>
  <c r="Q138" i="3"/>
  <c r="AT137" i="3"/>
  <c r="AS137" i="3"/>
  <c r="AP137" i="3"/>
  <c r="AO137" i="3"/>
  <c r="AL137" i="3"/>
  <c r="AH137" i="3"/>
  <c r="Q137" i="3"/>
  <c r="AT136" i="3"/>
  <c r="AS136" i="3"/>
  <c r="AP136" i="3"/>
  <c r="AO136" i="3"/>
  <c r="AL136" i="3"/>
  <c r="AH136" i="3"/>
  <c r="Q136" i="3"/>
  <c r="AT135" i="3"/>
  <c r="AS135" i="3"/>
  <c r="AP135" i="3"/>
  <c r="AO135" i="3"/>
  <c r="AL135" i="3"/>
  <c r="AH135" i="3"/>
  <c r="Q135" i="3"/>
  <c r="AT134" i="3"/>
  <c r="AS134" i="3"/>
  <c r="AP134" i="3"/>
  <c r="AO134" i="3"/>
  <c r="AL134" i="3"/>
  <c r="AH134" i="3"/>
  <c r="Q134" i="3"/>
  <c r="AT133" i="3"/>
  <c r="AS133" i="3"/>
  <c r="AP133" i="3"/>
  <c r="AO133" i="3"/>
  <c r="AL133" i="3"/>
  <c r="AH133" i="3"/>
  <c r="AD133" i="3"/>
  <c r="Q133" i="3"/>
  <c r="AT132" i="3"/>
  <c r="AS132" i="3"/>
  <c r="AP132" i="3"/>
  <c r="AO132" i="3"/>
  <c r="AL132" i="3"/>
  <c r="AH132" i="3"/>
  <c r="AD132" i="3"/>
  <c r="Q132" i="3"/>
  <c r="AT131" i="3"/>
  <c r="AS131" i="3"/>
  <c r="AP131" i="3"/>
  <c r="AO131" i="3"/>
  <c r="AL131" i="3"/>
  <c r="AH131" i="3"/>
  <c r="AD131" i="3"/>
  <c r="Q131" i="3"/>
  <c r="AT130" i="3"/>
  <c r="AS130" i="3"/>
  <c r="AP130" i="3"/>
  <c r="AO130" i="3"/>
  <c r="AL130" i="3"/>
  <c r="AH130" i="3"/>
  <c r="AD130" i="3"/>
  <c r="Q130" i="3"/>
  <c r="AT129" i="3"/>
  <c r="AS129" i="3"/>
  <c r="AP129" i="3"/>
  <c r="AO129" i="3"/>
  <c r="AL129" i="3"/>
  <c r="AH129" i="3"/>
  <c r="AD129" i="3"/>
  <c r="Q129" i="3"/>
  <c r="AT128" i="3"/>
  <c r="AS128" i="3"/>
  <c r="AP128" i="3"/>
  <c r="AO128" i="3"/>
  <c r="AL128" i="3"/>
  <c r="AH128" i="3"/>
  <c r="AD128" i="3"/>
  <c r="Q128" i="3"/>
  <c r="AT127" i="3"/>
  <c r="AS127" i="3"/>
  <c r="AP127" i="3"/>
  <c r="AO127" i="3"/>
  <c r="AL127" i="3"/>
  <c r="AH127" i="3"/>
  <c r="AD127" i="3"/>
  <c r="Q127" i="3"/>
  <c r="AT126" i="3"/>
  <c r="AS126" i="3"/>
  <c r="AP126" i="3"/>
  <c r="AO126" i="3"/>
  <c r="AL126" i="3"/>
  <c r="AH126" i="3"/>
  <c r="AD126" i="3"/>
  <c r="Q126" i="3"/>
  <c r="AT125" i="3"/>
  <c r="AS125" i="3"/>
  <c r="AP125" i="3"/>
  <c r="AO125" i="3"/>
  <c r="AL125" i="3"/>
  <c r="AH125" i="3"/>
  <c r="AD125" i="3"/>
  <c r="Q125" i="3"/>
  <c r="AT124" i="3"/>
  <c r="AS124" i="3"/>
  <c r="AP124" i="3"/>
  <c r="AO124" i="3"/>
  <c r="AL124" i="3"/>
  <c r="AH124" i="3"/>
  <c r="AD124" i="3"/>
  <c r="Q124" i="3"/>
  <c r="AT123" i="3"/>
  <c r="AS123" i="3"/>
  <c r="AP123" i="3"/>
  <c r="AO123" i="3"/>
  <c r="AL123" i="3"/>
  <c r="AH123" i="3"/>
  <c r="AD123" i="3"/>
  <c r="Q123" i="3"/>
  <c r="AT122" i="3"/>
  <c r="AS122" i="3"/>
  <c r="AP122" i="3"/>
  <c r="AO122" i="3"/>
  <c r="AL122" i="3"/>
  <c r="AH122" i="3"/>
  <c r="AD122" i="3"/>
  <c r="Q122" i="3"/>
  <c r="AT121" i="3"/>
  <c r="AS121" i="3"/>
  <c r="AP121" i="3"/>
  <c r="AO121" i="3"/>
  <c r="AL121" i="3"/>
  <c r="AH121" i="3"/>
  <c r="AD121" i="3"/>
  <c r="Q121" i="3"/>
  <c r="AT120" i="3"/>
  <c r="AS120" i="3"/>
  <c r="AP120" i="3"/>
  <c r="AO120" i="3"/>
  <c r="AL120" i="3"/>
  <c r="AH120" i="3"/>
  <c r="AD120" i="3"/>
  <c r="Q120" i="3"/>
  <c r="AT119" i="3"/>
  <c r="AS119" i="3"/>
  <c r="AP119" i="3"/>
  <c r="AO119" i="3"/>
  <c r="AL119" i="3"/>
  <c r="AH119" i="3"/>
  <c r="AD119" i="3"/>
  <c r="Q119" i="3"/>
  <c r="AT118" i="3"/>
  <c r="AS118" i="3"/>
  <c r="AP118" i="3"/>
  <c r="AO118" i="3"/>
  <c r="AL118" i="3"/>
  <c r="AH118" i="3"/>
  <c r="AD118" i="3"/>
  <c r="Q118" i="3"/>
  <c r="AT117" i="3"/>
  <c r="AS117" i="3"/>
  <c r="AP117" i="3"/>
  <c r="AO117" i="3"/>
  <c r="AL117" i="3"/>
  <c r="AH117" i="3"/>
  <c r="AD117" i="3"/>
  <c r="Q117" i="3"/>
  <c r="AT116" i="3"/>
  <c r="AS116" i="3"/>
  <c r="AP116" i="3"/>
  <c r="AO116" i="3"/>
  <c r="AL116" i="3"/>
  <c r="AH116" i="3"/>
  <c r="AD116" i="3"/>
  <c r="Q116" i="3"/>
  <c r="AT115" i="3"/>
  <c r="AS115" i="3"/>
  <c r="AP115" i="3"/>
  <c r="AO115" i="3"/>
  <c r="AL115" i="3"/>
  <c r="AH115" i="3"/>
  <c r="AD115" i="3"/>
  <c r="Q115" i="3"/>
  <c r="AT114" i="3"/>
  <c r="AS114" i="3"/>
  <c r="AP114" i="3"/>
  <c r="AO114" i="3"/>
  <c r="AL114" i="3"/>
  <c r="AH114" i="3"/>
  <c r="AD114" i="3"/>
  <c r="Q114" i="3"/>
  <c r="AT113" i="3"/>
  <c r="AS113" i="3"/>
  <c r="AP113" i="3"/>
  <c r="AO113" i="3"/>
  <c r="AL113" i="3"/>
  <c r="AH113" i="3"/>
  <c r="AD113" i="3"/>
  <c r="Q113" i="3"/>
  <c r="AT112" i="3"/>
  <c r="AS112" i="3"/>
  <c r="AP112" i="3"/>
  <c r="AO112" i="3"/>
  <c r="AL112" i="3"/>
  <c r="AH112" i="3"/>
  <c r="AD112" i="3"/>
  <c r="Q112" i="3"/>
  <c r="AT111" i="3"/>
  <c r="AS111" i="3"/>
  <c r="AP111" i="3"/>
  <c r="AO111" i="3"/>
  <c r="AL111" i="3"/>
  <c r="AH111" i="3"/>
  <c r="AD111" i="3"/>
  <c r="Q111" i="3"/>
  <c r="AT110" i="3"/>
  <c r="AS110" i="3"/>
  <c r="AP110" i="3"/>
  <c r="AO110" i="3"/>
  <c r="AL110" i="3"/>
  <c r="AH110" i="3"/>
  <c r="AD110" i="3"/>
  <c r="Q110" i="3"/>
  <c r="AT109" i="3"/>
  <c r="AS109" i="3"/>
  <c r="AP109" i="3"/>
  <c r="AO109" i="3"/>
  <c r="AL109" i="3"/>
  <c r="AH109" i="3"/>
  <c r="AD109" i="3"/>
  <c r="Q109" i="3"/>
  <c r="AT108" i="3"/>
  <c r="AS108" i="3"/>
  <c r="AP108" i="3"/>
  <c r="AO108" i="3"/>
  <c r="AL108" i="3"/>
  <c r="AH108" i="3"/>
  <c r="AD108" i="3"/>
  <c r="Q108" i="3"/>
  <c r="AT107" i="3"/>
  <c r="AS107" i="3"/>
  <c r="AP107" i="3"/>
  <c r="AO107" i="3"/>
  <c r="AL107" i="3"/>
  <c r="AH107" i="3"/>
  <c r="AD107" i="3"/>
  <c r="Q107" i="3"/>
  <c r="AT106" i="3"/>
  <c r="AS106" i="3"/>
  <c r="AP106" i="3"/>
  <c r="AO106" i="3"/>
  <c r="AL106" i="3"/>
  <c r="AH106" i="3"/>
  <c r="AD106" i="3"/>
  <c r="Q106" i="3"/>
  <c r="AT105" i="3"/>
  <c r="AS105" i="3"/>
  <c r="AP105" i="3"/>
  <c r="AO105" i="3"/>
  <c r="AL105" i="3"/>
  <c r="AH105" i="3"/>
  <c r="AD105" i="3"/>
  <c r="Q105" i="3"/>
  <c r="AT104" i="3"/>
  <c r="AS104" i="3"/>
  <c r="AP104" i="3"/>
  <c r="AO104" i="3"/>
  <c r="AL104" i="3"/>
  <c r="AH104" i="3"/>
  <c r="AD104" i="3"/>
  <c r="Q104" i="3"/>
  <c r="AT103" i="3"/>
  <c r="AS103" i="3"/>
  <c r="AP103" i="3"/>
  <c r="AO103" i="3"/>
  <c r="AL103" i="3"/>
  <c r="AH103" i="3"/>
  <c r="AD103" i="3"/>
  <c r="Q103" i="3"/>
  <c r="AT102" i="3"/>
  <c r="AS102" i="3"/>
  <c r="AP102" i="3"/>
  <c r="AO102" i="3"/>
  <c r="AL102" i="3"/>
  <c r="AH102" i="3"/>
  <c r="AD102" i="3"/>
  <c r="Q102" i="3"/>
  <c r="AT101" i="3"/>
  <c r="AS101" i="3"/>
  <c r="AP101" i="3"/>
  <c r="AO101" i="3"/>
  <c r="AL101" i="3"/>
  <c r="AH101" i="3"/>
  <c r="AD101" i="3"/>
  <c r="Q101" i="3"/>
  <c r="AT100" i="3"/>
  <c r="AS100" i="3"/>
  <c r="AP100" i="3"/>
  <c r="AO100" i="3"/>
  <c r="AL100" i="3"/>
  <c r="AH100" i="3"/>
  <c r="AD100" i="3"/>
  <c r="Q100" i="3"/>
  <c r="AT99" i="3"/>
  <c r="AS99" i="3"/>
  <c r="AP99" i="3"/>
  <c r="AO99" i="3"/>
  <c r="AL99" i="3"/>
  <c r="AH99" i="3"/>
  <c r="AD99" i="3"/>
  <c r="Q99" i="3"/>
  <c r="AT98" i="3"/>
  <c r="AS98" i="3"/>
  <c r="AP98" i="3"/>
  <c r="AO98" i="3"/>
  <c r="AL98" i="3"/>
  <c r="AH98" i="3"/>
  <c r="AD98" i="3"/>
  <c r="Q98" i="3"/>
  <c r="AT97" i="3"/>
  <c r="AS97" i="3"/>
  <c r="AP97" i="3"/>
  <c r="AO97" i="3"/>
  <c r="AL97" i="3"/>
  <c r="AH97" i="3"/>
  <c r="AD97" i="3"/>
  <c r="Q97" i="3"/>
  <c r="AT96" i="3"/>
  <c r="AS96" i="3"/>
  <c r="AP96" i="3"/>
  <c r="AO96" i="3"/>
  <c r="AL96" i="3"/>
  <c r="AH96" i="3"/>
  <c r="AD96" i="3"/>
  <c r="Q96" i="3"/>
  <c r="AT95" i="3"/>
  <c r="AS95" i="3"/>
  <c r="AP95" i="3"/>
  <c r="AO95" i="3"/>
  <c r="AL95" i="3"/>
  <c r="AH95" i="3"/>
  <c r="AD95" i="3"/>
  <c r="Q95" i="3"/>
  <c r="AT94" i="3"/>
  <c r="AS94" i="3"/>
  <c r="AP94" i="3"/>
  <c r="AO94" i="3"/>
  <c r="AL94" i="3"/>
  <c r="AH94" i="3"/>
  <c r="AD94" i="3"/>
  <c r="Q94" i="3"/>
  <c r="AT93" i="3"/>
  <c r="AS93" i="3"/>
  <c r="AP93" i="3"/>
  <c r="AO93" i="3"/>
  <c r="AL93" i="3"/>
  <c r="AH93" i="3"/>
  <c r="AD93" i="3"/>
  <c r="Q93" i="3"/>
  <c r="AT92" i="3"/>
  <c r="AS92" i="3"/>
  <c r="AP92" i="3"/>
  <c r="AO92" i="3"/>
  <c r="AL92" i="3"/>
  <c r="AH92" i="3"/>
  <c r="AD92" i="3"/>
  <c r="Q92" i="3"/>
  <c r="AT91" i="3"/>
  <c r="AS91" i="3"/>
  <c r="AP91" i="3"/>
  <c r="AO91" i="3"/>
  <c r="AL91" i="3"/>
  <c r="AH91" i="3"/>
  <c r="AD91" i="3"/>
  <c r="Q91" i="3"/>
  <c r="AT90" i="3"/>
  <c r="AS90" i="3"/>
  <c r="AP90" i="3"/>
  <c r="AO90" i="3"/>
  <c r="AL90" i="3"/>
  <c r="AH90" i="3"/>
  <c r="AD90" i="3"/>
  <c r="Q90" i="3"/>
  <c r="AT89" i="3"/>
  <c r="AS89" i="3"/>
  <c r="AP89" i="3"/>
  <c r="AO89" i="3"/>
  <c r="AL89" i="3"/>
  <c r="AH89" i="3"/>
  <c r="AD89" i="3"/>
  <c r="Q89" i="3"/>
  <c r="AT88" i="3"/>
  <c r="AS88" i="3"/>
  <c r="AP88" i="3"/>
  <c r="AO88" i="3"/>
  <c r="AL88" i="3"/>
  <c r="AH88" i="3"/>
  <c r="AD88" i="3"/>
  <c r="Q88" i="3"/>
  <c r="AT87" i="3"/>
  <c r="AS87" i="3"/>
  <c r="AP87" i="3"/>
  <c r="AO87" i="3"/>
  <c r="AL87" i="3"/>
  <c r="AH87" i="3"/>
  <c r="AD87" i="3"/>
  <c r="Q87" i="3"/>
  <c r="AT86" i="3"/>
  <c r="AS86" i="3"/>
  <c r="AP86" i="3"/>
  <c r="AO86" i="3"/>
  <c r="AL86" i="3"/>
  <c r="AH86" i="3"/>
  <c r="AD86" i="3"/>
  <c r="Q86" i="3"/>
  <c r="AT85" i="3"/>
  <c r="AS85" i="3"/>
  <c r="AP85" i="3"/>
  <c r="AO85" i="3"/>
  <c r="AL85" i="3"/>
  <c r="AH85" i="3"/>
  <c r="AD85" i="3"/>
  <c r="Q85" i="3"/>
  <c r="AT84" i="3"/>
  <c r="AS84" i="3"/>
  <c r="AP84" i="3"/>
  <c r="AO84" i="3"/>
  <c r="AL84" i="3"/>
  <c r="AH84" i="3"/>
  <c r="AD84" i="3"/>
  <c r="Q84" i="3"/>
  <c r="AT83" i="3"/>
  <c r="AS83" i="3"/>
  <c r="AP83" i="3"/>
  <c r="AO83" i="3"/>
  <c r="AL83" i="3"/>
  <c r="AH83" i="3"/>
  <c r="AD83" i="3"/>
  <c r="Q83" i="3"/>
  <c r="AT82" i="3"/>
  <c r="AS82" i="3"/>
  <c r="AP82" i="3"/>
  <c r="AO82" i="3"/>
  <c r="AL82" i="3"/>
  <c r="AH82" i="3"/>
  <c r="AD82" i="3"/>
  <c r="Q82" i="3"/>
  <c r="AT81" i="3"/>
  <c r="AS81" i="3"/>
  <c r="AP81" i="3"/>
  <c r="AO81" i="3"/>
  <c r="AL81" i="3"/>
  <c r="AH81" i="3"/>
  <c r="AD81" i="3"/>
  <c r="Q81" i="3"/>
  <c r="AT80" i="3"/>
  <c r="AS80" i="3"/>
  <c r="AP80" i="3"/>
  <c r="AO80" i="3"/>
  <c r="AL80" i="3"/>
  <c r="AH80" i="3"/>
  <c r="AD80" i="3"/>
  <c r="Q80" i="3"/>
  <c r="AT79" i="3"/>
  <c r="AS79" i="3"/>
  <c r="AP79" i="3"/>
  <c r="AO79" i="3"/>
  <c r="AL79" i="3"/>
  <c r="AH79" i="3"/>
  <c r="AD79" i="3"/>
  <c r="Q79" i="3"/>
  <c r="AT78" i="3"/>
  <c r="AS78" i="3"/>
  <c r="AP78" i="3"/>
  <c r="AO78" i="3"/>
  <c r="AL78" i="3"/>
  <c r="AH78" i="3"/>
  <c r="AD78" i="3"/>
  <c r="Q78" i="3"/>
  <c r="AT77" i="3"/>
  <c r="AS77" i="3"/>
  <c r="AP77" i="3"/>
  <c r="AO77" i="3"/>
  <c r="AL77" i="3"/>
  <c r="AH77" i="3"/>
  <c r="AD77" i="3"/>
  <c r="Q77" i="3"/>
  <c r="AT76" i="3"/>
  <c r="AS76" i="3"/>
  <c r="AP76" i="3"/>
  <c r="AO76" i="3"/>
  <c r="AL76" i="3"/>
  <c r="AH76" i="3"/>
  <c r="AD76" i="3"/>
  <c r="Q76" i="3"/>
  <c r="AT75" i="3"/>
  <c r="AS75" i="3"/>
  <c r="AP75" i="3"/>
  <c r="AO75" i="3"/>
  <c r="AL75" i="3"/>
  <c r="AH75" i="3"/>
  <c r="AD75" i="3"/>
  <c r="Q75" i="3"/>
  <c r="AT74" i="3"/>
  <c r="AS74" i="3"/>
  <c r="AP74" i="3"/>
  <c r="AO74" i="3"/>
  <c r="AL74" i="3"/>
  <c r="AH74" i="3"/>
  <c r="AD74" i="3"/>
  <c r="Q74" i="3"/>
  <c r="AT73" i="3"/>
  <c r="AS73" i="3"/>
  <c r="AP73" i="3"/>
  <c r="AO73" i="3"/>
  <c r="AL73" i="3"/>
  <c r="AH73" i="3"/>
  <c r="AD73" i="3"/>
  <c r="Q73" i="3"/>
  <c r="AT72" i="3"/>
  <c r="AS72" i="3"/>
  <c r="AP72" i="3"/>
  <c r="AO72" i="3"/>
  <c r="AL72" i="3"/>
  <c r="AH72" i="3"/>
  <c r="AD72" i="3"/>
  <c r="Q72" i="3"/>
  <c r="AT71" i="3"/>
  <c r="AS71" i="3"/>
  <c r="AP71" i="3"/>
  <c r="AO71" i="3"/>
  <c r="AL71" i="3"/>
  <c r="AH71" i="3"/>
  <c r="AD71" i="3"/>
  <c r="Q71" i="3"/>
  <c r="AT70" i="3"/>
  <c r="AS70" i="3"/>
  <c r="AP70" i="3"/>
  <c r="AO70" i="3"/>
  <c r="AL70" i="3"/>
  <c r="AH70" i="3"/>
  <c r="AD70" i="3"/>
  <c r="Q70" i="3"/>
  <c r="AT69" i="3"/>
  <c r="AS69" i="3"/>
  <c r="AP69" i="3"/>
  <c r="AO69" i="3"/>
  <c r="AL69" i="3"/>
  <c r="AH69" i="3"/>
  <c r="AD69" i="3"/>
  <c r="Q69" i="3"/>
  <c r="AT68" i="3"/>
  <c r="AS68" i="3"/>
  <c r="AP68" i="3"/>
  <c r="AO68" i="3"/>
  <c r="AL68" i="3"/>
  <c r="AH68" i="3"/>
  <c r="AD68" i="3"/>
  <c r="Q68" i="3"/>
  <c r="AT67" i="3"/>
  <c r="AS67" i="3"/>
  <c r="AP67" i="3"/>
  <c r="AO67" i="3"/>
  <c r="AL67" i="3"/>
  <c r="AH67" i="3"/>
  <c r="AD67" i="3"/>
  <c r="Q67" i="3"/>
  <c r="AT66" i="3"/>
  <c r="AS66" i="3"/>
  <c r="AP66" i="3"/>
  <c r="AO66" i="3"/>
  <c r="AL66" i="3"/>
  <c r="AH66" i="3"/>
  <c r="AT65" i="3"/>
  <c r="AS65" i="3"/>
  <c r="AP65" i="3"/>
  <c r="AO65" i="3"/>
  <c r="AL65" i="3"/>
  <c r="AH65" i="3"/>
  <c r="AD65" i="3"/>
  <c r="Q65" i="3"/>
  <c r="AT64" i="3"/>
  <c r="AS64" i="3"/>
  <c r="AP64" i="3"/>
  <c r="AO64" i="3"/>
  <c r="AL64" i="3"/>
  <c r="AH64" i="3"/>
  <c r="AD64" i="3"/>
  <c r="Q64" i="3"/>
  <c r="AT63" i="3"/>
  <c r="AS63" i="3"/>
  <c r="AP63" i="3"/>
  <c r="AO63" i="3"/>
  <c r="AL63" i="3"/>
  <c r="AH63" i="3"/>
  <c r="AD63" i="3"/>
  <c r="Q63" i="3"/>
  <c r="AT62" i="3"/>
  <c r="AS62" i="3"/>
  <c r="AP62" i="3"/>
  <c r="AO62" i="3"/>
  <c r="AL62" i="3"/>
  <c r="AH62" i="3"/>
  <c r="AD62" i="3"/>
  <c r="Q62" i="3"/>
  <c r="AT61" i="3"/>
  <c r="AS61" i="3"/>
  <c r="AP61" i="3"/>
  <c r="AO61" i="3"/>
  <c r="AL61" i="3"/>
  <c r="AH61" i="3"/>
  <c r="AD61" i="3"/>
  <c r="Q61" i="3"/>
  <c r="AT60" i="3"/>
  <c r="AS60" i="3"/>
  <c r="AP60" i="3"/>
  <c r="AO60" i="3"/>
  <c r="AL60" i="3"/>
  <c r="AH60" i="3"/>
  <c r="AD60" i="3"/>
  <c r="Q60" i="3"/>
  <c r="AT59" i="3"/>
  <c r="AS59" i="3"/>
  <c r="AP59" i="3"/>
  <c r="AO59" i="3"/>
  <c r="AL59" i="3"/>
  <c r="AH59" i="3"/>
  <c r="AD59" i="3"/>
  <c r="Q59" i="3"/>
  <c r="AT58" i="3"/>
  <c r="AS58" i="3"/>
  <c r="AP58" i="3"/>
  <c r="AO58" i="3"/>
  <c r="AL58" i="3"/>
  <c r="AH58" i="3"/>
  <c r="AD58" i="3"/>
  <c r="Q58" i="3"/>
  <c r="AT57" i="3"/>
  <c r="AS57" i="3"/>
  <c r="AP57" i="3"/>
  <c r="AO57" i="3"/>
  <c r="AL57" i="3"/>
  <c r="AH57" i="3"/>
  <c r="AD57" i="3"/>
  <c r="Q57" i="3"/>
  <c r="AT56" i="3"/>
  <c r="AS56" i="3"/>
  <c r="AP56" i="3"/>
  <c r="AO56" i="3"/>
  <c r="AL56" i="3"/>
  <c r="AH56" i="3"/>
  <c r="AD56" i="3"/>
  <c r="Q56" i="3"/>
  <c r="AT55" i="3"/>
  <c r="AS55" i="3"/>
  <c r="AP55" i="3"/>
  <c r="AO55" i="3"/>
  <c r="AL55" i="3"/>
  <c r="AH55" i="3"/>
  <c r="AD55" i="3"/>
  <c r="Q55" i="3"/>
  <c r="AT54" i="3"/>
  <c r="AS54" i="3"/>
  <c r="AP54" i="3"/>
  <c r="AO54" i="3"/>
  <c r="AL54" i="3"/>
  <c r="AH54" i="3"/>
  <c r="AD54" i="3"/>
  <c r="Q54" i="3"/>
  <c r="AT53" i="3"/>
  <c r="AS53" i="3"/>
  <c r="AP53" i="3"/>
  <c r="AO53" i="3"/>
  <c r="AL53" i="3"/>
  <c r="AH53" i="3"/>
  <c r="AD53" i="3"/>
  <c r="Q53" i="3"/>
  <c r="AT52" i="3"/>
  <c r="AS52" i="3"/>
  <c r="AP52" i="3"/>
  <c r="AO52" i="3"/>
  <c r="AL52" i="3"/>
  <c r="AH52" i="3"/>
  <c r="AD52" i="3"/>
  <c r="Q52" i="3"/>
  <c r="AT51" i="3"/>
  <c r="AS51" i="3"/>
  <c r="AP51" i="3"/>
  <c r="AO51" i="3"/>
  <c r="AL51" i="3"/>
  <c r="AH51" i="3"/>
  <c r="AD51" i="3"/>
  <c r="Q51" i="3"/>
  <c r="AT50" i="3"/>
  <c r="AS50" i="3"/>
  <c r="AP50" i="3"/>
  <c r="AO50" i="3"/>
  <c r="AL50" i="3"/>
  <c r="AH50" i="3"/>
  <c r="AD50" i="3"/>
  <c r="Q50" i="3"/>
  <c r="AT49" i="3"/>
  <c r="AS49" i="3"/>
  <c r="AP49" i="3"/>
  <c r="AO49" i="3"/>
  <c r="AL49" i="3"/>
  <c r="AH49" i="3"/>
  <c r="AD49" i="3"/>
  <c r="Q49" i="3"/>
  <c r="AT48" i="3"/>
  <c r="AS48" i="3"/>
  <c r="AP48" i="3"/>
  <c r="AO48" i="3"/>
  <c r="AL48" i="3"/>
  <c r="AH48" i="3"/>
  <c r="AD48" i="3"/>
  <c r="Q48" i="3"/>
  <c r="AT47" i="3"/>
  <c r="AS47" i="3"/>
  <c r="AP47" i="3"/>
  <c r="AO47" i="3"/>
  <c r="AL47" i="3"/>
  <c r="AH47" i="3"/>
  <c r="AD47" i="3"/>
  <c r="Q47" i="3"/>
  <c r="AT46" i="3"/>
  <c r="AS46" i="3"/>
  <c r="AP46" i="3"/>
  <c r="AO46" i="3"/>
  <c r="AL46" i="3"/>
  <c r="AH46" i="3"/>
  <c r="AD46" i="3"/>
  <c r="Q46" i="3"/>
  <c r="AT45" i="3"/>
  <c r="AS45" i="3"/>
  <c r="AP45" i="3"/>
  <c r="AO45" i="3"/>
  <c r="AL45" i="3"/>
  <c r="AH45" i="3"/>
  <c r="AD45" i="3"/>
  <c r="Q45" i="3"/>
  <c r="AT44" i="3"/>
  <c r="AS44" i="3"/>
  <c r="AP44" i="3"/>
  <c r="AO44" i="3"/>
  <c r="AL44" i="3"/>
  <c r="AH44" i="3"/>
  <c r="AD44" i="3"/>
  <c r="Q44" i="3"/>
  <c r="AT43" i="3"/>
  <c r="AS43" i="3"/>
  <c r="AP43" i="3"/>
  <c r="AO43" i="3"/>
  <c r="AL43" i="3"/>
  <c r="AH43" i="3"/>
  <c r="AD43" i="3"/>
  <c r="Q43" i="3"/>
  <c r="AT42" i="3"/>
  <c r="AS42" i="3"/>
  <c r="AP42" i="3"/>
  <c r="AO42" i="3"/>
  <c r="AL42" i="3"/>
  <c r="AH42" i="3"/>
  <c r="AD42" i="3"/>
  <c r="Q42" i="3"/>
  <c r="AT41" i="3"/>
  <c r="AS41" i="3"/>
  <c r="AP41" i="3"/>
  <c r="AO41" i="3"/>
  <c r="AL41" i="3"/>
  <c r="AH41" i="3"/>
  <c r="AD41" i="3"/>
  <c r="Q41" i="3"/>
  <c r="AT40" i="3"/>
  <c r="AS40" i="3"/>
  <c r="AP40" i="3"/>
  <c r="AO40" i="3"/>
  <c r="AL40" i="3"/>
  <c r="AH40" i="3"/>
  <c r="AD40" i="3"/>
  <c r="Q40" i="3"/>
  <c r="AT39" i="3"/>
  <c r="AS39" i="3"/>
  <c r="AP39" i="3"/>
  <c r="AO39" i="3"/>
  <c r="AL39" i="3"/>
  <c r="AH39" i="3"/>
  <c r="AD39" i="3"/>
  <c r="Q39" i="3"/>
  <c r="AT38" i="3"/>
  <c r="AS38" i="3"/>
  <c r="AP38" i="3"/>
  <c r="AO38" i="3"/>
  <c r="AL38" i="3"/>
  <c r="AH38" i="3"/>
  <c r="AD38" i="3"/>
  <c r="Q38" i="3"/>
  <c r="AT37" i="3"/>
  <c r="AS37" i="3"/>
  <c r="AP37" i="3"/>
  <c r="AO37" i="3"/>
  <c r="AL37" i="3"/>
  <c r="AH37" i="3"/>
  <c r="AD37" i="3"/>
  <c r="Q37" i="3"/>
  <c r="AT36" i="3"/>
  <c r="AS36" i="3"/>
  <c r="AP36" i="3"/>
  <c r="AO36" i="3"/>
  <c r="AL36" i="3"/>
  <c r="AH36" i="3"/>
  <c r="AD36" i="3"/>
  <c r="Q36" i="3"/>
  <c r="AT35" i="3"/>
  <c r="AS35" i="3"/>
  <c r="AP35" i="3"/>
  <c r="AO35" i="3"/>
  <c r="AL35" i="3"/>
  <c r="AH35" i="3"/>
  <c r="AD35" i="3"/>
  <c r="Q35" i="3"/>
  <c r="AT34" i="3"/>
  <c r="AS34" i="3"/>
  <c r="AP34" i="3"/>
  <c r="AO34" i="3"/>
  <c r="AL34" i="3"/>
  <c r="AH34" i="3"/>
  <c r="AD34" i="3"/>
  <c r="Q34" i="3"/>
  <c r="AT33" i="3"/>
  <c r="AS33" i="3"/>
  <c r="AP33" i="3"/>
  <c r="AO33" i="3"/>
  <c r="AL33" i="3"/>
  <c r="AH33" i="3"/>
  <c r="AD33" i="3"/>
  <c r="Q33" i="3"/>
  <c r="AT32" i="3"/>
  <c r="AS32" i="3"/>
  <c r="AP32" i="3"/>
  <c r="AO32" i="3"/>
  <c r="AL32" i="3"/>
  <c r="AH32" i="3"/>
  <c r="AD32" i="3"/>
  <c r="Q32" i="3"/>
  <c r="AT31" i="3"/>
  <c r="AS31" i="3"/>
  <c r="AP31" i="3"/>
  <c r="AO31" i="3"/>
  <c r="AH31" i="3"/>
  <c r="AD31" i="3"/>
  <c r="Q31" i="3"/>
  <c r="AT30" i="3"/>
  <c r="AS30" i="3"/>
  <c r="AP30" i="3"/>
  <c r="AO30" i="3"/>
  <c r="AH30" i="3"/>
  <c r="AD30" i="3"/>
  <c r="Q30" i="3"/>
  <c r="AT29" i="3"/>
  <c r="AS29" i="3"/>
  <c r="AP29" i="3"/>
  <c r="AO29" i="3"/>
  <c r="AH29" i="3"/>
  <c r="AD29" i="3"/>
  <c r="Q29" i="3"/>
  <c r="AT28" i="3"/>
  <c r="AS28" i="3"/>
  <c r="AP28" i="3"/>
  <c r="AO28" i="3"/>
  <c r="AH28" i="3"/>
  <c r="AD28" i="3"/>
  <c r="Q28" i="3"/>
  <c r="AT27" i="3"/>
  <c r="AS27" i="3"/>
  <c r="AP27" i="3"/>
  <c r="AO27" i="3"/>
  <c r="AH27" i="3"/>
  <c r="AD27" i="3"/>
  <c r="Q27" i="3"/>
  <c r="AT26" i="3"/>
  <c r="AS26" i="3"/>
  <c r="AP26" i="3"/>
  <c r="AO26" i="3"/>
  <c r="AH26" i="3"/>
  <c r="AD26" i="3"/>
  <c r="Q26" i="3"/>
  <c r="AT25" i="3"/>
  <c r="AS25" i="3"/>
  <c r="AP25" i="3"/>
  <c r="AO25" i="3"/>
  <c r="AH25" i="3"/>
  <c r="AD25" i="3"/>
  <c r="Q25" i="3"/>
  <c r="AT24" i="3"/>
  <c r="AS24" i="3"/>
  <c r="AP24" i="3"/>
  <c r="AO24" i="3"/>
  <c r="AH24" i="3"/>
  <c r="AD24" i="3"/>
  <c r="Q24" i="3"/>
  <c r="AT23" i="3"/>
  <c r="AS23" i="3"/>
  <c r="AP23" i="3"/>
  <c r="AO23" i="3"/>
  <c r="AH23" i="3"/>
  <c r="AD23" i="3"/>
  <c r="Q23" i="3"/>
  <c r="AT22" i="3"/>
  <c r="AS22" i="3"/>
  <c r="AP22" i="3"/>
  <c r="AO22" i="3"/>
  <c r="AH22" i="3"/>
  <c r="AD22" i="3"/>
  <c r="Q22" i="3"/>
  <c r="AT21" i="3"/>
  <c r="AS21" i="3"/>
  <c r="AP21" i="3"/>
  <c r="AO21" i="3"/>
  <c r="AH21" i="3"/>
  <c r="AD21" i="3"/>
  <c r="Q21" i="3"/>
  <c r="AT20" i="3"/>
  <c r="AS20" i="3"/>
  <c r="AP20" i="3"/>
  <c r="AO20" i="3"/>
  <c r="AH20" i="3"/>
  <c r="AD20" i="3"/>
  <c r="Q20" i="3"/>
  <c r="AT19" i="3"/>
  <c r="AS19" i="3"/>
  <c r="AP19" i="3"/>
  <c r="AO19" i="3"/>
  <c r="AH19" i="3"/>
  <c r="AD19" i="3"/>
  <c r="Q19" i="3"/>
  <c r="AT18" i="3"/>
  <c r="AS18" i="3"/>
  <c r="AP18" i="3"/>
  <c r="AO18" i="3"/>
  <c r="AH18" i="3"/>
  <c r="AD18" i="3"/>
  <c r="Q18" i="3"/>
  <c r="AT17" i="3"/>
  <c r="AS17" i="3"/>
  <c r="AP17" i="3"/>
  <c r="AO17" i="3"/>
  <c r="AH17" i="3"/>
  <c r="AD17" i="3"/>
  <c r="Q17" i="3"/>
  <c r="AT16" i="3"/>
  <c r="AS16" i="3"/>
  <c r="AP16" i="3"/>
  <c r="AO16" i="3"/>
  <c r="AH16" i="3"/>
  <c r="AD16" i="3"/>
  <c r="Q16" i="3"/>
  <c r="AT15" i="3"/>
  <c r="AS15" i="3"/>
  <c r="AP15" i="3"/>
  <c r="AO15" i="3"/>
  <c r="AH15" i="3"/>
  <c r="AD15" i="3"/>
  <c r="Q15" i="3"/>
  <c r="AT14" i="3"/>
  <c r="AS14" i="3"/>
  <c r="AP14" i="3"/>
  <c r="AO14" i="3"/>
  <c r="AH14" i="3"/>
  <c r="AD14" i="3"/>
  <c r="Q14" i="3"/>
  <c r="AT13" i="3"/>
  <c r="AS13" i="3"/>
  <c r="AP13" i="3"/>
  <c r="AO13" i="3"/>
  <c r="AH13" i="3"/>
  <c r="AD13" i="3"/>
  <c r="Q13" i="3"/>
  <c r="AT12" i="3"/>
  <c r="AS12" i="3"/>
  <c r="AP12" i="3"/>
  <c r="AO12" i="3"/>
  <c r="AH12" i="3"/>
  <c r="AD12" i="3"/>
  <c r="Q12" i="3"/>
  <c r="AT11" i="3"/>
  <c r="AS11" i="3"/>
  <c r="AP11" i="3"/>
  <c r="AO11" i="3"/>
  <c r="AH11" i="3"/>
  <c r="AD11" i="3"/>
  <c r="Q11" i="3"/>
  <c r="AT10" i="3"/>
  <c r="AS10" i="3"/>
  <c r="AP10" i="3"/>
  <c r="AO10" i="3"/>
  <c r="AH10" i="3"/>
  <c r="AD10" i="3"/>
  <c r="Q10" i="3"/>
  <c r="AT9" i="3"/>
  <c r="AS9" i="3"/>
  <c r="AP9" i="3"/>
  <c r="AO9" i="3"/>
  <c r="AH9" i="3"/>
  <c r="AD9" i="3"/>
  <c r="Q9" i="3"/>
  <c r="AT8" i="3"/>
  <c r="AS8" i="3"/>
  <c r="AP8" i="3"/>
  <c r="AO8" i="3"/>
  <c r="AH8" i="3"/>
  <c r="AD8" i="3"/>
  <c r="Q8" i="3"/>
  <c r="AT7" i="3"/>
  <c r="AS7" i="3"/>
  <c r="AP7" i="3"/>
  <c r="AO7" i="3"/>
  <c r="AH7" i="3"/>
  <c r="AD7" i="3"/>
  <c r="Q7" i="3"/>
  <c r="AT6" i="3"/>
  <c r="AS6" i="3"/>
  <c r="AP6" i="3"/>
  <c r="AO6" i="3"/>
  <c r="AH6" i="3"/>
  <c r="AD6" i="3"/>
  <c r="Q6" i="3"/>
  <c r="AT5" i="3"/>
  <c r="AS5" i="3"/>
  <c r="AP5" i="3"/>
  <c r="AO5" i="3"/>
  <c r="AH5" i="3"/>
  <c r="AD5" i="3"/>
  <c r="Q5" i="3"/>
  <c r="AT4" i="3"/>
  <c r="AS4" i="3"/>
  <c r="AP4" i="3"/>
  <c r="AO4" i="3"/>
  <c r="AH4" i="3"/>
  <c r="AD4" i="3"/>
  <c r="Q4" i="3"/>
  <c r="AT3" i="3"/>
  <c r="AS3" i="3"/>
  <c r="AP3" i="3"/>
  <c r="AO3" i="3"/>
  <c r="AH3" i="3"/>
  <c r="AD3" i="3"/>
  <c r="Q3" i="3"/>
  <c r="I1" i="4"/>
  <c r="K1" i="4"/>
  <c r="J1" i="4"/>
</calcChain>
</file>

<file path=xl/sharedStrings.xml><?xml version="1.0" encoding="utf-8"?>
<sst xmlns="http://schemas.openxmlformats.org/spreadsheetml/2006/main" count="38979" uniqueCount="9229">
  <si>
    <t>RFP添付資料3_要求機能一覧</t>
  </si>
  <si>
    <t>提案会社名</t>
  </si>
  <si>
    <t>←社名を記入ください</t>
  </si>
  <si>
    <t>記入要綱</t>
  </si>
  <si>
    <t>貴社記入欄「実現方法」に「標準」「アドオン・カスタマイズ」「不可」のいずれかを回答ください。</t>
  </si>
  <si>
    <t>「回答詳細」欄に回答内容を記載ください。</t>
  </si>
  <si>
    <t>「実現方法」で「アドオン・カスタマイズ」を選択した場合、「アドオン・カスタマイズ概算費用」を記載ください。</t>
  </si>
  <si>
    <t>DFDに沿って記載しているため、同じ要求機能が複数行に記載されています。その場合は、「連番〇〇〇と同じ」</t>
  </si>
  <si>
    <t>と回答詳細に記載下さい。「実現方法」は設定ください。</t>
  </si>
  <si>
    <t>全て、シートに直接入力をお願いします。</t>
  </si>
  <si>
    <t>備考欄に質問を記入して送り返すことはしないでください。</t>
  </si>
  <si>
    <t>質問はまとめて、別途質問シートにて提出を願いします。</t>
  </si>
  <si>
    <t>記入された内容について、詳細かつ明瞭に記述してください。</t>
  </si>
  <si>
    <t>会社名を必ず入力してください。</t>
  </si>
  <si>
    <t>「必須/OP」欄について、「必須」は必須機能、「OP」はオプション機能を意味します。</t>
  </si>
  <si>
    <t>当社記入欄</t>
  </si>
  <si>
    <t>貴社記入欄（実現方法）</t>
  </si>
  <si>
    <t>連番</t>
  </si>
  <si>
    <t>Lv1</t>
  </si>
  <si>
    <t>Lv2</t>
  </si>
  <si>
    <t>処理ID</t>
  </si>
  <si>
    <t>処理名</t>
  </si>
  <si>
    <t>システム要件</t>
  </si>
  <si>
    <t>必須
/OP</t>
  </si>
  <si>
    <t>帳票</t>
  </si>
  <si>
    <t>実現方法</t>
  </si>
  <si>
    <t>回答詳細</t>
  </si>
  <si>
    <t>アドオン・カスタマイズ
概算費用（円）</t>
  </si>
  <si>
    <t>1.購買</t>
  </si>
  <si>
    <t>1.所要量計算</t>
  </si>
  <si>
    <t>生産計画入力</t>
  </si>
  <si>
    <t>必須</t>
  </si>
  <si>
    <t>所要量計算</t>
  </si>
  <si>
    <t>2.発注検討</t>
  </si>
  <si>
    <t>発注検討書出力</t>
  </si>
  <si>
    <t>〇</t>
  </si>
  <si>
    <t>発注検討・承認</t>
  </si>
  <si>
    <t>発注検討結果を承認する</t>
  </si>
  <si>
    <t>品目別在庫照会</t>
  </si>
  <si>
    <t>3.発注</t>
  </si>
  <si>
    <t>発注書発行</t>
  </si>
  <si>
    <t>楽々明細連携</t>
  </si>
  <si>
    <t>納期回答受領</t>
  </si>
  <si>
    <t>4.受入</t>
  </si>
  <si>
    <t>入荷実績入力</t>
  </si>
  <si>
    <t>4.1a</t>
  </si>
  <si>
    <t>納入予定データ受信</t>
  </si>
  <si>
    <t>任意</t>
  </si>
  <si>
    <t>仕入入力</t>
  </si>
  <si>
    <t>5.支給指示</t>
  </si>
  <si>
    <t>支給予定照会</t>
  </si>
  <si>
    <t>外注加工先への支給予定を画面に出力する
なお、有償支給・無償支給において、以下の対応ができること
無償支給：　MRPにより支給数が算出され、支給指示書としてまとめる　（複数の支給先があろうと、必要なときに必要な数量は算出される）
有償支給：	当社主導）支給数は上記の通り算出され、支給指示書を発行する_x000B_		先方手動）支給先の支給依頼（発注）に基づいて支給する</t>
  </si>
  <si>
    <t>支給指示書発行</t>
  </si>
  <si>
    <t>6.支給</t>
  </si>
  <si>
    <t>支給実績入力</t>
  </si>
  <si>
    <t>移動指示書発行</t>
  </si>
  <si>
    <t>移動実績入力</t>
  </si>
  <si>
    <t>社内の在庫移動結果を入力する</t>
  </si>
  <si>
    <t>2.製造</t>
  </si>
  <si>
    <t>1.年間計画</t>
  </si>
  <si>
    <t>年間生産計画立案</t>
  </si>
  <si>
    <t>2.生産計画（月次）</t>
  </si>
  <si>
    <t>年間生産計画修正</t>
  </si>
  <si>
    <t>生産実績反映</t>
  </si>
  <si>
    <t>月次生産計画立案</t>
  </si>
  <si>
    <t>3.所要量計算</t>
  </si>
  <si>
    <t>1.1.1と同じ</t>
  </si>
  <si>
    <t>1.1.2と同じ</t>
  </si>
  <si>
    <t>3.2a</t>
  </si>
  <si>
    <t>能力計算</t>
  </si>
  <si>
    <t>注文書発行</t>
  </si>
  <si>
    <t>使用部品一覧表発行</t>
  </si>
  <si>
    <t>-</t>
  </si>
  <si>
    <t>部品構成マスタ</t>
  </si>
  <si>
    <t>4.製造指示</t>
  </si>
  <si>
    <t>製造指示書発行</t>
  </si>
  <si>
    <t>5.ピッキング指示</t>
  </si>
  <si>
    <t>ピッキングリスト発行</t>
  </si>
  <si>
    <t>出庫実績入力</t>
  </si>
  <si>
    <t>6.製造</t>
  </si>
  <si>
    <t>製造実績入力</t>
  </si>
  <si>
    <t>3.在庫</t>
  </si>
  <si>
    <t>1.在庫照会</t>
  </si>
  <si>
    <t>在庫照会</t>
  </si>
  <si>
    <t>2.出庫</t>
  </si>
  <si>
    <t>2.5.1と同じ</t>
  </si>
  <si>
    <t>1.6.3と同じ
HTT（ハンディーターミナル）への移動指示の送信
HTTによる移動実績入力および基幹システムへの送信</t>
  </si>
  <si>
    <t xml:space="preserve">1.6.2と同じ
HTT（ハンディーターミナル）への移動指示の送信
</t>
  </si>
  <si>
    <t>支給指示書（リスト）発行</t>
  </si>
  <si>
    <t>1.5.2と同じ
HTT（ハンディーターミナル）への支給指示の送信</t>
  </si>
  <si>
    <t>1.5.3と同じ
HTTによる支給（出庫）実績入力および基幹システムへの送信
（支給品の消費は、外注加工品の入荷時の処理）</t>
  </si>
  <si>
    <t>3.入庫（入荷）</t>
  </si>
  <si>
    <t>1.4.1と同じ
HTT（ハンディーターミナル）への入荷予定の送信
HTTによる入荷実績入力および基幹システムへの送信</t>
  </si>
  <si>
    <t>現品票発行</t>
  </si>
  <si>
    <t>4.棚卸</t>
  </si>
  <si>
    <t>棚卸リスト作成</t>
  </si>
  <si>
    <t>棚卸結果入力</t>
  </si>
  <si>
    <t>実地棚卸結果を入力する
HTTによる棚卸結果の入力および基幹システムへの送信</t>
  </si>
  <si>
    <t>5.共通</t>
  </si>
  <si>
    <t>シリアル番号管理</t>
  </si>
  <si>
    <t>在庫状態管理</t>
  </si>
  <si>
    <t>在庫シミュレーション</t>
  </si>
  <si>
    <t>4.販売</t>
  </si>
  <si>
    <t>2.受注</t>
  </si>
  <si>
    <t>受注入力</t>
  </si>
  <si>
    <t>大量受注に対し、複数年にわたる分納計画を登録・管理できること</t>
  </si>
  <si>
    <t>納期未定の受注であっても、受注残をシステム上で管理できること</t>
  </si>
  <si>
    <t>単価はロット単価で管理できること</t>
  </si>
  <si>
    <t>受注確度が低い段階でも、客先情報なしで受注(仮)を登録できること</t>
  </si>
  <si>
    <t>設計未確定の場合、仮の品目（ダミー品番）で受注登録できること</t>
  </si>
  <si>
    <t>受注変更時にシステム上で承認処理が行えること</t>
  </si>
  <si>
    <t>MOQ未満の受注を、基幹システム上で登録・共有できること</t>
  </si>
  <si>
    <t>受注情報（変更履歴・MOQ未満情報）を社内で一元管理できること</t>
  </si>
  <si>
    <t>受注登録時に品目名を上書きできること</t>
  </si>
  <si>
    <t>PI登録・印刷(海外)</t>
  </si>
  <si>
    <t>Proforma Invoice を修正可能な帳票として出力できること</t>
  </si>
  <si>
    <t>ー</t>
  </si>
  <si>
    <t>案件管理</t>
  </si>
  <si>
    <t>工事を含むレジャーサービスでは、案件（プロジェクト）を新規登録・更新・参照できること。</t>
  </si>
  <si>
    <t>案件に紐づく売上・原価・粗利を自動集計できること。</t>
  </si>
  <si>
    <t>案件に対し、商品・外注費・工事費など複数の受注明細を紐づけて管理できること。</t>
  </si>
  <si>
    <t>受注登録時に案件を選択できること。案件未登録の場合、受注登録画面から案件を新規作成できること。ただし、案件を使用せずに受注登録もできること</t>
  </si>
  <si>
    <t>案件に対して外注費・工事費を原価として登録できること</t>
  </si>
  <si>
    <t>案件ステータス（受注済／工事中／完了／請求済）を管理できること</t>
  </si>
  <si>
    <t>3.前受請求</t>
  </si>
  <si>
    <t>前受請求書作成依頼</t>
  </si>
  <si>
    <t>前受請求書作成</t>
  </si>
  <si>
    <t>前受金の管理をシステム上で行えること。</t>
  </si>
  <si>
    <t>外貨建て取引において、前受金の管理が可能であること。</t>
  </si>
  <si>
    <t>4.出荷</t>
  </si>
  <si>
    <t>在庫引当</t>
  </si>
  <si>
    <t>出荷指示依頼</t>
  </si>
  <si>
    <t>出荷指示書発行</t>
  </si>
  <si>
    <t>貸出処理</t>
  </si>
  <si>
    <t>売却処理</t>
  </si>
  <si>
    <t>貸出品が売却された場合は在庫から除外し、売上計上すること。</t>
  </si>
  <si>
    <t>B級品管理</t>
  </si>
  <si>
    <t>返却された品目をB級品在庫として登録・管理できること</t>
  </si>
  <si>
    <t>5.輸出</t>
  </si>
  <si>
    <t>輸出関連帳票発行</t>
  </si>
  <si>
    <t>得意先別品目名を登録できること</t>
  </si>
  <si>
    <t>輸出申請書類への転用</t>
  </si>
  <si>
    <t>6.移動</t>
  </si>
  <si>
    <t>移動指示登録</t>
  </si>
  <si>
    <t>営業へ移動連絡</t>
  </si>
  <si>
    <t>7.売上</t>
  </si>
  <si>
    <t>売上登録</t>
  </si>
  <si>
    <t>案件／工事管理</t>
  </si>
  <si>
    <t>8.与信</t>
  </si>
  <si>
    <t>与信限度額管理</t>
  </si>
  <si>
    <t>受注時に与信限度額をチェックできること</t>
  </si>
  <si>
    <t>出荷時に与信限度額をチェックできること</t>
  </si>
  <si>
    <t>法人単位で与信限度額を管理できること</t>
  </si>
  <si>
    <t>部門単位で与信限度額を設定できること</t>
  </si>
  <si>
    <t>期間限定で増枠した与信限度額を期間終了後に自動で元に戻せること</t>
  </si>
  <si>
    <t>与信残をシステム上で一覧管理できること</t>
  </si>
  <si>
    <t>与信限度額を超過した場合に警告表示または承認必須の制御を設定できること</t>
  </si>
  <si>
    <t>同一取引先に対して部門ごとに別々の与信枠を設定・管理できること</t>
  </si>
  <si>
    <t>年間フォーキャスト（内示）は与信限度額の対象外とできること</t>
  </si>
  <si>
    <t>5.債権債務</t>
  </si>
  <si>
    <t>1.請求</t>
  </si>
  <si>
    <t>1.1a</t>
  </si>
  <si>
    <t>検収データ受信</t>
  </si>
  <si>
    <t>得意先よりEDI経由で検収データを受信する</t>
  </si>
  <si>
    <t>請求締め処理</t>
  </si>
  <si>
    <t>発行一覧出力</t>
  </si>
  <si>
    <t>請求対象の一覧を出力する</t>
  </si>
  <si>
    <t>発行対象確認依頼</t>
  </si>
  <si>
    <t>請求書発行対象の確認依頼をメールで連絡する</t>
  </si>
  <si>
    <t>発行不要分入力</t>
  </si>
  <si>
    <t>請求書の発行対象から除く処理を行う</t>
  </si>
  <si>
    <t>訳あり登録分入力</t>
  </si>
  <si>
    <t>同上</t>
  </si>
  <si>
    <t>請求書出力</t>
  </si>
  <si>
    <t>請求書をPDF出力しファイルサーバに格納する
外貨での国内取引おいても、適格請求書が発行できること
サービス（役務）取引の請求書も発行できること</t>
  </si>
  <si>
    <t>営業が任意のタイミングで都度請求書を発行できること</t>
  </si>
  <si>
    <t>締日別で請求書を一括発行できること</t>
  </si>
  <si>
    <t>予め定義されている送付先に請求書ファイルを送信する／郵送委託する</t>
  </si>
  <si>
    <t>3.入金消込</t>
  </si>
  <si>
    <t>未入金一覧出力</t>
  </si>
  <si>
    <t>未入金一覧表を出力する</t>
  </si>
  <si>
    <t>入金入力</t>
  </si>
  <si>
    <t>入金結果を入力する</t>
  </si>
  <si>
    <t>入金承認</t>
  </si>
  <si>
    <t>入金入力結果を承認する</t>
  </si>
  <si>
    <t>入金消込</t>
  </si>
  <si>
    <t>4.検収</t>
  </si>
  <si>
    <t>検収仕入入力</t>
  </si>
  <si>
    <t>仕入入力、入力後、仕入仕訳情報を出力する。　／　1.4.2　参照
（外貨が扱えること）</t>
  </si>
  <si>
    <t>予め定義されている送付先に検収通知書ファイルを送信する／郵送委託する</t>
  </si>
  <si>
    <t>5.支払</t>
  </si>
  <si>
    <t>支払予定明細表出力</t>
  </si>
  <si>
    <t>支払予定明細表を出力する</t>
  </si>
  <si>
    <t>支払全銀データ出力</t>
  </si>
  <si>
    <t>全銀データを出力する
通貨が選択できること</t>
  </si>
  <si>
    <t>振込一覧出力</t>
  </si>
  <si>
    <t>振込一覧表を出力する</t>
  </si>
  <si>
    <t>全銀データFB連携</t>
  </si>
  <si>
    <t>全銀データをFBへアップロードする</t>
  </si>
  <si>
    <t>支払仕訳転記</t>
  </si>
  <si>
    <t>円貨支払仕訳情報を出力する</t>
  </si>
  <si>
    <t>外貨債務消込</t>
  </si>
  <si>
    <t>外貨債務を消込する</t>
  </si>
  <si>
    <t>円債務消込</t>
  </si>
  <si>
    <t>円貨債務を消込する</t>
  </si>
  <si>
    <t>外貨支払仕訳情報を出力する</t>
  </si>
  <si>
    <t>支払代行データ出力</t>
  </si>
  <si>
    <t>支払代行サービス用のデータを出力する</t>
  </si>
  <si>
    <t>支払代行データ送信</t>
  </si>
  <si>
    <t>支払手形データ出力</t>
  </si>
  <si>
    <t>支払手形情報を出力する</t>
  </si>
  <si>
    <t>支払手形一覧表</t>
  </si>
  <si>
    <t>支払手形一覧表を出力する</t>
  </si>
  <si>
    <t>6.違算</t>
  </si>
  <si>
    <t>残高確認状出力</t>
  </si>
  <si>
    <t>残高確認状を出色る</t>
  </si>
  <si>
    <t>売上修正</t>
  </si>
  <si>
    <t>仕入修正</t>
  </si>
  <si>
    <t>7.電債管理</t>
  </si>
  <si>
    <t>債権情報の受信</t>
  </si>
  <si>
    <t>てん末移動</t>
  </si>
  <si>
    <t>決済</t>
  </si>
  <si>
    <t>期日到来した債権は決済処理を行う</t>
  </si>
  <si>
    <t>債務情報の登録</t>
  </si>
  <si>
    <t>債務管理から電子記録債権(債務)データを登録する</t>
  </si>
  <si>
    <t>発生記録請求データ出力</t>
  </si>
  <si>
    <t>発生記録請求データを出力し、ネットバンクへアップロードする。</t>
  </si>
  <si>
    <t>結果取り込み</t>
  </si>
  <si>
    <t>自動仕訳</t>
  </si>
  <si>
    <t>仕訳データを財務会計システムに転送する。</t>
  </si>
  <si>
    <t>8.マスタ管理</t>
  </si>
  <si>
    <t>1.品目マスタ</t>
  </si>
  <si>
    <t>品目マスタ</t>
  </si>
  <si>
    <t>品目コードは無意味コード（連番）として採番できること</t>
  </si>
  <si>
    <t>旧コード（6桁）および現行品目コード（8桁）は廃止し、必要に応じて品目マスタの属性として保持できること</t>
  </si>
  <si>
    <t>分析・集計・管理に必要な情報（カテゴリ、用途、材質、区分など）を品目属性として登録・管理でき、品目属性を基に検索・集計・分析が可能であること</t>
  </si>
  <si>
    <t>2.販売単価マスタ</t>
  </si>
  <si>
    <t>販売単価マスタ</t>
  </si>
  <si>
    <t>単価に有効期限・適用開始日・適用終了日を設定できること</t>
  </si>
  <si>
    <t>将来適用される単価を事前に登録でき、適用開始日に自動で切り替わること</t>
  </si>
  <si>
    <t>過去単価を履歴として保持し、顧客別・品目別に参照できること</t>
  </si>
  <si>
    <t>代理店単価、エンドユーザ単価、顧客別数量別単価の3種類の単価体系を登録・運用できること</t>
  </si>
  <si>
    <t>受注登録時に、取引先区分（代理店／エンドユーザ）や数量に応じて適切な単価が自動選択されること。</t>
  </si>
  <si>
    <r>
      <rPr>
        <sz val="11"/>
        <color theme="1"/>
        <rFont val="Meiryo"/>
        <family val="3"/>
        <charset val="128"/>
      </rPr>
      <t>海外取引において、貿易条件（例：</t>
    </r>
    <r>
      <rPr>
        <sz val="11"/>
        <color theme="1"/>
        <rFont val="Calibri"/>
        <family val="2"/>
      </rPr>
      <t>FOB</t>
    </r>
    <r>
      <rPr>
        <sz val="11"/>
        <color theme="1"/>
        <rFont val="Meiryo"/>
        <family val="3"/>
        <charset val="128"/>
      </rPr>
      <t>、</t>
    </r>
    <r>
      <rPr>
        <sz val="11"/>
        <color theme="1"/>
        <rFont val="Calibri"/>
        <family val="2"/>
      </rPr>
      <t>CIF</t>
    </r>
    <r>
      <rPr>
        <sz val="11"/>
        <color theme="1"/>
        <rFont val="Meiryo"/>
        <family val="3"/>
        <charset val="128"/>
      </rPr>
      <t>、</t>
    </r>
    <r>
      <rPr>
        <sz val="11"/>
        <color theme="1"/>
        <rFont val="Calibri"/>
        <family val="2"/>
      </rPr>
      <t xml:space="preserve">EXW </t>
    </r>
    <r>
      <rPr>
        <sz val="11"/>
        <color theme="1"/>
        <rFont val="Meiryo"/>
        <family val="3"/>
        <charset val="128"/>
      </rPr>
      <t>など）ごとに異なる単価を登録できること</t>
    </r>
  </si>
  <si>
    <t>受注登録時に貿易条件を選択すると、該当する単価が自動適用されること</t>
  </si>
  <si>
    <t>4.取引先マスタ</t>
  </si>
  <si>
    <t>取引先マスタ</t>
  </si>
  <si>
    <t>法人単位で、請求先・支払先・得意先・仕入先・メーカーなどの関連先を紐づけて管理できること</t>
  </si>
  <si>
    <t>法人に紐づく各種取引先（請求先・支払先など）は、複数登録・選択可能であること</t>
  </si>
  <si>
    <t>5.与信マスタ</t>
  </si>
  <si>
    <t>与信マスタ</t>
  </si>
  <si>
    <t>法人単位で与信限度額を設定できること</t>
  </si>
  <si>
    <t>与信限度額超過時のシステム動作（警告のみ／承認必須）を設定として選択できること</t>
  </si>
  <si>
    <t>6.構成マスタ</t>
  </si>
  <si>
    <t>構成マスタ</t>
  </si>
  <si>
    <t>構成マスタから展開した明細は、案件ごとに編集可能であること</t>
  </si>
  <si>
    <t>複数の構成マスタを比較し、マッチ（共通項目）およびアンマッチ（差異項目）を一覧で確認できること</t>
  </si>
  <si>
    <t>No.</t>
  </si>
  <si>
    <t>業務分類</t>
  </si>
  <si>
    <t>機能ID</t>
  </si>
  <si>
    <t>機能名</t>
  </si>
  <si>
    <t>機能概要</t>
  </si>
  <si>
    <t>入力情報</t>
  </si>
  <si>
    <t>出力情報</t>
  </si>
  <si>
    <t>区分</t>
  </si>
  <si>
    <t>備考</t>
  </si>
  <si>
    <t>稼働状況</t>
  </si>
  <si>
    <t>step数</t>
  </si>
  <si>
    <t>JCM</t>
  </si>
  <si>
    <t>JCMシステムズ</t>
  </si>
  <si>
    <t>メイホウ</t>
  </si>
  <si>
    <t>スクショ採取</t>
  </si>
  <si>
    <t>大分類</t>
  </si>
  <si>
    <t>中分類</t>
  </si>
  <si>
    <t>小分類</t>
  </si>
  <si>
    <t>画面</t>
  </si>
  <si>
    <t>クエリ</t>
  </si>
  <si>
    <t>バッチ</t>
  </si>
  <si>
    <t>帳表</t>
  </si>
  <si>
    <t>CSV</t>
  </si>
  <si>
    <t>情シス</t>
  </si>
  <si>
    <t>経理</t>
  </si>
  <si>
    <t>営業</t>
  </si>
  <si>
    <t>人事</t>
  </si>
  <si>
    <t>総務</t>
  </si>
  <si>
    <t>コンポーネント</t>
  </si>
  <si>
    <t>生産技術</t>
  </si>
  <si>
    <t>生産</t>
  </si>
  <si>
    <t>アジア営業</t>
  </si>
  <si>
    <t>購買</t>
  </si>
  <si>
    <t>PG名</t>
  </si>
  <si>
    <t>JS機能</t>
  </si>
  <si>
    <t>販売システム</t>
  </si>
  <si>
    <t>マスター保守</t>
  </si>
  <si>
    <t>SA0050</t>
  </si>
  <si>
    <t>与信マスター</t>
  </si>
  <si>
    <t/>
  </si>
  <si>
    <t>01.与信マスター</t>
  </si>
  <si>
    <t>SA0060</t>
  </si>
  <si>
    <t>販売価格マスター</t>
  </si>
  <si>
    <t>02.販売価格マスター</t>
  </si>
  <si>
    <t>SA0120</t>
  </si>
  <si>
    <t>値引限度率マスター</t>
  </si>
  <si>
    <t>03.値引限度率マスター</t>
  </si>
  <si>
    <t>SA0080</t>
  </si>
  <si>
    <t>修理作業費マスター</t>
  </si>
  <si>
    <t>04.修理作業費マスター</t>
  </si>
  <si>
    <t>SA0210</t>
  </si>
  <si>
    <t>無償保証期間マスターメンテ</t>
  </si>
  <si>
    <t>05.無償保証期間マスターメンテ</t>
  </si>
  <si>
    <t>MM0020</t>
  </si>
  <si>
    <t>銀行マスタメンテナンス</t>
  </si>
  <si>
    <t>06.銀行マスタメンテナンス</t>
  </si>
  <si>
    <t>SA0220</t>
  </si>
  <si>
    <t>銀行振込口座マスター</t>
  </si>
  <si>
    <t>07.銀行振込口座マスター</t>
  </si>
  <si>
    <t>与信限度申請書管理</t>
  </si>
  <si>
    <t>SA0170</t>
  </si>
  <si>
    <t>与信決裁内容登録</t>
  </si>
  <si>
    <t>01.与信決裁内容登録</t>
  </si>
  <si>
    <t>SA2435</t>
  </si>
  <si>
    <t>月末与信残高集計　更新系</t>
  </si>
  <si>
    <t>11.月末与信残高集計　更新系</t>
  </si>
  <si>
    <t>SA0280</t>
  </si>
  <si>
    <t>与信再更新対象データ作成</t>
  </si>
  <si>
    <t>12.与信再更新対象データ作成</t>
  </si>
  <si>
    <t>SA0180</t>
  </si>
  <si>
    <t>外部評価登録</t>
  </si>
  <si>
    <t>13.外部評価登録</t>
  </si>
  <si>
    <t>SA2440</t>
  </si>
  <si>
    <t>与信再更新申請書印刷</t>
  </si>
  <si>
    <t>14.与信再更新申請書印刷</t>
  </si>
  <si>
    <t>SA0200</t>
  </si>
  <si>
    <t>与信再更新処理</t>
  </si>
  <si>
    <t>15.与信再更新処理</t>
  </si>
  <si>
    <t>SA0190</t>
  </si>
  <si>
    <t>期間限定与信限度額登録</t>
  </si>
  <si>
    <t>21.期間限定与信限度額登録</t>
  </si>
  <si>
    <t>SA2450</t>
  </si>
  <si>
    <t>期間限定与信登録中客先印刷</t>
  </si>
  <si>
    <t>22.期間限定与信登録中客先印刷</t>
  </si>
  <si>
    <t>SA5180</t>
  </si>
  <si>
    <t>与信申請データ照会</t>
  </si>
  <si>
    <t>51.与信申請データ照会</t>
  </si>
  <si>
    <t>Query</t>
  </si>
  <si>
    <t>与信再更新申請書データ抽出</t>
  </si>
  <si>
    <t>61.与信再更新申請書データ抽出</t>
  </si>
  <si>
    <t>与信決裁内容ＤＬ　日付指定JCM</t>
  </si>
  <si>
    <t>62 与信決裁内容ＤＬ　日付指定JCM</t>
  </si>
  <si>
    <t>与信決裁内容ＤＬ　日付指定JS</t>
  </si>
  <si>
    <t>63 与信決裁内容ＤＬ　日付指定JS</t>
  </si>
  <si>
    <t>PD0132</t>
  </si>
  <si>
    <t>得意先マスタ保守</t>
  </si>
  <si>
    <t>11.得意先マスタ保守</t>
  </si>
  <si>
    <t>SA0070</t>
  </si>
  <si>
    <t>品目・販売課関連ﾏｽﾀｰ</t>
  </si>
  <si>
    <t>21.品目・販売課関連ﾏｽﾀｰ</t>
  </si>
  <si>
    <t>SA0090</t>
  </si>
  <si>
    <t>ｼﾘｱﾙ NO付加情報ﾏｽﾀｰ</t>
  </si>
  <si>
    <t>22.ｼﾘｱﾙ NO付加情報ﾏｽﾀｰ</t>
  </si>
  <si>
    <t>SA0110</t>
  </si>
  <si>
    <t>荷姿マスター</t>
  </si>
  <si>
    <t>23.荷姿マスター</t>
  </si>
  <si>
    <t>SA0140</t>
  </si>
  <si>
    <t>自動引当可能課マスター</t>
  </si>
  <si>
    <t>24.自動引当可能課マスター</t>
  </si>
  <si>
    <t>SA0010</t>
  </si>
  <si>
    <t>不具合内容マスター</t>
  </si>
  <si>
    <t>51.不具合内容マスター</t>
  </si>
  <si>
    <t>SA0020</t>
  </si>
  <si>
    <t>不具合原因マスター</t>
  </si>
  <si>
    <t>52.不具合原因マスター</t>
  </si>
  <si>
    <t>SA0030</t>
  </si>
  <si>
    <t>処置内容マスター</t>
  </si>
  <si>
    <t>53.処置内容マスター</t>
  </si>
  <si>
    <t>SA0100</t>
  </si>
  <si>
    <t>保守契約マスター</t>
  </si>
  <si>
    <t>54.保守契約マスター</t>
  </si>
  <si>
    <t>AC0032</t>
  </si>
  <si>
    <t>ｼｽﾃﾑ式・単能式品目F</t>
  </si>
  <si>
    <t>61.ｼｽﾃﾑ式・単能式品目F</t>
  </si>
  <si>
    <t>61. ｼｽﾃﾑ式・単能式品目F</t>
  </si>
  <si>
    <t>マスター照会</t>
  </si>
  <si>
    <t>SA1540</t>
  </si>
  <si>
    <t>与信マスター・親得意</t>
  </si>
  <si>
    <t>01.与信マスター・親得意</t>
  </si>
  <si>
    <t xml:space="preserve">与信マスター・親得意 </t>
  </si>
  <si>
    <t>SA1550</t>
  </si>
  <si>
    <t>与信マスター・得意先</t>
  </si>
  <si>
    <t>02.与信マスター・得意先</t>
  </si>
  <si>
    <t xml:space="preserve">与信マスター・得意先 </t>
  </si>
  <si>
    <r>
      <rPr>
        <sz val="11"/>
        <color rgb="FF212529"/>
        <rFont val="Quattrocento Sans"/>
        <family val="2"/>
      </rPr>
      <t>02.</t>
    </r>
    <r>
      <rPr>
        <sz val="11"/>
        <color rgb="FF212529"/>
        <rFont val="ＭＳ Ｐゴシック"/>
        <family val="3"/>
        <charset val="128"/>
      </rPr>
      <t>与信マスター・得意先</t>
    </r>
  </si>
  <si>
    <t>SA1570</t>
  </si>
  <si>
    <t>03.販売価格マスター</t>
  </si>
  <si>
    <t xml:space="preserve">販売価格マスター     </t>
  </si>
  <si>
    <r>
      <rPr>
        <sz val="11"/>
        <color rgb="FF212529"/>
        <rFont val="Quattrocento Sans"/>
        <family val="2"/>
      </rPr>
      <t>03.</t>
    </r>
    <r>
      <rPr>
        <sz val="11"/>
        <color rgb="FF212529"/>
        <rFont val="ＭＳ Ｐゴシック"/>
        <family val="3"/>
        <charset val="128"/>
      </rPr>
      <t>販売価格マスター</t>
    </r>
  </si>
  <si>
    <t>SA1630</t>
  </si>
  <si>
    <t>04.値引限度率マスター</t>
  </si>
  <si>
    <t xml:space="preserve">値引限度率マスター   </t>
  </si>
  <si>
    <r>
      <rPr>
        <sz val="11"/>
        <color rgb="FF212529"/>
        <rFont val="Quattrocento Sans"/>
        <family val="2"/>
      </rPr>
      <t>04.</t>
    </r>
    <r>
      <rPr>
        <sz val="11"/>
        <color rgb="FF212529"/>
        <rFont val="ＭＳ Ｐゴシック"/>
        <family val="3"/>
        <charset val="128"/>
      </rPr>
      <t>値引限度率マスター</t>
    </r>
  </si>
  <si>
    <t>SA1590</t>
  </si>
  <si>
    <t>05.修理作業費マスター</t>
  </si>
  <si>
    <t xml:space="preserve">修理作業費マスター   </t>
  </si>
  <si>
    <r>
      <rPr>
        <sz val="11"/>
        <color rgb="FF212529"/>
        <rFont val="Quattrocento Sans"/>
        <family val="2"/>
      </rPr>
      <t>05.</t>
    </r>
    <r>
      <rPr>
        <sz val="11"/>
        <color rgb="FF212529"/>
        <rFont val="ＭＳ Ｐゴシック"/>
        <family val="3"/>
        <charset val="128"/>
      </rPr>
      <t>修理作業費マスター</t>
    </r>
  </si>
  <si>
    <t>SA1660</t>
  </si>
  <si>
    <t>販売引当優先順位Ｍ</t>
  </si>
  <si>
    <t>06.販売引当優先順位Ｍ</t>
  </si>
  <si>
    <t xml:space="preserve">販売引当優先順位Ｍ   </t>
  </si>
  <si>
    <r>
      <rPr>
        <sz val="11"/>
        <color rgb="FF212529"/>
        <rFont val="Quattrocento Sans"/>
        <family val="2"/>
      </rPr>
      <t>06.</t>
    </r>
    <r>
      <rPr>
        <sz val="11"/>
        <color rgb="FF212529"/>
        <rFont val="ＭＳ Ｐゴシック"/>
        <family val="3"/>
        <charset val="128"/>
      </rPr>
      <t>販売引当優先順位Ｍ</t>
    </r>
  </si>
  <si>
    <t>SA1650</t>
  </si>
  <si>
    <t>07.自動引当可能課マスター</t>
  </si>
  <si>
    <r>
      <rPr>
        <sz val="11"/>
        <color rgb="FF212529"/>
        <rFont val="Quattrocento Sans"/>
        <family val="2"/>
      </rPr>
      <t>07.</t>
    </r>
    <r>
      <rPr>
        <sz val="11"/>
        <color rgb="FF212529"/>
        <rFont val="ＭＳ Ｐゴシック"/>
        <family val="3"/>
        <charset val="128"/>
      </rPr>
      <t>自動引当可能課マスター</t>
    </r>
  </si>
  <si>
    <t>SA1640</t>
  </si>
  <si>
    <t>発送先固有情報マスター</t>
  </si>
  <si>
    <t>08.発送先固有情報マスター</t>
  </si>
  <si>
    <r>
      <rPr>
        <sz val="11"/>
        <color rgb="FF212529"/>
        <rFont val="Quattrocento Sans"/>
        <family val="2"/>
      </rPr>
      <t>08.</t>
    </r>
    <r>
      <rPr>
        <sz val="11"/>
        <color rgb="FF212529"/>
        <rFont val="ＭＳ Ｐゴシック"/>
        <family val="3"/>
        <charset val="128"/>
      </rPr>
      <t>発送先固有情報マスター</t>
    </r>
  </si>
  <si>
    <t>SA1620</t>
  </si>
  <si>
    <t>09.荷姿マスター</t>
  </si>
  <si>
    <t xml:space="preserve">荷姿マスター         </t>
  </si>
  <si>
    <r>
      <rPr>
        <sz val="11"/>
        <color rgb="FF212529"/>
        <rFont val="Quattrocento Sans"/>
        <family val="2"/>
      </rPr>
      <t>09.</t>
    </r>
    <r>
      <rPr>
        <sz val="11"/>
        <color rgb="FF212529"/>
        <rFont val="ＭＳ Ｐゴシック"/>
        <family val="3"/>
        <charset val="128"/>
      </rPr>
      <t>荷姿マスター</t>
    </r>
  </si>
  <si>
    <t>SA1600</t>
  </si>
  <si>
    <t>シリアルＮＯ付加情報Ｍ</t>
  </si>
  <si>
    <t>10.シリアルＮＯ付加情報Ｍ</t>
  </si>
  <si>
    <r>
      <rPr>
        <sz val="11"/>
        <color rgb="FF212529"/>
        <rFont val="Quattrocento Sans"/>
        <family val="2"/>
      </rPr>
      <t>10.</t>
    </r>
    <r>
      <rPr>
        <sz val="11"/>
        <color rgb="FF212529"/>
        <rFont val="ＭＳ Ｐゴシック"/>
        <family val="3"/>
        <charset val="128"/>
      </rPr>
      <t>シリアルＮＯ付加情報Ｍ</t>
    </r>
  </si>
  <si>
    <t>SA5080</t>
  </si>
  <si>
    <t>端末名称照会</t>
  </si>
  <si>
    <t>11.端末名称照会</t>
  </si>
  <si>
    <t xml:space="preserve">端末名称照会         </t>
  </si>
  <si>
    <r>
      <rPr>
        <sz val="11"/>
        <color rgb="FF212529"/>
        <rFont val="Quattrocento Sans"/>
        <family val="2"/>
      </rPr>
      <t>11.</t>
    </r>
    <r>
      <rPr>
        <sz val="11"/>
        <color rgb="FF212529"/>
        <rFont val="ＭＳ Ｐゴシック"/>
        <family val="3"/>
        <charset val="128"/>
      </rPr>
      <t>端末名称照会</t>
    </r>
  </si>
  <si>
    <t>PD2220</t>
  </si>
  <si>
    <t>得意先マスタ照会</t>
  </si>
  <si>
    <t>13.得意先マスタ照会</t>
  </si>
  <si>
    <t xml:space="preserve">得意先マスタ照会     </t>
  </si>
  <si>
    <r>
      <rPr>
        <sz val="11"/>
        <color rgb="FF212529"/>
        <rFont val="Quattrocento Sans"/>
        <family val="2"/>
      </rPr>
      <t>13.</t>
    </r>
    <r>
      <rPr>
        <sz val="11"/>
        <color rgb="FF212529"/>
        <rFont val="ＭＳ Ｐゴシック"/>
        <family val="3"/>
        <charset val="128"/>
      </rPr>
      <t>得意先マスタ照会</t>
    </r>
  </si>
  <si>
    <t>PD2170</t>
  </si>
  <si>
    <t>取引先マスタ照会</t>
  </si>
  <si>
    <t>14.取引先マスタ照会</t>
  </si>
  <si>
    <t xml:space="preserve">取引先マスタ照会     </t>
  </si>
  <si>
    <r>
      <rPr>
        <sz val="11"/>
        <color rgb="FF212529"/>
        <rFont val="Quattrocento Sans"/>
        <family val="2"/>
      </rPr>
      <t>14.</t>
    </r>
    <r>
      <rPr>
        <sz val="11"/>
        <color rgb="FF212529"/>
        <rFont val="ＭＳ Ｐゴシック"/>
        <family val="3"/>
        <charset val="128"/>
      </rPr>
      <t>取引先マスタ照会</t>
    </r>
  </si>
  <si>
    <t>SA1670</t>
  </si>
  <si>
    <t>ホールマスタ照会</t>
  </si>
  <si>
    <t>15.ホールマスタ照会</t>
  </si>
  <si>
    <t xml:space="preserve">ホールマスタ照会     </t>
  </si>
  <si>
    <r>
      <rPr>
        <sz val="11"/>
        <color rgb="FF212529"/>
        <rFont val="Quattrocento Sans"/>
        <family val="2"/>
      </rPr>
      <t>15.</t>
    </r>
    <r>
      <rPr>
        <sz val="11"/>
        <color rgb="FF212529"/>
        <rFont val="ＭＳ Ｐゴシック"/>
        <family val="3"/>
        <charset val="128"/>
      </rPr>
      <t>ホールマスタ照会</t>
    </r>
  </si>
  <si>
    <t>SA0221</t>
  </si>
  <si>
    <t>銀行振込口座照会</t>
  </si>
  <si>
    <t>16.銀行振込口座照会</t>
  </si>
  <si>
    <t xml:space="preserve">銀行振込口座照会     </t>
  </si>
  <si>
    <r>
      <rPr>
        <sz val="11"/>
        <color rgb="FF212529"/>
        <rFont val="Quattrocento Sans"/>
        <family val="2"/>
      </rPr>
      <t>16.</t>
    </r>
    <r>
      <rPr>
        <sz val="11"/>
        <color rgb="FF212529"/>
        <rFont val="ＭＳ Ｐゴシック"/>
        <family val="3"/>
        <charset val="128"/>
      </rPr>
      <t>銀行振込口座照会</t>
    </r>
  </si>
  <si>
    <t>MM2080</t>
  </si>
  <si>
    <t>請求書発送先照会</t>
  </si>
  <si>
    <t>17.請求書発送先照会</t>
  </si>
  <si>
    <t xml:space="preserve">請求書発送先照会     </t>
  </si>
  <si>
    <r>
      <rPr>
        <sz val="11"/>
        <color rgb="FF212529"/>
        <rFont val="Quattrocento Sans"/>
        <family val="2"/>
      </rPr>
      <t>17.</t>
    </r>
    <r>
      <rPr>
        <sz val="11"/>
        <color rgb="FF212529"/>
        <rFont val="ＭＳ Ｐゴシック"/>
        <family val="3"/>
        <charset val="128"/>
      </rPr>
      <t>請求書発送先照会</t>
    </r>
  </si>
  <si>
    <t>SA1610</t>
  </si>
  <si>
    <t xml:space="preserve">保守契約マスター　 </t>
  </si>
  <si>
    <r>
      <rPr>
        <sz val="11"/>
        <color rgb="FF212529"/>
        <rFont val="Quattrocento Sans"/>
        <family val="2"/>
      </rPr>
      <t>54.</t>
    </r>
    <r>
      <rPr>
        <sz val="11"/>
        <color rgb="FF212529"/>
        <rFont val="ＭＳ Ｐゴシック"/>
        <family val="3"/>
        <charset val="128"/>
      </rPr>
      <t>保守契約マスター</t>
    </r>
  </si>
  <si>
    <t>与信申請書データ照会</t>
  </si>
  <si>
    <t>55.与信申請書データ照会</t>
  </si>
  <si>
    <r>
      <rPr>
        <sz val="11"/>
        <color rgb="FF212529"/>
        <rFont val="Quattrocento Sans"/>
        <family val="2"/>
      </rPr>
      <t>55.</t>
    </r>
    <r>
      <rPr>
        <sz val="11"/>
        <color rgb="FF212529"/>
        <rFont val="ＭＳ Ｐゴシック"/>
        <family val="3"/>
        <charset val="128"/>
      </rPr>
      <t>与信申請書データ照会</t>
    </r>
  </si>
  <si>
    <t>マスター一覧表</t>
  </si>
  <si>
    <t>SA2040</t>
  </si>
  <si>
    <t>与信マスタ一覧表</t>
  </si>
  <si>
    <t>01.与信マスタ一覧表</t>
  </si>
  <si>
    <t>SA2042</t>
  </si>
  <si>
    <t>与信マスタ一覧＜限度額指定＞</t>
  </si>
  <si>
    <t>02.与信マスタ一覧＜限度額指定＞</t>
  </si>
  <si>
    <t>SA2050</t>
  </si>
  <si>
    <t>販売価格マスター一覧表</t>
  </si>
  <si>
    <t>03.販売価格マスター一覧表</t>
  </si>
  <si>
    <t>与信限度・債権超過／簡易</t>
  </si>
  <si>
    <t>04.与信限度・債権超過／簡易</t>
  </si>
  <si>
    <t xml:space="preserve">与信限度・債権超過／簡易    </t>
  </si>
  <si>
    <t>MS2710</t>
  </si>
  <si>
    <t>摘要／科目・摘要ﾏｽﾀｰﾘｽﾄ</t>
  </si>
  <si>
    <t>06.摘要／科目・摘要ﾏｽﾀｰﾘｽﾄ</t>
  </si>
  <si>
    <t xml:space="preserve">摘要／科目・摘要ﾏｽﾀｰﾘｽﾄ    </t>
  </si>
  <si>
    <t>SA2480</t>
  </si>
  <si>
    <t>修理内容各種マスタ一覧</t>
  </si>
  <si>
    <t>07.修理内容各種マスタ一覧</t>
  </si>
  <si>
    <t xml:space="preserve">修理内容各種マスタ一覧     </t>
  </si>
  <si>
    <t>保守契約マスターリスト</t>
  </si>
  <si>
    <t>08.保守契約マスターリスト</t>
  </si>
  <si>
    <t xml:space="preserve">保守契約マスターリスト      </t>
  </si>
  <si>
    <t>未保守契約一覧リスト</t>
  </si>
  <si>
    <t>09.未保守契約一覧リスト</t>
  </si>
  <si>
    <t xml:space="preserve">未保守契約一覧リスト      </t>
  </si>
  <si>
    <t>SA2043</t>
  </si>
  <si>
    <t>与信マスタ一覧表（担当者別）</t>
  </si>
  <si>
    <t>10.与信マスタ一覧表（担当者別）</t>
  </si>
  <si>
    <t>受注・出荷指示メニュー</t>
  </si>
  <si>
    <t>SA3010</t>
  </si>
  <si>
    <t>受注入力（通常)</t>
  </si>
  <si>
    <t>01.受注入力（通常)</t>
  </si>
  <si>
    <t xml:space="preserve">受注入力（通常)         </t>
  </si>
  <si>
    <t>受注入力（返品）</t>
  </si>
  <si>
    <t>02.受注入力（返品）</t>
  </si>
  <si>
    <t xml:space="preserve">受注入力（返品）              </t>
  </si>
  <si>
    <t>SA301X</t>
  </si>
  <si>
    <t>受注入力（元受注No.検索）</t>
  </si>
  <si>
    <t>03.受注入力（元受注No.検索）</t>
  </si>
  <si>
    <t xml:space="preserve">受注入力（元受注No.検索）      </t>
  </si>
  <si>
    <r>
      <rPr>
        <sz val="11"/>
        <color rgb="FF212529"/>
        <rFont val="Quattrocento Sans"/>
        <family val="2"/>
      </rPr>
      <t>03.</t>
    </r>
    <r>
      <rPr>
        <sz val="11"/>
        <color rgb="FF212529"/>
        <rFont val="ＭＳ ゴシック"/>
        <family val="3"/>
        <charset val="128"/>
      </rPr>
      <t>受注入力（元受注</t>
    </r>
    <r>
      <rPr>
        <sz val="11"/>
        <color rgb="FF212529"/>
        <rFont val="Segoe UI"/>
        <family val="2"/>
      </rPr>
      <t>No.</t>
    </r>
    <r>
      <rPr>
        <sz val="11"/>
        <color rgb="FF212529"/>
        <rFont val="ＭＳ ゴシック"/>
        <family val="3"/>
        <charset val="128"/>
      </rPr>
      <t>検索）</t>
    </r>
  </si>
  <si>
    <t>SA3020</t>
  </si>
  <si>
    <t>値引承認入力（通常）</t>
  </si>
  <si>
    <t>11.値引承認入力（通常）</t>
  </si>
  <si>
    <t xml:space="preserve">値引承認入力（通常）    </t>
  </si>
  <si>
    <t>値引承認入力（返品）</t>
  </si>
  <si>
    <t>12.値引承認入力（返品）</t>
  </si>
  <si>
    <t xml:space="preserve">値引承認入力（返品）          </t>
  </si>
  <si>
    <t>SA3030</t>
  </si>
  <si>
    <t>受注承認入力（通常）</t>
  </si>
  <si>
    <t>21.受注承認入力（通常）</t>
  </si>
  <si>
    <t xml:space="preserve">受注承認入力（通常）    </t>
  </si>
  <si>
    <t>受注承認入力（返品）</t>
  </si>
  <si>
    <t>22.受注承認入力（返品）</t>
  </si>
  <si>
    <t xml:space="preserve">受注承認入力（返品）          </t>
  </si>
  <si>
    <t>修理作業依頼書作成</t>
  </si>
  <si>
    <t>25.修理作業依頼書作成</t>
  </si>
  <si>
    <t xml:space="preserve">修理作業依頼書作成            </t>
  </si>
  <si>
    <t>SA3040</t>
  </si>
  <si>
    <t>出荷指示荷姿入力（製品）</t>
  </si>
  <si>
    <t>31.出荷指示荷姿入力（製品）</t>
  </si>
  <si>
    <t xml:space="preserve">出荷指示荷姿入力（製品）      </t>
  </si>
  <si>
    <t>SA3050</t>
  </si>
  <si>
    <t>出荷指示荷姿入力(ｻｰﾋﾞｽ)</t>
  </si>
  <si>
    <t>32.出荷指示荷姿入力(ｻｰﾋﾞｽ)</t>
  </si>
  <si>
    <t xml:space="preserve">出荷指示荷姿入力(ｻｰﾋﾞｽ)       </t>
  </si>
  <si>
    <t>SA3060</t>
  </si>
  <si>
    <t>出荷指示荷姿最終確認入力</t>
  </si>
  <si>
    <t>33.出荷指示荷姿最終確認入力</t>
  </si>
  <si>
    <t xml:space="preserve">出荷指示荷姿最終確認入力      </t>
  </si>
  <si>
    <t>SA3160</t>
  </si>
  <si>
    <t>請求方法入力</t>
  </si>
  <si>
    <t>41.請求方法入力</t>
  </si>
  <si>
    <t xml:space="preserve">請求方法入力                  </t>
  </si>
  <si>
    <t>SA3151</t>
  </si>
  <si>
    <t>引当振替入力(ｼﾘｱﾙ品目)</t>
  </si>
  <si>
    <t>42.引当振替入力(ｼﾘｱﾙ品目)</t>
  </si>
  <si>
    <t xml:space="preserve">引当振替入力(ｼﾘｱﾙ品目)      </t>
  </si>
  <si>
    <t>SA3152</t>
  </si>
  <si>
    <t>引当振替入力(受入ﾛｯﾄ品目)</t>
  </si>
  <si>
    <t>43.引当振替入力(受入ﾛｯﾄ品目)</t>
  </si>
  <si>
    <t xml:space="preserve">引当振替入力(受入ﾛｯﾄ品目) </t>
  </si>
  <si>
    <t>SA5010</t>
  </si>
  <si>
    <t>受注進捗状況照会</t>
  </si>
  <si>
    <t>51.受注進捗状況照会</t>
  </si>
  <si>
    <t xml:space="preserve">受注進捗状況照会                 </t>
  </si>
  <si>
    <t>SA5012</t>
  </si>
  <si>
    <t>受注引当状況照会</t>
  </si>
  <si>
    <t>52.受注引当状況照会</t>
  </si>
  <si>
    <t xml:space="preserve">受注引当状況照会                 </t>
  </si>
  <si>
    <t>在庫引当状況照会</t>
  </si>
  <si>
    <t>53.在庫引当状況照会</t>
  </si>
  <si>
    <t xml:space="preserve">在庫引当状況照会                 </t>
  </si>
  <si>
    <t>SA5020</t>
  </si>
  <si>
    <t>受注照会・受注NO指定</t>
  </si>
  <si>
    <t>54.受注照会・受注NO指定</t>
  </si>
  <si>
    <t xml:space="preserve">受注照会・受注NO指定           </t>
  </si>
  <si>
    <t>PD9150</t>
  </si>
  <si>
    <t>シリアル詳細情報照会</t>
  </si>
  <si>
    <t>55.シリアル詳細情報照会</t>
  </si>
  <si>
    <t xml:space="preserve">シリアル詳細情報照会             </t>
  </si>
  <si>
    <t>SA5110</t>
  </si>
  <si>
    <t>受注照会・品目ｺｰﾄﾞ指定</t>
  </si>
  <si>
    <t>56.受注照会・品目ｺｰﾄﾞ指定</t>
  </si>
  <si>
    <t xml:space="preserve">受注照会・品目ｺｰﾄﾞ指定         </t>
  </si>
  <si>
    <t>SA5120</t>
  </si>
  <si>
    <t>受注照会・客先ｵｰﾀﾞｰNO指定</t>
  </si>
  <si>
    <t>57.受注照会・客先ｵｰﾀﾞｰNO指定</t>
  </si>
  <si>
    <t xml:space="preserve">受注照会・客先ｵｰﾀﾞｰNO指定      </t>
  </si>
  <si>
    <t>SA2010</t>
  </si>
  <si>
    <t>受注チェックリスト</t>
  </si>
  <si>
    <t>60.受注チェックリスト</t>
  </si>
  <si>
    <t xml:space="preserve">受注チェックリスト    </t>
  </si>
  <si>
    <t>SA2390</t>
  </si>
  <si>
    <t>受注一覧表</t>
  </si>
  <si>
    <t>61.受注一覧表</t>
  </si>
  <si>
    <t xml:space="preserve">受注一覧表            </t>
  </si>
  <si>
    <t>ｺﾝﾌｧﾒｰｼｮﾝｾｰﾙｽ発行</t>
  </si>
  <si>
    <t>62.ｺﾝﾌｧﾒｰｼｮﾝｾｰﾙｽ発行</t>
  </si>
  <si>
    <t xml:space="preserve">ｺﾝﾌｧﾒｰｼｮﾝｾｰﾙｽ発行    </t>
  </si>
  <si>
    <t>62. ｺﾝﾌｧﾒｰｼｮﾝｾｰﾙｽ発行</t>
  </si>
  <si>
    <t>SA2500</t>
  </si>
  <si>
    <t>SA2020</t>
  </si>
  <si>
    <t>値引承認入力ﾌﾟﾙｰﾌﾘｽﾄ</t>
  </si>
  <si>
    <t>63.値引承認入力ﾌﾟﾙｰﾌﾘｽﾄ</t>
  </si>
  <si>
    <t xml:space="preserve">値引承認入力ﾌﾟﾙｰﾌﾘｽﾄ </t>
  </si>
  <si>
    <t>SA2030</t>
  </si>
  <si>
    <t>生産計画依頼リスト</t>
  </si>
  <si>
    <t>64.生産計画依頼リスト</t>
  </si>
  <si>
    <t xml:space="preserve">生産計画依頼リスト　       </t>
  </si>
  <si>
    <t>PD0120</t>
  </si>
  <si>
    <t>発送先マスターメンテ</t>
  </si>
  <si>
    <t>65.発送先マスターメンテ</t>
  </si>
  <si>
    <t xml:space="preserve">発送先マスターメンテ       </t>
  </si>
  <si>
    <t>SA2360C</t>
  </si>
  <si>
    <t>ｻｰﾋﾞｽﾊﾟｰﾂｵｰﾀﾞｰｼｰﾄ</t>
  </si>
  <si>
    <t>66.ｻｰﾋﾞｽﾊﾟｰﾂｵｰﾀﾞｰｼｰﾄ</t>
  </si>
  <si>
    <t xml:space="preserve">ｻｰﾋﾞｽﾊﾟｰﾂｵｰﾀﾞｰｼｰﾄ         </t>
  </si>
  <si>
    <t>66. ｻｰﾋﾞｽﾊﾟｰﾂｵｰﾀﾞｰｼｰﾄ</t>
  </si>
  <si>
    <t>SA2360</t>
  </si>
  <si>
    <t>SA2395C</t>
  </si>
  <si>
    <t>受注一覧表ダウンロード</t>
  </si>
  <si>
    <t>67.受注一覧表ダウンロード</t>
  </si>
  <si>
    <t xml:space="preserve">受注一覧表ダウンロード   </t>
  </si>
  <si>
    <t>SA2395</t>
  </si>
  <si>
    <t>SA2370C</t>
  </si>
  <si>
    <t>部課別販売客先別受注残ﾘｽﾄ</t>
  </si>
  <si>
    <t>71.部課別販売客先別受注残ﾘｽﾄ</t>
  </si>
  <si>
    <t>SA2370</t>
  </si>
  <si>
    <t>出荷管理業務</t>
  </si>
  <si>
    <t>SA2110</t>
  </si>
  <si>
    <t>出荷指示書作成</t>
  </si>
  <si>
    <t>01.出荷指示書作成</t>
  </si>
  <si>
    <t xml:space="preserve">出荷指示書作成       </t>
  </si>
  <si>
    <t>SA2170</t>
  </si>
  <si>
    <t>送り状作成</t>
  </si>
  <si>
    <t>02.送り状作成</t>
  </si>
  <si>
    <t xml:space="preserve">出荷納品書作成       </t>
  </si>
  <si>
    <t>SA2210</t>
  </si>
  <si>
    <t>個口シール作成</t>
  </si>
  <si>
    <t>03.個口シール作成</t>
  </si>
  <si>
    <t xml:space="preserve">送り状作成           </t>
  </si>
  <si>
    <t>SA2530</t>
  </si>
  <si>
    <t>ケースマークシール作成</t>
  </si>
  <si>
    <t>04.ケースマークシール作成</t>
  </si>
  <si>
    <t xml:space="preserve">個口シール作成       </t>
  </si>
  <si>
    <t>出荷納品書作成</t>
  </si>
  <si>
    <t>05.出荷納品書作成</t>
  </si>
  <si>
    <t>SA3070</t>
  </si>
  <si>
    <t>出荷実績入力</t>
  </si>
  <si>
    <t>11.出荷実績入力</t>
  </si>
  <si>
    <t xml:space="preserve">出荷実績入力         </t>
  </si>
  <si>
    <t>SA3180</t>
  </si>
  <si>
    <t>仕様出荷実績入力</t>
  </si>
  <si>
    <t>12.仕様出荷実績入力</t>
  </si>
  <si>
    <t xml:space="preserve">仕様出荷実績入力     </t>
  </si>
  <si>
    <t>SA3100</t>
  </si>
  <si>
    <t>返品実績入力</t>
  </si>
  <si>
    <t>13.返品実績入力</t>
  </si>
  <si>
    <t xml:space="preserve">返品実績入力         </t>
  </si>
  <si>
    <t>SA3110</t>
  </si>
  <si>
    <t>修理実績入力</t>
  </si>
  <si>
    <t>14.修理実績入力</t>
  </si>
  <si>
    <t xml:space="preserve">修理実績入力         </t>
  </si>
  <si>
    <t>SA3190</t>
  </si>
  <si>
    <t>無償修理承認入力</t>
  </si>
  <si>
    <t>15.無償修理承認入力</t>
  </si>
  <si>
    <t xml:space="preserve">無償修理承認入力     </t>
  </si>
  <si>
    <t>SA3220</t>
  </si>
  <si>
    <t>修理コメント訂正入力</t>
  </si>
  <si>
    <t>21.修理コメント訂正入力</t>
  </si>
  <si>
    <t xml:space="preserve">修理コメント訂正入力 </t>
  </si>
  <si>
    <t>SA2310</t>
  </si>
  <si>
    <t>送り状作成（手動）</t>
  </si>
  <si>
    <t>51.送り状作成（手動）</t>
  </si>
  <si>
    <t xml:space="preserve">送り状作成（手動）        </t>
  </si>
  <si>
    <t>SA2340</t>
  </si>
  <si>
    <t>発送ﾀｯｸｼｰﾙ作成</t>
  </si>
  <si>
    <t>52.発送ﾀｯｸｼｰﾙ作成</t>
  </si>
  <si>
    <t xml:space="preserve">発送ﾀｯｸｼｰﾙ作成          </t>
  </si>
  <si>
    <t>SA5140</t>
  </si>
  <si>
    <t>出荷指示データ照会</t>
  </si>
  <si>
    <t>53.出荷指示データ照会</t>
  </si>
  <si>
    <t xml:space="preserve">出荷指示データ照会        </t>
  </si>
  <si>
    <t>SA5161</t>
  </si>
  <si>
    <t>修理実績照会</t>
  </si>
  <si>
    <t>54.修理実績照会</t>
  </si>
  <si>
    <t xml:space="preserve">修理実績照会              </t>
  </si>
  <si>
    <t>SA2830</t>
  </si>
  <si>
    <t>修理内容集計表</t>
  </si>
  <si>
    <t>55.修理内容集計表</t>
  </si>
  <si>
    <t xml:space="preserve">修理内容集計表            </t>
  </si>
  <si>
    <t>SA2140</t>
  </si>
  <si>
    <t>代替・交換機発送伝票作成</t>
  </si>
  <si>
    <t>56.代替・交換機発送伝票作成</t>
  </si>
  <si>
    <t xml:space="preserve">代替・交換機発送伝票作成  </t>
  </si>
  <si>
    <t>SA2860</t>
  </si>
  <si>
    <t>修理実績入力一覧作成</t>
  </si>
  <si>
    <t>57.修理実績入力一覧作成</t>
  </si>
  <si>
    <t xml:space="preserve">修理実績入力一覧作成      </t>
  </si>
  <si>
    <t>SA2870</t>
  </si>
  <si>
    <t>修理報告書作成</t>
  </si>
  <si>
    <t>58.修理報告書作成</t>
  </si>
  <si>
    <t xml:space="preserve">修理報告書作成            </t>
  </si>
  <si>
    <t>SA2670</t>
  </si>
  <si>
    <t>修理実績リスト</t>
  </si>
  <si>
    <t>64.修理実績リスト</t>
  </si>
  <si>
    <t xml:space="preserve">修理実績リスト            </t>
  </si>
  <si>
    <t>SA2660</t>
  </si>
  <si>
    <t>修理実績プルーフリスト</t>
  </si>
  <si>
    <t>65.修理実績プルーフリスト</t>
  </si>
  <si>
    <t xml:space="preserve">修理実績プルーフリスト    </t>
  </si>
  <si>
    <t>SA5162</t>
  </si>
  <si>
    <t>修理実績ダウンロード</t>
  </si>
  <si>
    <t>66.修理実績ダウンロード</t>
  </si>
  <si>
    <t xml:space="preserve">修理実績ダウンロード      </t>
  </si>
  <si>
    <t>SA2890</t>
  </si>
  <si>
    <t>大都向けデータダウンロード</t>
  </si>
  <si>
    <t>67.大都向けデータダウンロード</t>
  </si>
  <si>
    <t>代替機　在庫修正入力</t>
  </si>
  <si>
    <t>68.代替機　在庫修正入力</t>
  </si>
  <si>
    <t xml:space="preserve">代替機　在庫修正入力      </t>
  </si>
  <si>
    <t>売上実績業務</t>
  </si>
  <si>
    <t>SA3080</t>
  </si>
  <si>
    <t>インボイス入力</t>
  </si>
  <si>
    <t>01.インボイス入力</t>
  </si>
  <si>
    <t xml:space="preserve">インボイス入力            </t>
  </si>
  <si>
    <t>SA2510</t>
  </si>
  <si>
    <t>インボイス発行 （経理用）</t>
  </si>
  <si>
    <t>02.インボイス発行 （経理用</t>
  </si>
  <si>
    <r>
      <rPr>
        <sz val="11"/>
        <color rgb="FF212529"/>
        <rFont val="Quattrocento Sans"/>
        <family val="2"/>
      </rPr>
      <t>02.</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（経理用）</t>
    </r>
  </si>
  <si>
    <r>
      <rPr>
        <sz val="11"/>
        <color rgb="FF212529"/>
        <rFont val="Quattrocento Sans"/>
        <family val="2"/>
      </rPr>
      <t>02.</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（経理用</t>
    </r>
    <r>
      <rPr>
        <sz val="11"/>
        <color rgb="FF212529"/>
        <rFont val="ＭＳ ゴシック"/>
        <family val="3"/>
        <charset val="128"/>
      </rPr>
      <t>）</t>
    </r>
  </si>
  <si>
    <t>SA2520</t>
  </si>
  <si>
    <t>ﾊﾟｯｷﾝｸﾞﾘｽﾄ発行（経理用）</t>
  </si>
  <si>
    <r>
      <rPr>
        <sz val="11"/>
        <color rgb="FF212529"/>
        <rFont val="Quattrocento Sans"/>
        <family val="2"/>
      </rPr>
      <t>03.</t>
    </r>
    <r>
      <rPr>
        <sz val="11"/>
        <color rgb="FF212529"/>
        <rFont val="ＭＳ ゴシック"/>
        <family val="3"/>
        <charset val="128"/>
      </rPr>
      <t>ﾊﾟｯｷﾝｸﾞﾘｽﾄ発行（経理用</t>
    </r>
  </si>
  <si>
    <r>
      <rPr>
        <sz val="11"/>
        <color rgb="FF212529"/>
        <rFont val="Quattrocento Sans"/>
        <family val="2"/>
      </rPr>
      <t xml:space="preserve">03. </t>
    </r>
    <r>
      <rPr>
        <sz val="11"/>
        <color rgb="FF212529"/>
        <rFont val="ＭＳ ゴシック"/>
        <family val="3"/>
        <charset val="128"/>
      </rPr>
      <t>ﾊﾟｯｷﾝｸﾞﾘｽﾄ発行（経理用</t>
    </r>
    <r>
      <rPr>
        <sz val="11"/>
        <color rgb="FF212529"/>
        <rFont val="ＭＳ ゴシック"/>
        <family val="3"/>
        <charset val="128"/>
      </rPr>
      <t>）</t>
    </r>
  </si>
  <si>
    <t>SA3170</t>
  </si>
  <si>
    <t>ＩＮＶＯＩＣＥ　ＥＮＴＲＹ</t>
  </si>
  <si>
    <t>04.ＩＮＶＯＩＣＥ　ＥＮＴＲＹ</t>
  </si>
  <si>
    <t>SA2550</t>
  </si>
  <si>
    <t>インボイス発行 （通関用）</t>
  </si>
  <si>
    <t>05.インボイス発行 （通関用</t>
  </si>
  <si>
    <r>
      <rPr>
        <sz val="11"/>
        <color rgb="FF212529"/>
        <rFont val="Quattrocento Sans"/>
        <family val="2"/>
      </rPr>
      <t>05.</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（通関用</t>
    </r>
    <r>
      <rPr>
        <sz val="11"/>
        <color rgb="FF212529"/>
        <rFont val="ＭＳ ゴシック"/>
        <family val="3"/>
        <charset val="128"/>
      </rPr>
      <t>）</t>
    </r>
  </si>
  <si>
    <t>SA2560</t>
  </si>
  <si>
    <t>ﾊﾟｯｷﾝｸﾞﾘｽﾄ発行（通関用）</t>
  </si>
  <si>
    <r>
      <rPr>
        <sz val="11"/>
        <color rgb="FF212529"/>
        <rFont val="Quattrocento Sans"/>
        <family val="2"/>
      </rPr>
      <t>06.</t>
    </r>
    <r>
      <rPr>
        <sz val="11"/>
        <color rgb="FF212529"/>
        <rFont val="ＭＳ ゴシック"/>
        <family val="3"/>
        <charset val="128"/>
      </rPr>
      <t>ﾊﾟｯｷﾝｸﾞﾘｽﾄ発行（通関用</t>
    </r>
  </si>
  <si>
    <r>
      <rPr>
        <sz val="11"/>
        <color rgb="FF212529"/>
        <rFont val="Quattrocento Sans"/>
        <family val="2"/>
      </rPr>
      <t xml:space="preserve">06. </t>
    </r>
    <r>
      <rPr>
        <sz val="11"/>
        <color rgb="FF212529"/>
        <rFont val="ＭＳ ゴシック"/>
        <family val="3"/>
        <charset val="128"/>
      </rPr>
      <t>ﾊﾟｯｷﾝｸﾞﾘｽﾄ発行（通関用</t>
    </r>
    <r>
      <rPr>
        <sz val="11"/>
        <color rgb="FF212529"/>
        <rFont val="ＭＳ ゴシック"/>
        <family val="3"/>
        <charset val="128"/>
      </rPr>
      <t>）</t>
    </r>
  </si>
  <si>
    <t>SA2570</t>
  </si>
  <si>
    <t>IGT用INVOICE自動作成</t>
  </si>
  <si>
    <r>
      <rPr>
        <sz val="11"/>
        <color rgb="FF212529"/>
        <rFont val="Quattrocento Sans"/>
        <family val="2"/>
      </rPr>
      <t>07.IGT</t>
    </r>
    <r>
      <rPr>
        <sz val="11"/>
        <color rgb="FF212529"/>
        <rFont val="ＭＳ ゴシック"/>
        <family val="3"/>
        <charset val="128"/>
      </rPr>
      <t>用</t>
    </r>
    <r>
      <rPr>
        <sz val="11"/>
        <color rgb="FF212529"/>
        <rFont val="Segoe UI"/>
        <family val="2"/>
      </rPr>
      <t>INVOICE</t>
    </r>
    <r>
      <rPr>
        <sz val="11"/>
        <color rgb="FF212529"/>
        <rFont val="ＭＳ ゴシック"/>
        <family val="3"/>
        <charset val="128"/>
      </rPr>
      <t>自動作成</t>
    </r>
  </si>
  <si>
    <t xml:space="preserve">IGT用INVOICE自動作成                              </t>
  </si>
  <si>
    <t>07. IGT用INVOICE自動作成</t>
  </si>
  <si>
    <t>SA3090</t>
  </si>
  <si>
    <t>売上承認入力</t>
  </si>
  <si>
    <t>11.売上承認入力</t>
  </si>
  <si>
    <t xml:space="preserve">売上承認入力              </t>
  </si>
  <si>
    <t>SA2120</t>
  </si>
  <si>
    <t>売上伝票作成</t>
  </si>
  <si>
    <t>12.売上伝票作成</t>
  </si>
  <si>
    <t xml:space="preserve">売上伝票作成              </t>
  </si>
  <si>
    <t>SA2130</t>
  </si>
  <si>
    <t>納品書作成</t>
  </si>
  <si>
    <t>13.納品書作成</t>
  </si>
  <si>
    <t xml:space="preserve">納品書作成                </t>
  </si>
  <si>
    <t>SA2130OLD</t>
  </si>
  <si>
    <t>納品書作成（旧）</t>
  </si>
  <si>
    <t>14.納品書作成（旧）</t>
  </si>
  <si>
    <t xml:space="preserve">納品書作成（旧）          </t>
  </si>
  <si>
    <t xml:space="preserve">請求方法入力   </t>
  </si>
  <si>
    <t>LP9100</t>
  </si>
  <si>
    <t>代替機修理内容確認一括更新</t>
  </si>
  <si>
    <t>50.代替機修理内容確認一括更新</t>
  </si>
  <si>
    <t>SA5052</t>
  </si>
  <si>
    <t>一式請求照会</t>
  </si>
  <si>
    <t>60.一式請求照会</t>
  </si>
  <si>
    <t xml:space="preserve">一式請求照会　　　       </t>
  </si>
  <si>
    <t>SA2080</t>
  </si>
  <si>
    <t>売上承認確認リスト</t>
  </si>
  <si>
    <t>61.売上承認確認リスト</t>
  </si>
  <si>
    <t xml:space="preserve">売上承認確認リスト       </t>
  </si>
  <si>
    <t>SA5050</t>
  </si>
  <si>
    <t>売上照会（伝票No.指定）</t>
  </si>
  <si>
    <r>
      <rPr>
        <sz val="11"/>
        <color rgb="FF212529"/>
        <rFont val="Quattrocento Sans"/>
        <family val="2"/>
      </rPr>
      <t>62.</t>
    </r>
    <r>
      <rPr>
        <sz val="11"/>
        <color rgb="FF212529"/>
        <rFont val="ＭＳ ゴシック"/>
        <family val="3"/>
        <charset val="128"/>
      </rPr>
      <t>売上照会（伝票</t>
    </r>
    <r>
      <rPr>
        <sz val="11"/>
        <color rgb="FF212529"/>
        <rFont val="Segoe UI"/>
        <family val="2"/>
      </rPr>
      <t>No.</t>
    </r>
    <r>
      <rPr>
        <sz val="11"/>
        <color rgb="FF212529"/>
        <rFont val="ＭＳ ゴシック"/>
        <family val="3"/>
        <charset val="128"/>
      </rPr>
      <t>指定）</t>
    </r>
  </si>
  <si>
    <t xml:space="preserve">売上照会（伝票No.指定）   </t>
  </si>
  <si>
    <t>SA5090</t>
  </si>
  <si>
    <t>売上照会（得意先指定）</t>
  </si>
  <si>
    <t>63.売上照会（得意先指定）</t>
  </si>
  <si>
    <t xml:space="preserve">売上照会（得意先指定）   </t>
  </si>
  <si>
    <t>売上照会（品目・発送先指定</t>
  </si>
  <si>
    <t>64.売上照会（品目・発送先指定</t>
  </si>
  <si>
    <t>無償承認未処理リスト</t>
  </si>
  <si>
    <t>65.無償承認未処理リスト</t>
  </si>
  <si>
    <t xml:space="preserve">無償承認未処理リスト     </t>
  </si>
  <si>
    <t>SA7420</t>
  </si>
  <si>
    <t>売上データダウンロード</t>
  </si>
  <si>
    <t>66.売上データダウンロード</t>
  </si>
  <si>
    <t xml:space="preserve">売上データダウンロード              </t>
  </si>
  <si>
    <t>売上訂正</t>
  </si>
  <si>
    <t>SA3120</t>
  </si>
  <si>
    <t>売上訂正入力</t>
  </si>
  <si>
    <t>01.売上訂正入力</t>
  </si>
  <si>
    <t>SA3130</t>
  </si>
  <si>
    <t>売上訂正値引承認入力</t>
  </si>
  <si>
    <t>02.売上訂正値引承認入力</t>
  </si>
  <si>
    <t>SA3140</t>
  </si>
  <si>
    <t>売上訂正承認入力</t>
  </si>
  <si>
    <t>03.売上訂正承認入力</t>
  </si>
  <si>
    <t>売上訂正照会</t>
  </si>
  <si>
    <t>04.売上訂正照会</t>
  </si>
  <si>
    <t>SA2880</t>
  </si>
  <si>
    <t>売上訂正申請書出力</t>
  </si>
  <si>
    <t>05.売上訂正申請書出力</t>
  </si>
  <si>
    <t>修理原価訂正入力</t>
  </si>
  <si>
    <t>10.修理原価訂正入力</t>
  </si>
  <si>
    <t>11.修理コメント訂正入力</t>
  </si>
  <si>
    <t>実績帳票</t>
  </si>
  <si>
    <t>SA7000</t>
  </si>
  <si>
    <t>販売課課別地区別売上実績集計</t>
  </si>
  <si>
    <t>01.販売課課別地区別売上実績集計</t>
  </si>
  <si>
    <t>SA7010</t>
  </si>
  <si>
    <t>地区別売上実績集計</t>
  </si>
  <si>
    <t>02.地区別売上実績集計</t>
  </si>
  <si>
    <t>SA7020</t>
  </si>
  <si>
    <t>４品種別地区別売上実績集計</t>
  </si>
  <si>
    <t>03.４品種別地区別売上実績集計</t>
  </si>
  <si>
    <t>SA7030</t>
  </si>
  <si>
    <t>売上日計表（売上計上分）</t>
  </si>
  <si>
    <t>04.売上日計表（売上計上分）</t>
  </si>
  <si>
    <t>SA7040</t>
  </si>
  <si>
    <t>得意先別売上実績表</t>
  </si>
  <si>
    <t>05.得意先別売上実績表</t>
  </si>
  <si>
    <t>SA7050</t>
  </si>
  <si>
    <t>売上伝票部課別集計表</t>
  </si>
  <si>
    <t>06.売上伝票部課別集計表</t>
  </si>
  <si>
    <t>SA7060</t>
  </si>
  <si>
    <t>売上伝票部課別・得意先別集計</t>
  </si>
  <si>
    <t>07.売上伝票部課別・得意先別集計</t>
  </si>
  <si>
    <t>SA7070</t>
  </si>
  <si>
    <t>売上伝票集計表　日付範囲指定</t>
  </si>
  <si>
    <t>08.売上伝票集計表　日付範囲指定</t>
  </si>
  <si>
    <t>SA7080</t>
  </si>
  <si>
    <t>部課別得意先別機種別売上管理</t>
  </si>
  <si>
    <t>09.部課別得意先別機種別売上管理</t>
  </si>
  <si>
    <t>SA7090</t>
  </si>
  <si>
    <t>部課別・品目別売上管理表</t>
  </si>
  <si>
    <t>10.部課別・品目別売上管理表</t>
  </si>
  <si>
    <t>SA7100</t>
  </si>
  <si>
    <t>品目区分別売上実績集計表</t>
  </si>
  <si>
    <t>11.品目区分別売上実績集計表</t>
  </si>
  <si>
    <t>SA7110</t>
  </si>
  <si>
    <t>部課別・機種別売上管理表</t>
  </si>
  <si>
    <t>12.部課別・機種別売上管理表</t>
  </si>
  <si>
    <t>SA7120</t>
  </si>
  <si>
    <t>部門別機種別売上高明細表</t>
  </si>
  <si>
    <t>13.部門別機種別売上高明細表</t>
  </si>
  <si>
    <t>SA7132</t>
  </si>
  <si>
    <t>部課別・品目別　売上明細表</t>
  </si>
  <si>
    <t>14.部課別・品目別　売上明細表</t>
  </si>
  <si>
    <t>SA7140</t>
  </si>
  <si>
    <t>他部門売上明細</t>
  </si>
  <si>
    <t>15.他部門売上明細</t>
  </si>
  <si>
    <t>SA7150</t>
  </si>
  <si>
    <t>ｵﾌｨｽ売上集計表</t>
  </si>
  <si>
    <t>16.ｵﾌｨｽ売上集計表</t>
  </si>
  <si>
    <t>SA7160</t>
  </si>
  <si>
    <t>SA国内機種別売上集計表</t>
  </si>
  <si>
    <t>17.SA国内機種別売上集計表</t>
  </si>
  <si>
    <t>SA7170</t>
  </si>
  <si>
    <t>SA国内地区別売上集計表</t>
  </si>
  <si>
    <t>18.SA国内地区別売上集計表</t>
  </si>
  <si>
    <t>SA7210</t>
  </si>
  <si>
    <t>19.部門別機種別売上高明細表</t>
  </si>
  <si>
    <t>SA7200</t>
  </si>
  <si>
    <t>月別加工高集計表</t>
  </si>
  <si>
    <t>21.月別加工高集計表</t>
  </si>
  <si>
    <t>SA7220</t>
  </si>
  <si>
    <t>４品種別売上・原価集計表</t>
  </si>
  <si>
    <t>22.４品種別売上・原価集計表</t>
  </si>
  <si>
    <t>間貿・直貿売上実績表</t>
  </si>
  <si>
    <t>23.間貿・直貿売上実績表</t>
  </si>
  <si>
    <t>SA7240</t>
  </si>
  <si>
    <t>得意先別　売上・原価集計表累計</t>
  </si>
  <si>
    <t>24.得意先別　売上・原価集計表累計</t>
  </si>
  <si>
    <t>海外出荷実績表</t>
  </si>
  <si>
    <t>25.海外出荷実績表</t>
  </si>
  <si>
    <t>SA2320</t>
  </si>
  <si>
    <t>部課別修理金額集計表</t>
  </si>
  <si>
    <t>26.部課別修理金額集計表</t>
  </si>
  <si>
    <t>SA2330</t>
  </si>
  <si>
    <t>ｼｬｰﾌﾟ専用納品書印刷</t>
  </si>
  <si>
    <t>27.ｼｬｰﾌﾟ専用納品書印刷</t>
  </si>
  <si>
    <t>SA7250</t>
  </si>
  <si>
    <t>部課別得意先別売上明細表</t>
  </si>
  <si>
    <t>28.部課別得意先別売上明細表</t>
  </si>
  <si>
    <t>SA7225</t>
  </si>
  <si>
    <t>４品種別売上・原価集計表製品</t>
  </si>
  <si>
    <t>29.４品種別売上・原価集計表製品</t>
  </si>
  <si>
    <t>SA7190</t>
  </si>
  <si>
    <t>担当者別売上月次目標入力</t>
  </si>
  <si>
    <t>61.担当者別売上月次目標入力</t>
  </si>
  <si>
    <t>SA7195</t>
  </si>
  <si>
    <t>担当者別売上月次予算入力</t>
  </si>
  <si>
    <t>62.担当者別売上月次予算入力</t>
  </si>
  <si>
    <t>SA7180</t>
  </si>
  <si>
    <t>課別担当者別売上達成率リスト</t>
  </si>
  <si>
    <t>63.課別担当者別売上達成率リスト</t>
  </si>
  <si>
    <t>SA2490</t>
  </si>
  <si>
    <t>ﾚｼﾞｬｰ品質対策ｱﾌﾀｰ費用集計表</t>
  </si>
  <si>
    <t>64.ﾚｼﾞｬｰ品質対策ｱﾌﾀｰ費用集計表</t>
  </si>
  <si>
    <t>SA2470</t>
  </si>
  <si>
    <t>技術サービス売上支払集計</t>
  </si>
  <si>
    <t>65.技術サービス売上支払集計</t>
  </si>
  <si>
    <t>SA2630</t>
  </si>
  <si>
    <t>技術代行料リスト</t>
  </si>
  <si>
    <t>66.技術代行料リスト</t>
  </si>
  <si>
    <t>SA2680</t>
  </si>
  <si>
    <t>振替伝票起票用資料（ＪＴＳ）</t>
  </si>
  <si>
    <t>67.振替伝票起票用資料（ＪＴＳ）</t>
  </si>
  <si>
    <t>SA7340</t>
  </si>
  <si>
    <t>各種売上・原価順位表</t>
  </si>
  <si>
    <t>68.各種売上・原価順位表</t>
  </si>
  <si>
    <t>入金処理業務</t>
  </si>
  <si>
    <t>MM2050</t>
  </si>
  <si>
    <t>請求書新規作成指示</t>
  </si>
  <si>
    <t>01.請求書新規作成指示</t>
  </si>
  <si>
    <t>受取手形期日指定一覧</t>
  </si>
  <si>
    <t>MM2030</t>
  </si>
  <si>
    <t>請求書随時作成指示</t>
  </si>
  <si>
    <t>02.請求書随時作成指示</t>
  </si>
  <si>
    <t xml:space="preserve">請求書発行一覧表   </t>
  </si>
  <si>
    <t>MM2020</t>
  </si>
  <si>
    <t>請求書再印刷指示</t>
  </si>
  <si>
    <t>03.請求書再印刷指示</t>
  </si>
  <si>
    <t xml:space="preserve">請求書発行区分変更 </t>
  </si>
  <si>
    <t>MM2060</t>
  </si>
  <si>
    <t>請求書削除指示</t>
  </si>
  <si>
    <t>04.請求書削除指示</t>
  </si>
  <si>
    <t xml:space="preserve">入金振分入力       </t>
  </si>
  <si>
    <t>MM1620</t>
  </si>
  <si>
    <t>（得意先／期日指定以降）</t>
  </si>
  <si>
    <t xml:space="preserve">売掛相殺入力       </t>
  </si>
  <si>
    <t>MM5110</t>
  </si>
  <si>
    <t>請求書発行一覧表</t>
  </si>
  <si>
    <t>05.請求書発行一覧表</t>
  </si>
  <si>
    <t xml:space="preserve">外貨建売掛相殺入力 </t>
  </si>
  <si>
    <t>請求書新規作成指示／部課対応</t>
  </si>
  <si>
    <t>06.請求書新規作成指示／部課対応</t>
  </si>
  <si>
    <t xml:space="preserve">入金相殺入力       </t>
  </si>
  <si>
    <t>反応しない</t>
  </si>
  <si>
    <t>MM2070</t>
  </si>
  <si>
    <t>請求書発行区分変更</t>
  </si>
  <si>
    <t>07.請求書発行区分変更</t>
  </si>
  <si>
    <t xml:space="preserve">過入金振分入力     </t>
  </si>
  <si>
    <t>MM3000</t>
  </si>
  <si>
    <t>外貨入金エントリー</t>
  </si>
  <si>
    <t>11.外貨入金エントリー</t>
  </si>
  <si>
    <t xml:space="preserve">入金 照会 </t>
  </si>
  <si>
    <t>MM3020</t>
  </si>
  <si>
    <t>入金エントリー</t>
  </si>
  <si>
    <t>12.入金エントリー</t>
  </si>
  <si>
    <t xml:space="preserve">受取手形　照会               </t>
  </si>
  <si>
    <t>MM3010</t>
  </si>
  <si>
    <t>当座入金エントリー</t>
  </si>
  <si>
    <t>13.当座入金エントリー</t>
  </si>
  <si>
    <t xml:space="preserve">売掛金回収会合資料           </t>
  </si>
  <si>
    <t>MM3040</t>
  </si>
  <si>
    <t>受取手形エントリー</t>
  </si>
  <si>
    <t>14.受取手形エントリー</t>
  </si>
  <si>
    <t xml:space="preserve">請求書照会                   </t>
  </si>
  <si>
    <t>MM3030</t>
  </si>
  <si>
    <t>入金承認入力</t>
  </si>
  <si>
    <t>15.入金承認入力</t>
  </si>
  <si>
    <t xml:space="preserve">回収予定一覧表               </t>
  </si>
  <si>
    <t>MM3140</t>
  </si>
  <si>
    <t>外貨入金端数入力</t>
  </si>
  <si>
    <t>16.外貨入金端数入力</t>
  </si>
  <si>
    <t xml:space="preserve">売掛金回収予定表             </t>
  </si>
  <si>
    <t>MM2110</t>
  </si>
  <si>
    <t>振替伝票発行</t>
  </si>
  <si>
    <t>17.振替伝票発行</t>
  </si>
  <si>
    <t xml:space="preserve">売掛金回収ﾁｪｯｸﾘｽﾄ            </t>
  </si>
  <si>
    <t>MM3110</t>
  </si>
  <si>
    <t>不備不渡エントリー</t>
  </si>
  <si>
    <t>18.不備不渡エントリー</t>
  </si>
  <si>
    <t>売掛金回収会合資料作成（保守）</t>
  </si>
  <si>
    <t>MM3060</t>
  </si>
  <si>
    <t>入金振分入力</t>
  </si>
  <si>
    <t>21.入金振分入力</t>
  </si>
  <si>
    <t xml:space="preserve">入金一覧表                   </t>
  </si>
  <si>
    <t>MM3070</t>
  </si>
  <si>
    <t>売掛相殺入力</t>
  </si>
  <si>
    <t>22.売掛相殺入力</t>
  </si>
  <si>
    <t xml:space="preserve">入金振分一覧表               </t>
  </si>
  <si>
    <t>MM3120</t>
  </si>
  <si>
    <t>外貨建売掛相殺入力</t>
  </si>
  <si>
    <t>23.外貨建売掛相殺入力</t>
  </si>
  <si>
    <t xml:space="preserve">過入金振分残リスト           </t>
  </si>
  <si>
    <t>MM3100</t>
  </si>
  <si>
    <t>入金相殺入力</t>
  </si>
  <si>
    <t>24.入金相殺入力</t>
  </si>
  <si>
    <t xml:space="preserve">売掛金元帳　＆　販売元帳     </t>
  </si>
  <si>
    <t>MM3130</t>
  </si>
  <si>
    <t>過入金振分入力</t>
  </si>
  <si>
    <t>25.過入金振分入力</t>
  </si>
  <si>
    <t xml:space="preserve">売掛金回収計画表　           </t>
  </si>
  <si>
    <t>MM3080</t>
  </si>
  <si>
    <t>科目振替エントリ−</t>
  </si>
  <si>
    <t>26.科目振替エントリ−</t>
  </si>
  <si>
    <t xml:space="preserve">売掛金回収計画集計表         </t>
  </si>
  <si>
    <t>MM0010</t>
  </si>
  <si>
    <t>入金科目組合Ｍ保守　中止</t>
  </si>
  <si>
    <t>31.入金科目組合Ｍ保守　中止</t>
  </si>
  <si>
    <t xml:space="preserve">発行区分一覧表             </t>
  </si>
  <si>
    <t>MM5060</t>
  </si>
  <si>
    <t>入金 照会</t>
  </si>
  <si>
    <t>41.入金　照会</t>
  </si>
  <si>
    <t>41.入金　　　照会</t>
  </si>
  <si>
    <t>MM1500</t>
  </si>
  <si>
    <t>受取手形　照会</t>
  </si>
  <si>
    <t>43.受取手形　照会</t>
  </si>
  <si>
    <t>SA7300C</t>
  </si>
  <si>
    <t>売掛金回収会合資料</t>
  </si>
  <si>
    <t>51.売掛金回収会合資料</t>
  </si>
  <si>
    <t>SA7300CD)</t>
  </si>
  <si>
    <t>MM5030</t>
  </si>
  <si>
    <t>請求書照会</t>
  </si>
  <si>
    <t>52.請求書照会</t>
  </si>
  <si>
    <t>SA2350</t>
  </si>
  <si>
    <t>回収予定一覧表</t>
  </si>
  <si>
    <t>53.回収予定一覧表</t>
  </si>
  <si>
    <t>SA2600</t>
  </si>
  <si>
    <t>売掛金回収予定表</t>
  </si>
  <si>
    <t>54.売掛金回収予定表</t>
  </si>
  <si>
    <t>売掛金回収ﾁｪｯｸﾘｽﾄ</t>
  </si>
  <si>
    <t>55.売掛金回収ﾁｪｯｸﾘｽﾄ</t>
  </si>
  <si>
    <t>SA7390</t>
  </si>
  <si>
    <t>未回収ﾘｽﾄ</t>
  </si>
  <si>
    <t>56.未回収ﾘｽﾄ</t>
  </si>
  <si>
    <t>MM5080</t>
  </si>
  <si>
    <t>入金一覧表</t>
  </si>
  <si>
    <t>61.入金一覧表</t>
  </si>
  <si>
    <t>MM5020</t>
  </si>
  <si>
    <t>入金振分一覧表</t>
  </si>
  <si>
    <t>62.入金振分一覧表</t>
  </si>
  <si>
    <t>MM5120</t>
  </si>
  <si>
    <t>過入金振分残リスト</t>
  </si>
  <si>
    <t>63.過入金振分残リスト</t>
  </si>
  <si>
    <t>MM5100</t>
  </si>
  <si>
    <t>売掛金元帳　＆　販売元帳</t>
  </si>
  <si>
    <t>65.売掛金元帳　＆　販売元帳</t>
  </si>
  <si>
    <t>SA2380</t>
  </si>
  <si>
    <t>売掛金回収計画表</t>
  </si>
  <si>
    <t>66.売掛金回収計画表</t>
  </si>
  <si>
    <t>SA2385</t>
  </si>
  <si>
    <t>売掛金回収計画集計表</t>
  </si>
  <si>
    <t>67.売掛金回収計画集計表</t>
  </si>
  <si>
    <t>MM2071</t>
  </si>
  <si>
    <t>発行区分一覧表</t>
  </si>
  <si>
    <t>68.発行区分一覧表</t>
  </si>
  <si>
    <t>入金関係照会</t>
  </si>
  <si>
    <t>ｚ</t>
  </si>
  <si>
    <t>入金関係帳票</t>
  </si>
  <si>
    <t>MM2100</t>
  </si>
  <si>
    <t>取立割引依頼書</t>
  </si>
  <si>
    <t>01.取立割引依頼書</t>
  </si>
  <si>
    <t>MM1680C</t>
  </si>
  <si>
    <t>割引手形落込明細表</t>
  </si>
  <si>
    <t>02.割引手形落込明細表</t>
  </si>
  <si>
    <t>MM1680</t>
  </si>
  <si>
    <t>MM1650C</t>
  </si>
  <si>
    <t>受取手形明細表</t>
  </si>
  <si>
    <t>04.受取手形明細表</t>
  </si>
  <si>
    <t>MM1655</t>
  </si>
  <si>
    <t>MM1640c</t>
  </si>
  <si>
    <t>受取手形集計表</t>
  </si>
  <si>
    <t>05.受取手形集計表</t>
  </si>
  <si>
    <t>MM1640C</t>
  </si>
  <si>
    <t>MM1630C</t>
  </si>
  <si>
    <t>（銀行　／期日別）</t>
  </si>
  <si>
    <t>06.（銀行　／期日別）</t>
  </si>
  <si>
    <t>MM1630</t>
  </si>
  <si>
    <t>MM1620C</t>
  </si>
  <si>
    <t>08.（得意先／期日指定以降）</t>
  </si>
  <si>
    <t>MM1670C</t>
  </si>
  <si>
    <t>受取手形得意先元帳</t>
  </si>
  <si>
    <t>10.受取手形得意先元帳</t>
  </si>
  <si>
    <t>MM1670</t>
  </si>
  <si>
    <t>MM1690C</t>
  </si>
  <si>
    <t>受取手形ﾃﾞｰﾀ(ﾀﾞｳﾝﾛｰﾄﾞ)</t>
  </si>
  <si>
    <t>21.受取手形ﾃﾞｰﾀ(ﾀﾞｳﾝﾛｰﾄﾞ)</t>
  </si>
  <si>
    <t>MM1690</t>
  </si>
  <si>
    <t>MM6020</t>
  </si>
  <si>
    <t>受取手形月次残高Ｆ更新</t>
  </si>
  <si>
    <t>31.受取手形月次残高Ｆ更新</t>
  </si>
  <si>
    <t>生産システム</t>
  </si>
  <si>
    <t>#G7MMSP</t>
  </si>
  <si>
    <t>開示区分Ｍ　保守</t>
  </si>
  <si>
    <r>
      <rPr>
        <sz val="11"/>
        <color rgb="FF212529"/>
        <rFont val="Quattrocento Sans"/>
        <family val="2"/>
      </rPr>
      <t>01.</t>
    </r>
    <r>
      <rPr>
        <sz val="11"/>
        <color rgb="FF212529"/>
        <rFont val="ＭＳ ゴシック"/>
        <family val="3"/>
        <charset val="128"/>
      </rPr>
      <t>開示区分Ｍ　保守</t>
    </r>
  </si>
  <si>
    <t>@G7MMSP</t>
  </si>
  <si>
    <t>PD0090</t>
  </si>
  <si>
    <t>機種Ｍ　保守</t>
  </si>
  <si>
    <r>
      <rPr>
        <sz val="11"/>
        <color rgb="FF212529"/>
        <rFont val="Quattrocento Sans"/>
        <family val="2"/>
      </rPr>
      <t>02.</t>
    </r>
    <r>
      <rPr>
        <sz val="11"/>
        <color rgb="FF212529"/>
        <rFont val="ＭＳ ゴシック"/>
        <family val="3"/>
        <charset val="128"/>
      </rPr>
      <t>機種Ｍ　保守</t>
    </r>
  </si>
  <si>
    <t>PD0290</t>
  </si>
  <si>
    <t>分類Ｍ　保守</t>
  </si>
  <si>
    <r>
      <rPr>
        <sz val="11"/>
        <color rgb="FF212529"/>
        <rFont val="Quattrocento Sans"/>
        <family val="2"/>
      </rPr>
      <t>03.</t>
    </r>
    <r>
      <rPr>
        <sz val="11"/>
        <color rgb="FF212529"/>
        <rFont val="ＭＳ ゴシック"/>
        <family val="3"/>
        <charset val="128"/>
      </rPr>
      <t>分類Ｍ　保守</t>
    </r>
  </si>
  <si>
    <t>PD0010</t>
  </si>
  <si>
    <t>品目Ｍ　保守</t>
  </si>
  <si>
    <r>
      <rPr>
        <sz val="11"/>
        <color rgb="FF212529"/>
        <rFont val="Quattrocento Sans"/>
        <family val="2"/>
      </rPr>
      <t>05.</t>
    </r>
    <r>
      <rPr>
        <sz val="11"/>
        <color rgb="FF212529"/>
        <rFont val="ＭＳ ゴシック"/>
        <family val="3"/>
        <charset val="128"/>
      </rPr>
      <t>品目Ｍ　保守</t>
    </r>
  </si>
  <si>
    <t>05.品目Ｍ　　　　　保守</t>
  </si>
  <si>
    <t>PD0170</t>
  </si>
  <si>
    <t>単価Ｍ　保守</t>
  </si>
  <si>
    <r>
      <rPr>
        <sz val="11"/>
        <color rgb="FF212529"/>
        <rFont val="Quattrocento Sans"/>
        <family val="2"/>
      </rPr>
      <t>06.</t>
    </r>
    <r>
      <rPr>
        <sz val="11"/>
        <color rgb="FF212529"/>
        <rFont val="ＭＳ ゴシック"/>
        <family val="3"/>
        <charset val="128"/>
      </rPr>
      <t>単価Ｍ　保守</t>
    </r>
  </si>
  <si>
    <t>06.単価Ｍ　　　　　保守</t>
  </si>
  <si>
    <t>PD0140</t>
  </si>
  <si>
    <t>発注・受入担者Ｍ保守</t>
  </si>
  <si>
    <t>07.発注・受入担者Ｍ保守</t>
  </si>
  <si>
    <t>PD0280</t>
  </si>
  <si>
    <t>工場別品目Ｍ　保守</t>
  </si>
  <si>
    <t>08.工場別品目Ｍ　　保守</t>
  </si>
  <si>
    <t>PD0040</t>
  </si>
  <si>
    <t>製品構成Ｍ　保守</t>
  </si>
  <si>
    <t>09.製品構成Ｍ　　　保守</t>
  </si>
  <si>
    <t>PD0200</t>
  </si>
  <si>
    <t>構成補助Ｍ　保守</t>
  </si>
  <si>
    <t>10.構成補助Ｍ　　　保守</t>
  </si>
  <si>
    <t>PD0110</t>
  </si>
  <si>
    <t>同等品Ｍ　保守</t>
  </si>
  <si>
    <t>11.同等品Ｍ　　　　保守</t>
  </si>
  <si>
    <t>PD0220</t>
  </si>
  <si>
    <t>棚番Ｍ　保守</t>
  </si>
  <si>
    <t>12.棚番Ｍ　　　　　保守</t>
  </si>
  <si>
    <t>PD0222</t>
  </si>
  <si>
    <t>引当優先順位Ｍ　保守</t>
  </si>
  <si>
    <t>13.引当優先順位Ｍ　保守</t>
  </si>
  <si>
    <t>PD0150</t>
  </si>
  <si>
    <t>PD0270</t>
  </si>
  <si>
    <t>作業項目Ｍ　保守</t>
  </si>
  <si>
    <t>14.作業項目Ｍ　　　保守</t>
  </si>
  <si>
    <t>#G9MMSP</t>
  </si>
  <si>
    <t>摘要Ｍ　保守</t>
  </si>
  <si>
    <t>15.摘要Ｍ　　　　　保守</t>
  </si>
  <si>
    <t>@G9MMSP</t>
  </si>
  <si>
    <t>DF¥MNU</t>
  </si>
  <si>
    <t>メニューマスター保守</t>
  </si>
  <si>
    <t>16.メニューマスター保守</t>
  </si>
  <si>
    <t>PD0330</t>
  </si>
  <si>
    <t>品目追加情報Ｍ　保守</t>
  </si>
  <si>
    <t>17.品目追加情報Ｍ　保守</t>
  </si>
  <si>
    <t>PD0015</t>
  </si>
  <si>
    <t>標準変更Ｍ 保守</t>
  </si>
  <si>
    <t>18.標準変更Ｍ 保守</t>
  </si>
  <si>
    <t>コントロールＭ　保守</t>
  </si>
  <si>
    <t>21.コントロールＭ　保守</t>
  </si>
  <si>
    <t>取引先Ｍ　保守</t>
  </si>
  <si>
    <t>23.取引先Ｍ　　　　保守</t>
  </si>
  <si>
    <t>PD0130</t>
  </si>
  <si>
    <t>仕入先Ｍ　保守</t>
  </si>
  <si>
    <t>24.仕入先Ｍ　　　　保守</t>
  </si>
  <si>
    <t>得意先Ｍ　保守</t>
  </si>
  <si>
    <t>25.得意先Ｍ　　　　保守</t>
  </si>
  <si>
    <t>PD0135</t>
  </si>
  <si>
    <t>その他情報Ｍ　保守</t>
  </si>
  <si>
    <t>26.その他情報Ｍ　　保守</t>
  </si>
  <si>
    <t>PD0100</t>
  </si>
  <si>
    <t>組織Ｍ　保守</t>
  </si>
  <si>
    <t>27.組織Ｍ　　　　　保守</t>
  </si>
  <si>
    <t>PD0350</t>
  </si>
  <si>
    <t>マスターＭ申請</t>
  </si>
  <si>
    <t>28.マスターＭ申請</t>
  </si>
  <si>
    <t>PD0480</t>
  </si>
  <si>
    <t>マスターＭ承認</t>
  </si>
  <si>
    <t>29.マスターＭ承認</t>
  </si>
  <si>
    <t>PD0500</t>
  </si>
  <si>
    <t>マスターＭ申請書発行</t>
  </si>
  <si>
    <t>30.マスターＭ申請書発行</t>
  </si>
  <si>
    <t>PD0160</t>
  </si>
  <si>
    <t>パスワードＭ　保守</t>
  </si>
  <si>
    <t>31.パスワードＭ　　保守</t>
  </si>
  <si>
    <t>#OUTMSP</t>
  </si>
  <si>
    <t>ＯＵＴＱﾌｧｲﾙ　保守</t>
  </si>
  <si>
    <t>32.ＯＵＴＱﾌｧｲﾙ　保守</t>
  </si>
  <si>
    <t>@OUTMSP</t>
  </si>
  <si>
    <t>PD0260</t>
  </si>
  <si>
    <t>税率Ｍ　保守</t>
  </si>
  <si>
    <t>33.税率Ｍ　　　　　保守</t>
  </si>
  <si>
    <t>PD0230</t>
  </si>
  <si>
    <t>元号Ｍ　保守</t>
  </si>
  <si>
    <t>34.元号Ｍ　　　　　保守</t>
  </si>
  <si>
    <t>PD0240</t>
  </si>
  <si>
    <t>カレンダーＭ　登録</t>
  </si>
  <si>
    <t>35.カレンダーＭ　　登録</t>
  </si>
  <si>
    <t>PD0250</t>
  </si>
  <si>
    <t>カレンダーＭ　保守</t>
  </si>
  <si>
    <t>36.カレンダーＭ　　保守</t>
  </si>
  <si>
    <t>PD0310</t>
  </si>
  <si>
    <t>お知らせマスタ　保守</t>
  </si>
  <si>
    <t>40.お知らせマスタ　保守</t>
  </si>
  <si>
    <t>PDC922</t>
  </si>
  <si>
    <t>品目一括登録</t>
  </si>
  <si>
    <t>PDC923</t>
  </si>
  <si>
    <t>構成一括登録</t>
  </si>
  <si>
    <t>PD2013</t>
  </si>
  <si>
    <t>申請No.より品番照会</t>
  </si>
  <si>
    <t>開示区分Ｍ　一覧表</t>
  </si>
  <si>
    <t>01.開示区分Ｍ　　一覧表</t>
  </si>
  <si>
    <t>開示区分Ｍ　　一覧表</t>
  </si>
  <si>
    <t>PD9060</t>
  </si>
  <si>
    <t>PD1100</t>
  </si>
  <si>
    <t>機種Ｍ　一覧表</t>
  </si>
  <si>
    <t>02.機種Ｍ　　　　一覧表</t>
  </si>
  <si>
    <t>機種Ｍ　　　　一覧表</t>
  </si>
  <si>
    <t>#G8MMSP</t>
  </si>
  <si>
    <t>分類Ｍ　一覧表</t>
  </si>
  <si>
    <t>03.分類Ｍ　　　　一覧表</t>
  </si>
  <si>
    <t xml:space="preserve">分類Ｍ　　　　一覧表                    </t>
  </si>
  <si>
    <t>PD1010</t>
  </si>
  <si>
    <t>品目Ｍ　一覧表</t>
  </si>
  <si>
    <t>05.品目Ｍ　　　　一覧表</t>
  </si>
  <si>
    <t>品目Ｍ　　　　一覧表</t>
  </si>
  <si>
    <t>PD1050</t>
  </si>
  <si>
    <t>部品表　出力</t>
  </si>
  <si>
    <t>06.部品表　　　　　出力</t>
  </si>
  <si>
    <t>部品表　　　　　出力</t>
  </si>
  <si>
    <t>PD1120</t>
  </si>
  <si>
    <t>同等品Ｍ　一覧表</t>
  </si>
  <si>
    <t>07.同等品Ｍ　　　一覧表</t>
  </si>
  <si>
    <t>同等品Ｍ　　　一覧表</t>
  </si>
  <si>
    <t>PD1180</t>
  </si>
  <si>
    <t>発注・受入担者Ｍ一覧</t>
  </si>
  <si>
    <t>08.発注・受入担者Ｍ一覧</t>
  </si>
  <si>
    <t>PD1340C</t>
  </si>
  <si>
    <t>品目ﾏｽﾀﾀﾞｳﾝﾛｰﾄﾞ</t>
  </si>
  <si>
    <t>09.品目ﾏｽﾀﾀﾞｳﾝﾛｰﾄﾞ</t>
  </si>
  <si>
    <t>単価Ｍ　品番順一覧表</t>
  </si>
  <si>
    <r>
      <rPr>
        <sz val="11"/>
        <color rgb="FF212529"/>
        <rFont val="Quattrocento Sans"/>
        <family val="2"/>
      </rPr>
      <t>09.</t>
    </r>
    <r>
      <rPr>
        <sz val="11"/>
        <color rgb="FF212529"/>
        <rFont val="ＭＳ ゴシック"/>
        <family val="3"/>
        <charset val="128"/>
      </rPr>
      <t>品目ﾏｽﾀﾀﾞｳﾝﾛｰﾄﾞ</t>
    </r>
  </si>
  <si>
    <t>PD1340</t>
  </si>
  <si>
    <t>PD1210C</t>
  </si>
  <si>
    <t>10.単価Ｍ　品番順一覧表</t>
  </si>
  <si>
    <t>単価Ｍ　取引先一覧表</t>
  </si>
  <si>
    <t>PD1210</t>
  </si>
  <si>
    <t>PD1220</t>
  </si>
  <si>
    <t>11.単価Ｍ　取引先一覧表</t>
  </si>
  <si>
    <t>仮単価　　　　一覧表</t>
  </si>
  <si>
    <t>PD1230C</t>
  </si>
  <si>
    <t>仮単価　一覧表</t>
  </si>
  <si>
    <t>12.仮単価　　　　一覧表</t>
  </si>
  <si>
    <t>構成補助Ｍ　　一覧表</t>
  </si>
  <si>
    <t>PD1230</t>
  </si>
  <si>
    <t>PD1250</t>
  </si>
  <si>
    <t>構成補助Ｍ　一覧表</t>
  </si>
  <si>
    <t>13.構成補助Ｍ　　一覧表</t>
  </si>
  <si>
    <t>棚番Ｍ　　　　一覧表</t>
  </si>
  <si>
    <t>PD1270</t>
  </si>
  <si>
    <t>棚番A</t>
  </si>
  <si>
    <t>14.棚番A 　　　一覧表</t>
  </si>
  <si>
    <t>引当優先順位Ｍ一覧表</t>
  </si>
  <si>
    <t>14.棚番Ｍ　　　　一覧表</t>
  </si>
  <si>
    <t>PD1271</t>
  </si>
  <si>
    <t>15.引当優先順位Ｍ一覧表</t>
  </si>
  <si>
    <t>製番付構成比較一覧表</t>
  </si>
  <si>
    <t>PD1280C</t>
  </si>
  <si>
    <t>16.製番付構成比較一覧表</t>
  </si>
  <si>
    <t>PD1280</t>
  </si>
  <si>
    <t xml:space="preserve">部構成比較表  印刷                    </t>
  </si>
  <si>
    <t>PD1090</t>
  </si>
  <si>
    <t>部構成比較表 印刷</t>
  </si>
  <si>
    <t>17.部構成比較表 印刷</t>
  </si>
  <si>
    <t>取引先Ｍ　　　一覧表</t>
  </si>
  <si>
    <t>PD5310C</t>
  </si>
  <si>
    <t>生産中機種使用品目使途</t>
  </si>
  <si>
    <t>18.生産中機種使用品目使途</t>
  </si>
  <si>
    <t xml:space="preserve">仕入先Ｍ　　　一覧表                    </t>
  </si>
  <si>
    <t>PD1190</t>
  </si>
  <si>
    <t>ｺﾝﾄﾛｰﾙＭ　一覧表</t>
  </si>
  <si>
    <t>21.ｺﾝﾄﾛｰﾙＭ　　　一覧表</t>
  </si>
  <si>
    <t>組織Ｍ　　　　一覧表</t>
  </si>
  <si>
    <t>PD1130</t>
  </si>
  <si>
    <t>取引先Ｍ　一覧表</t>
  </si>
  <si>
    <t>23.取引先Ｍ　　　一覧表</t>
  </si>
  <si>
    <t>税率Ｍ　　　　一覧表</t>
  </si>
  <si>
    <t>PD1160</t>
  </si>
  <si>
    <t>仕入先Ｍ　一覧表</t>
  </si>
  <si>
    <t>24.仕入先Ｍ　　　一覧表</t>
  </si>
  <si>
    <t>作業項目Ｍ　　一覧表</t>
  </si>
  <si>
    <t>PD1110</t>
  </si>
  <si>
    <t>組織Ｍ　一覧表</t>
  </si>
  <si>
    <t>26.組織Ｍ　　　　一覧表</t>
  </si>
  <si>
    <t>摘要Ｍ　　　　一覧表</t>
  </si>
  <si>
    <t>PD1200</t>
  </si>
  <si>
    <t>パスワードＭ　一覧表</t>
  </si>
  <si>
    <t>31.パスワードＭ　一覧表</t>
  </si>
  <si>
    <t>ＯＵＴＱﾌｧｲﾙ一覧表</t>
  </si>
  <si>
    <t>32.ＯＵＴＱﾌｧｲﾙ一覧表</t>
  </si>
  <si>
    <t>#ZIRMSP</t>
  </si>
  <si>
    <t>税率Ｍ　一覧表</t>
  </si>
  <si>
    <t>33.税率Ｍ　　　　一覧表</t>
  </si>
  <si>
    <t>#SGYMSP</t>
  </si>
  <si>
    <t>作業項目Ｍ　一覧表</t>
  </si>
  <si>
    <t>35.作業項目Ｍ　　一覧表</t>
  </si>
  <si>
    <t>摘要Ｍ　一覧表</t>
  </si>
  <si>
    <t>36.摘要Ｍ　　　　一覧表</t>
  </si>
  <si>
    <t>IR0120</t>
  </si>
  <si>
    <t>開示区分関わるﾁｪｯｸ</t>
  </si>
  <si>
    <t>37.開示区分関わるﾁｪｯｸ</t>
  </si>
  <si>
    <t>PD2010</t>
  </si>
  <si>
    <t>品目Ｍ　照会</t>
  </si>
  <si>
    <t>01.品目Ｍ　　　　　　照会</t>
  </si>
  <si>
    <t>品目Ｍ　　　　　　照会</t>
  </si>
  <si>
    <r>
      <rPr>
        <sz val="11"/>
        <color rgb="FF212529"/>
        <rFont val="Quattrocento Sans"/>
        <family val="2"/>
      </rPr>
      <t>01.</t>
    </r>
    <r>
      <rPr>
        <sz val="11"/>
        <color rgb="FF212529"/>
        <rFont val="ＭＳ Ｐゴシック"/>
        <family val="3"/>
        <charset val="128"/>
      </rPr>
      <t>品目Ｍ　　　　　　照会</t>
    </r>
  </si>
  <si>
    <t>PD2040</t>
  </si>
  <si>
    <t>部品表　照会</t>
  </si>
  <si>
    <t>03.部品表　　　　　　照会</t>
  </si>
  <si>
    <t>部品表　　　　　　照会</t>
  </si>
  <si>
    <r>
      <rPr>
        <sz val="11"/>
        <color rgb="FF212529"/>
        <rFont val="Quattrocento Sans"/>
        <family val="2"/>
      </rPr>
      <t>03.</t>
    </r>
    <r>
      <rPr>
        <sz val="11"/>
        <color rgb="FF212529"/>
        <rFont val="ＭＳ Ｐゴシック"/>
        <family val="3"/>
        <charset val="128"/>
      </rPr>
      <t>部品表　　　　　　照会</t>
    </r>
  </si>
  <si>
    <t>PD2045</t>
  </si>
  <si>
    <t>PD2080</t>
  </si>
  <si>
    <t>最終使途　照会</t>
  </si>
  <si>
    <t>04.最終使途　　　　　照会</t>
  </si>
  <si>
    <t>最終使途　　　　　照会</t>
  </si>
  <si>
    <r>
      <rPr>
        <sz val="11"/>
        <color rgb="FF212529"/>
        <rFont val="Quattrocento Sans"/>
        <family val="2"/>
      </rPr>
      <t>04.</t>
    </r>
    <r>
      <rPr>
        <sz val="11"/>
        <color rgb="FF212529"/>
        <rFont val="ＭＳ Ｐゴシック"/>
        <family val="3"/>
        <charset val="128"/>
      </rPr>
      <t>最終使途　　　　　照会</t>
    </r>
  </si>
  <si>
    <t>PD2090</t>
  </si>
  <si>
    <t>部品構成比較表　作成</t>
  </si>
  <si>
    <t>05.部品構成比較表　　作成</t>
  </si>
  <si>
    <t>部品構成比較表　　作成</t>
  </si>
  <si>
    <r>
      <rPr>
        <sz val="11"/>
        <color rgb="FF212529"/>
        <rFont val="Quattrocento Sans"/>
        <family val="2"/>
      </rPr>
      <t>05.</t>
    </r>
    <r>
      <rPr>
        <sz val="11"/>
        <color rgb="FF212529"/>
        <rFont val="ＭＳ Ｐゴシック"/>
        <family val="3"/>
        <charset val="128"/>
      </rPr>
      <t>部品構成比較表　　作成</t>
    </r>
  </si>
  <si>
    <t>PD2150</t>
  </si>
  <si>
    <t>同等品Ｍ　照会</t>
  </si>
  <si>
    <t>07.同等品Ｍ　　　　　照会</t>
  </si>
  <si>
    <t>同等品Ｍ　　　　　照会</t>
  </si>
  <si>
    <r>
      <rPr>
        <sz val="11"/>
        <color rgb="FF212529"/>
        <rFont val="Quattrocento Sans"/>
        <family val="2"/>
      </rPr>
      <t>07.</t>
    </r>
    <r>
      <rPr>
        <sz val="11"/>
        <color rgb="FF212529"/>
        <rFont val="ＭＳ Ｐゴシック"/>
        <family val="3"/>
        <charset val="128"/>
      </rPr>
      <t>同等品Ｍ　　　　　照会</t>
    </r>
  </si>
  <si>
    <t>PD2140</t>
  </si>
  <si>
    <t>組織Ｍ　照会</t>
  </si>
  <si>
    <t>09.組織Ｍ　　　　　　照会</t>
  </si>
  <si>
    <t>組織Ｍ　　　　　　照会</t>
  </si>
  <si>
    <r>
      <rPr>
        <sz val="11"/>
        <color rgb="FF212529"/>
        <rFont val="Quattrocento Sans"/>
        <family val="2"/>
      </rPr>
      <t>09.</t>
    </r>
    <r>
      <rPr>
        <sz val="11"/>
        <color rgb="FF212529"/>
        <rFont val="ＭＳ Ｐゴシック"/>
        <family val="3"/>
        <charset val="128"/>
      </rPr>
      <t>組織Ｍ　　　　　　照会</t>
    </r>
  </si>
  <si>
    <t>PD2120</t>
  </si>
  <si>
    <t>棚番Ｍ　照会</t>
  </si>
  <si>
    <t>11.棚番Ｍ　　　　　　照会</t>
  </si>
  <si>
    <t>棚番Ｍ　　　　　　照会</t>
  </si>
  <si>
    <r>
      <rPr>
        <sz val="11"/>
        <color rgb="FF212529"/>
        <rFont val="Quattrocento Sans"/>
        <family val="2"/>
      </rPr>
      <t>11.</t>
    </r>
    <r>
      <rPr>
        <sz val="11"/>
        <color rgb="FF212529"/>
        <rFont val="ＭＳ Ｐゴシック"/>
        <family val="3"/>
        <charset val="128"/>
      </rPr>
      <t>棚番Ｍ　　　　　　照会</t>
    </r>
  </si>
  <si>
    <t>PD2280</t>
  </si>
  <si>
    <t>PD2281</t>
  </si>
  <si>
    <t>引当優先順位Ｍ　照会</t>
  </si>
  <si>
    <t>12.引当優先順位Ｍ　　照会</t>
  </si>
  <si>
    <t>引当優先順位Ｍ　　照会</t>
  </si>
  <si>
    <r>
      <rPr>
        <sz val="11"/>
        <color rgb="FF212529"/>
        <rFont val="Quattrocento Sans"/>
        <family val="2"/>
      </rPr>
      <t>12.</t>
    </r>
    <r>
      <rPr>
        <sz val="11"/>
        <color rgb="FF212529"/>
        <rFont val="ＭＳ Ｐゴシック"/>
        <family val="3"/>
        <charset val="128"/>
      </rPr>
      <t>引当優先順位Ｍ　　照会</t>
    </r>
  </si>
  <si>
    <t>PD2350</t>
  </si>
  <si>
    <t>標準原価変更金額　照会</t>
  </si>
  <si>
    <t>14.端末名称 　照会</t>
  </si>
  <si>
    <t>端末名称      　照会</t>
  </si>
  <si>
    <r>
      <rPr>
        <sz val="11"/>
        <color rgb="FF212529"/>
        <rFont val="Quattrocento Sans"/>
        <family val="2"/>
      </rPr>
      <t>16.</t>
    </r>
    <r>
      <rPr>
        <sz val="11"/>
        <color rgb="FF212529"/>
        <rFont val="ＭＳ Ｐゴシック"/>
        <family val="3"/>
        <charset val="128"/>
      </rPr>
      <t>標準原価影響金額　照会</t>
    </r>
  </si>
  <si>
    <t>標準原価影響金額　照会</t>
  </si>
  <si>
    <t>端末名称 照会</t>
  </si>
  <si>
    <t>16.標準原価変更金額　照会</t>
  </si>
  <si>
    <t>取引先Ｍ　　　　　照会</t>
  </si>
  <si>
    <r>
      <rPr>
        <sz val="11"/>
        <color rgb="FF212529"/>
        <rFont val="Quattrocento Sans"/>
        <family val="2"/>
      </rPr>
      <t>14.</t>
    </r>
    <r>
      <rPr>
        <sz val="11"/>
        <color rgb="FF212529"/>
        <rFont val="ＭＳ Ｐゴシック"/>
        <family val="3"/>
        <charset val="128"/>
      </rPr>
      <t>端末名称</t>
    </r>
    <r>
      <rPr>
        <sz val="11"/>
        <color rgb="FF212529"/>
        <rFont val="Segoe UI"/>
        <family val="2"/>
      </rPr>
      <t xml:space="preserve"> </t>
    </r>
    <r>
      <rPr>
        <sz val="11"/>
        <color rgb="FF212529"/>
        <rFont val="ＭＳ Ｐゴシック"/>
        <family val="3"/>
        <charset val="128"/>
      </rPr>
      <t>　照会</t>
    </r>
  </si>
  <si>
    <t>取引先Ｍ　照会</t>
  </si>
  <si>
    <t>31.取引先Ｍ　　　　　照会</t>
  </si>
  <si>
    <t>仕入先Ｍ　　　　　照会</t>
  </si>
  <si>
    <r>
      <rPr>
        <sz val="11"/>
        <color rgb="FF212529"/>
        <rFont val="Quattrocento Sans"/>
        <family val="2"/>
      </rPr>
      <t>31.</t>
    </r>
    <r>
      <rPr>
        <sz val="11"/>
        <color rgb="FF212529"/>
        <rFont val="ＭＳ Ｐゴシック"/>
        <family val="3"/>
        <charset val="128"/>
      </rPr>
      <t>取引先Ｍ　　　　　照会</t>
    </r>
  </si>
  <si>
    <t>PD2210</t>
  </si>
  <si>
    <t>仕入先Ｍ　照会</t>
  </si>
  <si>
    <t>32.仕入先Ｍ　　　　　照会</t>
  </si>
  <si>
    <t>発注受入担当者Ｍ　照会</t>
  </si>
  <si>
    <r>
      <rPr>
        <sz val="11"/>
        <color rgb="FF212529"/>
        <rFont val="Quattrocento Sans"/>
        <family val="2"/>
      </rPr>
      <t>32.</t>
    </r>
    <r>
      <rPr>
        <sz val="11"/>
        <color rgb="FF212529"/>
        <rFont val="ＭＳ Ｐゴシック"/>
        <family val="3"/>
        <charset val="128"/>
      </rPr>
      <t>仕入先Ｍ　　　　　照会</t>
    </r>
  </si>
  <si>
    <t>PD2230</t>
  </si>
  <si>
    <t>33.発注受入担当者Ｍ　照会</t>
  </si>
  <si>
    <t>単価Ｍ（品目　別）照会</t>
  </si>
  <si>
    <r>
      <rPr>
        <sz val="11"/>
        <color rgb="FF212529"/>
        <rFont val="Quattrocento Sans"/>
        <family val="2"/>
      </rPr>
      <t>33.</t>
    </r>
    <r>
      <rPr>
        <sz val="11"/>
        <color rgb="FF212529"/>
        <rFont val="ＭＳ Ｐゴシック"/>
        <family val="3"/>
        <charset val="128"/>
      </rPr>
      <t>発注受入担当者Ｍ　照会</t>
    </r>
  </si>
  <si>
    <t>PD2250</t>
  </si>
  <si>
    <t>34.単価Ｍ（品目　別）照会</t>
  </si>
  <si>
    <t>単価Ｍ（取引先別）照会</t>
  </si>
  <si>
    <r>
      <rPr>
        <sz val="11"/>
        <color rgb="FF212529"/>
        <rFont val="Quattrocento Sans"/>
        <family val="2"/>
      </rPr>
      <t>34.</t>
    </r>
    <r>
      <rPr>
        <sz val="11"/>
        <color rgb="FF212529"/>
        <rFont val="ＭＳ Ｐゴシック"/>
        <family val="3"/>
        <charset val="128"/>
      </rPr>
      <t>単価Ｍ（品目　別）照会</t>
    </r>
  </si>
  <si>
    <t>PD2251</t>
  </si>
  <si>
    <t>35.単価Ｍ（取引先別）照会</t>
  </si>
  <si>
    <t>構成補助Ｍ　　　　照会</t>
  </si>
  <si>
    <r>
      <rPr>
        <sz val="11"/>
        <color rgb="FF212529"/>
        <rFont val="Quattrocento Sans"/>
        <family val="2"/>
      </rPr>
      <t>35.</t>
    </r>
    <r>
      <rPr>
        <sz val="11"/>
        <color rgb="FF212529"/>
        <rFont val="ＭＳ Ｐゴシック"/>
        <family val="3"/>
        <charset val="128"/>
      </rPr>
      <t>単価Ｍ（取引先別）照会</t>
    </r>
  </si>
  <si>
    <t>PD2270</t>
  </si>
  <si>
    <t>構成補助Ｍ　照会</t>
  </si>
  <si>
    <t>36.構成補助Ｍ　　　　照会</t>
  </si>
  <si>
    <t>Ｍメンテ履歴　　　照会</t>
  </si>
  <si>
    <r>
      <rPr>
        <sz val="11"/>
        <color rgb="FF212529"/>
        <rFont val="Quattrocento Sans"/>
        <family val="2"/>
      </rPr>
      <t>36.</t>
    </r>
    <r>
      <rPr>
        <sz val="11"/>
        <color rgb="FF212529"/>
        <rFont val="ＭＳ Ｐゴシック"/>
        <family val="3"/>
        <charset val="128"/>
      </rPr>
      <t>構成補助Ｍ　　　　照会</t>
    </r>
  </si>
  <si>
    <t>PD2300</t>
  </si>
  <si>
    <t>工場別品目Ｍ　照会</t>
  </si>
  <si>
    <t>37.工場別品目Ｍ　　　照会</t>
  </si>
  <si>
    <t>その他取引先Ｍ　　照会</t>
  </si>
  <si>
    <r>
      <rPr>
        <sz val="11"/>
        <color rgb="FF212529"/>
        <rFont val="Quattrocento Sans"/>
        <family val="2"/>
      </rPr>
      <t>37.</t>
    </r>
    <r>
      <rPr>
        <sz val="11"/>
        <color rgb="FF212529"/>
        <rFont val="ＭＳ Ｐゴシック"/>
        <family val="3"/>
        <charset val="128"/>
      </rPr>
      <t>工場別品目Ｍ　　　照会</t>
    </r>
  </si>
  <si>
    <t>Ｍメンテ履歴　照会</t>
  </si>
  <si>
    <t>38.Ｍメンテ履歴　　　照会</t>
  </si>
  <si>
    <r>
      <rPr>
        <sz val="11"/>
        <color rgb="FF212529"/>
        <rFont val="Quattrocento Sans"/>
        <family val="2"/>
      </rPr>
      <t>38.</t>
    </r>
    <r>
      <rPr>
        <sz val="11"/>
        <color rgb="FF212529"/>
        <rFont val="ＭＳ Ｐゴシック"/>
        <family val="3"/>
        <charset val="128"/>
      </rPr>
      <t>Ｍメンテ履歴　　　照会</t>
    </r>
  </si>
  <si>
    <t>PD2012</t>
  </si>
  <si>
    <t>申請No.別品目　照会</t>
  </si>
  <si>
    <t>39.申請No.別品目　照会</t>
  </si>
  <si>
    <t>PD2225</t>
  </si>
  <si>
    <t>その他取引先Ｍ　照会</t>
  </si>
  <si>
    <t>41.その他取引先Ｍ　　照会</t>
  </si>
  <si>
    <r>
      <rPr>
        <sz val="11"/>
        <color rgb="FF212529"/>
        <rFont val="Quattrocento Sans"/>
        <family val="2"/>
      </rPr>
      <t>41.</t>
    </r>
    <r>
      <rPr>
        <sz val="11"/>
        <color rgb="FF212529"/>
        <rFont val="ＭＳ Ｐゴシック"/>
        <family val="3"/>
        <charset val="128"/>
      </rPr>
      <t>その他取引先Ｍ　　照会</t>
    </r>
  </si>
  <si>
    <t>ＭＲＰ計算</t>
  </si>
  <si>
    <t>PD3060</t>
  </si>
  <si>
    <t>ＭＲＰ条件設定</t>
  </si>
  <si>
    <t>01.ＭＲＰ条件設定　　</t>
  </si>
  <si>
    <t>PD3065</t>
  </si>
  <si>
    <t>ＭＲＰ対象外入力</t>
  </si>
  <si>
    <t>02.ＭＲＰ対象外入力　</t>
  </si>
  <si>
    <t>PD3010</t>
  </si>
  <si>
    <t>11.生産計画入力　　　</t>
  </si>
  <si>
    <t>PD3025</t>
  </si>
  <si>
    <t>製番付構成Ｆ修正</t>
  </si>
  <si>
    <t>12.製番付構成Ｆ修正　</t>
  </si>
  <si>
    <t>PD0300</t>
  </si>
  <si>
    <t>マウント日付入力</t>
  </si>
  <si>
    <t>14.マウント日付入力</t>
  </si>
  <si>
    <t>発注検討中止Ｆ設定</t>
  </si>
  <si>
    <t>25.発注検討中止Ｆ設定</t>
  </si>
  <si>
    <t>PD3030</t>
  </si>
  <si>
    <t>生産計画照会</t>
  </si>
  <si>
    <t>31.生産計画照会</t>
  </si>
  <si>
    <t>PD3035</t>
  </si>
  <si>
    <t>生産計画照会（製番指定）</t>
  </si>
  <si>
    <t>32.生産計画照会（製番指定）</t>
  </si>
  <si>
    <t>生産計画予実対比ダウンロード</t>
  </si>
  <si>
    <t>33.生産計画予実対比ダウンロード</t>
  </si>
  <si>
    <t>PD3050</t>
  </si>
  <si>
    <t>生産計画予実対比表</t>
  </si>
  <si>
    <t>34.生産計画予実対比表</t>
  </si>
  <si>
    <t>PD3026</t>
  </si>
  <si>
    <t>製番付構成Ｆリスト</t>
  </si>
  <si>
    <t>35.製番付構成Ｆリスト</t>
  </si>
  <si>
    <t>PD3027</t>
  </si>
  <si>
    <t>製番付構成Ｆダウンロード</t>
  </si>
  <si>
    <t>36.製番付構成Ｆダウンロード</t>
  </si>
  <si>
    <t>PD1290</t>
  </si>
  <si>
    <t>改造余剰品表(ｴｸｾﾙﾀﾞｳﾝﾛｰﾄﾞ)</t>
  </si>
  <si>
    <t>37.改造余剰品表(ｴｸｾﾙﾀﾞｳﾝﾛｰﾄﾞ)</t>
  </si>
  <si>
    <t>生産統轄部製番表</t>
  </si>
  <si>
    <r>
      <rPr>
        <sz val="11"/>
        <color rgb="FF212529"/>
        <rFont val="Quattrocento Sans"/>
        <family val="2"/>
      </rPr>
      <t>38.</t>
    </r>
    <r>
      <rPr>
        <sz val="11"/>
        <color rgb="FF212529"/>
        <rFont val="ＭＳ ゴシック"/>
        <family val="3"/>
        <charset val="128"/>
      </rPr>
      <t>生産統轄部製番表</t>
    </r>
  </si>
  <si>
    <t>PD9420</t>
  </si>
  <si>
    <t>生産計画自動取込ﾁｪｯｸﾘｽﾄ</t>
  </si>
  <si>
    <t>40.生産計画自動取込ﾁｪｯｸﾘｽﾄ</t>
  </si>
  <si>
    <t>ＭＲＰ対象外エラー内容照会</t>
  </si>
  <si>
    <t>42.ＭＲＰ対象外エラー内容照会</t>
  </si>
  <si>
    <t>PD3180</t>
  </si>
  <si>
    <t>発注検討表出力</t>
  </si>
  <si>
    <t>01.発注検討表出力　　　　</t>
  </si>
  <si>
    <t>余剰品リスト出力　</t>
  </si>
  <si>
    <t>PD3220</t>
  </si>
  <si>
    <t>余剰品リスト出力</t>
  </si>
  <si>
    <t>02.余剰品リスト出力　　　</t>
  </si>
  <si>
    <t>個別承認　　　　　</t>
  </si>
  <si>
    <t>02.余剰品リスト出力</t>
  </si>
  <si>
    <t>PD3240</t>
  </si>
  <si>
    <t>発注承認処理</t>
  </si>
  <si>
    <r>
      <rPr>
        <sz val="11"/>
        <color rgb="FF212529"/>
        <rFont val="Quattrocento Sans"/>
        <family val="2"/>
      </rPr>
      <t>10.</t>
    </r>
    <r>
      <rPr>
        <sz val="11"/>
        <color rgb="FF212529"/>
        <rFont val="ＭＳ ゴシック"/>
        <family val="3"/>
        <charset val="128"/>
      </rPr>
      <t>発注承認処理</t>
    </r>
  </si>
  <si>
    <t>個別発注（仕入）　</t>
  </si>
  <si>
    <t>PD3280</t>
  </si>
  <si>
    <t>個別承認</t>
  </si>
  <si>
    <t>11.個別承認　　　　　　　</t>
  </si>
  <si>
    <t>個別発注（外作）　</t>
  </si>
  <si>
    <t>11.個別承認</t>
  </si>
  <si>
    <t>PD3290</t>
  </si>
  <si>
    <t>個別発注（仕入）</t>
  </si>
  <si>
    <t>12.個別発注（仕入）　　　</t>
  </si>
  <si>
    <t>個別発注（経費）　</t>
  </si>
  <si>
    <t>PD3300</t>
  </si>
  <si>
    <t>個別発注（外作）</t>
  </si>
  <si>
    <t>13.個別発注（外作）　　　</t>
  </si>
  <si>
    <t>未承認リスト作成　</t>
  </si>
  <si>
    <t>PD3310</t>
  </si>
  <si>
    <t>個別発注（内作）</t>
  </si>
  <si>
    <t>14.個別発注（内作）　　　</t>
  </si>
  <si>
    <t>注文書作成　　　　</t>
  </si>
  <si>
    <t>PD3320</t>
  </si>
  <si>
    <t>個別発注（経費）</t>
  </si>
  <si>
    <t>15.個別発注（経費）　　　</t>
  </si>
  <si>
    <t>注文書再作成　　　</t>
  </si>
  <si>
    <t>15.個別発注（経費）</t>
  </si>
  <si>
    <t>PD3285</t>
  </si>
  <si>
    <t>未承認リスト作成</t>
  </si>
  <si>
    <t>16.未承認リスト作成　　　</t>
  </si>
  <si>
    <t>入荷予定入力　　　</t>
  </si>
  <si>
    <t>16.未承認リスト作成</t>
  </si>
  <si>
    <t>PD3330</t>
  </si>
  <si>
    <t>注文書作成</t>
  </si>
  <si>
    <t>17.注文書作成　　　　　　</t>
  </si>
  <si>
    <t>変更通知書作成　　</t>
  </si>
  <si>
    <t>17.注文書作成</t>
  </si>
  <si>
    <t>PD3340</t>
  </si>
  <si>
    <t>注文書再作成</t>
  </si>
  <si>
    <t>18.注文書再作成　　　　　</t>
  </si>
  <si>
    <t>変更通知書再作成　</t>
  </si>
  <si>
    <t>18.注文書再作成</t>
  </si>
  <si>
    <t>PD4430</t>
  </si>
  <si>
    <t>入荷予定入力</t>
  </si>
  <si>
    <t>19.入荷予定入力　　　　　</t>
  </si>
  <si>
    <t>支給予定一覧表　　</t>
  </si>
  <si>
    <t>19.入荷予定入力</t>
  </si>
  <si>
    <t>PD3450</t>
  </si>
  <si>
    <t>変更通知書作成</t>
  </si>
  <si>
    <t>20.変更通知書作成　　　　</t>
  </si>
  <si>
    <t xml:space="preserve">注文書メモ入力   </t>
  </si>
  <si>
    <t>20.変更通知書作成</t>
  </si>
  <si>
    <t>PD3460</t>
  </si>
  <si>
    <t>変更通知書再作成</t>
  </si>
  <si>
    <t>21.変更通知書再作成　　　</t>
  </si>
  <si>
    <t xml:space="preserve">発注残照会（仕入先別）  </t>
  </si>
  <si>
    <t>21.変更通知書再作成</t>
  </si>
  <si>
    <t>PD3495</t>
  </si>
  <si>
    <t>支給予定一覧表</t>
  </si>
  <si>
    <t>22.支給予定一覧表　　　　</t>
  </si>
  <si>
    <t xml:space="preserve">発注残照会（ライン別）  </t>
  </si>
  <si>
    <t>22.支給予定一覧表</t>
  </si>
  <si>
    <t>PD5320</t>
  </si>
  <si>
    <t>品目別引当状況照会</t>
  </si>
  <si>
    <t>23.品目別引当状況照会</t>
  </si>
  <si>
    <t xml:space="preserve">発注残照会（品目　別）  </t>
  </si>
  <si>
    <t>PD3341</t>
  </si>
  <si>
    <t>24.注文書再作成</t>
  </si>
  <si>
    <t xml:space="preserve">発注残照会（担当者別）  </t>
  </si>
  <si>
    <t>PD3360</t>
  </si>
  <si>
    <t>注文書メモ入力</t>
  </si>
  <si>
    <t>25.注文書メモ入力</t>
  </si>
  <si>
    <t xml:space="preserve">発注残照会（納期　別）  </t>
  </si>
  <si>
    <t>PD3500</t>
  </si>
  <si>
    <t>発注残照会（仕入先別）</t>
  </si>
  <si>
    <t>51.発注残照会（仕入先別）</t>
  </si>
  <si>
    <t xml:space="preserve">発注No.別引当状況照会　  </t>
  </si>
  <si>
    <t>PD3510</t>
  </si>
  <si>
    <t>発注残照会（ライン別）</t>
  </si>
  <si>
    <t>52.発注残照会（ライン別）</t>
  </si>
  <si>
    <t xml:space="preserve">所要量照会　　　　　　  </t>
  </si>
  <si>
    <t>PD3520</t>
  </si>
  <si>
    <t>発注残照会（品目　別）</t>
  </si>
  <si>
    <t>53.発注残照会（品目　別）</t>
  </si>
  <si>
    <t xml:space="preserve">発注No.別発注残照会      </t>
  </si>
  <si>
    <t>PD3530</t>
  </si>
  <si>
    <t>発注残照会（担当者別）</t>
  </si>
  <si>
    <t>54.発注残照会（担当者別）</t>
  </si>
  <si>
    <t xml:space="preserve">引当状況照会　　　　　  </t>
  </si>
  <si>
    <t>PD3540</t>
  </si>
  <si>
    <t>発注残照会（納期　別）</t>
  </si>
  <si>
    <t>55.発注残照会（納期　別）</t>
  </si>
  <si>
    <t>発注残一覧表（仕入先別）</t>
  </si>
  <si>
    <t>PD3600</t>
  </si>
  <si>
    <t>発注No.別引当状況照会</t>
  </si>
  <si>
    <r>
      <rPr>
        <sz val="11"/>
        <color rgb="FF212529"/>
        <rFont val="Quattrocento Sans"/>
        <family val="2"/>
      </rPr>
      <t>56.</t>
    </r>
    <r>
      <rPr>
        <sz val="11"/>
        <color rgb="FF212529"/>
        <rFont val="ＭＳ ゴシック"/>
        <family val="3"/>
        <charset val="128"/>
      </rPr>
      <t>発注</t>
    </r>
    <r>
      <rPr>
        <sz val="11"/>
        <color rgb="FF212529"/>
        <rFont val="Segoe UI"/>
        <family val="2"/>
      </rPr>
      <t>No.</t>
    </r>
    <r>
      <rPr>
        <sz val="11"/>
        <color rgb="FF212529"/>
        <rFont val="ＭＳ ゴシック"/>
        <family val="3"/>
        <charset val="128"/>
      </rPr>
      <t>別引当状況照会　</t>
    </r>
  </si>
  <si>
    <t>発注残一覧表（担当者別）</t>
  </si>
  <si>
    <r>
      <rPr>
        <sz val="11"/>
        <color rgb="FF212529"/>
        <rFont val="Quattrocento Sans"/>
        <family val="2"/>
      </rPr>
      <t>56.</t>
    </r>
    <r>
      <rPr>
        <sz val="11"/>
        <color rgb="FF212529"/>
        <rFont val="ＭＳ ゴシック"/>
        <family val="3"/>
        <charset val="128"/>
      </rPr>
      <t>発注</t>
    </r>
    <r>
      <rPr>
        <sz val="11"/>
        <color rgb="FF212529"/>
        <rFont val="Segoe UI"/>
        <family val="2"/>
      </rPr>
      <t>No.</t>
    </r>
    <r>
      <rPr>
        <sz val="11"/>
        <color rgb="FF212529"/>
        <rFont val="ＭＳ ゴシック"/>
        <family val="3"/>
        <charset val="128"/>
      </rPr>
      <t>別引当状況照会</t>
    </r>
  </si>
  <si>
    <t>PD3610</t>
  </si>
  <si>
    <t>所要量照会</t>
  </si>
  <si>
    <t>57.所要量照会　　　　　　</t>
  </si>
  <si>
    <t xml:space="preserve">発注残一覧表（品目別）  </t>
  </si>
  <si>
    <t>57.所要量照会</t>
  </si>
  <si>
    <t>PD3640</t>
  </si>
  <si>
    <t>発注No.別発注残照会</t>
  </si>
  <si>
    <r>
      <rPr>
        <sz val="11"/>
        <color rgb="FF212529"/>
        <rFont val="Quattrocento Sans"/>
        <family val="2"/>
      </rPr>
      <t>58.</t>
    </r>
    <r>
      <rPr>
        <sz val="11"/>
        <color rgb="FF212529"/>
        <rFont val="ＭＳ ゴシック"/>
        <family val="3"/>
        <charset val="128"/>
      </rPr>
      <t>発注</t>
    </r>
    <r>
      <rPr>
        <sz val="11"/>
        <color rgb="FF212529"/>
        <rFont val="Segoe UI"/>
        <family val="2"/>
      </rPr>
      <t>No.</t>
    </r>
    <r>
      <rPr>
        <sz val="11"/>
        <color rgb="FF212529"/>
        <rFont val="ＭＳ ゴシック"/>
        <family val="3"/>
        <charset val="128"/>
      </rPr>
      <t>別発注残照会</t>
    </r>
  </si>
  <si>
    <t xml:space="preserve">部課別仕入予定一覧表　  </t>
  </si>
  <si>
    <t>PD5250</t>
  </si>
  <si>
    <t>引当状況照会</t>
  </si>
  <si>
    <t>59.引当状況紹介　　　　　</t>
  </si>
  <si>
    <t xml:space="preserve">納期確認書　印刷        </t>
  </si>
  <si>
    <t>59.引当状況照会</t>
  </si>
  <si>
    <t>PD3560</t>
  </si>
  <si>
    <t>発注残一覧表（仕入先）</t>
  </si>
  <si>
    <r>
      <rPr>
        <sz val="11"/>
        <color rgb="FF212529"/>
        <rFont val="Quattrocento Sans"/>
        <family val="2"/>
      </rPr>
      <t>61.</t>
    </r>
    <r>
      <rPr>
        <sz val="11"/>
        <color rgb="FF212529"/>
        <rFont val="ＭＳ ゴシック"/>
        <family val="3"/>
        <charset val="128"/>
      </rPr>
      <t>発注残一覧表（仕入先）</t>
    </r>
  </si>
  <si>
    <t xml:space="preserve">担当者別引当状況一覧表  </t>
  </si>
  <si>
    <t>PD3580</t>
  </si>
  <si>
    <t>発注残一覧表（担当者）</t>
  </si>
  <si>
    <t>62.発注残一覧表（担当者）</t>
  </si>
  <si>
    <r>
      <rPr>
        <sz val="11"/>
        <color rgb="FF212529"/>
        <rFont val="Quattrocento Sans"/>
        <family val="2"/>
      </rPr>
      <t>62.</t>
    </r>
    <r>
      <rPr>
        <sz val="11"/>
        <color rgb="FF212529"/>
        <rFont val="ＭＳ ゴシック"/>
        <family val="3"/>
        <charset val="128"/>
      </rPr>
      <t>発注残一覧表（担当者）</t>
    </r>
  </si>
  <si>
    <t>PD3590</t>
  </si>
  <si>
    <t>発注残一覧表（品目）</t>
  </si>
  <si>
    <t>63.発注残一覧表（品目）　</t>
  </si>
  <si>
    <r>
      <rPr>
        <sz val="11"/>
        <color rgb="FF212529"/>
        <rFont val="Quattrocento Sans"/>
        <family val="2"/>
      </rPr>
      <t>63.</t>
    </r>
    <r>
      <rPr>
        <sz val="11"/>
        <color rgb="FF212529"/>
        <rFont val="ＭＳ ゴシック"/>
        <family val="3"/>
        <charset val="128"/>
      </rPr>
      <t>発注残一覧表（品目）</t>
    </r>
  </si>
  <si>
    <t>PD3620</t>
  </si>
  <si>
    <t>部課別仕入予定一覧表</t>
  </si>
  <si>
    <t>64.部課別仕入予定一覧表　</t>
  </si>
  <si>
    <t>64.部課別仕入予定一覧表</t>
  </si>
  <si>
    <t>PD3660</t>
  </si>
  <si>
    <t>納期確認書　印刷</t>
  </si>
  <si>
    <t>65.納期確認書　印刷</t>
  </si>
  <si>
    <t>PD5270</t>
  </si>
  <si>
    <t>担当者別引当状況一覧表</t>
  </si>
  <si>
    <t>66.担当者別引当状況一覧表</t>
  </si>
  <si>
    <t>PD3680</t>
  </si>
  <si>
    <t>発注用ﾀｯｸｼｰﾙ発行</t>
  </si>
  <si>
    <t>67.発注用ﾀｯｸｼｰﾙ発行</t>
  </si>
  <si>
    <t>PD1300</t>
  </si>
  <si>
    <t>発注単価見積書　印刷</t>
  </si>
  <si>
    <t>68.発注単価見積書　印刷</t>
  </si>
  <si>
    <t>受入実績(1)</t>
  </si>
  <si>
    <t>PD4000</t>
  </si>
  <si>
    <t>受入処理(ﾊﾞｰｺｰﾄﾞ)</t>
  </si>
  <si>
    <t>a</t>
  </si>
  <si>
    <t>01.受入処理(ﾊﾞｰｺｰﾄﾞ)</t>
  </si>
  <si>
    <t>PD4001</t>
  </si>
  <si>
    <t>受入処理（新ﾊﾞｰｺｰﾄﾞ)</t>
  </si>
  <si>
    <t>02.受入処理　　　　　</t>
  </si>
  <si>
    <t>PD4005</t>
  </si>
  <si>
    <t>受入処理　　　　　</t>
  </si>
  <si>
    <t>02.受入処理</t>
  </si>
  <si>
    <t>受入処理</t>
  </si>
  <si>
    <t>03.検収処理　　　　　</t>
  </si>
  <si>
    <t>PD4070</t>
  </si>
  <si>
    <t>検査状況リスト出力</t>
  </si>
  <si>
    <t>04.検査状況リスト出力</t>
  </si>
  <si>
    <t>PD4040</t>
  </si>
  <si>
    <t>検収処理</t>
  </si>
  <si>
    <t>検査結果リスト出力</t>
  </si>
  <si>
    <t>05.検査結果リスト出力</t>
  </si>
  <si>
    <t>PD4050</t>
  </si>
  <si>
    <t>返品処理　　　　　</t>
  </si>
  <si>
    <t>06.返品処理　　　　　</t>
  </si>
  <si>
    <t>PD4110</t>
  </si>
  <si>
    <t>経費仕入入力　　　</t>
  </si>
  <si>
    <t>06.返品処理</t>
  </si>
  <si>
    <t>返品処理</t>
  </si>
  <si>
    <t>07.修繕受入入力　　　</t>
  </si>
  <si>
    <t>PD4030</t>
  </si>
  <si>
    <t>タックシール受入用</t>
  </si>
  <si>
    <t>07.修繕受入入力</t>
  </si>
  <si>
    <t>修繕受入入力</t>
  </si>
  <si>
    <t>08.経費仕入入力　　　</t>
  </si>
  <si>
    <t>PD4390</t>
  </si>
  <si>
    <t>返品伝票発行　　　</t>
  </si>
  <si>
    <t>08.経費仕入入力</t>
  </si>
  <si>
    <t>経費仕入入力</t>
  </si>
  <si>
    <t>09.タックシール受入用</t>
  </si>
  <si>
    <t>PD4100</t>
  </si>
  <si>
    <t>購入品受入日報　　</t>
  </si>
  <si>
    <t>10.社内作業報告　　　</t>
  </si>
  <si>
    <t>PD4130</t>
  </si>
  <si>
    <t>外作品受入日報　　</t>
  </si>
  <si>
    <t>社内作業報告</t>
  </si>
  <si>
    <t>11.完成品入力(ｼﾘｱﾙNO)</t>
  </si>
  <si>
    <t>PD4190</t>
  </si>
  <si>
    <t>社内作業日報　　　</t>
  </si>
  <si>
    <t>完成品入力(ｼﾘｱﾙNO)</t>
  </si>
  <si>
    <t>12.社内作業日報入力　</t>
  </si>
  <si>
    <t>PD4150</t>
  </si>
  <si>
    <t>作業日報一覧表　　</t>
  </si>
  <si>
    <t>社内作業日報入力</t>
  </si>
  <si>
    <t>13.返品伝票発行　　　</t>
  </si>
  <si>
    <t>PD4120</t>
  </si>
  <si>
    <t>作業報告書（時間）</t>
  </si>
  <si>
    <t>13.返品伝票発行</t>
  </si>
  <si>
    <t>返品伝票発行</t>
  </si>
  <si>
    <t>14.購入品受入日報　　</t>
  </si>
  <si>
    <t>PD4170</t>
  </si>
  <si>
    <t>作業報告書（数量）</t>
  </si>
  <si>
    <t>14.購入品受入日報</t>
  </si>
  <si>
    <t>購入品受入日報</t>
  </si>
  <si>
    <t>15.外作品受入日報　　</t>
  </si>
  <si>
    <t>PD4180</t>
  </si>
  <si>
    <t>経費返品入力　　　</t>
  </si>
  <si>
    <t>15.外作品受入日報</t>
  </si>
  <si>
    <t>外作品受入日報</t>
  </si>
  <si>
    <t>16.社内作業日報　　　</t>
  </si>
  <si>
    <t>PD4160</t>
  </si>
  <si>
    <t xml:space="preserve">在庫管理対象外返品入力  </t>
  </si>
  <si>
    <t>16.社内作業日報</t>
  </si>
  <si>
    <t>社内作業日報</t>
  </si>
  <si>
    <t>17.作業工数管理ﾒﾆｭｰ (MENU33)</t>
  </si>
  <si>
    <t xml:space="preserve">辰美受入ロットNo.対比表  </t>
  </si>
  <si>
    <t>17.作業日報一覧表</t>
  </si>
  <si>
    <t>PD4200</t>
  </si>
  <si>
    <t>作業工数管理</t>
  </si>
  <si>
    <t>作業日報一覧表</t>
  </si>
  <si>
    <t xml:space="preserve">タックシール支給用      </t>
  </si>
  <si>
    <t>18.作業報告書（時間）</t>
  </si>
  <si>
    <t>PD4210</t>
  </si>
  <si>
    <t>タックシール支給用再発行</t>
  </si>
  <si>
    <t>19.作業報告書（数量）</t>
  </si>
  <si>
    <t>PD4220</t>
  </si>
  <si>
    <t xml:space="preserve">支給用ﾀｯｸｼｰﾙ再出力    </t>
  </si>
  <si>
    <t>PD8250</t>
  </si>
  <si>
    <t>月次生産報告書</t>
  </si>
  <si>
    <t>キッティング支給前リスト</t>
  </si>
  <si>
    <t>PD4155</t>
  </si>
  <si>
    <t>月次生産報告書摘要入力</t>
  </si>
  <si>
    <t>PD8290</t>
  </si>
  <si>
    <t>期別生産台数・工数報告書</t>
  </si>
  <si>
    <t>PD8260</t>
  </si>
  <si>
    <t>製番別作業区分別集計表</t>
  </si>
  <si>
    <t>PD8270</t>
  </si>
  <si>
    <t>担当者別作業区分別集計表</t>
  </si>
  <si>
    <t>20.経費返品入力</t>
  </si>
  <si>
    <t>PD4115</t>
  </si>
  <si>
    <t>経費返品入力</t>
  </si>
  <si>
    <t>21.在庫管理対象外返品</t>
  </si>
  <si>
    <t>PD4113</t>
  </si>
  <si>
    <t>21.在庫管理対象外返品入力</t>
  </si>
  <si>
    <t>在庫管理対象外返品</t>
  </si>
  <si>
    <t>50.納品分仮支給処理</t>
  </si>
  <si>
    <t>PD4060</t>
  </si>
  <si>
    <t>61.支給用ﾀｯｸｼｰﾙ再出力</t>
  </si>
  <si>
    <t>PD4287</t>
  </si>
  <si>
    <t>納品分仮支給処理</t>
  </si>
  <si>
    <t>51.仮支給リスト　出力</t>
  </si>
  <si>
    <t>PD4250</t>
  </si>
  <si>
    <t>仮支給リスト　出力</t>
  </si>
  <si>
    <t>52.引当振替入力</t>
  </si>
  <si>
    <t>PD4275</t>
  </si>
  <si>
    <t>引当振替入力</t>
  </si>
  <si>
    <t>53.支給優先順位リスト</t>
  </si>
  <si>
    <t>PD3570</t>
  </si>
  <si>
    <t>支給優先順位リスト</t>
  </si>
  <si>
    <t>54.支給指示リスト出力</t>
  </si>
  <si>
    <t>PD4260</t>
  </si>
  <si>
    <t>支給指示リスト出力</t>
  </si>
  <si>
    <t>55.倉庫分仮支給処理　</t>
  </si>
  <si>
    <t>PD4270</t>
  </si>
  <si>
    <t>倉庫分仮支給処理</t>
  </si>
  <si>
    <t>58.タックシール支給用</t>
  </si>
  <si>
    <t>PD4280</t>
  </si>
  <si>
    <t>タックシール支給用</t>
  </si>
  <si>
    <t>59.タックシール支給用再発行</t>
  </si>
  <si>
    <t>PD4281</t>
  </si>
  <si>
    <t>60.支給入力　　　　　</t>
  </si>
  <si>
    <t>PD4290</t>
  </si>
  <si>
    <t>PD4288</t>
  </si>
  <si>
    <t>支給用ﾀｯｸ支給先棚番再出力</t>
  </si>
  <si>
    <t>支給入力</t>
  </si>
  <si>
    <r>
      <rPr>
        <sz val="11"/>
        <color rgb="FF212529"/>
        <rFont val="Quattrocento Sans"/>
        <family val="2"/>
      </rPr>
      <t>61.</t>
    </r>
    <r>
      <rPr>
        <sz val="11"/>
        <color rgb="FF212529"/>
        <rFont val="ＭＳ ゴシック"/>
        <family val="3"/>
        <charset val="128"/>
      </rPr>
      <t>支給用ﾀｯｸｼｰﾙ再出力</t>
    </r>
  </si>
  <si>
    <t>支給用ﾀｯｸｼｰﾙ再出力</t>
  </si>
  <si>
    <t>62.支給伝票再作成　　</t>
  </si>
  <si>
    <t>PD4305</t>
  </si>
  <si>
    <t>支給伝票再作成</t>
  </si>
  <si>
    <t>64.キッティング支給前リスト</t>
  </si>
  <si>
    <t>PD4230</t>
  </si>
  <si>
    <t>65.仕入受入摘要修正</t>
  </si>
  <si>
    <t>PD4530</t>
  </si>
  <si>
    <t>仕入受入摘要修正</t>
  </si>
  <si>
    <t>70. ﾃｰﾋﾟﾝｸﾞ支給指示ﾘｽﾄ</t>
  </si>
  <si>
    <t>PD4600C</t>
  </si>
  <si>
    <t>ﾃｰﾋﾟﾝｸﾞ支給指示ﾘｽﾄ</t>
  </si>
  <si>
    <t>71. ﾃｰﾋﾟﾝｸﾞ支給入力</t>
  </si>
  <si>
    <t>PD4620</t>
  </si>
  <si>
    <t>ﾃｰﾋﾟﾝｸﾞ支給入力</t>
  </si>
  <si>
    <t>72.タックシール直送用</t>
  </si>
  <si>
    <t>PD4420</t>
  </si>
  <si>
    <t>タックシール直送用</t>
  </si>
  <si>
    <t>辰美受入ロットNo.対比表</t>
  </si>
  <si>
    <r>
      <rPr>
        <sz val="11"/>
        <color rgb="FF212529"/>
        <rFont val="Quattrocento Sans"/>
        <family val="2"/>
      </rPr>
      <t>01.</t>
    </r>
    <r>
      <rPr>
        <sz val="11"/>
        <color rgb="FF212529"/>
        <rFont val="ＭＳ ゴシック"/>
        <family val="3"/>
        <charset val="128"/>
      </rPr>
      <t>移動指示入力</t>
    </r>
  </si>
  <si>
    <t>PD4307</t>
  </si>
  <si>
    <t>移動指示入力　　</t>
  </si>
  <si>
    <t>01.移動指示入力</t>
  </si>
  <si>
    <t>受入実績(2)</t>
  </si>
  <si>
    <t>移動指示入力</t>
  </si>
  <si>
    <t>02.移動指示伝票作成</t>
  </si>
  <si>
    <t>PD4308</t>
  </si>
  <si>
    <t>移動指示伝票作成</t>
  </si>
  <si>
    <t>03.移動入力　　　　</t>
  </si>
  <si>
    <t>PD4310</t>
  </si>
  <si>
    <t>移動入力　　　　</t>
  </si>
  <si>
    <t>03.移動入力</t>
  </si>
  <si>
    <t>移動入力</t>
  </si>
  <si>
    <t>04.移動伝票作成　　</t>
  </si>
  <si>
    <t>PD4320</t>
  </si>
  <si>
    <t>移動伝票作成　　</t>
  </si>
  <si>
    <t>04.移動伝票作成</t>
  </si>
  <si>
    <t>移動伝票作成</t>
  </si>
  <si>
    <t>05.移動受入入力　　</t>
  </si>
  <si>
    <t>PD4330</t>
  </si>
  <si>
    <t>移動受入入力　　</t>
  </si>
  <si>
    <t>05.移動受入入力</t>
  </si>
  <si>
    <t>移動受入入力</t>
  </si>
  <si>
    <t>06.移動伝票ﾀｯｸｼｰﾙ</t>
  </si>
  <si>
    <t>PD4321</t>
  </si>
  <si>
    <t>移動伝票ﾀｯｸｼｰﾙ</t>
  </si>
  <si>
    <t>11.調整伝票入力　　</t>
  </si>
  <si>
    <t>PD4340</t>
  </si>
  <si>
    <t>調整伝票入力　　</t>
  </si>
  <si>
    <t>11.調整伝票入力</t>
  </si>
  <si>
    <t>調整伝票入力</t>
  </si>
  <si>
    <t>12.調整伝票再発行　</t>
  </si>
  <si>
    <t>PD4350</t>
  </si>
  <si>
    <t>調整伝票再発行　</t>
  </si>
  <si>
    <t>12.調整伝票再発行</t>
  </si>
  <si>
    <t>調整伝票再発行</t>
  </si>
  <si>
    <t>13.調整伝票承認入力</t>
  </si>
  <si>
    <t>PD4360</t>
  </si>
  <si>
    <t>調整伝票承認入力</t>
  </si>
  <si>
    <t>15.経費発注受入処理</t>
  </si>
  <si>
    <t>経費発注受入処理</t>
  </si>
  <si>
    <t>16.移動指示入力(営業業務用)</t>
  </si>
  <si>
    <t>PD4309</t>
  </si>
  <si>
    <t xml:space="preserve">移動指示残一覧表　     </t>
  </si>
  <si>
    <t>移動指示入力(営業業務用)</t>
  </si>
  <si>
    <t>20.購入品検査報告書印刷</t>
  </si>
  <si>
    <t xml:space="preserve">移動日報　　　　　     </t>
  </si>
  <si>
    <t>購入品検査報告書印刷</t>
  </si>
  <si>
    <t>51.移動指示残一覧表　</t>
  </si>
  <si>
    <t>PD4325</t>
  </si>
  <si>
    <t xml:space="preserve">受入未確認リスト　     </t>
  </si>
  <si>
    <t>51.移動指示残一覧表</t>
  </si>
  <si>
    <t>移動指示残一覧表</t>
  </si>
  <si>
    <t>53.移動日報　　　　　</t>
  </si>
  <si>
    <t>PD4326</t>
  </si>
  <si>
    <t xml:space="preserve">廃却日報　　　　　     </t>
  </si>
  <si>
    <t>53.移動日報</t>
  </si>
  <si>
    <t>移動日報</t>
  </si>
  <si>
    <t>55.受入未確認リスト　</t>
  </si>
  <si>
    <t>PD4327</t>
  </si>
  <si>
    <t>サービスパーツ未出庫一覧</t>
  </si>
  <si>
    <t>55.受入未確認リスト</t>
  </si>
  <si>
    <t>受入未確認リスト</t>
  </si>
  <si>
    <t>61.廃却日報　　　　　</t>
  </si>
  <si>
    <t>PD4341</t>
  </si>
  <si>
    <t xml:space="preserve">仕入伝票集計表　　     </t>
  </si>
  <si>
    <t>61.廃却日報</t>
  </si>
  <si>
    <t>廃却日報</t>
  </si>
  <si>
    <t>63.ｻｰﾋﾞｽﾊﾟｰﾂ未出庫一覧</t>
  </si>
  <si>
    <t>PD3700</t>
  </si>
  <si>
    <t>63.サービスパーツ未出庫一覧</t>
  </si>
  <si>
    <t>65.仕入伝票集計表　　</t>
  </si>
  <si>
    <t>PD4400</t>
  </si>
  <si>
    <t>65.仕入伝票集計表</t>
  </si>
  <si>
    <t>仕入伝票集計表</t>
  </si>
  <si>
    <t>01.在庫（品目別）　　　　</t>
  </si>
  <si>
    <t>PD5010</t>
  </si>
  <si>
    <t>在庫（品目別）　　　　</t>
  </si>
  <si>
    <t>照会・帳票</t>
  </si>
  <si>
    <t>在庫（品目別）</t>
  </si>
  <si>
    <t>02.在庫（場所別）　　　　</t>
  </si>
  <si>
    <t>PD5020</t>
  </si>
  <si>
    <t>在庫（場所別）　　　　</t>
  </si>
  <si>
    <t>在庫（場所別）</t>
  </si>
  <si>
    <t>03.在庫（ﾛｯﾄ別）　　　</t>
  </si>
  <si>
    <t>PD5040</t>
  </si>
  <si>
    <t xml:space="preserve">在庫（ﾛｯﾄ別）　　　 </t>
  </si>
  <si>
    <t>在庫（ﾛｯﾄ別）</t>
  </si>
  <si>
    <t>04.在庫（場所・ﾛｯﾄ別）</t>
  </si>
  <si>
    <t>PD5050</t>
  </si>
  <si>
    <t xml:space="preserve">在庫（場所・ﾛｯﾄ別） </t>
  </si>
  <si>
    <t>在庫（場所・ﾛｯﾄ別）</t>
  </si>
  <si>
    <r>
      <rPr>
        <sz val="11"/>
        <color rgb="FF212529"/>
        <rFont val="Quattrocento Sans"/>
        <family val="2"/>
      </rPr>
      <t>05.</t>
    </r>
    <r>
      <rPr>
        <sz val="11"/>
        <color rgb="FF212529"/>
        <rFont val="ＭＳ ゴシック"/>
        <family val="3"/>
        <charset val="128"/>
      </rPr>
      <t>受入実績（仕入先のみ別）</t>
    </r>
  </si>
  <si>
    <t>PD5185</t>
  </si>
  <si>
    <t>受入実績（仕入先のみ別）</t>
  </si>
  <si>
    <t>05.受入実績（仕入先のみ別）</t>
  </si>
  <si>
    <r>
      <rPr>
        <sz val="11"/>
        <color rgb="FF212529"/>
        <rFont val="Quattrocento Sans"/>
        <family val="2"/>
      </rPr>
      <t>06.</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のみ別</t>
    </r>
    <r>
      <rPr>
        <sz val="11"/>
        <color rgb="FF212529"/>
        <rFont val="ＭＳ ゴシック"/>
        <family val="3"/>
        <charset val="128"/>
      </rPr>
      <t>）</t>
    </r>
  </si>
  <si>
    <t>PD5240</t>
  </si>
  <si>
    <t>受入実績（発注No,のみ別）</t>
  </si>
  <si>
    <r>
      <rPr>
        <sz val="11"/>
        <color rgb="FF212529"/>
        <rFont val="Quattrocento Sans"/>
        <family val="2"/>
      </rPr>
      <t>06.</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のみ別）</t>
    </r>
  </si>
  <si>
    <t>受入実績（発注No.のみ別）</t>
  </si>
  <si>
    <r>
      <rPr>
        <sz val="11"/>
        <color rgb="FF212529"/>
        <rFont val="Quattrocento Sans"/>
        <family val="2"/>
      </rPr>
      <t>07.</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別）　</t>
    </r>
  </si>
  <si>
    <t>PD5160</t>
  </si>
  <si>
    <t>受入実績（発注No,別）　</t>
  </si>
  <si>
    <r>
      <rPr>
        <sz val="11"/>
        <color rgb="FF212529"/>
        <rFont val="Quattrocento Sans"/>
        <family val="2"/>
      </rPr>
      <t>07.</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別）　</t>
    </r>
  </si>
  <si>
    <t>受入実績（発注No.別）</t>
  </si>
  <si>
    <t>08.受入実績（品目　別）　</t>
  </si>
  <si>
    <t>PD5170</t>
  </si>
  <si>
    <t>受入実績（品目　別）　</t>
  </si>
  <si>
    <t>08.受入実績（品目　別）</t>
  </si>
  <si>
    <t>受入実績（品目別）</t>
  </si>
  <si>
    <t>09.受入実績（仕入先別）　</t>
  </si>
  <si>
    <t>PD5180</t>
  </si>
  <si>
    <t>受入実績（仕入先別）　</t>
  </si>
  <si>
    <t>09.受入実績（仕入先別）</t>
  </si>
  <si>
    <t>受入実績（仕入先別）</t>
  </si>
  <si>
    <t>10.受入実績（担当者別）　</t>
  </si>
  <si>
    <t>PD5190</t>
  </si>
  <si>
    <t>受入実績（担当者別）　</t>
  </si>
  <si>
    <t>10.受入実績（担当者別）</t>
  </si>
  <si>
    <t>受入実績（担当者別）</t>
  </si>
  <si>
    <t>11.引落照会（Ｓ／Ｎ指定）</t>
  </si>
  <si>
    <t>PD5290</t>
  </si>
  <si>
    <t>引落照会（Ｓ／Ｎ指定）</t>
  </si>
  <si>
    <r>
      <rPr>
        <sz val="11"/>
        <color rgb="FF212529"/>
        <rFont val="Quattrocento Sans"/>
        <family val="2"/>
      </rPr>
      <t>11.</t>
    </r>
    <r>
      <rPr>
        <sz val="11"/>
        <color rgb="FF212529"/>
        <rFont val="ＭＳ ゴシック"/>
        <family val="3"/>
        <charset val="128"/>
      </rPr>
      <t>引落照会（Ｓ／Ｎ指定</t>
    </r>
    <r>
      <rPr>
        <sz val="11"/>
        <color rgb="FF212529"/>
        <rFont val="ＭＳ ゴシック"/>
        <family val="3"/>
        <charset val="128"/>
      </rPr>
      <t>）</t>
    </r>
  </si>
  <si>
    <t>12.受払照会（品目　別）　</t>
  </si>
  <si>
    <t>PD5200</t>
  </si>
  <si>
    <t>受払照会（品目　別）　</t>
  </si>
  <si>
    <t>12.受払照会（品目　別）</t>
  </si>
  <si>
    <t>受払照会（品目別）</t>
  </si>
  <si>
    <t>13.受払照会（場所　別）　</t>
  </si>
  <si>
    <t>PD5140</t>
  </si>
  <si>
    <t>受払照会（場所　別）　</t>
  </si>
  <si>
    <t>13.受払照会（場所　別）</t>
  </si>
  <si>
    <t>受払照会（場所別）</t>
  </si>
  <si>
    <t>14.受払照会（ロット別）　</t>
  </si>
  <si>
    <t>PD5220</t>
  </si>
  <si>
    <t>受払照会（ロット別）　</t>
  </si>
  <si>
    <t>14.受払照会（ロット別）</t>
  </si>
  <si>
    <t>受払照会（ロット別）</t>
  </si>
  <si>
    <t>15.移動／支給伝票照会</t>
  </si>
  <si>
    <t xml:space="preserve">移動／支給伝票照会    </t>
  </si>
  <si>
    <t>移動／支給伝票照会</t>
  </si>
  <si>
    <t>16.支給状況　　　　　　　</t>
  </si>
  <si>
    <t>PD5210</t>
  </si>
  <si>
    <t>支給状況　　　　　　　</t>
  </si>
  <si>
    <t>16.支給状況</t>
  </si>
  <si>
    <t>支給状況</t>
  </si>
  <si>
    <t>17.調整伝票　　　　　　　</t>
  </si>
  <si>
    <t>PD5230</t>
  </si>
  <si>
    <t>調整伝票　　　　　　　</t>
  </si>
  <si>
    <t>17.調整伝票</t>
  </si>
  <si>
    <t>調整伝票</t>
  </si>
  <si>
    <t>18.受払照会（場所ﾛｯﾄ別）</t>
  </si>
  <si>
    <t>PD5130</t>
  </si>
  <si>
    <t>受払照会（場所ﾛｯﾄ別）</t>
  </si>
  <si>
    <r>
      <rPr>
        <sz val="11"/>
        <color rgb="FF212529"/>
        <rFont val="Quattrocento Sans"/>
        <family val="2"/>
      </rPr>
      <t>19.</t>
    </r>
    <r>
      <rPr>
        <sz val="11"/>
        <color rgb="FF212529"/>
        <rFont val="ＭＳ ゴシック"/>
        <family val="3"/>
        <charset val="128"/>
      </rPr>
      <t>在庫照会（関係会社含む）</t>
    </r>
  </si>
  <si>
    <t>PD5330</t>
  </si>
  <si>
    <t>在庫照会（関係会社含む）</t>
  </si>
  <si>
    <t>19.在庫照会（関係会社含む）</t>
  </si>
  <si>
    <t>51.在庫受払元帳　　　出力</t>
  </si>
  <si>
    <t>PD5070</t>
  </si>
  <si>
    <t xml:space="preserve">在庫受払元帳　　　出力   </t>
  </si>
  <si>
    <t>在庫受払元帳　出力</t>
  </si>
  <si>
    <t>52.場所別受払元帳　　出力</t>
  </si>
  <si>
    <t>PD5080</t>
  </si>
  <si>
    <t xml:space="preserve">場所別受払元帳　　出力   </t>
  </si>
  <si>
    <t>場所別受払元帳　出力</t>
  </si>
  <si>
    <t>54.マイナス在庫一覧表　　</t>
  </si>
  <si>
    <t>PD5100</t>
  </si>
  <si>
    <t xml:space="preserve">マイナス在庫一覧表　　   </t>
  </si>
  <si>
    <t>54.マイナス在庫一覧表</t>
  </si>
  <si>
    <t>マイナス在庫一覧表</t>
  </si>
  <si>
    <t>55.在庫一覧表　　　　　　</t>
  </si>
  <si>
    <t>PD5280</t>
  </si>
  <si>
    <t xml:space="preserve">在庫一覧表　　　　　　   </t>
  </si>
  <si>
    <t>55.在庫一覧表</t>
  </si>
  <si>
    <t>在庫一覧表</t>
  </si>
  <si>
    <t>56.マイナス在庫関連品目　</t>
  </si>
  <si>
    <t>PD5300</t>
  </si>
  <si>
    <t>マイナス在庫関連品目</t>
  </si>
  <si>
    <t>56.マイナス在庫関連品目リスト</t>
  </si>
  <si>
    <t>57.部製品ﾛｹｰｼｮﾝﾀｯｸｼｰﾙ</t>
  </si>
  <si>
    <t>PD5150</t>
  </si>
  <si>
    <t xml:space="preserve">部製品ﾛｹｰｼｮﾝﾀｯｸｼｰﾙ       </t>
  </si>
  <si>
    <t>部製品ﾛｹｰｼｮﾝﾀｯｸｼｰﾙ</t>
  </si>
  <si>
    <t>58.期間別棚卸滞留品</t>
  </si>
  <si>
    <t>PD6380C</t>
  </si>
  <si>
    <t xml:space="preserve">期間別棚卸滞留品         </t>
  </si>
  <si>
    <t>PD6380</t>
  </si>
  <si>
    <t>期間別棚卸滞留品</t>
  </si>
  <si>
    <t>59.品目別月別入出庫集計表</t>
  </si>
  <si>
    <t>SA2410C</t>
  </si>
  <si>
    <t xml:space="preserve">品目別月別入出庫集計表   </t>
  </si>
  <si>
    <t>SA2410</t>
  </si>
  <si>
    <t>品目別月別入出庫集計表</t>
  </si>
  <si>
    <t>60.適正在庫割れ警告表</t>
  </si>
  <si>
    <t>SA2400C</t>
  </si>
  <si>
    <t xml:space="preserve">適正在庫割れ警告表       </t>
  </si>
  <si>
    <t>67.受入ロット別滞留表</t>
  </si>
  <si>
    <t>PD6400</t>
  </si>
  <si>
    <t>適正在庫割れ警告表</t>
  </si>
  <si>
    <r>
      <rPr>
        <sz val="11"/>
        <color rgb="FF212529"/>
        <rFont val="Quattrocento Sans"/>
        <family val="2"/>
      </rPr>
      <t>61.</t>
    </r>
    <r>
      <rPr>
        <sz val="11"/>
        <color rgb="FF212529"/>
        <rFont val="ＭＳ ゴシック"/>
        <family val="3"/>
        <charset val="128"/>
      </rPr>
      <t>受入ロット別滞留表</t>
    </r>
  </si>
  <si>
    <t>PD6400C</t>
  </si>
  <si>
    <t xml:space="preserve">受入ロット別滞留表       </t>
  </si>
  <si>
    <t>68.滞留在庫受払処理</t>
  </si>
  <si>
    <t>CS3700</t>
  </si>
  <si>
    <t>受入ロット別滞留表</t>
  </si>
  <si>
    <r>
      <rPr>
        <sz val="11"/>
        <color rgb="FF212529"/>
        <rFont val="Quattrocento Sans"/>
        <family val="2"/>
      </rPr>
      <t>62.</t>
    </r>
    <r>
      <rPr>
        <sz val="11"/>
        <color rgb="FF212529"/>
        <rFont val="ＭＳ ゴシック"/>
        <family val="3"/>
        <charset val="128"/>
      </rPr>
      <t>金庫在庫一覧</t>
    </r>
  </si>
  <si>
    <t>PD5275C</t>
  </si>
  <si>
    <t xml:space="preserve">支給ﾌﾟﾙｰﾌﾘｽﾄ             </t>
  </si>
  <si>
    <t>金庫在庫一覧</t>
  </si>
  <si>
    <r>
      <rPr>
        <sz val="11"/>
        <color rgb="FF212529"/>
        <rFont val="Quattrocento Sans"/>
        <family val="2"/>
      </rPr>
      <t xml:space="preserve">63. </t>
    </r>
    <r>
      <rPr>
        <sz val="11"/>
        <color rgb="FF212529"/>
        <rFont val="ＭＳ ゴシック"/>
        <family val="3"/>
        <charset val="128"/>
      </rPr>
      <t>ｻｰﾋﾞｽ実動品</t>
    </r>
  </si>
  <si>
    <t>PD5295C</t>
  </si>
  <si>
    <t xml:space="preserve">調整ﾌﾟﾙｰﾌﾘｽﾄ             </t>
  </si>
  <si>
    <t>ｻｰﾋﾞｽ実動品</t>
  </si>
  <si>
    <t>64. ｻｰﾋﾞｽﾊﾟｰﾂ未出庫一覧</t>
  </si>
  <si>
    <t xml:space="preserve">受入ﾌﾟﾙｰﾌﾘｽﾄ             </t>
  </si>
  <si>
    <t>ｻｰﾋﾞｽﾊﾟｰﾂ未出庫一覧</t>
  </si>
  <si>
    <t>65.滞留在庫受払処理</t>
  </si>
  <si>
    <t>CS3700C</t>
  </si>
  <si>
    <t>滞留在庫受払処理</t>
  </si>
  <si>
    <t>90. ｻｰﾋﾞｽ実動在庫一覧表</t>
  </si>
  <si>
    <t>SER001</t>
  </si>
  <si>
    <t>ｻｰﾋﾞｽ実動在庫一覧表</t>
  </si>
  <si>
    <t>支給ﾌﾟﾙｰﾌﾘｽﾄ</t>
  </si>
  <si>
    <t>調整ﾌﾟﾙｰﾌﾘｽﾄ</t>
  </si>
  <si>
    <t>受入ﾌﾟﾙｰﾌﾘｽﾄ</t>
  </si>
  <si>
    <t>SA5060</t>
  </si>
  <si>
    <r>
      <rPr>
        <sz val="11"/>
        <color rgb="FF212529"/>
        <rFont val="Quattrocento Sans"/>
        <family val="2"/>
      </rPr>
      <t>01.</t>
    </r>
    <r>
      <rPr>
        <sz val="11"/>
        <color rgb="FF212529"/>
        <rFont val="ＭＳ ゴシック"/>
        <family val="3"/>
        <charset val="128"/>
      </rPr>
      <t>ローレベル再設定</t>
    </r>
  </si>
  <si>
    <t>PD0070C</t>
  </si>
  <si>
    <t>日次処理</t>
  </si>
  <si>
    <t>ローレベル再設定</t>
  </si>
  <si>
    <r>
      <rPr>
        <sz val="11"/>
        <color rgb="FF212529"/>
        <rFont val="Quattrocento Sans"/>
        <family val="2"/>
      </rPr>
      <t>03.</t>
    </r>
    <r>
      <rPr>
        <sz val="11"/>
        <color rgb="FF212529"/>
        <rFont val="ＭＳ ゴシック"/>
        <family val="3"/>
        <charset val="128"/>
      </rPr>
      <t>失効日チェック</t>
    </r>
  </si>
  <si>
    <t>PD0085</t>
  </si>
  <si>
    <t>失効日チェック</t>
  </si>
  <si>
    <r>
      <rPr>
        <sz val="11"/>
        <color rgb="FF212529"/>
        <rFont val="Quattrocento Sans"/>
        <family val="2"/>
      </rPr>
      <t>04.</t>
    </r>
    <r>
      <rPr>
        <sz val="11"/>
        <color rgb="FF212529"/>
        <rFont val="ＭＳ ゴシック"/>
        <family val="3"/>
        <charset val="128"/>
      </rPr>
      <t>発効日チェック</t>
    </r>
  </si>
  <si>
    <t>PD0086</t>
  </si>
  <si>
    <t>発効日チェック</t>
  </si>
  <si>
    <r>
      <rPr>
        <sz val="11"/>
        <color rgb="FF212529"/>
        <rFont val="Quattrocento Sans"/>
        <family val="2"/>
      </rPr>
      <t>06.</t>
    </r>
    <r>
      <rPr>
        <sz val="11"/>
        <color rgb="FF212529"/>
        <rFont val="ＭＳ ゴシック"/>
        <family val="3"/>
        <charset val="128"/>
      </rPr>
      <t>引当振替入力</t>
    </r>
  </si>
  <si>
    <t>SA3150</t>
  </si>
  <si>
    <t>08.各伝票・マスタﾃﾞｰﾀﾁｪｯｸ</t>
  </si>
  <si>
    <t>各伝票・マスタﾃﾞｰﾀﾁｪｯｸ</t>
  </si>
  <si>
    <t>11. ﾃｰﾌﾟ初期化(装置:TAP01 )</t>
  </si>
  <si>
    <t>ﾃｰﾌﾟ初期化(装置:TAP01 )</t>
  </si>
  <si>
    <t>12. IPLする日付および時刻の変更</t>
  </si>
  <si>
    <t>IPLする日付および時刻の変更</t>
  </si>
  <si>
    <t>13. ﾕｰｻﾞ･ﾌﾟﾛﾌｧｲﾙを有効にする</t>
  </si>
  <si>
    <t>ﾕｰｻﾞ･ﾌﾟﾛﾌｧｲﾙを有効にする</t>
  </si>
  <si>
    <t>14. ﾕｰｻﾞ･ﾌﾟﾛﾌｧｲﾙを無効にする</t>
  </si>
  <si>
    <t>ﾕｰｻﾞ･ﾌﾟﾛﾌｧｲﾙを無効にする</t>
  </si>
  <si>
    <t>15.ジョブ・スケジュール項目処理</t>
  </si>
  <si>
    <t>ジョブ・スケジュール項目処理</t>
  </si>
  <si>
    <r>
      <rPr>
        <sz val="11"/>
        <color rgb="FF212529"/>
        <rFont val="Quattrocento Sans"/>
        <family val="2"/>
      </rPr>
      <t>31.</t>
    </r>
    <r>
      <rPr>
        <sz val="11"/>
        <color rgb="FF212529"/>
        <rFont val="ＭＳ ゴシック"/>
        <family val="3"/>
        <charset val="128"/>
      </rPr>
      <t>ﾌﾟﾛｼﾞｪｸﾄﾏｽﾀｰﾒﾝﾃ</t>
    </r>
  </si>
  <si>
    <t>ﾌﾟﾛｼﾞｪｸﾄﾏｽﾀｰﾒﾝﾃ</t>
  </si>
  <si>
    <t>39.棚卸確定日の端末使用制限MSG</t>
  </si>
  <si>
    <t>棚卸確定日の端末使用制限MSG</t>
  </si>
  <si>
    <t>40.棚卸確定前の検証DBV200,SR550</t>
  </si>
  <si>
    <t>棚卸確定前の検証DBV200,SR550</t>
  </si>
  <si>
    <t>41. ﾃｽﾄ棚卸更新 　</t>
  </si>
  <si>
    <t>ﾃｽﾄ棚卸更新</t>
  </si>
  <si>
    <t>42. ﾃｽﾄ棚卸更新の結果検証</t>
  </si>
  <si>
    <t>ﾃｽﾄ棚卸更新の結果検証</t>
  </si>
  <si>
    <t>45.棚卸処理管理ファイルメンテ</t>
  </si>
  <si>
    <t>棚卸処理管理ファイルメンテ</t>
  </si>
  <si>
    <t>製品受払月報　品目Ｔ別</t>
  </si>
  <si>
    <t>月次処理</t>
  </si>
  <si>
    <t>製品受払月報（機種別）</t>
  </si>
  <si>
    <t>課別受払月報　　　　　</t>
  </si>
  <si>
    <t>課別受払月報</t>
  </si>
  <si>
    <t>在庫受払報告　　　　　</t>
  </si>
  <si>
    <t>在庫受払報告</t>
  </si>
  <si>
    <t>調整伝票確認表　　　　</t>
  </si>
  <si>
    <t>調整伝票確認表</t>
  </si>
  <si>
    <t>月次在庫金額報告書　　</t>
  </si>
  <si>
    <t>月次在庫金額報告書</t>
  </si>
  <si>
    <t>部課別仕損材料一覧表　</t>
  </si>
  <si>
    <t>部課別仕損材料一覧表</t>
  </si>
  <si>
    <t>伝票集計表　　　　　　</t>
  </si>
  <si>
    <t>伝票集計表</t>
  </si>
  <si>
    <t>01.支払締切日入力</t>
  </si>
  <si>
    <t>PD8045</t>
  </si>
  <si>
    <t>ｺｽﾄﾀﾞｳﾝ実績　部課明細</t>
  </si>
  <si>
    <t>支払締切日入力</t>
  </si>
  <si>
    <t>02.月次締切日入力</t>
  </si>
  <si>
    <t>PD8050</t>
  </si>
  <si>
    <t>ｺｽﾄﾀﾞｳﾝ実績　部課集計</t>
  </si>
  <si>
    <t>月次締切日入力</t>
  </si>
  <si>
    <t>09.検収通知票作成</t>
  </si>
  <si>
    <t>PD8061</t>
  </si>
  <si>
    <t>ｺｽﾄﾀﾞｳﾝ実績　担当明細</t>
  </si>
  <si>
    <r>
      <rPr>
        <sz val="11"/>
        <color rgb="FF212529"/>
        <rFont val="Quattrocento Sans"/>
        <family val="2"/>
      </rPr>
      <t>09.</t>
    </r>
    <r>
      <rPr>
        <sz val="11"/>
        <color rgb="FF212529"/>
        <rFont val="ＭＳ ゴシック"/>
        <family val="3"/>
        <charset val="128"/>
      </rPr>
      <t>検収通知票作成</t>
    </r>
  </si>
  <si>
    <t>検収通知票作成</t>
  </si>
  <si>
    <t>15. ｺｽﾄﾀﾞｳﾝ実績　部課明細</t>
  </si>
  <si>
    <t>PD8130C</t>
  </si>
  <si>
    <t>ｺｽﾄﾀﾞｳﾝ実績　担当集計</t>
  </si>
  <si>
    <t>03.仕入消費税　付与指示</t>
  </si>
  <si>
    <t>仕入消費税　付与指示</t>
  </si>
  <si>
    <t>16. ｺｽﾄﾀﾞｳﾝ実績　部課集計</t>
  </si>
  <si>
    <t>PD8134C</t>
  </si>
  <si>
    <t>月次受入差額一覧表　　</t>
  </si>
  <si>
    <t>PD8130</t>
  </si>
  <si>
    <t>17. ｺｽﾄﾀﾞｳﾝ実績　担当明細</t>
  </si>
  <si>
    <t>PD8140C</t>
  </si>
  <si>
    <t>月次受入差額推移表(1)</t>
  </si>
  <si>
    <t>PD8134</t>
  </si>
  <si>
    <t>18. ｺｽﾄﾀﾞｳﾝ実績　担当集計</t>
  </si>
  <si>
    <t>PD8144C</t>
  </si>
  <si>
    <t>月次受入差額推移表(2)</t>
  </si>
  <si>
    <t>PD8140</t>
  </si>
  <si>
    <t>ﾛｯﾄ別月次生産報告　作</t>
  </si>
  <si>
    <t>PD8144</t>
  </si>
  <si>
    <t>ﾛｯﾄ別月次生産報告　実</t>
  </si>
  <si>
    <t>月次受入差額一覧表</t>
  </si>
  <si>
    <t>24. ﾛｯﾄ別月次生産報告　作</t>
  </si>
  <si>
    <t>25. ﾛｯﾄ別月次生産報告　実</t>
  </si>
  <si>
    <t>PD8230</t>
  </si>
  <si>
    <t>30.検収通知リスト</t>
  </si>
  <si>
    <t>PD8070</t>
  </si>
  <si>
    <t>41.受入差額ファイル作成</t>
  </si>
  <si>
    <t>PD8110</t>
  </si>
  <si>
    <t>27.外貨検収通知書</t>
  </si>
  <si>
    <t>PD8062</t>
  </si>
  <si>
    <t>外貨検収通知書</t>
  </si>
  <si>
    <t>01.開始宣言　　　　　　　</t>
  </si>
  <si>
    <t>PD6010</t>
  </si>
  <si>
    <t>棚卸ﾀｯｸｼｰﾙ発行　　　</t>
  </si>
  <si>
    <r>
      <rPr>
        <sz val="11"/>
        <color rgb="FF212529"/>
        <rFont val="Quattrocento Sans"/>
        <family val="2"/>
      </rPr>
      <t>29.</t>
    </r>
    <r>
      <rPr>
        <sz val="11"/>
        <color rgb="FF212529"/>
        <rFont val="ＭＳ ゴシック"/>
        <family val="3"/>
        <charset val="128"/>
      </rPr>
      <t>検収通知票</t>
    </r>
  </si>
  <si>
    <t>検収通知票</t>
  </si>
  <si>
    <t>11.棚卸ﾀｯｸｼｰﾙ発行　　　</t>
  </si>
  <si>
    <t>PD6090</t>
  </si>
  <si>
    <t>棚卸リスト　　　　　　</t>
  </si>
  <si>
    <t>検収通知リスト</t>
  </si>
  <si>
    <t>20.棚卸リスト　　　　　　</t>
  </si>
  <si>
    <t>PD6020</t>
  </si>
  <si>
    <t xml:space="preserve">棚卸リスト（手書） </t>
  </si>
  <si>
    <t>31.検収通知書データダウンロード</t>
  </si>
  <si>
    <t>PD8075</t>
  </si>
  <si>
    <t>検収通知書データダウンロード</t>
  </si>
  <si>
    <t>21.棚卸リスト（手書）</t>
  </si>
  <si>
    <t>PD6060</t>
  </si>
  <si>
    <t xml:space="preserve">棚卸リスト　　再作成 </t>
  </si>
  <si>
    <t>41.実際製造原価受払い(JTS)</t>
  </si>
  <si>
    <t>CHKURG</t>
  </si>
  <si>
    <t>実際製造原価受払い(JTS)</t>
  </si>
  <si>
    <t>22.棚卸リスト　　再作成</t>
  </si>
  <si>
    <t>PD6070</t>
  </si>
  <si>
    <t xml:space="preserve">新規受入ロットシール </t>
  </si>
  <si>
    <t>42.経費振替リスト(JTS)</t>
  </si>
  <si>
    <t>経費振替リスト(JTS)</t>
  </si>
  <si>
    <t>23.新規受入ロットシール</t>
  </si>
  <si>
    <t>PD6135</t>
  </si>
  <si>
    <t>棚卸ﾘｽﾄ ｼﾘｱﾙNo.明細表</t>
  </si>
  <si>
    <t>43.販売課別仕入金額集計表(JTS)</t>
  </si>
  <si>
    <t>PTSER0</t>
  </si>
  <si>
    <t>販売課別仕入金額集計表(JTS)</t>
  </si>
  <si>
    <r>
      <rPr>
        <sz val="11"/>
        <color rgb="FF212529"/>
        <rFont val="Quattrocento Sans"/>
        <family val="2"/>
      </rPr>
      <t>26.</t>
    </r>
    <r>
      <rPr>
        <sz val="11"/>
        <color rgb="FF212529"/>
        <rFont val="ＭＳ ゴシック"/>
        <family val="3"/>
        <charset val="128"/>
      </rPr>
      <t>棚卸立会リスト</t>
    </r>
  </si>
  <si>
    <t>PD6100</t>
  </si>
  <si>
    <t>棚卸照会（場所）　　　</t>
  </si>
  <si>
    <t>受入差額ファイル作成</t>
  </si>
  <si>
    <t>27.棚卸ﾘｽﾄ(再作成準備)</t>
  </si>
  <si>
    <t>PD6050</t>
  </si>
  <si>
    <t>棚卸照会（発注No.）　　</t>
  </si>
  <si>
    <t>01.開始宣言</t>
  </si>
  <si>
    <t>棚卸処理</t>
  </si>
  <si>
    <t>開始宣言</t>
  </si>
  <si>
    <t>30.差異分析計算　　　　　</t>
  </si>
  <si>
    <t>PD6195</t>
  </si>
  <si>
    <t>棚卸照会（ＳＥＱ）　　</t>
  </si>
  <si>
    <t>11.棚卸ﾀｯｸｼｰﾙ発行</t>
  </si>
  <si>
    <t>棚卸ﾀｯｸｼｰﾙ発行</t>
  </si>
  <si>
    <r>
      <rPr>
        <sz val="11"/>
        <color rgb="FF212529"/>
        <rFont val="Quattrocento Sans"/>
        <family val="2"/>
      </rPr>
      <t>40.</t>
    </r>
    <r>
      <rPr>
        <sz val="11"/>
        <color rgb="FF212529"/>
        <rFont val="ＭＳ ゴシック"/>
        <family val="3"/>
        <charset val="128"/>
      </rPr>
      <t>在庫照会（関係会社含む）</t>
    </r>
  </si>
  <si>
    <t>在庫差異合計表</t>
  </si>
  <si>
    <t>20.棚卸リスト</t>
  </si>
  <si>
    <t>棚卸リスト</t>
  </si>
  <si>
    <t>41.棚卸照会（品目）　　　</t>
  </si>
  <si>
    <t>PD6150</t>
  </si>
  <si>
    <t>在庫差異集計表</t>
  </si>
  <si>
    <t>棚卸リスト（手書）</t>
  </si>
  <si>
    <t>42.棚卸照会（場所）　　　</t>
  </si>
  <si>
    <t>PD6160</t>
  </si>
  <si>
    <t>在庫差異明細表</t>
  </si>
  <si>
    <t>棚卸リスト　再作成</t>
  </si>
  <si>
    <r>
      <rPr>
        <sz val="11"/>
        <color rgb="FF212529"/>
        <rFont val="Quattrocento Sans"/>
        <family val="2"/>
      </rPr>
      <t>43.</t>
    </r>
    <r>
      <rPr>
        <sz val="11"/>
        <color rgb="FF212529"/>
        <rFont val="ＭＳ ゴシック"/>
        <family val="3"/>
        <charset val="128"/>
      </rPr>
      <t>棚卸照会（発注</t>
    </r>
    <r>
      <rPr>
        <sz val="11"/>
        <color rgb="FF212529"/>
        <rFont val="Segoe UI"/>
        <family val="2"/>
      </rPr>
      <t>No.</t>
    </r>
    <r>
      <rPr>
        <sz val="11"/>
        <color rgb="FF212529"/>
        <rFont val="ＭＳ ゴシック"/>
        <family val="3"/>
        <charset val="128"/>
      </rPr>
      <t>）　　</t>
    </r>
  </si>
  <si>
    <t>PD6170</t>
  </si>
  <si>
    <t xml:space="preserve">部課別区分別集計表　　　　 </t>
  </si>
  <si>
    <t>新規受入ロットシール</t>
  </si>
  <si>
    <t>44.棚卸照会（ＳＥＱ）　　</t>
  </si>
  <si>
    <t>PD6180</t>
  </si>
  <si>
    <t>部課別区分別集計表（滞留品）</t>
  </si>
  <si>
    <t>PD6390</t>
  </si>
  <si>
    <t>51.在庫差異合計表　　　　</t>
  </si>
  <si>
    <t>PD6210</t>
  </si>
  <si>
    <t xml:space="preserve">部課別区分別合計表　　　　 </t>
  </si>
  <si>
    <t>25.棚卸入力</t>
  </si>
  <si>
    <t>PD6140</t>
  </si>
  <si>
    <t>棚卸入力</t>
  </si>
  <si>
    <t>52.在庫差異集計表　　　　</t>
  </si>
  <si>
    <t>PD6220</t>
  </si>
  <si>
    <t>部課別区分別合計表（滞留品）</t>
  </si>
  <si>
    <t>棚卸立会リスト</t>
  </si>
  <si>
    <t>53.在庫差異明細表</t>
  </si>
  <si>
    <t>PD6230</t>
  </si>
  <si>
    <t xml:space="preserve">部課区分場所別集計表       </t>
  </si>
  <si>
    <t>棚卸ﾘｽﾄ(再作成準備)</t>
  </si>
  <si>
    <t>54.在庫差異実際原価セット</t>
  </si>
  <si>
    <t>PD6410C</t>
  </si>
  <si>
    <t>部課区分場所別集計表（滞留）</t>
  </si>
  <si>
    <t>30.差異分析計算</t>
  </si>
  <si>
    <t>差異分析計算</t>
  </si>
  <si>
    <t>01.部課別区分別集計表　　　　</t>
  </si>
  <si>
    <t>AC0000D</t>
  </si>
  <si>
    <t xml:space="preserve">部課区分場所別合計表       </t>
  </si>
  <si>
    <t>02.部課別区分別集計表（滞留品）</t>
  </si>
  <si>
    <t>部課区分場所別合計表（滞留）</t>
  </si>
  <si>
    <r>
      <rPr>
        <sz val="11"/>
        <color rgb="FF212529"/>
        <rFont val="Quattrocento Sans"/>
        <family val="2"/>
      </rPr>
      <t>41.</t>
    </r>
    <r>
      <rPr>
        <sz val="11"/>
        <color rgb="FF212529"/>
        <rFont val="ＭＳ ゴシック"/>
        <family val="3"/>
        <charset val="128"/>
      </rPr>
      <t>棚卸照会（品目）</t>
    </r>
  </si>
  <si>
    <t>41.棚卸照会（品目）</t>
  </si>
  <si>
    <t>棚卸照会（品目）</t>
  </si>
  <si>
    <t>03.部課別区分別合計表　　　　</t>
  </si>
  <si>
    <t xml:space="preserve">機種別合計表               </t>
  </si>
  <si>
    <t>42.棚卸照会（場所）</t>
  </si>
  <si>
    <t>棚卸照会（場所）</t>
  </si>
  <si>
    <t>04.部課別区分別合計表（滞留品）</t>
  </si>
  <si>
    <t xml:space="preserve">機種別合計表（滞留品）     </t>
  </si>
  <si>
    <r>
      <rPr>
        <sz val="11"/>
        <color rgb="FF212529"/>
        <rFont val="Quattrocento Sans"/>
        <family val="2"/>
      </rPr>
      <t>43.</t>
    </r>
    <r>
      <rPr>
        <sz val="11"/>
        <color rgb="FF212529"/>
        <rFont val="ＭＳ ゴシック"/>
        <family val="3"/>
        <charset val="128"/>
      </rPr>
      <t>棚卸照会（発注</t>
    </r>
    <r>
      <rPr>
        <sz val="11"/>
        <color rgb="FF212529"/>
        <rFont val="Segoe UI"/>
        <family val="2"/>
      </rPr>
      <t>No.</t>
    </r>
    <r>
      <rPr>
        <sz val="11"/>
        <color rgb="FF212529"/>
        <rFont val="ＭＳ ゴシック"/>
        <family val="3"/>
        <charset val="128"/>
      </rPr>
      <t>）</t>
    </r>
  </si>
  <si>
    <t>棚卸照会（発注No.）</t>
  </si>
  <si>
    <t>05.部課区分場所別集計表</t>
  </si>
  <si>
    <t xml:space="preserve">機種別集計表               </t>
  </si>
  <si>
    <t>44.棚卸照会（ＳＥＱ）</t>
  </si>
  <si>
    <t>棚卸照会（ＳＥＱ）</t>
  </si>
  <si>
    <t>06.部課区分場所別集計表（滞留）</t>
  </si>
  <si>
    <t xml:space="preserve">機種別集計表（滞留品）     </t>
  </si>
  <si>
    <t>51.在庫差異合計表</t>
  </si>
  <si>
    <t>07.部課区分場所別合計表</t>
  </si>
  <si>
    <t>部課区分機種別集計表（滞留）</t>
  </si>
  <si>
    <t>52.在庫差異集計表</t>
  </si>
  <si>
    <t>08.部課区分場所別合計表（滞留）</t>
  </si>
  <si>
    <t xml:space="preserve">場所区分部課別合計表       </t>
  </si>
  <si>
    <t>10.機種別合計表</t>
  </si>
  <si>
    <t>場所区分部課別合計表（滞留）</t>
  </si>
  <si>
    <t>在庫差異実際原価セット</t>
  </si>
  <si>
    <t>11.機種別合計表（滞留品）</t>
  </si>
  <si>
    <t>低価法在庫再評価用データ抽出</t>
  </si>
  <si>
    <t>棚卸在庫管理帳票</t>
  </si>
  <si>
    <t>部課別区分別集計表</t>
  </si>
  <si>
    <t>12.機種別集計表</t>
  </si>
  <si>
    <t xml:space="preserve">６部門別流動・滞留在庫表　    </t>
  </si>
  <si>
    <t>13.機種別集計表（滞留品）</t>
  </si>
  <si>
    <t xml:space="preserve">実地棚卸表印刷　　　　　　    </t>
  </si>
  <si>
    <t>部課別区分別合計表</t>
  </si>
  <si>
    <t>14.部課区分機種別集計表（滞留）</t>
  </si>
  <si>
    <t xml:space="preserve">機種別流動・滞留在庫表　      </t>
  </si>
  <si>
    <t>15 場所区分部課別合計表</t>
  </si>
  <si>
    <t xml:space="preserve">６部門別　製・商品在庫明細表  </t>
  </si>
  <si>
    <t>部課区分場所別集計表</t>
  </si>
  <si>
    <t>16 場所区分部課別合計表（滞留）</t>
  </si>
  <si>
    <t xml:space="preserve">４品種別　製・商品在庫明細表  </t>
  </si>
  <si>
    <t>20.低価法在庫再評価用データ抽出</t>
  </si>
  <si>
    <t>AC6610</t>
  </si>
  <si>
    <t xml:space="preserve">製・商品在庫集計表            </t>
  </si>
  <si>
    <t>部課区分場所別合計表</t>
  </si>
  <si>
    <t>41.６部門別流動・滞留在庫表　</t>
  </si>
  <si>
    <t>AC0017</t>
  </si>
  <si>
    <t xml:space="preserve">社外在庫報告書　　            </t>
  </si>
  <si>
    <t>42.実地棚卸表印刷　　　　　　</t>
  </si>
  <si>
    <t>AC0025</t>
  </si>
  <si>
    <t xml:space="preserve">部門別区分別機種別滞留品      </t>
  </si>
  <si>
    <t>機種別合計表</t>
  </si>
  <si>
    <t>43.機種別流動・滞留在庫表　</t>
  </si>
  <si>
    <t>AC0057</t>
  </si>
  <si>
    <t xml:space="preserve">機種別棚卸明細表              </t>
  </si>
  <si>
    <t>機種別合計表（滞留品）</t>
  </si>
  <si>
    <t>51.６部門別　製・商品在庫明細表</t>
  </si>
  <si>
    <t>AC0932</t>
  </si>
  <si>
    <t xml:space="preserve">機種別在庫表                </t>
  </si>
  <si>
    <t>機種別集計表</t>
  </si>
  <si>
    <t>52.４品種別　製・商品在庫明細表</t>
  </si>
  <si>
    <t>AC0935</t>
  </si>
  <si>
    <t xml:space="preserve">棚卸明細表　香港仕入分　      </t>
  </si>
  <si>
    <t>機種別集計表（滞留品）</t>
  </si>
  <si>
    <t>61.製・商品在庫集計表</t>
  </si>
  <si>
    <t>ACX600</t>
  </si>
  <si>
    <t xml:space="preserve">仕入先別棚卸表　　　　　      </t>
  </si>
  <si>
    <t>63.部門別区分別機種別滞留品</t>
  </si>
  <si>
    <t>MP0165</t>
  </si>
  <si>
    <t>滞留在庫理由・消費見込入力</t>
  </si>
  <si>
    <t>場所区分部課別合計表</t>
  </si>
  <si>
    <t>64.機種別棚卸明細表</t>
  </si>
  <si>
    <t xml:space="preserve">滞留在庫引当計画入力       </t>
  </si>
  <si>
    <t>65.機種別在庫表</t>
  </si>
  <si>
    <t>MP8500I</t>
  </si>
  <si>
    <t>滞留在庫引当計画　照会・印刷</t>
  </si>
  <si>
    <t>66.棚卸明細表　香港仕入分　</t>
  </si>
  <si>
    <t xml:space="preserve">ｼﾐｭﾚｰｼｮﾝMRP処理           </t>
  </si>
  <si>
    <t>６部門別流動・滞留在庫表</t>
  </si>
  <si>
    <t>67.仕入先別棚卸表　　　　　</t>
  </si>
  <si>
    <t>AC0060</t>
  </si>
  <si>
    <t>ｼﾐｭﾚｰｼｮﾝMPR製番別引当状況表</t>
  </si>
  <si>
    <t>実地棚卸表印刷</t>
  </si>
  <si>
    <t>01.滞留在庫リスト印刷</t>
  </si>
  <si>
    <t>PD6430</t>
  </si>
  <si>
    <t>機種別流動・滞留在庫表</t>
  </si>
  <si>
    <t>02.滞留在庫理由・消費見込入力</t>
  </si>
  <si>
    <t>PD6420</t>
  </si>
  <si>
    <t>６部門別　製・商品在庫明細表</t>
  </si>
  <si>
    <t>10.滞留在庫分析件数一覧</t>
  </si>
  <si>
    <t>４品種別　製・商品在庫明細表</t>
  </si>
  <si>
    <t>20.滞留在庫引当計画入力</t>
  </si>
  <si>
    <t>製・商品在庫集計表</t>
  </si>
  <si>
    <t>21.滞留在庫引当計画　照会・印刷</t>
  </si>
  <si>
    <t>62.社外在庫報告書　　</t>
  </si>
  <si>
    <t>MP0086</t>
  </si>
  <si>
    <t>社外在庫報告書</t>
  </si>
  <si>
    <t>22.滞留在庫分析ﾃﾞｰﾀ作成</t>
  </si>
  <si>
    <t>部門別区分別機種別滞留品</t>
  </si>
  <si>
    <t>31. ｼﾐｭﾚｰｼｮﾝMRP処理</t>
  </si>
  <si>
    <t>機種別棚卸明細表</t>
  </si>
  <si>
    <t>32. ｼﾐｭﾚｰｼｮﾝMPR製番別引当状況表</t>
  </si>
  <si>
    <t>機種別在庫表</t>
  </si>
  <si>
    <t>70.棚卸更新（バッチ処理）</t>
  </si>
  <si>
    <t>PD6195B</t>
  </si>
  <si>
    <t>棚卸明細表　香港仕入分</t>
  </si>
  <si>
    <t>01.参考原価入力　　　　　</t>
  </si>
  <si>
    <t>CS1010</t>
  </si>
  <si>
    <t>仕入先別棚卸表</t>
  </si>
  <si>
    <t>02.参考原価照会　　　　　</t>
  </si>
  <si>
    <t>CS1050</t>
  </si>
  <si>
    <r>
      <rPr>
        <sz val="11"/>
        <color rgb="FF212529"/>
        <rFont val="Quattrocento Sans"/>
        <family val="2"/>
      </rPr>
      <t>01.</t>
    </r>
    <r>
      <rPr>
        <sz val="11"/>
        <color rgb="FF212529"/>
        <rFont val="ＭＳ ゴシック"/>
        <family val="3"/>
        <charset val="128"/>
      </rPr>
      <t>滞留在庫リスト印刷</t>
    </r>
  </si>
  <si>
    <t>滞留在庫分析</t>
  </si>
  <si>
    <t>滞留在庫リスト印刷</t>
  </si>
  <si>
    <r>
      <rPr>
        <sz val="11"/>
        <color rgb="FF212529"/>
        <rFont val="Quattrocento Sans"/>
        <family val="2"/>
      </rPr>
      <t>11.</t>
    </r>
    <r>
      <rPr>
        <sz val="11"/>
        <color rgb="FF212529"/>
        <rFont val="ＭＳ ゴシック"/>
        <family val="3"/>
        <charset val="128"/>
      </rPr>
      <t>参考原価ﾘｽﾄ（品目別</t>
    </r>
    <r>
      <rPr>
        <sz val="11"/>
        <color rgb="FF212529"/>
        <rFont val="ＭＳ ゴシック"/>
        <family val="3"/>
        <charset val="128"/>
      </rPr>
      <t>）</t>
    </r>
  </si>
  <si>
    <t>CS1070</t>
  </si>
  <si>
    <r>
      <rPr>
        <sz val="11"/>
        <color rgb="FF212529"/>
        <rFont val="Quattrocento Sans"/>
        <family val="2"/>
      </rPr>
      <t>12.</t>
    </r>
    <r>
      <rPr>
        <sz val="11"/>
        <color rgb="FF212529"/>
        <rFont val="ＭＳ ゴシック"/>
        <family val="3"/>
        <charset val="128"/>
      </rPr>
      <t>参考原価ﾘｽﾄ（費目別</t>
    </r>
    <r>
      <rPr>
        <sz val="11"/>
        <color rgb="FF212529"/>
        <rFont val="ＭＳ ゴシック"/>
        <family val="3"/>
        <charset val="128"/>
      </rPr>
      <t>）</t>
    </r>
  </si>
  <si>
    <t>CS1090</t>
  </si>
  <si>
    <t>滞留在庫分析件数一覧</t>
  </si>
  <si>
    <t>21.参考原価構成ﾒﾝﾃﾅﾝｽ</t>
  </si>
  <si>
    <t>CS1020</t>
  </si>
  <si>
    <t>滞留在庫引当計画入力</t>
  </si>
  <si>
    <t>03.標準原価次年度環境設定</t>
  </si>
  <si>
    <t>CS2010</t>
  </si>
  <si>
    <t>01.労務費・経費率T 保守</t>
  </si>
  <si>
    <t>CS0010</t>
  </si>
  <si>
    <t>労務費・経費率T 照会</t>
  </si>
  <si>
    <t>滞留在庫分析ﾃﾞｰﾀ作成</t>
  </si>
  <si>
    <t>02.金型償却費ﾃｰﾌﾞﾙ 保守</t>
  </si>
  <si>
    <t>CS0020</t>
  </si>
  <si>
    <t>金型償却費ﾃｰﾌﾞﾙ 照会</t>
  </si>
  <si>
    <t>ｼﾐｭﾚｰｼｮﾝMRP処理</t>
  </si>
  <si>
    <t>03.特許料テーブル　　保守</t>
  </si>
  <si>
    <t>CS0030</t>
  </si>
  <si>
    <t>特許料テーブル　　照会</t>
  </si>
  <si>
    <t>04.生産工場マスター　保守</t>
  </si>
  <si>
    <t>CS0040</t>
  </si>
  <si>
    <t>生産工場マスター　照会</t>
  </si>
  <si>
    <t>棚卸更新（バッチ処理）</t>
  </si>
  <si>
    <t>05.品目別販売課ﾏｽﾀｰ保守</t>
  </si>
  <si>
    <t>CS0060</t>
  </si>
  <si>
    <t>品目別販売課ﾏｽﾀｰ照会</t>
  </si>
  <si>
    <t>原価計算</t>
  </si>
  <si>
    <t>参考原価</t>
  </si>
  <si>
    <t>参考原価入力</t>
  </si>
  <si>
    <t>06.労務費・経費率T 照会</t>
  </si>
  <si>
    <t>CS0110</t>
  </si>
  <si>
    <t>労務費・経費率一覧表</t>
  </si>
  <si>
    <t>02.参考原価照会</t>
  </si>
  <si>
    <t>参考原価照会</t>
  </si>
  <si>
    <t>07.金型償却費ﾃｰﾌﾞﾙ 照会</t>
  </si>
  <si>
    <t>CS0120</t>
  </si>
  <si>
    <t>金型償却費T 　一覧表</t>
  </si>
  <si>
    <t>11.参考原価ﾘｽﾄ（品目別）</t>
  </si>
  <si>
    <t>参考原価ﾘｽﾄ（品目別）</t>
  </si>
  <si>
    <t>08.特許料テーブル　　照会</t>
  </si>
  <si>
    <t>CS0130</t>
  </si>
  <si>
    <t>特許料テーブル　一覧表</t>
  </si>
  <si>
    <t>12.参考原価ﾘｽﾄ（費目別）</t>
  </si>
  <si>
    <t>参考原価ﾘｽﾄ（費目別）</t>
  </si>
  <si>
    <t>09.生産工場マスター　照会</t>
  </si>
  <si>
    <t>CS0140</t>
  </si>
  <si>
    <t>生産工場マスター一覧表</t>
  </si>
  <si>
    <t>参考原価構成ﾒﾝﾃﾅﾝｽ</t>
  </si>
  <si>
    <t>10.品目別販売課ﾏｽﾀｰ照会</t>
  </si>
  <si>
    <t>CS0160</t>
  </si>
  <si>
    <t>品目別販売課ﾏｽﾀｰ一覧</t>
  </si>
  <si>
    <t>標準原価次年度環境設定</t>
  </si>
  <si>
    <t>11.労務費・経費率一覧表</t>
  </si>
  <si>
    <t>CS0210</t>
  </si>
  <si>
    <t>品目マスター　　　照会</t>
  </si>
  <si>
    <t>標準原価次年度</t>
  </si>
  <si>
    <t>労務費・経費率T 保守</t>
  </si>
  <si>
    <t>12.金型償却費T 　一覧表</t>
  </si>
  <si>
    <t>CS0220</t>
  </si>
  <si>
    <t>構成マスター　　　照会</t>
  </si>
  <si>
    <t>金型償却費ﾃｰﾌﾞﾙ 保守</t>
  </si>
  <si>
    <t>13.特許料テーブル　一覧表</t>
  </si>
  <si>
    <t>CS0230</t>
  </si>
  <si>
    <t>品目マスター　　一覧表</t>
  </si>
  <si>
    <t>特許料テーブル　保守</t>
  </si>
  <si>
    <t>14.生産工場マスター一覧表</t>
  </si>
  <si>
    <t>CS0240</t>
  </si>
  <si>
    <t>部品表　　　　　　出力</t>
  </si>
  <si>
    <t>生産工場マスター　保守</t>
  </si>
  <si>
    <t>15.品目別販売課ﾏｽﾀｰ一覧</t>
  </si>
  <si>
    <t>CS0260</t>
  </si>
  <si>
    <t>チェック表（品目別）　</t>
  </si>
  <si>
    <t>品目別販売課ﾏｽﾀｰ保守</t>
  </si>
  <si>
    <t>71.来期標準原価計算(NO-CPYF)</t>
  </si>
  <si>
    <t>CS2085</t>
  </si>
  <si>
    <t>ﾁｪｯｸ表（品目別明細）</t>
  </si>
  <si>
    <t>72.来期標準　間接費のみ再計算</t>
  </si>
  <si>
    <t>CS2165</t>
  </si>
  <si>
    <t>標準原価照会（品目別）　</t>
  </si>
  <si>
    <t>51.品目マスター　　　保守</t>
  </si>
  <si>
    <t>標準原価照会（品目別明細）</t>
  </si>
  <si>
    <t>特許料テーブル　照会</t>
  </si>
  <si>
    <t>52.構成マスター　　　保守</t>
  </si>
  <si>
    <t>標準原価履歴照会　　　　</t>
  </si>
  <si>
    <t>54.品目マスター　　　照会</t>
  </si>
  <si>
    <t>標準原価ﾘｽﾄ（品目別履歴）</t>
  </si>
  <si>
    <t>55.構成マスター　　　照会</t>
  </si>
  <si>
    <t>標準原価ﾘｽﾄ（品目別明細）</t>
  </si>
  <si>
    <t>57.品目マスター　　一覧表</t>
  </si>
  <si>
    <t>標準原価ﾘｽﾄ（機種品目別）</t>
  </si>
  <si>
    <t>金型償却費T 一覧表</t>
  </si>
  <si>
    <t>58.部品表　　　　　　出力</t>
  </si>
  <si>
    <t xml:space="preserve">標準原価期中変更ﾘｽﾄ        </t>
  </si>
  <si>
    <r>
      <rPr>
        <sz val="11"/>
        <color rgb="FF212529"/>
        <rFont val="Quattrocento Sans"/>
        <family val="2"/>
      </rPr>
      <t>61.</t>
    </r>
    <r>
      <rPr>
        <sz val="11"/>
        <color rgb="FF212529"/>
        <rFont val="ＭＳ ゴシック"/>
        <family val="3"/>
        <charset val="128"/>
      </rPr>
      <t>チェック表（品目別）　</t>
    </r>
  </si>
  <si>
    <t>CS2070</t>
  </si>
  <si>
    <t>標準原価期中変更ﾘｽﾄ(明細)</t>
  </si>
  <si>
    <r>
      <rPr>
        <sz val="11"/>
        <color rgb="FF212529"/>
        <rFont val="Quattrocento Sans"/>
        <family val="2"/>
      </rPr>
      <t xml:space="preserve">62. </t>
    </r>
    <r>
      <rPr>
        <sz val="11"/>
        <color rgb="FF212529"/>
        <rFont val="ＭＳ ゴシック"/>
        <family val="3"/>
        <charset val="128"/>
      </rPr>
      <t>ﾁｪｯｸ表（品目別明細）</t>
    </r>
  </si>
  <si>
    <t>CS2080</t>
  </si>
  <si>
    <t xml:space="preserve">実際労務費・経費率T  照会 </t>
  </si>
  <si>
    <t>63.品目別経費率マスタ保守</t>
  </si>
  <si>
    <t>CS0015</t>
  </si>
  <si>
    <t xml:space="preserve">実際労務費・経費率T一覧表 </t>
  </si>
  <si>
    <t>来期標準原価計算(NO-CPYF)</t>
  </si>
  <si>
    <t>81.標準原価変更処理　積上</t>
  </si>
  <si>
    <t>CS2221</t>
  </si>
  <si>
    <t xml:space="preserve">製番別実際原価照会　　　　  </t>
  </si>
  <si>
    <t>来期標準　間接費のみ再計算</t>
  </si>
  <si>
    <t>91.来期標準原価検討資料　</t>
  </si>
  <si>
    <t>CS5010C</t>
  </si>
  <si>
    <t xml:space="preserve">品番別実際原価照会　　　　  </t>
  </si>
  <si>
    <t>品目マスター　保守</t>
  </si>
  <si>
    <t>92.品目マスタ変更リスト　</t>
  </si>
  <si>
    <t>CS5014C</t>
  </si>
  <si>
    <t xml:space="preserve">受入ﾛｯﾄNo.別実際原価照会   </t>
  </si>
  <si>
    <t>構成マスター　保守</t>
  </si>
  <si>
    <t>01.標準原価照会（品目別）　</t>
  </si>
  <si>
    <t>CS2270</t>
  </si>
  <si>
    <t>受入ﾛｯﾄNo.別実際原価照会QRY</t>
  </si>
  <si>
    <r>
      <rPr>
        <sz val="11"/>
        <color rgb="FF212529"/>
        <rFont val="Quattrocento Sans"/>
        <family val="2"/>
      </rPr>
      <t>54.</t>
    </r>
    <r>
      <rPr>
        <sz val="11"/>
        <color rgb="FF212529"/>
        <rFont val="ＭＳ ゴシック"/>
        <family val="3"/>
        <charset val="128"/>
      </rPr>
      <t>品目マスター　　　照会</t>
    </r>
  </si>
  <si>
    <t>品目マスター　照会</t>
  </si>
  <si>
    <t>02.標準原価照会（品目別明細）</t>
  </si>
  <si>
    <t>CS2280</t>
  </si>
  <si>
    <t xml:space="preserve">原価差異明細表              </t>
  </si>
  <si>
    <t>構成マスター　照会</t>
  </si>
  <si>
    <t>03.標準原価履歴照会　　　　</t>
  </si>
  <si>
    <t>CS2290</t>
  </si>
  <si>
    <t>実際原価ﾘｽﾄ(機種・品目別)</t>
  </si>
  <si>
    <t>品目マスター　一覧表</t>
  </si>
  <si>
    <t>11.期中変更処理（積上げ）　</t>
  </si>
  <si>
    <t>CS2220</t>
  </si>
  <si>
    <t xml:space="preserve">製造原価見積書　　　　　　 </t>
  </si>
  <si>
    <t>PD1050@</t>
  </si>
  <si>
    <t>14.期中変更確定処理　　　　</t>
  </si>
  <si>
    <t>CS2225</t>
  </si>
  <si>
    <t xml:space="preserve">配賦間接費配賦計算書　　　 </t>
  </si>
  <si>
    <t>61.チェック表（品目別）</t>
  </si>
  <si>
    <t>チェック表（品目別）</t>
  </si>
  <si>
    <t>51.標準原価ﾘｽﾄ（品目別履歴）</t>
  </si>
  <si>
    <t>CS2120</t>
  </si>
  <si>
    <t xml:space="preserve">製造原価見積リスト　　　　 </t>
  </si>
  <si>
    <t>62. ﾁｪｯｸ表（品目別明細）</t>
  </si>
  <si>
    <t>52.標準原価ﾘｽﾄ（品目別明細）</t>
  </si>
  <si>
    <t>CS2130</t>
  </si>
  <si>
    <t xml:space="preserve">原価計算カード　　　　　　 </t>
  </si>
  <si>
    <t>品目別経費率マスタ保守</t>
  </si>
  <si>
    <t>53.標準原価ﾘｽﾄ（機種品目別）</t>
  </si>
  <si>
    <t>CS2140</t>
  </si>
  <si>
    <t xml:space="preserve">製番実績生産効率　　　　　 </t>
  </si>
  <si>
    <t>標準原価変更処理　積上</t>
  </si>
  <si>
    <t>55.標準原価期中変更ﾘｽﾄ</t>
  </si>
  <si>
    <t>CS2250</t>
  </si>
  <si>
    <t xml:space="preserve">品目別実際原価表　　　　　 </t>
  </si>
  <si>
    <t>来期標準原価検討資料</t>
  </si>
  <si>
    <t>56.標準原価期中変更ﾘｽﾄ(明細)</t>
  </si>
  <si>
    <t>CS2260</t>
  </si>
  <si>
    <t>品目マスタ変更リスト</t>
  </si>
  <si>
    <t>91.標準原価削除処理</t>
  </si>
  <si>
    <t>CS2300</t>
  </si>
  <si>
    <t>01.標準原価照会（品目別）</t>
  </si>
  <si>
    <t>標準原価当年度</t>
  </si>
  <si>
    <t>標準原価照会（品目別）</t>
  </si>
  <si>
    <t>01.実際労務費・経費率T 保守</t>
  </si>
  <si>
    <t>CS0050</t>
  </si>
  <si>
    <t>02.実際労務費・経費率T 照会</t>
  </si>
  <si>
    <t>CS0150</t>
  </si>
  <si>
    <t>03.標準原価履歴照会</t>
  </si>
  <si>
    <t>標準原価履歴照会</t>
  </si>
  <si>
    <t>03.実際労務費・経費率T一覧表</t>
  </si>
  <si>
    <t>CS0250</t>
  </si>
  <si>
    <t>期中変更処理（積上げ）</t>
  </si>
  <si>
    <r>
      <rPr>
        <sz val="11"/>
        <color rgb="FF212529"/>
        <rFont val="Quattrocento Sans"/>
        <family val="2"/>
      </rPr>
      <t>10.</t>
    </r>
    <r>
      <rPr>
        <sz val="11"/>
        <color rgb="FF212529"/>
        <rFont val="ＭＳ ゴシック"/>
        <family val="3"/>
        <charset val="128"/>
      </rPr>
      <t>実際原価計算処理</t>
    </r>
  </si>
  <si>
    <t>CS3010</t>
  </si>
  <si>
    <t>期中変更確定処理</t>
  </si>
  <si>
    <r>
      <rPr>
        <sz val="11"/>
        <color rgb="FF212529"/>
        <rFont val="Quattrocento Sans"/>
        <family val="2"/>
      </rPr>
      <t>21.</t>
    </r>
    <r>
      <rPr>
        <sz val="11"/>
        <color rgb="FF212529"/>
        <rFont val="ＭＳ ゴシック"/>
        <family val="3"/>
        <charset val="128"/>
      </rPr>
      <t>製番別実際原価照会</t>
    </r>
  </si>
  <si>
    <t>CS3400</t>
  </si>
  <si>
    <r>
      <rPr>
        <sz val="11"/>
        <color rgb="FF212529"/>
        <rFont val="Quattrocento Sans"/>
        <family val="2"/>
      </rPr>
      <t>22.</t>
    </r>
    <r>
      <rPr>
        <sz val="11"/>
        <color rgb="FF212529"/>
        <rFont val="ＭＳ ゴシック"/>
        <family val="3"/>
        <charset val="128"/>
      </rPr>
      <t>品番別実際原価照会</t>
    </r>
  </si>
  <si>
    <t>CS3390</t>
  </si>
  <si>
    <r>
      <rPr>
        <sz val="11"/>
        <color rgb="FF212529"/>
        <rFont val="Quattrocento Sans"/>
        <family val="2"/>
      </rPr>
      <t>23.</t>
    </r>
    <r>
      <rPr>
        <sz val="11"/>
        <color rgb="FF212529"/>
        <rFont val="ＭＳ ゴシック"/>
        <family val="3"/>
        <charset val="128"/>
      </rPr>
      <t>受入ﾛｯﾄ</t>
    </r>
    <r>
      <rPr>
        <sz val="11"/>
        <color rgb="FF212529"/>
        <rFont val="Segoe UI"/>
        <family val="2"/>
      </rPr>
      <t>?</t>
    </r>
    <r>
      <rPr>
        <sz val="11"/>
        <color rgb="FF212529"/>
        <rFont val="ＭＳ ゴシック"/>
        <family val="3"/>
        <charset val="128"/>
      </rPr>
      <t>別実際原価照会</t>
    </r>
  </si>
  <si>
    <t>CS3410C</t>
  </si>
  <si>
    <t>標準原価期中変更ﾘｽﾄ</t>
  </si>
  <si>
    <t>25.原価差異明細表</t>
  </si>
  <si>
    <t>CS5000</t>
  </si>
  <si>
    <t>31.実際原価ﾘｽﾄ(機種・品目別)</t>
  </si>
  <si>
    <t>CS3300</t>
  </si>
  <si>
    <t>標準原価削除処理</t>
  </si>
  <si>
    <t>実際原価</t>
  </si>
  <si>
    <t>実際労務費・経費率T 保守</t>
  </si>
  <si>
    <t>32.実際原価ﾘｽﾄ(品目別明細)</t>
  </si>
  <si>
    <t>CS3310</t>
  </si>
  <si>
    <t>実際労務費・経費率T 照会</t>
  </si>
  <si>
    <t>33.製造原価見積書　　　　　　</t>
  </si>
  <si>
    <t>CS3320</t>
  </si>
  <si>
    <t>実際労務費・経費率T一覧表</t>
  </si>
  <si>
    <t>34.配賦間接費配賦計算書　　　</t>
  </si>
  <si>
    <t>CS3330</t>
  </si>
  <si>
    <t>実際原価計算処理</t>
  </si>
  <si>
    <t>35.製造原価見積リスト　　　　</t>
  </si>
  <si>
    <t>CS3340</t>
  </si>
  <si>
    <t>21.製番別実際原価照会</t>
  </si>
  <si>
    <t>製番別実際原価照会</t>
  </si>
  <si>
    <t>36.原価計算カード　　　　　　</t>
  </si>
  <si>
    <t>CS3350</t>
  </si>
  <si>
    <t>22.品番別実際原価照会</t>
  </si>
  <si>
    <t>品番別実際原価照会</t>
  </si>
  <si>
    <t>37.製番実績生産効率　　　　　</t>
  </si>
  <si>
    <t>CS3370</t>
  </si>
  <si>
    <r>
      <rPr>
        <sz val="11"/>
        <color rgb="FF212529"/>
        <rFont val="Quattrocento Sans"/>
        <family val="2"/>
      </rPr>
      <t>23.</t>
    </r>
    <r>
      <rPr>
        <sz val="11"/>
        <color rgb="FF212529"/>
        <rFont val="ＭＳ ゴシック"/>
        <family val="3"/>
        <charset val="128"/>
      </rPr>
      <t>受入ﾛｯﾄ</t>
    </r>
    <r>
      <rPr>
        <sz val="11"/>
        <color rgb="FF212529"/>
        <rFont val="Segoe UI"/>
        <family val="2"/>
      </rPr>
      <t>No.</t>
    </r>
    <r>
      <rPr>
        <sz val="11"/>
        <color rgb="FF212529"/>
        <rFont val="ＭＳ ゴシック"/>
        <family val="3"/>
        <charset val="128"/>
      </rPr>
      <t>別実際原価照会</t>
    </r>
  </si>
  <si>
    <t>受入ﾛｯﾄNo.別実際原価照会</t>
  </si>
  <si>
    <t>38.品目別実際原価表　　　　　</t>
  </si>
  <si>
    <t>CS3380</t>
  </si>
  <si>
    <r>
      <rPr>
        <sz val="11"/>
        <color rgb="FF212529"/>
        <rFont val="Quattrocento Sans"/>
        <family val="2"/>
      </rPr>
      <t>24.</t>
    </r>
    <r>
      <rPr>
        <sz val="11"/>
        <color rgb="FF212529"/>
        <rFont val="ＭＳ ゴシック"/>
        <family val="3"/>
        <charset val="128"/>
      </rPr>
      <t>受入ﾛｯﾄ</t>
    </r>
    <r>
      <rPr>
        <sz val="11"/>
        <color rgb="FF212529"/>
        <rFont val="Segoe UI"/>
        <family val="2"/>
      </rPr>
      <t>No.</t>
    </r>
    <r>
      <rPr>
        <sz val="11"/>
        <color rgb="FF212529"/>
        <rFont val="ＭＳ ゴシック"/>
        <family val="3"/>
        <charset val="128"/>
      </rPr>
      <t>別実際原価照会</t>
    </r>
    <r>
      <rPr>
        <sz val="11"/>
        <color rgb="FF212529"/>
        <rFont val="Segoe UI"/>
        <family val="2"/>
      </rPr>
      <t>QRY</t>
    </r>
  </si>
  <si>
    <t>50.実際原価計算</t>
  </si>
  <si>
    <t>CS350A</t>
  </si>
  <si>
    <t>原価差異明細表</t>
  </si>
  <si>
    <t>51.実際原価計算(ﾃｽﾄ)</t>
  </si>
  <si>
    <t>CS350B</t>
  </si>
  <si>
    <t>52.原価差額処理</t>
  </si>
  <si>
    <t>CS360A</t>
  </si>
  <si>
    <t>02.仕入高合計一覧表（納入者順）</t>
  </si>
  <si>
    <t>AC4745</t>
  </si>
  <si>
    <t>仕入高合計一覧表（納入者順）</t>
  </si>
  <si>
    <t>実際原価ﾘｽﾄ(品目別明細)</t>
  </si>
  <si>
    <t>03.仕入高合計一覧表（金額順）</t>
  </si>
  <si>
    <t>AC4750</t>
  </si>
  <si>
    <t xml:space="preserve">仕入高合計一覧表（金額順） </t>
  </si>
  <si>
    <t>33.製造原価見積書</t>
  </si>
  <si>
    <t>製造原価見積書</t>
  </si>
  <si>
    <t>04.部課別月別仕入明細表　</t>
  </si>
  <si>
    <t xml:space="preserve">部課別月別仕入明細表　     </t>
  </si>
  <si>
    <t>34.配賦間接費配賦計算書</t>
  </si>
  <si>
    <t>配賦間接費配賦計算書</t>
  </si>
  <si>
    <t>05.仕入伝票明細表</t>
  </si>
  <si>
    <t>AC4775</t>
  </si>
  <si>
    <t xml:space="preserve">仕入伝票明細表             </t>
  </si>
  <si>
    <t>35.製造原価見積リスト</t>
  </si>
  <si>
    <t>製造原価見積リスト</t>
  </si>
  <si>
    <t>07.仕入金額集計表　部門別</t>
  </si>
  <si>
    <t>AC4785</t>
  </si>
  <si>
    <t xml:space="preserve">仕入金額集計表　部門別     </t>
  </si>
  <si>
    <t>36.原価計算カード</t>
  </si>
  <si>
    <t>原価計算カード</t>
  </si>
  <si>
    <t>08.科目別仕入金額部課別一覧</t>
  </si>
  <si>
    <t>AC7135</t>
  </si>
  <si>
    <t xml:space="preserve">科目別仕入金額部課別一覧   </t>
  </si>
  <si>
    <t>37.製番実績生産効率</t>
  </si>
  <si>
    <t>製番実績生産効率</t>
  </si>
  <si>
    <t>09.取引先別仕入実績推移表</t>
  </si>
  <si>
    <t>AC9061</t>
  </si>
  <si>
    <t xml:space="preserve">取引先別仕入実績推移表     </t>
  </si>
  <si>
    <t>38.品目別実際原価表</t>
  </si>
  <si>
    <t>品目別実際原価表</t>
  </si>
  <si>
    <t>11.仕入実績表　納入者・科目別</t>
  </si>
  <si>
    <t>MP2800</t>
  </si>
  <si>
    <t xml:space="preserve">仕入実績表　納入者・科目別 </t>
  </si>
  <si>
    <t>実際原価計算</t>
  </si>
  <si>
    <t>12.仕入実績表　納入・科目（経費</t>
  </si>
  <si>
    <t>AC4760</t>
  </si>
  <si>
    <t>仕入実績表　納入・科目（経費）</t>
  </si>
  <si>
    <t>実際原価計算(ﾃｽﾄ)</t>
  </si>
  <si>
    <t>13.仕入実績表　部課・科目別</t>
  </si>
  <si>
    <t>AC4765</t>
  </si>
  <si>
    <t xml:space="preserve">仕入実績表　部課・科目別   </t>
  </si>
  <si>
    <t>原価差額処理</t>
  </si>
  <si>
    <t>41.仕入予定金額（部課別）　</t>
  </si>
  <si>
    <t>AC4790</t>
  </si>
  <si>
    <t xml:space="preserve">仕入予定金額（部課別）　  </t>
  </si>
  <si>
    <t>仕入実績管理</t>
  </si>
  <si>
    <r>
      <rPr>
        <sz val="11"/>
        <color rgb="FF212529"/>
        <rFont val="Quattrocento Sans"/>
        <family val="2"/>
      </rPr>
      <t>42.</t>
    </r>
    <r>
      <rPr>
        <sz val="11"/>
        <color rgb="FF212529"/>
        <rFont val="ＭＳ ゴシック"/>
        <family val="3"/>
        <charset val="128"/>
      </rPr>
      <t>仕入予定金額集計表（部門別</t>
    </r>
    <r>
      <rPr>
        <sz val="11"/>
        <color rgb="FF212529"/>
        <rFont val="ＭＳ ゴシック"/>
        <family val="3"/>
        <charset val="128"/>
      </rPr>
      <t>）</t>
    </r>
  </si>
  <si>
    <t>AC7120</t>
  </si>
  <si>
    <t>仕入予定金額集計表（部門別）</t>
  </si>
  <si>
    <t>仕入高合計一覧表（金額順）</t>
  </si>
  <si>
    <t>43.仕入実績＆予定内訳　　　　</t>
  </si>
  <si>
    <t>AC7130</t>
  </si>
  <si>
    <t>仕入実績＆予定内訳　　　　</t>
  </si>
  <si>
    <t>04.部課別月別仕入明細表</t>
  </si>
  <si>
    <t>部課別月別仕入明細表</t>
  </si>
  <si>
    <t>51.仕入照会（勘定科目検索）　</t>
  </si>
  <si>
    <t>AC7138</t>
  </si>
  <si>
    <t>仕入照会（勘定科目検索）　</t>
  </si>
  <si>
    <t>仕入伝票明細表</t>
  </si>
  <si>
    <t>52.仕入予定金額照会　　　　　</t>
  </si>
  <si>
    <t>AC6315</t>
  </si>
  <si>
    <t>仕入予定金額照会　　　　　</t>
  </si>
  <si>
    <t>仕入金額集計表　部門別</t>
  </si>
  <si>
    <t>53.品目別平均仕入単価照会　　</t>
  </si>
  <si>
    <t>MP7150</t>
  </si>
  <si>
    <t>品目別平均仕入単価照会　　</t>
  </si>
  <si>
    <t>科目別仕入金額部課別一覧</t>
  </si>
  <si>
    <t>60.納期回答調査表印刷　　　　</t>
  </si>
  <si>
    <t>PD3690</t>
  </si>
  <si>
    <t>納期回答調査表印刷　　　　</t>
  </si>
  <si>
    <t>取引先別仕入実績推移表</t>
  </si>
  <si>
    <t>61.仕入・出庫伝票表 　　　</t>
  </si>
  <si>
    <t>AC4730</t>
  </si>
  <si>
    <t>仕入・出庫伝票表  　　　</t>
  </si>
  <si>
    <t>仕入実績表　納入者・科目別</t>
  </si>
  <si>
    <t>01.作業工数チェックリスト</t>
  </si>
  <si>
    <t xml:space="preserve">作業工数チェックリスト   </t>
  </si>
  <si>
    <r>
      <rPr>
        <sz val="11"/>
        <color rgb="FF212529"/>
        <rFont val="Quattrocento Sans"/>
        <family val="2"/>
      </rPr>
      <t>12.</t>
    </r>
    <r>
      <rPr>
        <sz val="11"/>
        <color rgb="FF212529"/>
        <rFont val="ＭＳ ゴシック"/>
        <family val="3"/>
        <charset val="128"/>
      </rPr>
      <t>仕入実績表　納入・科目（経費</t>
    </r>
    <r>
      <rPr>
        <sz val="11"/>
        <color rgb="FF212529"/>
        <rFont val="ＭＳ Ｐゴシック"/>
        <family val="3"/>
        <charset val="128"/>
      </rPr>
      <t>）</t>
    </r>
  </si>
  <si>
    <r>
      <rPr>
        <sz val="11"/>
        <color rgb="FF212529"/>
        <rFont val="Quattrocento Sans"/>
        <family val="2"/>
      </rPr>
      <t>12.</t>
    </r>
    <r>
      <rPr>
        <sz val="11"/>
        <color rgb="FF212529"/>
        <rFont val="ＭＳ ゴシック"/>
        <family val="3"/>
        <charset val="128"/>
      </rPr>
      <t>仕入実績表　納入・科目（経費）</t>
    </r>
  </si>
  <si>
    <t>02.イニシャル別品目リスト</t>
  </si>
  <si>
    <t xml:space="preserve">イニシャル別品目リスト   </t>
  </si>
  <si>
    <t>仕入実績表　部課・科目別</t>
  </si>
  <si>
    <t>03.生産統轄先行手配リスト</t>
  </si>
  <si>
    <t xml:space="preserve">生産統轄先行手配リスト   </t>
  </si>
  <si>
    <t>41.仕入予定金額（部課別）</t>
  </si>
  <si>
    <t>仕入予定金額（部課別）</t>
  </si>
  <si>
    <t>04.起源製番　　　　照会　</t>
  </si>
  <si>
    <t xml:space="preserve">起源製番　　　　照会　   </t>
  </si>
  <si>
    <t>42.仕入予定金額集計表（部門別）</t>
  </si>
  <si>
    <t>05.ユニット展開単位リスト</t>
  </si>
  <si>
    <t xml:space="preserve">ユニット展開単位リスト   </t>
  </si>
  <si>
    <t>43.仕入実績＆予定内訳</t>
  </si>
  <si>
    <t>仕入実績＆予定内訳</t>
  </si>
  <si>
    <t>06.機種コード別品目リスト</t>
  </si>
  <si>
    <t xml:space="preserve">機種コード別品目リスト                               </t>
  </si>
  <si>
    <t>51.仕入照会（勘定科目検索）</t>
  </si>
  <si>
    <t>仕入照会（勘定科目検索）</t>
  </si>
  <si>
    <t>11.部課別機種別生産実績集計表</t>
  </si>
  <si>
    <t>AC7200</t>
  </si>
  <si>
    <t xml:space="preserve">部課別機種別生産実績集計表 </t>
  </si>
  <si>
    <t>52.仕入予定金額照会</t>
  </si>
  <si>
    <t>仕入予定金額照会</t>
  </si>
  <si>
    <t>12.完成台数製造原価集計表</t>
  </si>
  <si>
    <t>SA7230</t>
  </si>
  <si>
    <t xml:space="preserve">完成台数製造原価集計表     </t>
  </si>
  <si>
    <t>53.品目別平均仕入単価照会</t>
  </si>
  <si>
    <t>品目別平均仕入単価照会</t>
  </si>
  <si>
    <t>13.取引先タックシール作成（６行</t>
  </si>
  <si>
    <t>MP0026A</t>
  </si>
  <si>
    <t>取引先タックシール作成（６行</t>
  </si>
  <si>
    <t>60.納期回答調査表印刷</t>
  </si>
  <si>
    <t>納期回答調査表印刷</t>
  </si>
  <si>
    <t>14.有償支給明細書　　　　　　　</t>
  </si>
  <si>
    <t>PD8170</t>
  </si>
  <si>
    <t>有償支給明細書　　　　　　　</t>
  </si>
  <si>
    <t>61.仕入・出庫伝票表</t>
  </si>
  <si>
    <t>仕入・出庫伝票表</t>
  </si>
  <si>
    <t>15.送り状作成（手動）　　　　</t>
  </si>
  <si>
    <t>送り状作成（手動）　　　　</t>
  </si>
  <si>
    <t>その他</t>
  </si>
  <si>
    <t>作業工数チェックリスト</t>
  </si>
  <si>
    <t>16.発送先固有情報マスタ保守　　</t>
  </si>
  <si>
    <t>SA0130</t>
  </si>
  <si>
    <t xml:space="preserve">発送先固有情報マスタ保守　　                            </t>
  </si>
  <si>
    <t>イニシャル別品目リスト</t>
  </si>
  <si>
    <t>21.社員番号検索　　　　　　　　</t>
  </si>
  <si>
    <t>PR0035</t>
  </si>
  <si>
    <t>社員番号検索　　　　　　　　</t>
  </si>
  <si>
    <t>生産統轄先行手配リスト</t>
  </si>
  <si>
    <t>22.社員番号検索・特別　　　　　</t>
  </si>
  <si>
    <t>PR0035S</t>
  </si>
  <si>
    <t>社員番号検索・特別　　　　　</t>
  </si>
  <si>
    <t>起源製番　照会</t>
  </si>
  <si>
    <t>23.在庫引当状況照会</t>
  </si>
  <si>
    <t xml:space="preserve">在庫引当状況照会           </t>
  </si>
  <si>
    <t>ユニット展開単位リスト</t>
  </si>
  <si>
    <t>31.総合実績　特別原価内訳照会　</t>
  </si>
  <si>
    <t>MS9440</t>
  </si>
  <si>
    <t>総合実績　特別原価内訳照会　</t>
  </si>
  <si>
    <t>機種コード別品目リスト</t>
  </si>
  <si>
    <t>41.部課別出庫伝票集計表</t>
  </si>
  <si>
    <t>AC0820</t>
  </si>
  <si>
    <t xml:space="preserve">部課別出庫伝票集計表         </t>
  </si>
  <si>
    <t>部課別機種別生産実績集計表</t>
  </si>
  <si>
    <t>42.有償支給単価マスターメンテ</t>
  </si>
  <si>
    <t>SA0240</t>
  </si>
  <si>
    <t xml:space="preserve">有償支給単価マスターメンテ   </t>
  </si>
  <si>
    <t>完成台数製造原価集計表</t>
  </si>
  <si>
    <t>43.有償レートマスターメンテ</t>
  </si>
  <si>
    <t>SA0250</t>
  </si>
  <si>
    <t xml:space="preserve">有償レートマスターメンテ     </t>
  </si>
  <si>
    <t>44.海外拠点品目マスターメンテ</t>
  </si>
  <si>
    <t>SA0260</t>
  </si>
  <si>
    <t xml:space="preserve">海外拠点品目マスターメンテ   </t>
  </si>
  <si>
    <t>有償支給明細書</t>
  </si>
  <si>
    <t>45.有償支給単価マスター照会</t>
  </si>
  <si>
    <t>SA1690</t>
  </si>
  <si>
    <t xml:space="preserve">有償支給単価マスター照会     </t>
  </si>
  <si>
    <t>46.海外拠点品目マスター照会</t>
  </si>
  <si>
    <t>SA1700</t>
  </si>
  <si>
    <t xml:space="preserve">海外拠点品目マスター照会     </t>
  </si>
  <si>
    <t>発送先固有情報マスタ保守</t>
  </si>
  <si>
    <r>
      <rPr>
        <sz val="11"/>
        <color rgb="FF212529"/>
        <rFont val="Quattrocento Sans"/>
        <family val="2"/>
      </rPr>
      <t>51. HK P/O</t>
    </r>
    <r>
      <rPr>
        <sz val="11"/>
        <color rgb="FF212529"/>
        <rFont val="ＭＳ ゴシック"/>
        <family val="3"/>
        <charset val="128"/>
      </rPr>
      <t>出荷対象在庫一覧</t>
    </r>
  </si>
  <si>
    <t xml:space="preserve">HK P/O出荷対象在庫一覧      </t>
  </si>
  <si>
    <t>社員番号検索</t>
  </si>
  <si>
    <t>52. HK P/O完了分一覧</t>
  </si>
  <si>
    <t xml:space="preserve">HK P/O完了分一覧            </t>
  </si>
  <si>
    <t>社員番号検索・特別</t>
  </si>
  <si>
    <t>53.資産付加情報保守</t>
  </si>
  <si>
    <t>AC9210</t>
  </si>
  <si>
    <t xml:space="preserve">資産付加情報保守             </t>
  </si>
  <si>
    <t>54.資産付加情報照会</t>
  </si>
  <si>
    <t>AC9250</t>
  </si>
  <si>
    <t xml:space="preserve">資産付加情報照会             </t>
  </si>
  <si>
    <t>総合実績　特別原価内訳照会</t>
  </si>
  <si>
    <t>61. MRP展開単位相違品目一覧</t>
  </si>
  <si>
    <t xml:space="preserve">MRP展開単位相違品目一覧     </t>
  </si>
  <si>
    <t>部課別出庫伝票集計表</t>
  </si>
  <si>
    <t>62.発注必要ﾕﾆｯﾄ展開単位一覧001</t>
  </si>
  <si>
    <t>発注必要ﾕﾆｯﾄ展開単位一覧001</t>
  </si>
  <si>
    <t>有償支給単価マスターメンテ</t>
  </si>
  <si>
    <t>63.発注必要ﾕﾆｯﾄ展開単位一覧002</t>
  </si>
  <si>
    <t>発注必要ﾕﾆｯﾄ展開単位一覧002</t>
  </si>
  <si>
    <t>有償レートマスターメンテ</t>
  </si>
  <si>
    <t>64.製番無在庫・発注有り品目一覧</t>
  </si>
  <si>
    <t xml:space="preserve">製番無在庫・発注有り品目一覧 </t>
  </si>
  <si>
    <t>海外拠点品目マスターメンテ</t>
  </si>
  <si>
    <t>71.完成品入庫データ一覧表</t>
  </si>
  <si>
    <t xml:space="preserve">完成品入庫データ一覧表       </t>
  </si>
  <si>
    <t>有償支給単価マスター照会</t>
  </si>
  <si>
    <t>81.受注一覧表ダウンロード</t>
  </si>
  <si>
    <t xml:space="preserve">受注一覧表ダウンロード       </t>
  </si>
  <si>
    <t>海外拠点品目マスター照会</t>
  </si>
  <si>
    <r>
      <rPr>
        <sz val="11"/>
        <color rgb="FF212529"/>
        <rFont val="Quattrocento Sans"/>
        <family val="2"/>
      </rPr>
      <t>01.</t>
    </r>
    <r>
      <rPr>
        <sz val="11"/>
        <color rgb="FF212529"/>
        <rFont val="ＭＳ ゴシック"/>
        <family val="3"/>
        <charset val="128"/>
      </rPr>
      <t>部門名称ファイル</t>
    </r>
  </si>
  <si>
    <t>MS0200</t>
  </si>
  <si>
    <t>51. HK P/O出荷対象在庫一覧</t>
  </si>
  <si>
    <t>HK P/O出荷対象在庫一覧</t>
  </si>
  <si>
    <t>02.部課コード／部門関連ファイル</t>
  </si>
  <si>
    <t>MS0300</t>
  </si>
  <si>
    <t>HK P/O完了分一覧</t>
  </si>
  <si>
    <t>03.部門分類マスター</t>
  </si>
  <si>
    <t>MS1900</t>
  </si>
  <si>
    <t>資産付加情報保守</t>
  </si>
  <si>
    <t>04.帳票別印刷列保守</t>
  </si>
  <si>
    <t>MS1920</t>
  </si>
  <si>
    <t>資産付加情報照会</t>
  </si>
  <si>
    <t>05.摘要マスター保守</t>
  </si>
  <si>
    <t>MS2300</t>
  </si>
  <si>
    <t>MRP展開単位相違品目一覧</t>
  </si>
  <si>
    <t>06.勘定科目マスター保守</t>
  </si>
  <si>
    <t>MS2400</t>
  </si>
  <si>
    <t>07.親勘定科目マスター保守</t>
  </si>
  <si>
    <t>MS2500</t>
  </si>
  <si>
    <t>08.勘定科目ストラクチャー保守</t>
  </si>
  <si>
    <t>MS2600</t>
  </si>
  <si>
    <t>製番無在庫・発注有り品目一覧</t>
  </si>
  <si>
    <t>09.勘定科目・摘要コード関連保守</t>
  </si>
  <si>
    <t>MS2700</t>
  </si>
  <si>
    <t>完成品入庫データ一覧表</t>
  </si>
  <si>
    <t>10.親得意先マスター</t>
  </si>
  <si>
    <t>MS1500</t>
  </si>
  <si>
    <t>11.得意先親子関連付マスター</t>
  </si>
  <si>
    <t>MS1510</t>
  </si>
  <si>
    <t>01.部門名称ファイル</t>
  </si>
  <si>
    <t>財務システム</t>
  </si>
  <si>
    <t>部門名称ファイル</t>
  </si>
  <si>
    <t>12.償却率マスター</t>
  </si>
  <si>
    <t>MS0190</t>
  </si>
  <si>
    <t>部課コード／部門関連ファイル</t>
  </si>
  <si>
    <t>13.地区コードマスター</t>
  </si>
  <si>
    <t>MS1400</t>
  </si>
  <si>
    <t>部門分類マスター</t>
  </si>
  <si>
    <t>14.通貨コードマスター</t>
  </si>
  <si>
    <t>MS6000</t>
  </si>
  <si>
    <t>帳票別印刷列保守</t>
  </si>
  <si>
    <t>15.消費税率マスター</t>
  </si>
  <si>
    <t>MS0700</t>
  </si>
  <si>
    <t>摘要マスター保守</t>
  </si>
  <si>
    <t>16.支払代行マスタ000***ｺｰﾄﾞ用</t>
  </si>
  <si>
    <t>DF¥FDCMSP</t>
  </si>
  <si>
    <t>勘定科目マスター保守</t>
  </si>
  <si>
    <t>17.支払代行マスタ3*****ｺｰﾄﾞ用</t>
  </si>
  <si>
    <t>DF¥FDCMSP2</t>
  </si>
  <si>
    <t>親勘定科目マスター保守</t>
  </si>
  <si>
    <t>41.税区分ファイル</t>
  </si>
  <si>
    <t>DF¥ZKB</t>
  </si>
  <si>
    <t>勘定科目ストラクチャー保守</t>
  </si>
  <si>
    <t>42.取引先ファイル・銀行区分　</t>
  </si>
  <si>
    <t>DF¥TRI</t>
  </si>
  <si>
    <t>勘定科目・摘要コード関連保守</t>
  </si>
  <si>
    <t>43.経費集計印刷順ファイル入力</t>
  </si>
  <si>
    <t>AC8519</t>
  </si>
  <si>
    <t>親得意先マスター</t>
  </si>
  <si>
    <t>44.振込手数料マスターﾒﾝﾃﾅﾝｽ</t>
  </si>
  <si>
    <t>MS0600</t>
  </si>
  <si>
    <t>得意先親子関連付マスター</t>
  </si>
  <si>
    <t>45. ﾕｰｻﾞｰｺﾝﾄﾛｰﾙﾌｧｲﾙ ﾒﾝﾃﾅﾝｽ</t>
  </si>
  <si>
    <t>MS0110</t>
  </si>
  <si>
    <t>償却率マスター</t>
  </si>
  <si>
    <t>46.自治体コードマスターﾒﾝﾃﾅﾝｽ</t>
  </si>
  <si>
    <t>MS0160</t>
  </si>
  <si>
    <t>地区コードマスター</t>
  </si>
  <si>
    <t>47.固定資産保管場所マスタﾒﾝﾃﾅﾝｽ</t>
  </si>
  <si>
    <t>MS0180</t>
  </si>
  <si>
    <t>通貨コードマスター</t>
  </si>
  <si>
    <t>01.勘定科目マスター照会</t>
  </si>
  <si>
    <t>MS1620</t>
  </si>
  <si>
    <t>消費税率マスター</t>
  </si>
  <si>
    <t>02.帳票名称照会　　　　　</t>
  </si>
  <si>
    <t>MS1920X</t>
  </si>
  <si>
    <t>支払代行マスタ000***ｺｰﾄﾞ用</t>
  </si>
  <si>
    <t>03.地区コードマスター　　</t>
  </si>
  <si>
    <t>MS2200</t>
  </si>
  <si>
    <t>支払代行マスタ3*****ｺｰﾄﾞ用</t>
  </si>
  <si>
    <t>04.地区分類コードマスター</t>
  </si>
  <si>
    <t>MS2210</t>
  </si>
  <si>
    <t>税区分ファイル</t>
  </si>
  <si>
    <t>05.イニシャルマスター　　</t>
  </si>
  <si>
    <t>MS1700</t>
  </si>
  <si>
    <t>取引先ファイル・銀行区分</t>
  </si>
  <si>
    <t>01.部門分類マスター一覧表</t>
  </si>
  <si>
    <t>MS1930</t>
  </si>
  <si>
    <t>経費集計印刷順ファイル入力</t>
  </si>
  <si>
    <t>02.勘定科目ｽﾄﾗｸﾁｬｰﾏｽﾀｰﾘｽﾄ</t>
  </si>
  <si>
    <t>MS2610</t>
  </si>
  <si>
    <t>振込手数料マスターﾒﾝﾃﾅﾝｽ</t>
  </si>
  <si>
    <t>03.摘要／科目・摘要ﾏｽﾀｰﾘｽﾄ</t>
  </si>
  <si>
    <t>ﾕｰｻﾞｰｺﾝﾄﾛｰﾙﾌｧｲﾙ ﾒﾝﾃﾅﾝｽ</t>
  </si>
  <si>
    <t>04.部門マスター</t>
  </si>
  <si>
    <t>自治体コードマスターﾒﾝﾃﾅﾝｽ</t>
  </si>
  <si>
    <t>05.都道府県別銀行一覧</t>
  </si>
  <si>
    <t>MS2120</t>
  </si>
  <si>
    <t>固定資産保管場所マスタﾒﾝﾃﾅﾝｽ</t>
  </si>
  <si>
    <t>06.親子取引先住所相違リスト</t>
  </si>
  <si>
    <t>勘定科目マスター照会</t>
  </si>
  <si>
    <t>07.親得意先マスター一覧表　</t>
  </si>
  <si>
    <t>帳票名称照会</t>
  </si>
  <si>
    <t>08.得意先一覧表（親コード付き）</t>
  </si>
  <si>
    <t>MS1545</t>
  </si>
  <si>
    <t>09.取引先固有情報ﾏｽﾀｰコード順</t>
  </si>
  <si>
    <t>AC0006A</t>
  </si>
  <si>
    <t>地区分類コードマスター</t>
  </si>
  <si>
    <t>10.自治体コードマスター</t>
  </si>
  <si>
    <t>イニシャルマスター</t>
  </si>
  <si>
    <t>11.固定資産保管場所マスター</t>
  </si>
  <si>
    <t>MS0185</t>
  </si>
  <si>
    <t>部門分類マスター一覧表</t>
  </si>
  <si>
    <t>11.振替データ更新</t>
  </si>
  <si>
    <t>AC1900</t>
  </si>
  <si>
    <t>勘定科目ｽﾄﾗｸﾁｬｰﾏｽﾀｰﾘｽﾄ</t>
  </si>
  <si>
    <t>21.貸借科目集計ﾌｧｲﾙ年次更新</t>
  </si>
  <si>
    <t>AC7000B</t>
  </si>
  <si>
    <t>22.貸借科目外貨ﾌｧｲﾙ年次更新</t>
  </si>
  <si>
    <t>AC1960B</t>
  </si>
  <si>
    <t>部門マスター</t>
  </si>
  <si>
    <t>31.貸借・損益科目集計ﾌｧｲﾙ再計算</t>
  </si>
  <si>
    <t>都道府県別銀行一覧</t>
  </si>
  <si>
    <t>81.振替伝票雛型入力</t>
  </si>
  <si>
    <t>ZM3070</t>
  </si>
  <si>
    <t>親子取引先住所相違リスト</t>
  </si>
  <si>
    <t>82.振替伝票申請入力</t>
  </si>
  <si>
    <t>ZM3080</t>
  </si>
  <si>
    <t>親得意先マスター一覧表</t>
  </si>
  <si>
    <t>83.振替伝票一括取込CSV--&gt;AS400</t>
  </si>
  <si>
    <t>PD9220</t>
  </si>
  <si>
    <t>得意先一覧表（親コード付き）</t>
  </si>
  <si>
    <t>84.振替伝票承認入力</t>
  </si>
  <si>
    <t>ZM3100</t>
  </si>
  <si>
    <t>取引先固有情報ﾏｽﾀｰコード順</t>
  </si>
  <si>
    <t>41.振替伝票データ照会　　　　</t>
  </si>
  <si>
    <t>AC7005</t>
  </si>
  <si>
    <t>自治体コードマスター</t>
  </si>
  <si>
    <t>71.固定振替申請入力 　　</t>
  </si>
  <si>
    <t>ZM3030</t>
  </si>
  <si>
    <t>固定資産保管場所マスター</t>
  </si>
  <si>
    <t>72.固定振替申請承認入力　　　</t>
  </si>
  <si>
    <t>ZM3040</t>
  </si>
  <si>
    <t>ＯＣＲ処理・伝票入力</t>
  </si>
  <si>
    <t>振替データ更新</t>
  </si>
  <si>
    <t>73.固定振替伝票入力 　　</t>
  </si>
  <si>
    <t>ZM3050</t>
  </si>
  <si>
    <t>貸借科目集計ﾌｧｲﾙ年次更新</t>
  </si>
  <si>
    <t>74.固定・定型振替伝票承認入力</t>
  </si>
  <si>
    <t>ZM3060</t>
  </si>
  <si>
    <t>貸借科目外貨ﾌｧｲﾙ年次更新</t>
  </si>
  <si>
    <t>75.定型振替申請入力 　　</t>
  </si>
  <si>
    <t>反応しない(権限がないから？)</t>
  </si>
  <si>
    <r>
      <rPr>
        <sz val="11"/>
        <color rgb="FF212529"/>
        <rFont val="Quattrocento Sans"/>
        <family val="2"/>
      </rPr>
      <t>31.</t>
    </r>
    <r>
      <rPr>
        <sz val="11"/>
        <color rgb="FF212529"/>
        <rFont val="ＭＳ ゴシック"/>
        <family val="3"/>
        <charset val="128"/>
      </rPr>
      <t>貸借・損益科目集計ﾌｧｲﾙ再計算</t>
    </r>
  </si>
  <si>
    <t>貸借・損益科目集計ﾌｧｲﾙ再計算</t>
  </si>
  <si>
    <t>76.定型振替申請承認入力　　　</t>
  </si>
  <si>
    <t>振替伝票雛型入力</t>
  </si>
  <si>
    <t>77.定型振替伝票入力 　　</t>
  </si>
  <si>
    <t>振替伝票申請入力</t>
  </si>
  <si>
    <t>79.固定定型振替伝票リスト　　</t>
  </si>
  <si>
    <t>ZM5060</t>
  </si>
  <si>
    <t>振替伝票一括取込CSV--&gt;AS400</t>
  </si>
  <si>
    <t>80.固定定型振替申請?振替?照会</t>
  </si>
  <si>
    <t>ZM2020</t>
  </si>
  <si>
    <t>固定定型振替申請No.振替No.照会</t>
  </si>
  <si>
    <t>振替伝票承認入力</t>
  </si>
  <si>
    <t>85.振替申請?・振替?照会</t>
  </si>
  <si>
    <t>ZM2010</t>
  </si>
  <si>
    <t>振替申請No.・振替No.照会</t>
  </si>
  <si>
    <t>41.振替伝票データ照会</t>
  </si>
  <si>
    <t>振替伝票データ照会</t>
  </si>
  <si>
    <t>86.雛型・振替伝票リスト</t>
  </si>
  <si>
    <t>ZM5070</t>
  </si>
  <si>
    <t>71.固定振替申請入力</t>
  </si>
  <si>
    <t>固定振替申請入力</t>
  </si>
  <si>
    <t>01.売上自動振替データ作成</t>
  </si>
  <si>
    <t>MM6000</t>
  </si>
  <si>
    <t>72.固定振替申請承認入力</t>
  </si>
  <si>
    <t>固定振替申請承認入力</t>
  </si>
  <si>
    <t>11.業務別売上金額部課別一覧</t>
  </si>
  <si>
    <t>AC9021</t>
  </si>
  <si>
    <t>73.固定振替伝票入力</t>
  </si>
  <si>
    <t>固定振替伝票入力</t>
  </si>
  <si>
    <t>21.売上振替業務月度完了処理</t>
  </si>
  <si>
    <t>AC9014</t>
  </si>
  <si>
    <t>固定・定型振替伝票承認入力</t>
  </si>
  <si>
    <t>41.自動仕訳データ転送（売上</t>
  </si>
  <si>
    <t>AC7013</t>
  </si>
  <si>
    <t>75.定型振替申請入力</t>
  </si>
  <si>
    <t>定型振替申請入力</t>
  </si>
  <si>
    <t>42.自動仕訳データ伝票発行</t>
  </si>
  <si>
    <t>AC1951</t>
  </si>
  <si>
    <t>76.定型振替申請承認入力</t>
  </si>
  <si>
    <t>定型振替申請承認入力</t>
  </si>
  <si>
    <t>51.業務別売上金額合計表</t>
  </si>
  <si>
    <t>AC7018</t>
  </si>
  <si>
    <t>77.定型振替伝票入力</t>
  </si>
  <si>
    <t>定型振替伝票入力</t>
  </si>
  <si>
    <t>01.仕入自動振替データ作成</t>
  </si>
  <si>
    <t>AC9050</t>
  </si>
  <si>
    <t>79.固定定型振替伝票リスト</t>
  </si>
  <si>
    <t>固定定型振替伝票リスト</t>
  </si>
  <si>
    <t>11.科目別仕入金額部課別一覧</t>
  </si>
  <si>
    <t>80.固定定型振替申請No.振替No.照会</t>
  </si>
  <si>
    <r>
      <rPr>
        <sz val="11"/>
        <color rgb="FF212529"/>
        <rFont val="Quattrocento Sans"/>
        <family val="2"/>
      </rPr>
      <t>80.</t>
    </r>
    <r>
      <rPr>
        <sz val="11"/>
        <color rgb="FF212529"/>
        <rFont val="ＭＳ ゴシック"/>
        <family val="3"/>
        <charset val="128"/>
      </rPr>
      <t>固定定型振替申請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</si>
  <si>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21.仕入振替業務月度完了処理</t>
  </si>
  <si>
    <t>AC9054</t>
  </si>
  <si>
    <t>85.振替申請No.・振替No.照会</t>
  </si>
  <si>
    <r>
      <rPr>
        <sz val="11"/>
        <color rgb="FF212529"/>
        <rFont val="Quattrocento Sans"/>
        <family val="2"/>
      </rPr>
      <t>85.</t>
    </r>
    <r>
      <rPr>
        <sz val="11"/>
        <color rgb="FF212529"/>
        <rFont val="ＭＳ ゴシック"/>
        <family val="3"/>
        <charset val="128"/>
      </rPr>
      <t>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</si>
  <si>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41.自動仕訳データ転送（仕入）</t>
  </si>
  <si>
    <t>AC7014</t>
  </si>
  <si>
    <t>雛型・振替伝票リスト</t>
  </si>
  <si>
    <t>AC1952</t>
  </si>
  <si>
    <t>自動仕訳処理</t>
  </si>
  <si>
    <t>売上振替処理</t>
  </si>
  <si>
    <t>売上自動振替データ作成</t>
  </si>
  <si>
    <t>51.３部門別仕入振替金額合計表</t>
  </si>
  <si>
    <t>AC7020</t>
  </si>
  <si>
    <t>業務別売上金額部課別一覧</t>
  </si>
  <si>
    <t>01.支払手形自動振替データ作成</t>
  </si>
  <si>
    <t>AC9090</t>
  </si>
  <si>
    <t>売上振替業務月度完了処理</t>
  </si>
  <si>
    <t>11.支払手形自動振替データ一覧</t>
  </si>
  <si>
    <t>AC9093</t>
  </si>
  <si>
    <t>自動仕訳データ転送（売上</t>
  </si>
  <si>
    <t>41.自動仕訳データ転送（支手）</t>
  </si>
  <si>
    <t>AC9095</t>
  </si>
  <si>
    <t>自動仕訳データ伝票発行</t>
  </si>
  <si>
    <t>AC1954</t>
  </si>
  <si>
    <t>業務別売上金額合計表</t>
  </si>
  <si>
    <t>01.経費自動振替データ作成</t>
  </si>
  <si>
    <t>AT0200A</t>
  </si>
  <si>
    <t>仕入振替処理</t>
  </si>
  <si>
    <t>仕入自動振替データ作成</t>
  </si>
  <si>
    <t>11.経費関係振替データ一覧</t>
  </si>
  <si>
    <t>AT0210</t>
  </si>
  <si>
    <t>21.経費振替業務月度完了処理</t>
  </si>
  <si>
    <t>AT0204</t>
  </si>
  <si>
    <t>仕入振替業務月度完了処理</t>
  </si>
  <si>
    <t>41.自動仕訳データ転送（経費）</t>
  </si>
  <si>
    <t>AT0220</t>
  </si>
  <si>
    <t>自動仕訳データ転送（仕入）</t>
  </si>
  <si>
    <t>AT0221</t>
  </si>
  <si>
    <t>自動仕訳データ転送・更新</t>
  </si>
  <si>
    <t>AC7012</t>
  </si>
  <si>
    <t>３部門別仕入振替金額合計表</t>
  </si>
  <si>
    <t>01.総勘定元帳</t>
  </si>
  <si>
    <t>AC1700A</t>
  </si>
  <si>
    <t>支払手形振替処理</t>
  </si>
  <si>
    <t>支払手形自動振替データ作成</t>
  </si>
  <si>
    <t>02.相手先元帳</t>
  </si>
  <si>
    <t>AC1710A</t>
  </si>
  <si>
    <t>支払手形自動振替データ一覧</t>
  </si>
  <si>
    <t>03.摘要元帳</t>
  </si>
  <si>
    <t>AC1720A</t>
  </si>
  <si>
    <t>自動仕訳データ転送（支手）</t>
  </si>
  <si>
    <t>04.部課元帳</t>
  </si>
  <si>
    <t>AC1730A</t>
  </si>
  <si>
    <t>05.貸借対照表・損益計算書等　</t>
  </si>
  <si>
    <t>AC1740A</t>
  </si>
  <si>
    <t>AT0200A-2</t>
  </si>
  <si>
    <t>経費振替処理</t>
  </si>
  <si>
    <t>経費自動振替データ作成</t>
  </si>
  <si>
    <t>06.業務別３部門振替金額合計表</t>
  </si>
  <si>
    <t>AC7015</t>
  </si>
  <si>
    <t>経費関係振替データ一覧</t>
  </si>
  <si>
    <t>08.勘定科目残高内訳表</t>
  </si>
  <si>
    <t>AC1760</t>
  </si>
  <si>
    <t>経費振替業務月度完了処理</t>
  </si>
  <si>
    <t>09.外貨建相手先元帳</t>
  </si>
  <si>
    <t>AC1973</t>
  </si>
  <si>
    <t>自動仕訳データ転送（経費）</t>
  </si>
  <si>
    <t>41.振替伝票明細（科目・部課）</t>
  </si>
  <si>
    <t>AC1735</t>
  </si>
  <si>
    <t>42.振替伝票明細（科目・相手先）</t>
  </si>
  <si>
    <t>AC1715</t>
  </si>
  <si>
    <t>41.自動仕訳データ転送・更新</t>
  </si>
  <si>
    <t>43.振替伝票明細（科目・摘要）</t>
  </si>
  <si>
    <t>AC1725</t>
  </si>
  <si>
    <t>元帳／財務諸表</t>
  </si>
  <si>
    <t>総勘定元帳</t>
  </si>
  <si>
    <t>44.振替伝票集計表</t>
  </si>
  <si>
    <t>AC1765</t>
  </si>
  <si>
    <t>相手先元帳</t>
  </si>
  <si>
    <t>46.資金収支表分類マスター保守</t>
  </si>
  <si>
    <t>AC1770</t>
  </si>
  <si>
    <t>摘要元帳</t>
  </si>
  <si>
    <t>47.資金収支表印刷</t>
  </si>
  <si>
    <t>AC1780</t>
  </si>
  <si>
    <t>部課元帳</t>
  </si>
  <si>
    <t>50. PL科目ﾃﾞｰﾀﾀﾞｳﾝﾛｰﾄﾞ</t>
  </si>
  <si>
    <t>貸借対照表・損益計算書等</t>
  </si>
  <si>
    <t>51. BS科目ﾃﾞｰﾀﾀﾞｳﾝﾛｰﾄﾞ</t>
  </si>
  <si>
    <t>業務別３部門振替金額合計表</t>
  </si>
  <si>
    <t>52. BS科目ﾃﾞｰﾀﾀﾞｳﾝﾛｰﾄﾞ科目集計</t>
  </si>
  <si>
    <t>勘定科目残高内訳表</t>
  </si>
  <si>
    <t>01.支払手形次月落込明細表</t>
  </si>
  <si>
    <t>AC5200</t>
  </si>
  <si>
    <t>外貨建相手先元帳</t>
  </si>
  <si>
    <t>02.支払手形管理表 取引先・期日</t>
  </si>
  <si>
    <t>AC5300</t>
  </si>
  <si>
    <t>振替伝票明細（科目・部課）</t>
  </si>
  <si>
    <t>03.支払手形管理表銀行・期日</t>
  </si>
  <si>
    <t>AC5400</t>
  </si>
  <si>
    <t>振替伝票明細（科目・相手先）</t>
  </si>
  <si>
    <t>04.手形送付案内書</t>
  </si>
  <si>
    <t>AC5500</t>
  </si>
  <si>
    <t>振替伝票明細（科目・摘要）</t>
  </si>
  <si>
    <t>05.支払手形発行一覧表</t>
  </si>
  <si>
    <t>AC510L</t>
  </si>
  <si>
    <t>振替伝票集計表</t>
  </si>
  <si>
    <t>06.支払手形発行チェックリスト</t>
  </si>
  <si>
    <t>AC515L</t>
  </si>
  <si>
    <t>資金収支表分類マスター保守</t>
  </si>
  <si>
    <t>11.支払手形発行</t>
  </si>
  <si>
    <t>AC500LA</t>
  </si>
  <si>
    <t>資金収支表印刷</t>
  </si>
  <si>
    <t>12.支払手形再発行　前準備</t>
  </si>
  <si>
    <t>DF#STGTRL1</t>
  </si>
  <si>
    <t>PL科目ﾃﾞｰﾀﾀﾞｳﾝﾛｰﾄﾞ</t>
  </si>
  <si>
    <t>21.期日別支払手形集計表</t>
  </si>
  <si>
    <t>AC5800</t>
  </si>
  <si>
    <t>BS科目ﾃﾞｰﾀﾀﾞｳﾝﾛｰﾄﾞ</t>
  </si>
  <si>
    <t>31.買掛金代行区分別期日引落</t>
  </si>
  <si>
    <t>AC9520</t>
  </si>
  <si>
    <t>BS科目ﾃﾞｰﾀﾀﾞｳﾝﾛｰﾄﾞ科目集計</t>
  </si>
  <si>
    <t>32.支払代行ＣＦ移行処理</t>
  </si>
  <si>
    <t>AC9510</t>
  </si>
  <si>
    <t>支払手形管理</t>
  </si>
  <si>
    <t>支払手形次月落込明細表</t>
  </si>
  <si>
    <t>33.支払代行買取反映処理</t>
  </si>
  <si>
    <t>AC9530</t>
  </si>
  <si>
    <t>支払手形管理表 取引先・期日</t>
  </si>
  <si>
    <t>34.支払代行データダウンロード</t>
  </si>
  <si>
    <t>AC9540</t>
  </si>
  <si>
    <t>支払手形管理表銀行・期日</t>
  </si>
  <si>
    <t>35.支払代行ＣＦ移行一覧</t>
  </si>
  <si>
    <t>手形送付案内書</t>
  </si>
  <si>
    <t>41.支払手形データ明細データ作成</t>
  </si>
  <si>
    <t>AC9600</t>
  </si>
  <si>
    <t>支払手形発行一覧表</t>
  </si>
  <si>
    <t>42.期日別支払手形明細書</t>
  </si>
  <si>
    <t>AC9610</t>
  </si>
  <si>
    <t>支払手形発行チェックリスト</t>
  </si>
  <si>
    <t>43.支払／設備手形明細管理表</t>
  </si>
  <si>
    <t>AC9612</t>
  </si>
  <si>
    <t>支払手形発行</t>
  </si>
  <si>
    <t>51.支払代行実行チェックリスト</t>
  </si>
  <si>
    <t>支払手形再発行　前準備</t>
  </si>
  <si>
    <t>52.支払代行実行一覧表</t>
  </si>
  <si>
    <t>AC512L</t>
  </si>
  <si>
    <t>期日別支払手形集計表</t>
  </si>
  <si>
    <t>01.外貨取引買掛金元帳</t>
  </si>
  <si>
    <t>AC2100</t>
  </si>
  <si>
    <t>買掛金代行区分別期日引落</t>
  </si>
  <si>
    <t>02.外貨建買掛金支払入力</t>
  </si>
  <si>
    <t>AC2200</t>
  </si>
  <si>
    <t>支払代行ＣＦ移行処理</t>
  </si>
  <si>
    <t>03.外貨建買掛金・月次更新</t>
  </si>
  <si>
    <t>AC2310</t>
  </si>
  <si>
    <t>支払代行買取反映処理</t>
  </si>
  <si>
    <t>04.相殺金額入力（買掛金）</t>
  </si>
  <si>
    <t>AC9500</t>
  </si>
  <si>
    <t>支払代行データダウンロード</t>
  </si>
  <si>
    <t>11.買掛金管理表</t>
  </si>
  <si>
    <t>AC4800</t>
  </si>
  <si>
    <t>支払代行ＣＦ移行一覧</t>
  </si>
  <si>
    <t>12.買掛金支払管理表</t>
  </si>
  <si>
    <t>AC4900A</t>
  </si>
  <si>
    <t>支払手形データ明細データ作成</t>
  </si>
  <si>
    <t>13.買掛金元帳</t>
  </si>
  <si>
    <t>AC5000</t>
  </si>
  <si>
    <t>期日別支払手形明細書</t>
  </si>
  <si>
    <t>21.仕入データ作成（買掛金）</t>
  </si>
  <si>
    <t>AC4220</t>
  </si>
  <si>
    <t>支払／設備手形明細管理表</t>
  </si>
  <si>
    <t>22.支払データ作成（買掛金）</t>
  </si>
  <si>
    <t>AC4200</t>
  </si>
  <si>
    <t>支払代行実行チェックリスト</t>
  </si>
  <si>
    <t>23.支払データ更新（買掛金）</t>
  </si>
  <si>
    <t>AC5100</t>
  </si>
  <si>
    <t>支払代行実行一覧表</t>
  </si>
  <si>
    <t>24.相殺金額反映（買掛金）</t>
  </si>
  <si>
    <t>AC5110</t>
  </si>
  <si>
    <t>買掛金管理</t>
  </si>
  <si>
    <t>外貨取引買掛金元帳</t>
  </si>
  <si>
    <t>41.支払ファイル</t>
  </si>
  <si>
    <t>AC4500</t>
  </si>
  <si>
    <t>外貨建買掛金支払入力</t>
  </si>
  <si>
    <t>42.買掛金ファイル</t>
  </si>
  <si>
    <t>AC4600</t>
  </si>
  <si>
    <t>外貨建買掛金・月次更新</t>
  </si>
  <si>
    <t>43.外貨建買掛金ファイル</t>
  </si>
  <si>
    <t>AC2400</t>
  </si>
  <si>
    <t>相殺金額入力（買掛金）</t>
  </si>
  <si>
    <t>44.外貨建支払データ作成</t>
  </si>
  <si>
    <t>AC2500</t>
  </si>
  <si>
    <t>買掛金管理表</t>
  </si>
  <si>
    <t>51.買掛金総合振込データ作成</t>
  </si>
  <si>
    <t>AC520I-S1</t>
  </si>
  <si>
    <t>買掛金支払管理表</t>
  </si>
  <si>
    <t>52.振込指定日の変更</t>
  </si>
  <si>
    <t>AC9000</t>
  </si>
  <si>
    <t>買掛金元帳</t>
  </si>
  <si>
    <t>53.総合振込一覧表</t>
  </si>
  <si>
    <t>AC5600</t>
  </si>
  <si>
    <t>仕入データ作成（買掛金）</t>
  </si>
  <si>
    <t>54.総合振込チェックリスト</t>
  </si>
  <si>
    <t>AC5650</t>
  </si>
  <si>
    <t>支払データ作成（買掛金）</t>
  </si>
  <si>
    <t>55.仕入先取引条件通知書</t>
  </si>
  <si>
    <t>AC2031</t>
  </si>
  <si>
    <t>支払データ更新（買掛金）</t>
  </si>
  <si>
    <t>61.買掛金照会</t>
  </si>
  <si>
    <t>AC6300</t>
  </si>
  <si>
    <t>相殺金額反映（買掛金）</t>
  </si>
  <si>
    <t>01. INVOICEデータ取込</t>
  </si>
  <si>
    <t>支払ファイル</t>
  </si>
  <si>
    <t>02. INVOICE変換データ確認・調整</t>
  </si>
  <si>
    <t>AC2630</t>
  </si>
  <si>
    <t>買掛金ファイル</t>
  </si>
  <si>
    <t>03. INVOICE自動照合処理</t>
  </si>
  <si>
    <t>AC2600</t>
  </si>
  <si>
    <t>外貨建買掛金ファイル</t>
  </si>
  <si>
    <t>02.償却合計・明細（簿価あり）</t>
  </si>
  <si>
    <t>AC9400</t>
  </si>
  <si>
    <t>外貨建支払データ作成</t>
  </si>
  <si>
    <t>03.工場財団明細書</t>
  </si>
  <si>
    <t>AC9480</t>
  </si>
  <si>
    <t>買掛金総合振込データ作成</t>
  </si>
  <si>
    <t>04.固定資産増加明細書</t>
  </si>
  <si>
    <t>AC9420</t>
  </si>
  <si>
    <t>振込指定日の変更</t>
  </si>
  <si>
    <t>05.固定資産減少明細書</t>
  </si>
  <si>
    <t>AC9425</t>
  </si>
  <si>
    <t>総合振込一覧表</t>
  </si>
  <si>
    <t>06.固定資産移動一覧表</t>
  </si>
  <si>
    <t>AC9430</t>
  </si>
  <si>
    <t>総合振込チェックリスト</t>
  </si>
  <si>
    <t>07.固定資産償却予定一覧</t>
  </si>
  <si>
    <t>AC9460</t>
  </si>
  <si>
    <t>仕入先取引条件通知書</t>
  </si>
  <si>
    <t>08.固定資産台帳</t>
  </si>
  <si>
    <t>AC9470</t>
  </si>
  <si>
    <t>買掛金照会</t>
  </si>
  <si>
    <t>09.固定資産棚卸表</t>
  </si>
  <si>
    <t>AC9440</t>
  </si>
  <si>
    <t>INVOICE自動照合</t>
  </si>
  <si>
    <t>INVOICEデータ取込</t>
  </si>
  <si>
    <t>10.棚卸用タックシール</t>
  </si>
  <si>
    <t>AC9450</t>
  </si>
  <si>
    <t>INVOICE変換データ確認・調整</t>
  </si>
  <si>
    <t>11.固定資産棚卸表〜科目・場所別</t>
  </si>
  <si>
    <t>AC9445</t>
  </si>
  <si>
    <t>INVOICE自動照合処理</t>
  </si>
  <si>
    <t>12.償却資産申告明細書　　　　　</t>
  </si>
  <si>
    <t>AC9350</t>
  </si>
  <si>
    <t>固定資産管理</t>
  </si>
  <si>
    <t>償却合計・明細（簿価あり）</t>
  </si>
  <si>
    <t>13.償却合計・明細（予定一覧）</t>
  </si>
  <si>
    <t>AC9390</t>
  </si>
  <si>
    <t>工場財団明細書</t>
  </si>
  <si>
    <t>41.固定資産データ保守</t>
  </si>
  <si>
    <t>AC9200</t>
  </si>
  <si>
    <t>固定資産増加明細書</t>
  </si>
  <si>
    <t>42.固定資産特別保守</t>
  </si>
  <si>
    <t>DF#SSNTRL1</t>
  </si>
  <si>
    <t>固定資産減少明細書</t>
  </si>
  <si>
    <t>51.固定資産日次更新</t>
  </si>
  <si>
    <t>AC9300</t>
  </si>
  <si>
    <t>固定資産移動一覧表</t>
  </si>
  <si>
    <t>52.固定資産月次更新</t>
  </si>
  <si>
    <t>AC9310</t>
  </si>
  <si>
    <t>固定資産償却予定一覧</t>
  </si>
  <si>
    <t>53.固定資産年次更新</t>
  </si>
  <si>
    <t>AC9320C</t>
  </si>
  <si>
    <t>固定資産台帳</t>
  </si>
  <si>
    <t>60.外部自動仕訳元データ取込</t>
  </si>
  <si>
    <t>固定資産棚卸表</t>
  </si>
  <si>
    <t>61.外部自動仕訳データ作成</t>
  </si>
  <si>
    <t>AC9141</t>
  </si>
  <si>
    <t>棚卸用タックシール</t>
  </si>
  <si>
    <t>62.外部自動仕訳データ取込</t>
  </si>
  <si>
    <t>AC9100</t>
  </si>
  <si>
    <t>固定資産棚卸表〜科目・場所別</t>
  </si>
  <si>
    <t>63.外部自動仕訳データ修正</t>
  </si>
  <si>
    <t>AC9120</t>
  </si>
  <si>
    <t>償却資産申告明細書</t>
  </si>
  <si>
    <t>64.固定資産データ抽出</t>
  </si>
  <si>
    <t>AC9221</t>
  </si>
  <si>
    <t>償却合計・明細（予定一覧）</t>
  </si>
  <si>
    <t>01.経費予算枠入力　　　　　　　</t>
  </si>
  <si>
    <t>固定資産データ保守</t>
  </si>
  <si>
    <t>02.経費予算申請入力</t>
  </si>
  <si>
    <t>AC0105</t>
  </si>
  <si>
    <t>固定資産特別保守</t>
  </si>
  <si>
    <t>03.経費予算決定入力　　　　</t>
  </si>
  <si>
    <t>AC0106</t>
  </si>
  <si>
    <t>固定資産日次更新</t>
  </si>
  <si>
    <t>04.経費予算決定額データ集計</t>
  </si>
  <si>
    <t>AC0107</t>
  </si>
  <si>
    <t>固定資産月次更新</t>
  </si>
  <si>
    <t>05.経費予算部課別入力</t>
  </si>
  <si>
    <t>AC0110A</t>
  </si>
  <si>
    <t>固定資産年次更新</t>
  </si>
  <si>
    <t>06.損益区分別経費区分別経費集計</t>
  </si>
  <si>
    <t>AC0112</t>
  </si>
  <si>
    <t>外部自動仕訳元データ取込</t>
  </si>
  <si>
    <t>07.経費予算申請・決定額一覧　　</t>
  </si>
  <si>
    <t>AC0136</t>
  </si>
  <si>
    <t>外部自動仕訳データ作成</t>
  </si>
  <si>
    <t>08.経費予算データ集計　　　　　</t>
  </si>
  <si>
    <t>外部自動仕訳データ取込</t>
  </si>
  <si>
    <t>11.経費予算ﾌｧｲﾙ ｱｯﾌﾟﾛｰﾄﾞ</t>
  </si>
  <si>
    <t>AC0100</t>
  </si>
  <si>
    <t>外部自動仕訳データ修正</t>
  </si>
  <si>
    <t>21.経費予算明細書</t>
  </si>
  <si>
    <t>固定資産データ抽出</t>
  </si>
  <si>
    <t>22.経費予算集計（１）</t>
  </si>
  <si>
    <t>AC0109</t>
  </si>
  <si>
    <t>経費予算</t>
  </si>
  <si>
    <t>経費予算枠入力</t>
  </si>
  <si>
    <t>23.経費予算集計（２）</t>
  </si>
  <si>
    <t>AT0229</t>
  </si>
  <si>
    <t>経費予算申請入力</t>
  </si>
  <si>
    <t>24.経費予算集計（３）</t>
  </si>
  <si>
    <t>AC0111</t>
  </si>
  <si>
    <t>経費予算決定入力</t>
  </si>
  <si>
    <t>41.経費予算・実績対比/予算枠</t>
  </si>
  <si>
    <t>AC8680</t>
  </si>
  <si>
    <t>経費予算決定額データ集計</t>
  </si>
  <si>
    <t>42.経費予算・実績対比/計画ｼｰﾄ</t>
  </si>
  <si>
    <t>AC8665</t>
  </si>
  <si>
    <t>経費予算部課別入力</t>
  </si>
  <si>
    <t>43.経費予算申請・決定年度保守</t>
  </si>
  <si>
    <t>DF¥USRCTL1</t>
  </si>
  <si>
    <t>損益区分別経費区分別経費集計</t>
  </si>
  <si>
    <t>44.経費予算申請額・申請枠</t>
  </si>
  <si>
    <t>AC8690</t>
  </si>
  <si>
    <t>経費予算申請・決定額一覧</t>
  </si>
  <si>
    <t>45.予算申請一覧</t>
  </si>
  <si>
    <t>AC8675</t>
  </si>
  <si>
    <t>経費予算データ集計</t>
  </si>
  <si>
    <t>01.経費差異分析表計算　　　　</t>
  </si>
  <si>
    <t>AC8510I</t>
  </si>
  <si>
    <t>経費予算ﾌｧｲﾙ ｱｯﾌﾟﾛｰﾄﾞ</t>
  </si>
  <si>
    <t>02.経費差異分析表印刷（単月）</t>
  </si>
  <si>
    <t>AC8515</t>
  </si>
  <si>
    <t>経費予算明細書</t>
  </si>
  <si>
    <t>03.経費差異分析表印刷（累計）</t>
  </si>
  <si>
    <t>AC8517</t>
  </si>
  <si>
    <t>経費予算集計（１）</t>
  </si>
  <si>
    <t>11.経費明細表作成システム</t>
  </si>
  <si>
    <t>AC1410C</t>
  </si>
  <si>
    <t>経費予算集計（２）</t>
  </si>
  <si>
    <t>21.経費実績推移表</t>
  </si>
  <si>
    <t>AC1439</t>
  </si>
  <si>
    <t>経費予算集計（３）</t>
  </si>
  <si>
    <t>22.経費明細書（部門長別）</t>
  </si>
  <si>
    <t>AC1417A</t>
  </si>
  <si>
    <t>経費予算・実績対比/予算枠</t>
  </si>
  <si>
    <t>31.経費明細書部門長配布ﾃﾞｰﾀﾏｽﾀｰﾒﾝﾃﾅﾝｽ</t>
  </si>
  <si>
    <t>AC1416</t>
  </si>
  <si>
    <t>経費予算・実績対比/計画ｼｰﾄ</t>
  </si>
  <si>
    <t>41.経費予算・実績対比／分析ｼｰﾄ</t>
  </si>
  <si>
    <t>AC8685</t>
  </si>
  <si>
    <t>経費予算申請・決定年度保守</t>
  </si>
  <si>
    <t>51.部門別損益部門ﾏｽﾀｰﾒﾝﾃ</t>
  </si>
  <si>
    <t>経費予算申請額・申請枠</t>
  </si>
  <si>
    <t>52.部門別損益部門ﾏｽﾀｰﾘｽﾄ</t>
  </si>
  <si>
    <t>予算申請一覧</t>
  </si>
  <si>
    <t>53.部門別損益帳票ﾏｽﾀｰﾒﾝﾃ 　</t>
  </si>
  <si>
    <t>経費分析</t>
  </si>
  <si>
    <t>経費差異分析表計算</t>
  </si>
  <si>
    <t>54.部門別損益帳票ﾏｽﾀｰﾘｽﾄ 　</t>
  </si>
  <si>
    <t>経費差異分析表印刷（単月）</t>
  </si>
  <si>
    <t>55.部門別損益部門別部課ﾏｽﾀｰﾒﾝﾃ</t>
  </si>
  <si>
    <t>経費差異分析表印刷（累計）</t>
  </si>
  <si>
    <t>56.部門別損益部門別部課ﾏｽﾀｰﾘｽﾄ</t>
  </si>
  <si>
    <t>経費明細表作成システム</t>
  </si>
  <si>
    <t>61.部門別損益計算書データ入力　</t>
  </si>
  <si>
    <t>ZM3020</t>
  </si>
  <si>
    <t>経費実績推移表</t>
  </si>
  <si>
    <t>62.部門別損益計算書データ作成　</t>
  </si>
  <si>
    <t>経費明細書（部門長別）</t>
  </si>
  <si>
    <t>63.部門別損益計算書データ出力　</t>
  </si>
  <si>
    <t>ZM5040</t>
  </si>
  <si>
    <t>経費明細書部門長配布ﾃﾞｰﾀﾏｽﾀｰﾒﾝﾃﾅﾝｽ</t>
  </si>
  <si>
    <t>64.部門別損益　棚卸廃却リスト</t>
  </si>
  <si>
    <t>経費予算・実績対比／分析ｼｰﾄ</t>
  </si>
  <si>
    <t>65.ＪＴＳ売上原価集計表</t>
  </si>
  <si>
    <t>部門別損益</t>
  </si>
  <si>
    <t>部門別損益部門ﾏｽﾀｰﾒﾝﾃ</t>
  </si>
  <si>
    <t>01.２０日締め未払データ作成</t>
  </si>
  <si>
    <t>AC4001</t>
  </si>
  <si>
    <t>部門別損益部門ﾏｽﾀｰﾘｽﾄ</t>
  </si>
  <si>
    <t>02.未払費用（振替伝票）入力</t>
  </si>
  <si>
    <t>AC4000</t>
  </si>
  <si>
    <t>部門別損益帳票ﾏｽﾀｰﾒﾝﾃ</t>
  </si>
  <si>
    <t>11.未払費用支払管理表</t>
  </si>
  <si>
    <t>AC4300</t>
  </si>
  <si>
    <t>部門別損益帳票ﾏｽﾀｰﾘｽﾄ</t>
  </si>
  <si>
    <t>13.部課別未払費用経費一覧表</t>
  </si>
  <si>
    <t>AC4350</t>
  </si>
  <si>
    <t>部門別損益部門別部課ﾏｽﾀｰﾒﾝﾃ</t>
  </si>
  <si>
    <t>21.経費データ作成（未払費用）</t>
  </si>
  <si>
    <t>AC4230</t>
  </si>
  <si>
    <t>部門別損益部門別部課ﾏｽﾀｰﾘｽﾄ</t>
  </si>
  <si>
    <t>22.支払データ作成（未払費用）</t>
  </si>
  <si>
    <t>AC4211</t>
  </si>
  <si>
    <t>部門別損益計算書データ入力</t>
  </si>
  <si>
    <t>23.支払データ更新（未払費用）</t>
  </si>
  <si>
    <t>AC5120</t>
  </si>
  <si>
    <t>部門別損益計算書データ作成</t>
  </si>
  <si>
    <t>30.振替伝票　自動仕訳作成</t>
  </si>
  <si>
    <t>AC9155</t>
  </si>
  <si>
    <t>部門別損益計算書データ出力</t>
  </si>
  <si>
    <t>41.未払費用総合振込データ作成</t>
  </si>
  <si>
    <t>AC525I-S1</t>
  </si>
  <si>
    <t>部門別損益　棚卸廃却リスト</t>
  </si>
  <si>
    <t>42.振込指定日の変更</t>
  </si>
  <si>
    <t>ＪＴＳ売上原価集計表</t>
  </si>
  <si>
    <t>43.総合振込一覧表</t>
  </si>
  <si>
    <t>未払費用管理</t>
  </si>
  <si>
    <t>２０日締め未払データ作成</t>
  </si>
  <si>
    <t>44.総合振込チェックリスト</t>
  </si>
  <si>
    <t>未払費用（振替伝票）入力</t>
  </si>
  <si>
    <t>51. CONCUR仕訳元データ取込</t>
  </si>
  <si>
    <t>未払費用支払管理表</t>
  </si>
  <si>
    <t>52. CONCUR仕訳データ作成</t>
  </si>
  <si>
    <t>AC9151</t>
  </si>
  <si>
    <t>部課別未払費用経費一覧表</t>
  </si>
  <si>
    <t>53. CONCUR仕訳データ振伝取込</t>
  </si>
  <si>
    <t>経費データ作成（未払費用）</t>
  </si>
  <si>
    <t>54. CONCUR仕訳データ振伝修正</t>
  </si>
  <si>
    <t>支払データ作成（未払費用）</t>
  </si>
  <si>
    <t>60.社員振込口座マスタメンテ</t>
  </si>
  <si>
    <t>PD0610</t>
  </si>
  <si>
    <t>支払データ更新（未払費用）</t>
  </si>
  <si>
    <t>01.試験仮払データ入力</t>
  </si>
  <si>
    <t>AC1810</t>
  </si>
  <si>
    <t>振替伝票　自動仕訳作成</t>
  </si>
  <si>
    <t>02.試験仮払データ更新</t>
  </si>
  <si>
    <t>AC1820</t>
  </si>
  <si>
    <t>未払費用総合振込データ作成</t>
  </si>
  <si>
    <t>11.試験用仮払現金換算表</t>
  </si>
  <si>
    <t>AC1850I</t>
  </si>
  <si>
    <t>12.主要外貨試験用現金一覧表</t>
  </si>
  <si>
    <t>AC1860I</t>
  </si>
  <si>
    <t>13.試験用現金一覧表</t>
  </si>
  <si>
    <t>AC1870I</t>
  </si>
  <si>
    <t>14.通貨レート一覧表</t>
  </si>
  <si>
    <t>AC1880L</t>
  </si>
  <si>
    <t>CONCUR仕訳元データ取込</t>
  </si>
  <si>
    <t>15.仮払金元帳</t>
  </si>
  <si>
    <t>AC1890I</t>
  </si>
  <si>
    <t>CONCUR仕訳データ作成</t>
  </si>
  <si>
    <t>21.試験用仮払現金実査表</t>
  </si>
  <si>
    <t>AC1895I</t>
  </si>
  <si>
    <t>CONCUR仕訳データ振伝取込</t>
  </si>
  <si>
    <t>41.試験仮払残高ﾏｽﾀｰ年次更新</t>
  </si>
  <si>
    <t>AC1820A</t>
  </si>
  <si>
    <t>CONCUR仕訳データ振伝修正</t>
  </si>
  <si>
    <t>01.関連会社別売掛金入金状況表</t>
  </si>
  <si>
    <t>AC0183X</t>
  </si>
  <si>
    <t>社員振込口座マスタメンテ</t>
  </si>
  <si>
    <t>03.売掛金管理表</t>
  </si>
  <si>
    <t>AC0180</t>
  </si>
  <si>
    <t>試験用現金管理</t>
  </si>
  <si>
    <t>試験仮払データ入力</t>
  </si>
  <si>
    <t>04.売掛金入金状況表</t>
  </si>
  <si>
    <t>AC0185A</t>
  </si>
  <si>
    <t>試験仮払データ更新</t>
  </si>
  <si>
    <t>11.売掛金ファイル作成</t>
  </si>
  <si>
    <t>MM6010</t>
  </si>
  <si>
    <t>試験用仮払現金換算表</t>
  </si>
  <si>
    <t>13.受取手形振出人訂正（入金管理番号）</t>
  </si>
  <si>
    <t>DF¥UTGTRP</t>
  </si>
  <si>
    <t>主要外貨試験用現金一覧表</t>
  </si>
  <si>
    <t>14.受取手形振出人訂正（手形管理NO）</t>
  </si>
  <si>
    <t>DF¥UTGTR01</t>
  </si>
  <si>
    <t>試験用現金一覧表</t>
  </si>
  <si>
    <t>41.売掛金ファイル</t>
  </si>
  <si>
    <t>AC0170</t>
  </si>
  <si>
    <t>通貨レート一覧表</t>
  </si>
  <si>
    <t>50.部門別インボイスＮｏ明細表</t>
  </si>
  <si>
    <t>MM5200</t>
  </si>
  <si>
    <t>仮払金元帳</t>
  </si>
  <si>
    <t>51.インボイスＮｏ明細表</t>
  </si>
  <si>
    <t>MM5210</t>
  </si>
  <si>
    <t>試験用仮払現金実査表</t>
  </si>
  <si>
    <t>52.外貨建売掛金ｲﾝﾎﾞｲｽNO別明細</t>
  </si>
  <si>
    <t>MM5220</t>
  </si>
  <si>
    <t>試験仮払残高ﾏｽﾀｰ年次更新</t>
  </si>
  <si>
    <t>01.販売計画数入力</t>
  </si>
  <si>
    <t>AC9865</t>
  </si>
  <si>
    <t>売掛金管理</t>
  </si>
  <si>
    <t>関連会社別売掛金入金状況表</t>
  </si>
  <si>
    <t>02.在庫計画数入力</t>
  </si>
  <si>
    <t>AC9866</t>
  </si>
  <si>
    <t>売掛金管理表</t>
  </si>
  <si>
    <t>03.生産計画数入力</t>
  </si>
  <si>
    <t>AC9867</t>
  </si>
  <si>
    <t>売掛金入金状況表</t>
  </si>
  <si>
    <t>11.販売計画数チェックリスト</t>
  </si>
  <si>
    <t>AC9980</t>
  </si>
  <si>
    <t>売掛金ファイル作成</t>
  </si>
  <si>
    <t>12.在庫計画数チェックリスト</t>
  </si>
  <si>
    <t>AC9981</t>
  </si>
  <si>
    <t>受取手形振出人訂正（入金管理番号）</t>
  </si>
  <si>
    <t>13.生産計画数チェックリスト</t>
  </si>
  <si>
    <t>AC9982</t>
  </si>
  <si>
    <t>受取手形振出人訂正（手形管理NO）</t>
  </si>
  <si>
    <t>41.製品別売上予算　　　　　　</t>
  </si>
  <si>
    <t>AC9870</t>
  </si>
  <si>
    <t>売掛金ファイル</t>
  </si>
  <si>
    <t>42.得意先別売上予算　　　　　</t>
  </si>
  <si>
    <t>AC9880</t>
  </si>
  <si>
    <t>部門別インボイスＮｏ明細表</t>
  </si>
  <si>
    <t>43.製商品別・生産・販売在庫予算</t>
  </si>
  <si>
    <t>AC9890</t>
  </si>
  <si>
    <t>インボイスＮｏ明細表</t>
  </si>
  <si>
    <t>44.製商品別・生産・販売在庫金額</t>
  </si>
  <si>
    <t>AC9895</t>
  </si>
  <si>
    <t>外貨建売掛金ｲﾝﾎﾞｲｽNO別明細</t>
  </si>
  <si>
    <t>45.売上・原価予算ﾘｽﾄ　　　　</t>
  </si>
  <si>
    <t>AC9840</t>
  </si>
  <si>
    <t>来期予算</t>
  </si>
  <si>
    <t>販売計画数入力</t>
  </si>
  <si>
    <t>46.仕入在庫予算</t>
  </si>
  <si>
    <t>AC9900</t>
  </si>
  <si>
    <t>在庫計画数入力</t>
  </si>
  <si>
    <t>47.仕入在庫予算（品目別集計）</t>
  </si>
  <si>
    <t>AC9905</t>
  </si>
  <si>
    <t>生産計画数入力</t>
  </si>
  <si>
    <t>48.製品別生産大日程計画</t>
  </si>
  <si>
    <t>AC9910</t>
  </si>
  <si>
    <t>販売計画数チェックリスト</t>
  </si>
  <si>
    <t>01.附属明細書資料選択</t>
  </si>
  <si>
    <t>AC1200C</t>
  </si>
  <si>
    <t>在庫計画数チェックリスト</t>
  </si>
  <si>
    <t>02.残高確認書（データ作成）</t>
  </si>
  <si>
    <t>AC4910A</t>
  </si>
  <si>
    <t>生産計画数チェックリスト</t>
  </si>
  <si>
    <t>03.残高確認書（印刷）</t>
  </si>
  <si>
    <t>AC4915</t>
  </si>
  <si>
    <t>製品別売上予算</t>
  </si>
  <si>
    <t>04.外貨仕入明細</t>
  </si>
  <si>
    <t>AC2110</t>
  </si>
  <si>
    <t>得意先別売上予算</t>
  </si>
  <si>
    <t>05.仕入高合計一覧表（納入者順）</t>
  </si>
  <si>
    <t>製商品別・生産・販売在庫予算</t>
  </si>
  <si>
    <t>06.仕入高合計一覧表（金額順）</t>
  </si>
  <si>
    <t>製商品別・生産・販売在庫金額</t>
  </si>
  <si>
    <t>11.仕入実績推移表</t>
  </si>
  <si>
    <t>NB5000</t>
  </si>
  <si>
    <t>売上・原価予算ﾘｽﾄ</t>
  </si>
  <si>
    <t>12.少額減価償却資産の仕入</t>
  </si>
  <si>
    <t>AC4755</t>
  </si>
  <si>
    <t>仕入在庫予算</t>
  </si>
  <si>
    <t>13.香港製品仕入原価差額</t>
  </si>
  <si>
    <t>AC4740</t>
  </si>
  <si>
    <t>仕入在庫予算（品目別集計）</t>
  </si>
  <si>
    <t>14.原価差額明細</t>
  </si>
  <si>
    <t>CS3650</t>
  </si>
  <si>
    <t>製品別生産大日程計画</t>
  </si>
  <si>
    <t>15.実際・標準原価比較ﾘｽﾄ</t>
  </si>
  <si>
    <t>CS3620</t>
  </si>
  <si>
    <t>管理帳票</t>
  </si>
  <si>
    <t>附属明細書資料選択</t>
  </si>
  <si>
    <t>21.銀行別預金残高一覧表</t>
  </si>
  <si>
    <t>AC9710</t>
  </si>
  <si>
    <t>残高確認書（データ作成）</t>
  </si>
  <si>
    <t>22.在庫ﾃﾞｰﾀﾀﾞｳﾝﾛｰﾄﾞ</t>
  </si>
  <si>
    <t>AC0020</t>
  </si>
  <si>
    <t>残高確認書（印刷）</t>
  </si>
  <si>
    <t>23.外注先理論在庫</t>
  </si>
  <si>
    <t>PD5285</t>
  </si>
  <si>
    <t>外貨仕入明細</t>
  </si>
  <si>
    <t>24. TOC実施の為のﾃﾞｰﾀﾀﾞｳﾝﾛｰﾄﾞ</t>
  </si>
  <si>
    <t>AC1000</t>
  </si>
  <si>
    <t>30. JCM売上: JS仕入差異一覧</t>
  </si>
  <si>
    <t>SA2900</t>
  </si>
  <si>
    <t>31.取引先振込銀行口座一覧</t>
  </si>
  <si>
    <t>AC9700</t>
  </si>
  <si>
    <t>仕入実績推移表</t>
  </si>
  <si>
    <t>32.有償支給明細書</t>
  </si>
  <si>
    <t>少額減価償却資産の仕入</t>
  </si>
  <si>
    <t>33.残高確認書(ﾀﾞｳﾝﾛｰﾄﾞﾃﾞｰﾀ作成)</t>
  </si>
  <si>
    <t>香港製品仕入原価差額</t>
  </si>
  <si>
    <t>41.送付案内書発行</t>
  </si>
  <si>
    <t>AC5510</t>
  </si>
  <si>
    <t>原価差額明細</t>
  </si>
  <si>
    <t>42.香港仕入実績金額</t>
  </si>
  <si>
    <t>AC4770</t>
  </si>
  <si>
    <t>実際・標準原価比較ﾘｽﾄ</t>
  </si>
  <si>
    <t>43.連結決算関係資料</t>
  </si>
  <si>
    <t>AC5010</t>
  </si>
  <si>
    <t>銀行別預金残高一覧表</t>
  </si>
  <si>
    <t>44.品目ﾀｲﾌﾟ別機種別在庫ﾃﾞｰﾀ</t>
  </si>
  <si>
    <t>AC0012</t>
  </si>
  <si>
    <t>在庫ﾃﾞｰﾀﾀﾞｳﾝﾛｰﾄﾞ</t>
  </si>
  <si>
    <t>45.全仕訳ﾃﾞｰﾀ</t>
  </si>
  <si>
    <t>AC1750</t>
  </si>
  <si>
    <t>外注先理論在庫</t>
  </si>
  <si>
    <t>46.売掛金残高</t>
  </si>
  <si>
    <t>AC0190</t>
  </si>
  <si>
    <t>TOC実施の為のﾃﾞｰﾀﾀﾞｳﾝﾛｰﾄﾞ</t>
  </si>
  <si>
    <t>47.滞留在庫見込み</t>
  </si>
  <si>
    <t>JCM売上: JS仕入差異一覧</t>
  </si>
  <si>
    <t>51. DIVA連結用ﾃﾞｰﾀﾀﾞｳﾝﾛｰﾄﾞ</t>
  </si>
  <si>
    <t>AC9110</t>
  </si>
  <si>
    <t>取引先振込銀行口座一覧</t>
  </si>
  <si>
    <t>52.当座預金チェックリスト</t>
  </si>
  <si>
    <t>61.ＱＲＹ起動</t>
  </si>
  <si>
    <t>残高確認書(ﾀﾞｳﾝﾛｰﾄﾞﾃﾞｰﾀ作成)</t>
  </si>
  <si>
    <t>01.予約ﾃﾞｰﾀﾌｧｲﾙﾒﾝﾃﾅﾝｽ</t>
  </si>
  <si>
    <t>AC6100</t>
  </si>
  <si>
    <t>送付案内書発行</t>
  </si>
  <si>
    <t>02.申請ﾃﾞｰﾀﾒﾝﾃﾅﾝｽ</t>
  </si>
  <si>
    <t>AC6000</t>
  </si>
  <si>
    <t>香港仕入実績金額</t>
  </si>
  <si>
    <t>11.月別相手先別為替予約申請一覧</t>
  </si>
  <si>
    <t>AC6600</t>
  </si>
  <si>
    <t>連結決算関係資料</t>
  </si>
  <si>
    <t>品目ﾀｲﾌﾟ別機種別在庫ﾃﾞｰﾀ</t>
  </si>
  <si>
    <t>全仕訳ﾃﾞｰﾀ</t>
  </si>
  <si>
    <t>01.部門分類ﾏｽﾀｰﾒﾝﾃﾅﾝｽ（共通）</t>
  </si>
  <si>
    <t>MS9200</t>
  </si>
  <si>
    <t>売掛金残高</t>
  </si>
  <si>
    <t>02.全社共通項目入力</t>
  </si>
  <si>
    <t>MS9210</t>
  </si>
  <si>
    <t>滞留在庫見込み</t>
  </si>
  <si>
    <t>03.勤怠情報入力</t>
  </si>
  <si>
    <t>MS9220</t>
  </si>
  <si>
    <t>DIVA連結用ﾃﾞｰﾀﾀﾞｳﾝﾛｰﾄﾞ</t>
  </si>
  <si>
    <t>05.総合実績表データ入力</t>
  </si>
  <si>
    <t>MS9230K</t>
  </si>
  <si>
    <t>当座預金チェックリスト</t>
  </si>
  <si>
    <t>06.超過工数入力</t>
  </si>
  <si>
    <t>MS9215</t>
  </si>
  <si>
    <t>ＱＲＹ起動</t>
  </si>
  <si>
    <t>08.開発７部門分類ﾏｽﾀｰﾒﾝﾃﾅﾝｽ</t>
  </si>
  <si>
    <t>MS9251</t>
  </si>
  <si>
    <t>為替予約管理</t>
  </si>
  <si>
    <t>予約ﾃﾞｰﾀﾌｧｲﾙﾒﾝﾃﾅﾝｽ</t>
  </si>
  <si>
    <t>09.開発７部門工数比率入力</t>
  </si>
  <si>
    <t>MS9252</t>
  </si>
  <si>
    <t>申請ﾃﾞｰﾀﾒﾝﾃﾅﾝｽ</t>
  </si>
  <si>
    <t>11.配賦データ分類入力</t>
  </si>
  <si>
    <t>MS9282</t>
  </si>
  <si>
    <t>月別相手先別為替予約申請一覧</t>
  </si>
  <si>
    <t>12.総合実績データ作成</t>
  </si>
  <si>
    <t>MS9240</t>
  </si>
  <si>
    <t>21.印刷用部課分類入力</t>
  </si>
  <si>
    <t>MS9265</t>
  </si>
  <si>
    <t>人事勤怠照会</t>
  </si>
  <si>
    <t>22.総合実績表印刷</t>
  </si>
  <si>
    <t>MS9260</t>
  </si>
  <si>
    <t>総合実績</t>
  </si>
  <si>
    <t>部門分類ﾏｽﾀｰﾒﾝﾃﾅﾝｽ（共通）</t>
  </si>
  <si>
    <t>23.総合実績印刷用部課分類入力</t>
  </si>
  <si>
    <t>MS9267</t>
  </si>
  <si>
    <t>全社共通項目入力</t>
  </si>
  <si>
    <t>24.&lt;実績のみ印刷&gt;</t>
  </si>
  <si>
    <t>MS9290K</t>
  </si>
  <si>
    <t>勤怠情報入力</t>
  </si>
  <si>
    <t>30.経費データ確認表作成</t>
  </si>
  <si>
    <t>MS9011</t>
  </si>
  <si>
    <t>総合実績表データ入力</t>
  </si>
  <si>
    <t>31.総合実績・マスターリスト</t>
  </si>
  <si>
    <t>超過工数入力</t>
  </si>
  <si>
    <t>41.部門分類ﾏｽﾀｰﾒﾝﾃ（営業所）</t>
  </si>
  <si>
    <t>MS9400</t>
  </si>
  <si>
    <t>開発７部門分類ﾏｽﾀｰﾒﾝﾃﾅﾝｽ</t>
  </si>
  <si>
    <t>46.総合実績表・印刷（営業所）</t>
  </si>
  <si>
    <t>MS9424</t>
  </si>
  <si>
    <t>開発７部門工数比率入力</t>
  </si>
  <si>
    <t>48.印刷用部課分類入力（営業所）</t>
  </si>
  <si>
    <t>MS9430</t>
  </si>
  <si>
    <t>配賦データ分類入力</t>
  </si>
  <si>
    <t>49.&lt;実績のみ印刷（営業所）&gt;</t>
  </si>
  <si>
    <t>MS9432K</t>
  </si>
  <si>
    <t>総合実績データ作成</t>
  </si>
  <si>
    <t>51.マスタープランデータ集計</t>
  </si>
  <si>
    <t>MS9500</t>
  </si>
  <si>
    <t>印刷用部課分類入力</t>
  </si>
  <si>
    <t>55.マスタープラン集計表</t>
  </si>
  <si>
    <t>MS9502</t>
  </si>
  <si>
    <t>総合実績表印刷</t>
  </si>
  <si>
    <t>56.マスタープラン集計表・営業所</t>
  </si>
  <si>
    <t>MS9506</t>
  </si>
  <si>
    <t>総合実績印刷用部課分類入力</t>
  </si>
  <si>
    <t>01.部課別所属人員保守</t>
  </si>
  <si>
    <t>PRJF01</t>
  </si>
  <si>
    <t>&lt;実績のみ印刷&gt;</t>
  </si>
  <si>
    <t>02.振替按分基本金額入力</t>
  </si>
  <si>
    <t>PRJF11A</t>
  </si>
  <si>
    <t>経費データ確認表作成</t>
  </si>
  <si>
    <t>03.振替処理完了月度更新</t>
  </si>
  <si>
    <t>PRJF50</t>
  </si>
  <si>
    <t>総合実績・マスターリスト</t>
  </si>
  <si>
    <t>11.振替処理必要事項／追加・変更</t>
  </si>
  <si>
    <t>PRJF51C</t>
  </si>
  <si>
    <t>部門分類ﾏｽﾀｰﾒﾝﾃ（営業所）</t>
  </si>
  <si>
    <t>21.人事自動振替データ作成</t>
  </si>
  <si>
    <t>PRJF20</t>
  </si>
  <si>
    <t>総合実績表・印刷（営業所）</t>
  </si>
  <si>
    <t>22.人事自動振替ﾃﾞｰﾀﾌｧｲﾙ保守</t>
  </si>
  <si>
    <t>PRJF60</t>
  </si>
  <si>
    <t>印刷用部課分類入力（営業所）</t>
  </si>
  <si>
    <t>31.人事振替伝票付加情報入力</t>
  </si>
  <si>
    <t>MS8001</t>
  </si>
  <si>
    <t>&lt;実績のみ印刷（営業所）&gt;</t>
  </si>
  <si>
    <t>41.人事振替データ一覧</t>
  </si>
  <si>
    <t>PRJF41A</t>
  </si>
  <si>
    <t>マスタープランデータ集計</t>
  </si>
  <si>
    <t>42.業務別人件費部課別一覧</t>
  </si>
  <si>
    <t>PRJF43I</t>
  </si>
  <si>
    <t>マスタープラン集計表</t>
  </si>
  <si>
    <t>51.自動仕訳データ転送（人事）</t>
  </si>
  <si>
    <t>AC7010</t>
  </si>
  <si>
    <t>マスタープラン集計表・営業所</t>
  </si>
  <si>
    <t>52.自動仕訳データ伝票発行</t>
  </si>
  <si>
    <t>AC1950</t>
  </si>
  <si>
    <t>人事自動仕訳</t>
  </si>
  <si>
    <t>部課別所属人員保守</t>
  </si>
  <si>
    <t>53.賞与引当金一覧表</t>
  </si>
  <si>
    <t>PR0042</t>
  </si>
  <si>
    <t>振替按分基本金額入力</t>
  </si>
  <si>
    <t>54.賞与引当金係数マスタメンテ</t>
  </si>
  <si>
    <t>PRJF62</t>
  </si>
  <si>
    <t>振替処理完了月度更新</t>
  </si>
  <si>
    <t>55.賞与引当金係数マスタリスト</t>
  </si>
  <si>
    <t>振替処理必要事項／追加・変更</t>
  </si>
  <si>
    <t>01.新幹線チケットデータ入力</t>
  </si>
  <si>
    <t>PRET00</t>
  </si>
  <si>
    <t>人事自動振替データ作成</t>
  </si>
  <si>
    <t>11.新幹線チケットデータ更新</t>
  </si>
  <si>
    <t>PRET41</t>
  </si>
  <si>
    <t>人事自動振替ﾃﾞｰﾀﾌｧｲﾙ保守</t>
  </si>
  <si>
    <t>12.新幹線ﾁｹｯﾄ残高ﾏｽﾀｰ保守</t>
  </si>
  <si>
    <t>PRET40</t>
  </si>
  <si>
    <t>人事振替伝票付加情報入力</t>
  </si>
  <si>
    <t>21.振替データ作成</t>
  </si>
  <si>
    <t>PRET19</t>
  </si>
  <si>
    <t>人事振替データ一覧</t>
  </si>
  <si>
    <t>22.振替データ一覧</t>
  </si>
  <si>
    <t>PRET20</t>
  </si>
  <si>
    <t>業務別人件費部課別一覧</t>
  </si>
  <si>
    <t>31.自動振替伝票付加情報入力</t>
  </si>
  <si>
    <t>自動仕訳データ転送（人事）</t>
  </si>
  <si>
    <t>41.データ転送</t>
  </si>
  <si>
    <t>PRET30</t>
  </si>
  <si>
    <t>42.自動仕訳データ振替伝票発行</t>
  </si>
  <si>
    <t>PRET31</t>
  </si>
  <si>
    <t>賞与引当金一覧表</t>
  </si>
  <si>
    <t>51.新幹線ﾁｹｯﾄ残高一覧表</t>
  </si>
  <si>
    <t>PRET50</t>
  </si>
  <si>
    <t>賞与引当金係数マスタメンテ</t>
  </si>
  <si>
    <t>01.有給休暇使用入力</t>
  </si>
  <si>
    <t>賞与引当金係数マスタリスト</t>
  </si>
  <si>
    <t>02.代休使用入力</t>
  </si>
  <si>
    <t>新幹線チケット管理</t>
  </si>
  <si>
    <t>新幹線チケットデータ入力</t>
  </si>
  <si>
    <t>03.代休取得入力</t>
  </si>
  <si>
    <t>新幹線チケットデータ更新</t>
  </si>
  <si>
    <t>04.遅刻処理入力</t>
  </si>
  <si>
    <t>新幹線ﾁｹｯﾄ残高ﾏｽﾀｰ保守</t>
  </si>
  <si>
    <t>05,早退処理入力</t>
  </si>
  <si>
    <t>振替データ作成</t>
  </si>
  <si>
    <t>06,欠勤処理入力</t>
  </si>
  <si>
    <t>振替データ一覧</t>
  </si>
  <si>
    <t>07,有給休暇随時取得入力</t>
  </si>
  <si>
    <t>自動振替伝票付加情報入力</t>
  </si>
  <si>
    <t>08,代休失効処理（前日まで）</t>
  </si>
  <si>
    <t>データ転送</t>
  </si>
  <si>
    <t>41.有給休暇使用入力</t>
  </si>
  <si>
    <t>自動仕訳データ振替伝票発行</t>
  </si>
  <si>
    <t>42.代休使用入力</t>
  </si>
  <si>
    <t>新幹線ﾁｹｯﾄ残高一覧表</t>
  </si>
  <si>
    <t>43.代休取得入力</t>
  </si>
  <si>
    <t>勤怠情報管理</t>
  </si>
  <si>
    <t>日次勤怠データ入力</t>
  </si>
  <si>
    <t>有給休暇使用入力</t>
  </si>
  <si>
    <t>44.遅刻処理入力</t>
  </si>
  <si>
    <t>代休使用入力</t>
  </si>
  <si>
    <t>45,早退処理入力</t>
  </si>
  <si>
    <t>代休取得入力</t>
  </si>
  <si>
    <t>46,欠勤処理入力</t>
  </si>
  <si>
    <t>遅刻処理入力</t>
  </si>
  <si>
    <t>47,代休失効処理（前日まで）</t>
  </si>
  <si>
    <t>早退処理入力</t>
  </si>
  <si>
    <t>11.月次勤怠データ入力</t>
  </si>
  <si>
    <t>欠勤処理入力</t>
  </si>
  <si>
    <t>14.入力一覧表　：所属・社員順</t>
  </si>
  <si>
    <t>PRPR04</t>
  </si>
  <si>
    <t>有給休暇随時取得入力</t>
  </si>
  <si>
    <t>21.勤怠データ給与計算反映</t>
  </si>
  <si>
    <t>代休失効処理（前日まで）</t>
  </si>
  <si>
    <t>31.勤怠データ環境変更</t>
  </si>
  <si>
    <t>32.勤務先マスターメンテ</t>
  </si>
  <si>
    <t>35.勤怠一覧表</t>
  </si>
  <si>
    <t>41.勤怠データ年次更新（全体）</t>
  </si>
  <si>
    <t>42.勤怠データ更新前復元（全体）</t>
  </si>
  <si>
    <t>43.勤怠データ年次更新（個人）</t>
  </si>
  <si>
    <t>44.勤怠データ更新前復元（個人）</t>
  </si>
  <si>
    <t>51.勤怠及び残業管理</t>
  </si>
  <si>
    <t>月次勤怠データ入力</t>
  </si>
  <si>
    <t>52.通産省　生産動態統計調査</t>
  </si>
  <si>
    <t>入力一覧表　：所属・社員順</t>
  </si>
  <si>
    <t>01.部課別按分率保守</t>
  </si>
  <si>
    <t>SM0001</t>
  </si>
  <si>
    <t>勤怠データ給与計算反映</t>
  </si>
  <si>
    <t>02.部課別使用量保守（コピー）</t>
  </si>
  <si>
    <t>SM0002</t>
  </si>
  <si>
    <t>勤怠データ環境変更</t>
  </si>
  <si>
    <t>03.部課別件数保守（ヤマト）</t>
  </si>
  <si>
    <t>SM0004</t>
  </si>
  <si>
    <t>勤務先マスターメンテ</t>
  </si>
  <si>
    <t>04.按分基本金額入力</t>
  </si>
  <si>
    <t>SM0003</t>
  </si>
  <si>
    <t>勤怠一覧表</t>
  </si>
  <si>
    <t>11.振替処理完了月度更新</t>
  </si>
  <si>
    <t>SM0025</t>
  </si>
  <si>
    <t>勤怠データ年次更新（全体）</t>
  </si>
  <si>
    <t>21.総務自動振替データ作成</t>
  </si>
  <si>
    <t>SM0010</t>
  </si>
  <si>
    <t>勤怠データ更新前復元（全体）</t>
  </si>
  <si>
    <t>31.総務振替伝票付加情報入力</t>
  </si>
  <si>
    <t>MS8000</t>
  </si>
  <si>
    <t>勤怠データ年次更新（個人）</t>
  </si>
  <si>
    <t>41.総務振替データ一覧</t>
  </si>
  <si>
    <t>SM0030</t>
  </si>
  <si>
    <t>勤怠データ更新前復元（個人）</t>
  </si>
  <si>
    <t>42.業務別経費割振部課別一覧</t>
  </si>
  <si>
    <t>SM0031I</t>
  </si>
  <si>
    <t>勤怠及び残業管理</t>
  </si>
  <si>
    <t>51.自動仕訳データ転送（総務）</t>
  </si>
  <si>
    <t>AC7011</t>
  </si>
  <si>
    <t>通産省　生産動態統計調査</t>
  </si>
  <si>
    <t>総務自動仕訳</t>
  </si>
  <si>
    <t>部課別按分率保守</t>
  </si>
  <si>
    <t>01.開発機種ﾏｽﾀｰﾒﾝﾃﾅﾝｽ</t>
  </si>
  <si>
    <t>DV0001</t>
  </si>
  <si>
    <t>部課別使用量保守（コピー）</t>
  </si>
  <si>
    <t>03.開発工数入力</t>
  </si>
  <si>
    <t>DV0005</t>
  </si>
  <si>
    <t>部課別件数保守（ヤマト）</t>
  </si>
  <si>
    <t>05. ﾌﾟﾛｼﾞｪｸﾄｺｰﾄﾞﾏｽﾀｰ照会</t>
  </si>
  <si>
    <t>PD2380</t>
  </si>
  <si>
    <t>按分基本金額入力</t>
  </si>
  <si>
    <t>07. ﾌﾟﾛｼﾞｪｸﾄｺｰﾄﾞ付移動実績抽出</t>
  </si>
  <si>
    <t>PD4650</t>
  </si>
  <si>
    <t>09. ﾌﾟﾛｼﾞｪｸﾄｺｰﾄﾞﾏｽﾀﾒﾝﾃﾅﾝｽ</t>
  </si>
  <si>
    <t>PD0340</t>
  </si>
  <si>
    <t>総務自動振替データ作成</t>
  </si>
  <si>
    <t>41.部課別個人別業務内容集計表</t>
  </si>
  <si>
    <t>DV0010I</t>
  </si>
  <si>
    <t>総務振替伝票付加情報入力</t>
  </si>
  <si>
    <t>42.機種別業務時間集計表</t>
  </si>
  <si>
    <t>DV0011</t>
  </si>
  <si>
    <t>総務振替データ一覧</t>
  </si>
  <si>
    <t>43.機種別業務時間期別累計表</t>
  </si>
  <si>
    <t>DV0012</t>
  </si>
  <si>
    <t>業務別経費割振部課別一覧</t>
  </si>
  <si>
    <t>44.月別部門別工数集計表</t>
  </si>
  <si>
    <t>DV0017</t>
  </si>
  <si>
    <t>自動仕訳データ転送（総務）</t>
  </si>
  <si>
    <t xml:space="preserve">経費　部課元帳　    </t>
  </si>
  <si>
    <t>開発工数管理</t>
  </si>
  <si>
    <t>開発機種ﾏｽﾀｰﾒﾝﾃﾅﾝｽ</t>
  </si>
  <si>
    <t xml:space="preserve">相手先元帳          </t>
  </si>
  <si>
    <t>開発工数入力</t>
  </si>
  <si>
    <t xml:space="preserve">予算申請入力　　    </t>
  </si>
  <si>
    <t>ﾌﾟﾛｼﾞｪｸﾄｺｰﾄﾞﾏｽﾀｰ照会</t>
  </si>
  <si>
    <t xml:space="preserve">予算申請一覧                             </t>
  </si>
  <si>
    <t>ﾌﾟﾛｼﾞｪｸﾄｺｰﾄﾞ付移動実績抽出</t>
  </si>
  <si>
    <t xml:space="preserve">経費予算集計        </t>
  </si>
  <si>
    <t>ﾌﾟﾛｼﾞｪｸﾄｺｰﾄﾞﾏｽﾀﾒﾝﾃﾅﾝｽ</t>
  </si>
  <si>
    <t>部課別個人別業務内容集計表</t>
  </si>
  <si>
    <t xml:space="preserve">部課別・品目別　売上明細表 </t>
  </si>
  <si>
    <t>機種別業務時間集計表</t>
  </si>
  <si>
    <t xml:space="preserve">固定振替申請入力    　　 </t>
  </si>
  <si>
    <t>機種別業務時間期別累計表</t>
  </si>
  <si>
    <t xml:space="preserve">定型振替申請入力    　　 </t>
  </si>
  <si>
    <t>月別部門別工数集計表</t>
  </si>
  <si>
    <t xml:space="preserve">定型振替伝票入力    　　 </t>
  </si>
  <si>
    <t>販売</t>
  </si>
  <si>
    <t xml:space="preserve">固定定型振替伝票リスト　　 </t>
  </si>
  <si>
    <t>経費　部課元帳</t>
  </si>
  <si>
    <t xml:space="preserve">振替伝票雛型入力           </t>
  </si>
  <si>
    <t xml:space="preserve">振替伝票申請入力         </t>
  </si>
  <si>
    <t xml:space="preserve">振替申請No.振替No.照会   </t>
  </si>
  <si>
    <t xml:space="preserve">雛型・振替伝票リスト     </t>
  </si>
  <si>
    <t>予算申請入力</t>
  </si>
  <si>
    <t>販売計画</t>
  </si>
  <si>
    <t>振替申請No.振替No.照会</t>
  </si>
  <si>
    <t>経費予算集計</t>
  </si>
  <si>
    <t>AC0180A</t>
  </si>
  <si>
    <r>
      <rPr>
        <sz val="11"/>
        <color rgb="FF212529"/>
        <rFont val="Quattrocento Sans"/>
        <family val="2"/>
      </rPr>
      <t>80.</t>
    </r>
    <r>
      <rPr>
        <sz val="11"/>
        <color rgb="FF212529"/>
        <rFont val="ＭＳ ゴシック"/>
        <family val="3"/>
        <charset val="128"/>
      </rPr>
      <t>固定定型振替申請</t>
    </r>
    <r>
      <rPr>
        <sz val="11"/>
        <color rgb="FF212529"/>
        <rFont val="Segoe UI"/>
        <family val="2"/>
      </rPr>
      <t>No.</t>
    </r>
    <r>
      <rPr>
        <sz val="11"/>
        <color rgb="FF212529"/>
        <rFont val="ＭＳ ゴシック"/>
        <family val="3"/>
        <charset val="128"/>
      </rPr>
      <t>振替No.照会</t>
    </r>
  </si>
  <si>
    <r>
      <rPr>
        <sz val="11"/>
        <color rgb="FF212529"/>
        <rFont val="Quattrocento Sans"/>
        <family val="2"/>
      </rPr>
      <t>85.</t>
    </r>
    <r>
      <rPr>
        <sz val="11"/>
        <color rgb="FF212529"/>
        <rFont val="ＭＳ ゴシック"/>
        <family val="3"/>
        <charset val="128"/>
      </rPr>
      <t>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</si>
  <si>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管理システム</t>
  </si>
  <si>
    <t>営業成果報奨制度データ作成</t>
  </si>
  <si>
    <t>営業成果報奨制度データ入力</t>
  </si>
  <si>
    <t>営業成果報奨制度データリスト</t>
  </si>
  <si>
    <t>データ抽出</t>
  </si>
  <si>
    <t>品目あいまい検索</t>
  </si>
  <si>
    <t>得意先あいまい検索</t>
  </si>
  <si>
    <t>構成マスター照会LIB指定</t>
  </si>
  <si>
    <t>PD4193</t>
  </si>
  <si>
    <t>親品目シリアル№毎版数照会</t>
  </si>
  <si>
    <t>PD2500</t>
  </si>
  <si>
    <t>発注問合せ先情報照会</t>
  </si>
  <si>
    <t>PD2510</t>
  </si>
  <si>
    <t>発注問合せ先マスタメンテ</t>
  </si>
  <si>
    <t>大都販売様承認済データ抽出</t>
  </si>
  <si>
    <t>ｱｲﾙﾃｯｸ対応　店毎集計　抽出</t>
  </si>
  <si>
    <t>訪問修理　予定日、実績日DL</t>
  </si>
  <si>
    <t>ｶﾞｲｱﾋﾞﾙﾄﾞ対応　店舗集計抽出</t>
  </si>
  <si>
    <t>工場・課・場所・品目別ｼﾘｱﾙNO</t>
  </si>
  <si>
    <t>JS未使用返却抽出（保守）</t>
  </si>
  <si>
    <t>機材　パーツ発注残状況ＤＬ</t>
  </si>
  <si>
    <t>飛鳥システム請求データＤＬ</t>
  </si>
  <si>
    <t>株）慶尚　請求データＤＬ</t>
  </si>
  <si>
    <t>データ抽出メニュー（月次）</t>
  </si>
  <si>
    <t>売上明細データＤＬ（原価付）</t>
  </si>
  <si>
    <t>マルハン振分用売上データ抽出</t>
  </si>
  <si>
    <t>口座設定無し一覧</t>
  </si>
  <si>
    <t>MP2600導入店一覧　登録店対象</t>
  </si>
  <si>
    <t>クリーンローラー最終発送日</t>
  </si>
  <si>
    <t>MP2600最終発送日全店　対象</t>
  </si>
  <si>
    <t>KIOS</t>
  </si>
  <si>
    <t>案件処理画面</t>
  </si>
  <si>
    <t>新規案件</t>
  </si>
  <si>
    <t>電話内容入力</t>
  </si>
  <si>
    <t>客先検索</t>
  </si>
  <si>
    <t>スケジュール確認</t>
  </si>
  <si>
    <t>保守管理No.検索</t>
  </si>
  <si>
    <t>保守履歴一覧</t>
  </si>
  <si>
    <t>CALL履歴</t>
  </si>
  <si>
    <t>業者不可登録</t>
  </si>
  <si>
    <t>見積処理（保守管理No.指定）</t>
  </si>
  <si>
    <t>各処理（パーツ）</t>
  </si>
  <si>
    <t>出荷実績入力（番号指定）</t>
  </si>
  <si>
    <t>各処理（先送り）</t>
  </si>
  <si>
    <t>各処理（現品・代替機修理）</t>
  </si>
  <si>
    <t>不明確認待ち一覧</t>
  </si>
  <si>
    <t>修理実績入力（番号指定）</t>
  </si>
  <si>
    <t>修理実績報告書印刷</t>
  </si>
  <si>
    <t>各処理（訪問修理）</t>
  </si>
  <si>
    <t>修理実績入力待ち一覧</t>
  </si>
  <si>
    <t>修理内容確認待ち一覧</t>
  </si>
  <si>
    <t>修理請求額入力待ち一覧</t>
  </si>
  <si>
    <t>各一覧より</t>
  </si>
  <si>
    <t>受付一覧</t>
  </si>
  <si>
    <t>見積一覧</t>
  </si>
  <si>
    <t>出荷指示済一覧</t>
  </si>
  <si>
    <t>返却待ち一覧</t>
  </si>
  <si>
    <t>実績承認待ち一覧</t>
  </si>
  <si>
    <t>在庫引き当て待ち一覧</t>
  </si>
  <si>
    <t>在庫引き当て待ち一覧（品目毎）</t>
  </si>
  <si>
    <t>印刷待ち一覧</t>
  </si>
  <si>
    <t>出荷状況一覧</t>
  </si>
  <si>
    <t>その他処理画面</t>
  </si>
  <si>
    <t>実績データ事後修正</t>
  </si>
  <si>
    <t>修理実績戻し処理（客先控え印刷前）</t>
  </si>
  <si>
    <t>データダウンロード</t>
  </si>
  <si>
    <t>修理報告書再FAX（客先控え）</t>
  </si>
  <si>
    <t>先送り返送要フラグ保守</t>
  </si>
  <si>
    <t>各種照会</t>
  </si>
  <si>
    <t>与信マスタ照会</t>
  </si>
  <si>
    <t>販売価格マスタ照会</t>
  </si>
  <si>
    <t>取引先別売上一覧</t>
  </si>
  <si>
    <t>属性</t>
  </si>
  <si>
    <t>オブジェクト</t>
  </si>
  <si>
    <t>テキスト記述</t>
  </si>
  <si>
    <t>ステップ数</t>
  </si>
  <si>
    <t>頭２文字</t>
  </si>
  <si>
    <t>使用日数</t>
  </si>
  <si>
    <t>確認</t>
  </si>
  <si>
    <t>CLP</t>
  </si>
  <si>
    <t>#ASPOVRC</t>
  </si>
  <si>
    <t>ASPしきい値オーバー時KISOサブシステム強制終了</t>
  </si>
  <si>
    <t>#A</t>
  </si>
  <si>
    <t>#CHGUSR01</t>
  </si>
  <si>
    <t>CHGUSRPRF ALL DISABLED (JCM JCM001 JTS MEIHO GOLD)</t>
  </si>
  <si>
    <t>#C</t>
  </si>
  <si>
    <t>#CHGUSR02</t>
  </si>
  <si>
    <t>CHGUSRPRF ALL ENABLED  (JCM JCM001 JTS MEIHO GOLD)</t>
  </si>
  <si>
    <t>#CRTFTP</t>
  </si>
  <si>
    <t>ＦＴＰデータ転送</t>
  </si>
  <si>
    <t>#CRTFTP2</t>
  </si>
  <si>
    <t>ＦＴＰデータ転送PC &gt;&gt; AS(PUT)</t>
  </si>
  <si>
    <t>#CRTFTP3</t>
  </si>
  <si>
    <t>ＦＴＰデータ転送 メイホウ納品確認書出力用</t>
  </si>
  <si>
    <t>#CRTTTO</t>
  </si>
  <si>
    <t>ＰＣＯＭデータ転送　ダウンロード用P31954</t>
  </si>
  <si>
    <t>#CRTTTO_OR</t>
  </si>
  <si>
    <t>#DSPTAP</t>
  </si>
  <si>
    <t>DSPTAP                                         '</t>
  </si>
  <si>
    <t>#D</t>
  </si>
  <si>
    <t>#ENDZEND</t>
  </si>
  <si>
    <t xml:space="preserve"> ZENDPHP7サブシステム終了</t>
  </si>
  <si>
    <t>#E</t>
  </si>
  <si>
    <t>ＱＲＹ　開示区分ﾏｽﾀｰ一覧表</t>
  </si>
  <si>
    <t>#G</t>
  </si>
  <si>
    <t>ＱＲＹ　分類ｺｰﾄﾞﾏｽﾀｰ一覧表</t>
  </si>
  <si>
    <t>ＱＲＹ　摘要  ﾏｽﾀｰ一覧表</t>
  </si>
  <si>
    <t>#INZTAP</t>
  </si>
  <si>
    <t>TAPE INITIALIZE</t>
  </si>
  <si>
    <t>#I</t>
  </si>
  <si>
    <t>#INZTAPC</t>
  </si>
  <si>
    <t>TAPE INITIALIZE  'CALL #INZTAP'</t>
  </si>
  <si>
    <t>#JOBSCDEC</t>
  </si>
  <si>
    <t>#J</t>
  </si>
  <si>
    <t>#LNSCLRC</t>
  </si>
  <si>
    <t>LANSA用ワークファイルクリア</t>
  </si>
  <si>
    <t>#L</t>
  </si>
  <si>
    <t>#LNSCMTC</t>
  </si>
  <si>
    <t>LANSA用コミット開始</t>
  </si>
  <si>
    <t>#LNSENDC</t>
  </si>
  <si>
    <t>LANSA用サブシステム終了</t>
  </si>
  <si>
    <t>#LNSSTRC</t>
  </si>
  <si>
    <t>LANSA用サブシステム起動</t>
  </si>
  <si>
    <t>ＱＲＹ　OUTQﾌｧｲﾙ    一覧表</t>
  </si>
  <si>
    <t>#O</t>
  </si>
  <si>
    <t>#OVRPRTF</t>
  </si>
  <si>
    <t>プリンター出力ファイルの設定</t>
  </si>
  <si>
    <t>#OVRPRTF_X</t>
  </si>
  <si>
    <t>#OVRPRTFG</t>
  </si>
  <si>
    <t>ｺﾞｰﾙﾄﾞｼｽﾃﾑ用プリンター出力ファイルの設定</t>
  </si>
  <si>
    <t>#PLAN</t>
  </si>
  <si>
    <t>ＭＲＰ計算処理（通常）</t>
  </si>
  <si>
    <t>#P</t>
  </si>
  <si>
    <t>#PLAN00</t>
  </si>
  <si>
    <t>(通常)ＭＲＰ実行制御</t>
  </si>
  <si>
    <t>#PLAN01</t>
  </si>
  <si>
    <t>(紐切)ＭＲＰ実行制御</t>
  </si>
  <si>
    <t>#PLAN99C</t>
  </si>
  <si>
    <t>(通常)ＭＲＰ実行制御夜間バッチ用</t>
  </si>
  <si>
    <t>#PLANX</t>
  </si>
  <si>
    <t>ＭＲＰ計算処理（紐切）</t>
  </si>
  <si>
    <t>#PLANXNEW</t>
  </si>
  <si>
    <t>ＱＲＹ　作業項目ﾏｽﾀｰ一覧表</t>
  </si>
  <si>
    <t>#S</t>
  </si>
  <si>
    <t>#START</t>
  </si>
  <si>
    <t>日本金銭ライブラリー設定本番環境  (JCMF)</t>
  </si>
  <si>
    <t>#START_NEW</t>
  </si>
  <si>
    <t>日本金銭ライブラリー設定本番環境  (JCMF) NEW</t>
  </si>
  <si>
    <t>#STRTCPSVR</t>
  </si>
  <si>
    <t>ＴＣＰサーバー起動ジョブ</t>
  </si>
  <si>
    <t>#STRZEND</t>
  </si>
  <si>
    <t>ZENDPHP7サブシステム起動</t>
  </si>
  <si>
    <t>#SYSVALC</t>
  </si>
  <si>
    <t>自動的にIPLする日付および時刻の変更</t>
  </si>
  <si>
    <t>#USRPRF1C</t>
  </si>
  <si>
    <t>ユーザー・プロファイル変更（有効にする）</t>
  </si>
  <si>
    <t>#U</t>
  </si>
  <si>
    <t>#USRPRF2C</t>
  </si>
  <si>
    <t>ユーザー・プロファイル変更（無効にする）</t>
  </si>
  <si>
    <t>ＱＲＹ　税率  ﾏｽﾀｰ一覧表</t>
  </si>
  <si>
    <t>#Z</t>
  </si>
  <si>
    <t>RPG</t>
  </si>
  <si>
    <t>AC0001</t>
  </si>
  <si>
    <t>棚卸共通年月度指定</t>
  </si>
  <si>
    <t>AC</t>
  </si>
  <si>
    <t>AC0005</t>
  </si>
  <si>
    <t>棚卸集計表（部課別／区分別）</t>
  </si>
  <si>
    <t>AC0005A</t>
  </si>
  <si>
    <t>棚卸ファィル作成　　　　　　</t>
  </si>
  <si>
    <t>AC0005C</t>
  </si>
  <si>
    <t>取引先固有情報マスター　一覧表　コード順</t>
  </si>
  <si>
    <t>AC0006C</t>
  </si>
  <si>
    <t>取引先固有情報マスター一覧表　コード順</t>
  </si>
  <si>
    <t>AC0009</t>
  </si>
  <si>
    <t>棚卸合計表（部課別／区分別）</t>
  </si>
  <si>
    <t>AC0010</t>
  </si>
  <si>
    <t>棚卸合計表（部課別／区分別／保管場所別）</t>
  </si>
  <si>
    <t>AC0011</t>
  </si>
  <si>
    <t>棚卸合計表（保管場所別／区分別／部課別）</t>
  </si>
  <si>
    <t>品目ﾀｲﾌﾟ別機種別在庫(ﾀﾞｳﾝﾛｰﾄﾞ)～画面入力</t>
  </si>
  <si>
    <t>AC0012C</t>
  </si>
  <si>
    <t>品目ﾀｲﾌﾟ別機種別在庫(ﾀﾞｳﾝﾛｰﾄﾞ)</t>
  </si>
  <si>
    <t>AC0013</t>
  </si>
  <si>
    <t>品目ﾀｲﾌﾟ別機種別在庫(ﾀﾞｳﾝﾛｰﾄﾞ)～区分名登録</t>
  </si>
  <si>
    <t>流動･滞留在庫表</t>
  </si>
  <si>
    <t>在庫ﾃﾞｰﾀﾀﾞｳﾝﾛｰﾄﾞ～画面入力</t>
  </si>
  <si>
    <t>AC0020C</t>
  </si>
  <si>
    <t>AC0021</t>
  </si>
  <si>
    <t>在庫ﾃﾞｰﾀﾀﾞｳﾝﾛｰﾄﾞ～ﾀﾞｳﾝﾛｰﾄﾞ回数計算</t>
  </si>
  <si>
    <t>AC0025C</t>
  </si>
  <si>
    <t>ｼｽﾃﾑ式・単能式品目ﾌｧｲﾙﾒﾝﾃﾅﾝｽ</t>
  </si>
  <si>
    <t>機種別流動・滞留在庫表～画面入力</t>
  </si>
  <si>
    <t>AC0057C</t>
  </si>
  <si>
    <t>機種別流動・滞留在庫</t>
  </si>
  <si>
    <t>AC0058</t>
  </si>
  <si>
    <t>機種別流動・滞留在庫表～レコード作成</t>
  </si>
  <si>
    <t>AC0059</t>
  </si>
  <si>
    <t>機種別流動・滞留在庫表～印刷</t>
  </si>
  <si>
    <t>AC0060C</t>
  </si>
  <si>
    <t>経費予算ﾌｧｲﾙ ｱｯﾌﾟﾛｰﾄﾞ～画面</t>
  </si>
  <si>
    <t>AC0100C</t>
  </si>
  <si>
    <t>AC0101</t>
  </si>
  <si>
    <t>経費予算ﾌｧｲﾙ ｱｯﾌﾟﾛｰﾄﾞ～更新</t>
  </si>
  <si>
    <t>AC0103</t>
  </si>
  <si>
    <t>予算申請枠入力</t>
  </si>
  <si>
    <t>予算決定入力</t>
  </si>
  <si>
    <t>予算決定額データ集計～画面</t>
  </si>
  <si>
    <t>AC0107C</t>
  </si>
  <si>
    <t>予算決定額データ集計</t>
  </si>
  <si>
    <t>AC0108</t>
  </si>
  <si>
    <t>経費予算集計表～画面入力</t>
  </si>
  <si>
    <t>AC0109C</t>
  </si>
  <si>
    <t>経費予算集計表</t>
  </si>
  <si>
    <t>損益経費予算ファイル入力（新）</t>
  </si>
  <si>
    <t>AC0110C</t>
  </si>
  <si>
    <t>新損益経費予算データ入力</t>
  </si>
  <si>
    <t>AC0111C</t>
  </si>
  <si>
    <t>損益区分別経費区分別経費予算・実績～画面入力</t>
  </si>
  <si>
    <t>AC0112C</t>
  </si>
  <si>
    <t>損益区分別経費区分別経費予算・実績</t>
  </si>
  <si>
    <t>AC0113</t>
  </si>
  <si>
    <t>損益区分別経費区分別経費予算・実績～印刷</t>
  </si>
  <si>
    <t>予算申請・決定額一覧～画面</t>
  </si>
  <si>
    <t>AC0136C</t>
  </si>
  <si>
    <t>予算申請・決定額一覧</t>
  </si>
  <si>
    <t>AC0137C</t>
  </si>
  <si>
    <t>予算申請・決定額一覧　部門検索</t>
  </si>
  <si>
    <t>AC0138</t>
  </si>
  <si>
    <t>予算申請・決定額一覧～ﾜｰｸﾌｧｲﾙ作成</t>
  </si>
  <si>
    <t>AC0138B</t>
  </si>
  <si>
    <t>予算申請・決定額一覧～ﾜｰｸﾌｧｲﾙ作成  合計金額</t>
  </si>
  <si>
    <t>AC0139</t>
  </si>
  <si>
    <t>予算申請・決定額一覧～印刷</t>
  </si>
  <si>
    <t>AC0170A</t>
  </si>
  <si>
    <t>売掛金ﾌｧｲﾙﾒﾝﾃﾅﾝｽ（ﾌｧｲﾙ変更）</t>
  </si>
  <si>
    <t>売掛金管理表（ファイル変更）～画面入力</t>
  </si>
  <si>
    <t>AC0180AC</t>
  </si>
  <si>
    <t>売掛金管理表（ファイル変更分）</t>
  </si>
  <si>
    <t>AC0181A</t>
  </si>
  <si>
    <t>売掛金管理表（ファイル変更）～印刷</t>
  </si>
  <si>
    <t>AC0182A</t>
  </si>
  <si>
    <t>売掛金管理一覧表</t>
  </si>
  <si>
    <t>売掛金入金状況表選択画面</t>
  </si>
  <si>
    <t>AC0184X</t>
  </si>
  <si>
    <t>売掛金入金状況表（関連会社別）～画面</t>
  </si>
  <si>
    <t>売掛金入金状況表（ファイル変更）</t>
  </si>
  <si>
    <t>AC0185AC</t>
  </si>
  <si>
    <t>売掛金入金状況表（ファイル変更分）</t>
  </si>
  <si>
    <t>AC0185X</t>
  </si>
  <si>
    <t>売掛金入金状況表（関連会社別）～レコード作成</t>
  </si>
  <si>
    <t>AC0185XC</t>
  </si>
  <si>
    <t>売掛金入金状況表（関連会社別）</t>
  </si>
  <si>
    <t>AC0186X</t>
  </si>
  <si>
    <t>売掛金入金状況表（関連会社別）～印刷</t>
  </si>
  <si>
    <t>売掛金残高（ﾀﾞｳﾝﾛｰﾄﾞ）</t>
  </si>
  <si>
    <t>AC0190C</t>
  </si>
  <si>
    <t>売掛金残高(ﾀﾞｳﾝﾛｰﾄﾞ)</t>
  </si>
  <si>
    <t>AC0215</t>
  </si>
  <si>
    <t>仕入の締日更新～確認</t>
  </si>
  <si>
    <t>AC0215C</t>
  </si>
  <si>
    <t>仕入の締日更新</t>
  </si>
  <si>
    <t>AC0217</t>
  </si>
  <si>
    <t>仕入の締日更新～実行（JCMｼｽﾃﾑ用）</t>
  </si>
  <si>
    <t>AC0284Y</t>
  </si>
  <si>
    <t>外貨売掛金入金状況表（関連会社別～画面 JCM対応</t>
  </si>
  <si>
    <t>AC0284YC</t>
  </si>
  <si>
    <t>外貨売掛金入金状況表（関連会社別）JCM対応</t>
  </si>
  <si>
    <t>AC0285Y</t>
  </si>
  <si>
    <t>外貨売掛金入金状況表（関連会社別ﾚｺｰﾄﾞ JCM対応</t>
  </si>
  <si>
    <t>AC0286Y</t>
  </si>
  <si>
    <t>外貨売掛金入金状況表（関連会社別～印刷JCM対応</t>
  </si>
  <si>
    <t>AC0300</t>
  </si>
  <si>
    <t>YSNSMP 通勤費３ヶ月毎に費用発生処理</t>
  </si>
  <si>
    <t>部課別出庫伝票集計表～画面入力</t>
  </si>
  <si>
    <t>AC0820C</t>
  </si>
  <si>
    <t>AC0821</t>
  </si>
  <si>
    <t>部課別出庫伝票集計表～印刷</t>
  </si>
  <si>
    <t>AC0822</t>
  </si>
  <si>
    <t>部課別出庫伝票集計表～ﾚｺｰﾄﾞ作成</t>
  </si>
  <si>
    <t>AC0823</t>
  </si>
  <si>
    <t>AC0824</t>
  </si>
  <si>
    <t>部課別出庫伝票集計表～ﾀﾞｳﾝﾛｰﾄﾞ</t>
  </si>
  <si>
    <t>6部門別製・商品在庫明細表～画面入力</t>
  </si>
  <si>
    <t>AC0932C</t>
  </si>
  <si>
    <t>6部門別製・商品在庫明細表</t>
  </si>
  <si>
    <t>AC0933</t>
  </si>
  <si>
    <t>6部門別製・商品在庫明細表～ﾚｺｰﾄﾞ作成</t>
  </si>
  <si>
    <t>AC0934</t>
  </si>
  <si>
    <t>6部門別製・商品在庫明細表～印刷</t>
  </si>
  <si>
    <t>４品種別製・商品在庫明細表～画面入力</t>
  </si>
  <si>
    <t>AC0935C</t>
  </si>
  <si>
    <t>４品種別製・商品在庫明細表</t>
  </si>
  <si>
    <t>AC0936</t>
  </si>
  <si>
    <t>４品種別製・商品在庫明細表～レコード作成</t>
  </si>
  <si>
    <t>AC0937</t>
  </si>
  <si>
    <t>４品種別製・商品在庫明細表～印刷</t>
  </si>
  <si>
    <t>TOC実施の為のﾃﾞｰﾀﾀﾞｳﾝﾛｰﾄﾞ～画面入力</t>
  </si>
  <si>
    <t>AC1000C</t>
  </si>
  <si>
    <t>TOC実施の為のﾃﾞｰﾀ出力</t>
  </si>
  <si>
    <t>AC1001</t>
  </si>
  <si>
    <t>TOC実施の為のﾃﾞｰﾀﾀﾞｳﾝﾛｰﾄﾞ～ﾀﾞｳﾝﾛｰﾄﾞ回数計算</t>
  </si>
  <si>
    <t>AC1002</t>
  </si>
  <si>
    <t>TOC実施の為のﾃﾞｰﾀﾀﾞｳﾝﾛｰﾄﾞ～在庫受払い</t>
  </si>
  <si>
    <t>AC1200A</t>
  </si>
  <si>
    <t>付属明細書（売掛金）作成（ファイル変更）</t>
  </si>
  <si>
    <t>AC1200AAC</t>
  </si>
  <si>
    <t>付属明細書作成選択メニュー（ファイル変更分）</t>
  </si>
  <si>
    <t>AC1201A</t>
  </si>
  <si>
    <t>付属明細（売上）作成（ファイル変更）</t>
  </si>
  <si>
    <t>AC1204</t>
  </si>
  <si>
    <t>附属明細資料・受取手形</t>
  </si>
  <si>
    <t>AC1205</t>
  </si>
  <si>
    <t>附属明細書資料・支払手形</t>
  </si>
  <si>
    <t>AC1206</t>
  </si>
  <si>
    <t>附付属明細書・未払費用</t>
  </si>
  <si>
    <t>AC1410A</t>
  </si>
  <si>
    <t>新経費明細書印刷用ワークファイル作成</t>
  </si>
  <si>
    <t>新経費明細作成システム</t>
  </si>
  <si>
    <t>AC1410CC</t>
  </si>
  <si>
    <t>新経費明細作成システム・ファイルクリア処理</t>
  </si>
  <si>
    <t>AC1411A</t>
  </si>
  <si>
    <t>新経費明細データ個別作成</t>
  </si>
  <si>
    <t>AC1415S</t>
  </si>
  <si>
    <t>経費明細表・選択</t>
  </si>
  <si>
    <t>経費明細書部門長配布データメンテナンス</t>
  </si>
  <si>
    <t>経費明細書部門別印刷指定</t>
  </si>
  <si>
    <t>AC1417AC</t>
  </si>
  <si>
    <t>新経費明細部門長別印刷指定</t>
  </si>
  <si>
    <t>AC1417E</t>
  </si>
  <si>
    <t>新経費明細書部門長別出力指定・印刷</t>
  </si>
  <si>
    <t>AC1420A</t>
  </si>
  <si>
    <t>新経費明細書・印刷／部門別</t>
  </si>
  <si>
    <t>AC1420AC</t>
  </si>
  <si>
    <t>新経費明細書出力・部門別</t>
  </si>
  <si>
    <t>AC1420B</t>
  </si>
  <si>
    <t>新経費明細書・損益区分別／印刷</t>
  </si>
  <si>
    <t>AC1420BC</t>
  </si>
  <si>
    <t>新経費明細書出力・損益区分別</t>
  </si>
  <si>
    <t>AC1420C</t>
  </si>
  <si>
    <t>経費明細書発行</t>
  </si>
  <si>
    <t>AC1433</t>
  </si>
  <si>
    <t>AC1433C</t>
  </si>
  <si>
    <t>経費実績推移表（全社）３区分</t>
  </si>
  <si>
    <t>AC1435</t>
  </si>
  <si>
    <t>経費実績推移表（部課別，３区分）</t>
  </si>
  <si>
    <t>AC1435C</t>
  </si>
  <si>
    <t>AC1436</t>
  </si>
  <si>
    <t>経費実績推移表（部課別，２区分）</t>
  </si>
  <si>
    <t>AC1436C</t>
  </si>
  <si>
    <t>AC1437</t>
  </si>
  <si>
    <t>経費実績推移表（損益区分別，３区分）</t>
  </si>
  <si>
    <t>AC1437C</t>
  </si>
  <si>
    <t>AC1439A</t>
  </si>
  <si>
    <t>経費実績推移表の選択</t>
  </si>
  <si>
    <t>総勘定元帳～画面入力一部変更</t>
  </si>
  <si>
    <t>AC1700AC</t>
  </si>
  <si>
    <t>総勘定元帳一部変更</t>
  </si>
  <si>
    <t>AC1701A</t>
  </si>
  <si>
    <t>総勘定元帳～ワークファイル作成一部変更</t>
  </si>
  <si>
    <t>AC1702A</t>
  </si>
  <si>
    <t>総勘定元帳～印刷一部変更</t>
  </si>
  <si>
    <t>AC1705</t>
  </si>
  <si>
    <t>相手先元帳（関係会社）～画面入力</t>
  </si>
  <si>
    <t>AC1705C</t>
  </si>
  <si>
    <t>相手先元帳（関係会社）</t>
  </si>
  <si>
    <t>AC1706</t>
  </si>
  <si>
    <t>相手先元帳（関係会社）～ﾚｺｰﾄﾞ作成</t>
  </si>
  <si>
    <t>AC1707</t>
  </si>
  <si>
    <t>相手先元帳（関係会社）～印刷</t>
  </si>
  <si>
    <t>相手先元帳データ入力 一部変更</t>
  </si>
  <si>
    <t>AC1710AC</t>
  </si>
  <si>
    <t>相手先元帳印刷一部変更</t>
  </si>
  <si>
    <t>AC1711A</t>
  </si>
  <si>
    <t>相手先元帳用ワークファイル作成 一部変更</t>
  </si>
  <si>
    <t>AC1712A</t>
  </si>
  <si>
    <t>振替伝票明細（勘定科目・相手先）～画面入力</t>
  </si>
  <si>
    <t>AC1715C</t>
  </si>
  <si>
    <t>振替伝票明細（勘定科目・相手先）</t>
  </si>
  <si>
    <t>AC1716</t>
  </si>
  <si>
    <t>振替伝票明細（勘定科目・相手先）～レコード作成</t>
  </si>
  <si>
    <t>AC1717</t>
  </si>
  <si>
    <t>振替伝票明細（勘定科目・相手先）～印刷</t>
  </si>
  <si>
    <t>摘要元帳～画面入力ﾁｪｯｸ 一部変更</t>
  </si>
  <si>
    <t>AC1720AC</t>
  </si>
  <si>
    <t>摘要元帳一部変更</t>
  </si>
  <si>
    <t>AC1721A</t>
  </si>
  <si>
    <t>摘要元帳～ワークファイル作成一部変更</t>
  </si>
  <si>
    <t>AC1722A</t>
  </si>
  <si>
    <t>摘要元帳～印刷一部変更</t>
  </si>
  <si>
    <t>振替伝票明細（勘定科目・摘要）～画面入力</t>
  </si>
  <si>
    <t>AC1725C</t>
  </si>
  <si>
    <t>振替伝票明細（勘定科目・摘要）</t>
  </si>
  <si>
    <t>AC1726</t>
  </si>
  <si>
    <t>振替伝票明細（勘定科目・摘要）～レコード作成</t>
  </si>
  <si>
    <t>AC1727</t>
  </si>
  <si>
    <t>振替伝票明細（勘定科目・摘要）～印刷</t>
  </si>
  <si>
    <t>部課元帳データ入力一部変更</t>
  </si>
  <si>
    <t>AC1730AC</t>
  </si>
  <si>
    <t>部課元帳印刷一部変更</t>
  </si>
  <si>
    <t>AC1731A</t>
  </si>
  <si>
    <t>部課元帳用ワークファイル作成一部変更</t>
  </si>
  <si>
    <t>AC1732A</t>
  </si>
  <si>
    <t>振替伝票明細（勘定科目・部課）～画面入力</t>
  </si>
  <si>
    <t>AC1735C</t>
  </si>
  <si>
    <t>振替伝票明細（勘定科目・部課）</t>
  </si>
  <si>
    <t>AC1736</t>
  </si>
  <si>
    <t>振替伝票明細（勘定科目・部課）～レコード作成</t>
  </si>
  <si>
    <t>AC1737</t>
  </si>
  <si>
    <t>振替伝票明細（勘定科目・部課）～印刷</t>
  </si>
  <si>
    <t>貸借対照表・損益計算書～画面入力一部変更</t>
  </si>
  <si>
    <t>AC1740AC</t>
  </si>
  <si>
    <t>貸借対照表・損益計算書一部変更</t>
  </si>
  <si>
    <t>AC1741</t>
  </si>
  <si>
    <t>貸借対照表・損益計算書～貸借対照表印刷</t>
  </si>
  <si>
    <t>AC1742</t>
  </si>
  <si>
    <t>貸借対照表・損益計算書～損益計算書印刷</t>
  </si>
  <si>
    <t>AC1743</t>
  </si>
  <si>
    <t>貸借対照表・損益計算書～製造原価報告書印刷</t>
  </si>
  <si>
    <t>AC1744</t>
  </si>
  <si>
    <t>貸借対照表・損益計算書～販売費及び一般管理費印刷</t>
  </si>
  <si>
    <t>AC1745</t>
  </si>
  <si>
    <t>貸借対照表・損益計算書～振替伝票エラーチェック</t>
  </si>
  <si>
    <t>全仕訳ﾃﾞｰﾀ (ﾀﾞｳﾝﾛｰﾄﾞ)～画面入力</t>
  </si>
  <si>
    <t>AC1750C</t>
  </si>
  <si>
    <t>全仕訳ﾃﾞｰﾀ (ﾀﾞｳﾝﾛｰﾄﾞ)</t>
  </si>
  <si>
    <t>勘定科目残高内訳表～画面入力</t>
  </si>
  <si>
    <t>AC1760C</t>
  </si>
  <si>
    <t>AC1761</t>
  </si>
  <si>
    <t>勘定科目残高内訳表～ﾚｺｰﾄﾞ作成</t>
  </si>
  <si>
    <t>AC1762</t>
  </si>
  <si>
    <t>勘定科目残高内訳表～印刷（相手先別・摘要別）</t>
  </si>
  <si>
    <t>AC1763</t>
  </si>
  <si>
    <t>勘定科目残高内訳表～印刷（摘要別，部課別，相手先</t>
  </si>
  <si>
    <t>AC1764</t>
  </si>
  <si>
    <t>勘定科目残高内訳表～印刷（部課別・相手先別）</t>
  </si>
  <si>
    <t>振替伝票集計表～画面入力</t>
  </si>
  <si>
    <t>AC1765C</t>
  </si>
  <si>
    <t>AC1766</t>
  </si>
  <si>
    <t>振替伝票集計表～ﾚｺｰﾄﾞ作成</t>
  </si>
  <si>
    <t>AC1767</t>
  </si>
  <si>
    <t>振替伝票集計表～印刷</t>
  </si>
  <si>
    <t>AC1769</t>
  </si>
  <si>
    <t>勘定科目残高内訳表～印刷（部課別・摘要別・相手先</t>
  </si>
  <si>
    <t>資金収支表分類マスターメンテ</t>
  </si>
  <si>
    <t>資金収支表印刷～画面入力</t>
  </si>
  <si>
    <t>AC1780C</t>
  </si>
  <si>
    <t>資金収支表～印刷</t>
  </si>
  <si>
    <t>AC1781</t>
  </si>
  <si>
    <t>AC1800</t>
  </si>
  <si>
    <t>社員番号照会</t>
  </si>
  <si>
    <t>試験仮払残高ファイル年次更新</t>
  </si>
  <si>
    <t>AC1830</t>
  </si>
  <si>
    <t>通貨レートﾏｽﾀｰ ﾒﾝﾃﾅﾝｽ</t>
  </si>
  <si>
    <t>AC1830C</t>
  </si>
  <si>
    <t>通貨レートマスターメンテナンス</t>
  </si>
  <si>
    <t>AC1850C</t>
  </si>
  <si>
    <t>試験用仮払現金換算表～画面チェック</t>
  </si>
  <si>
    <t>AC1850L</t>
  </si>
  <si>
    <t>試験用仮払現金換算表～印刷</t>
  </si>
  <si>
    <t>AC1860C</t>
  </si>
  <si>
    <t>主要外貨建試験用現金一覧表</t>
  </si>
  <si>
    <t>主要外貨建試験用現金一覧表～画面チェック</t>
  </si>
  <si>
    <t>AC1860L</t>
  </si>
  <si>
    <t>AC1870C</t>
  </si>
  <si>
    <t>試験用現金一覧表～画面</t>
  </si>
  <si>
    <t>AC1870L</t>
  </si>
  <si>
    <t>試験用現金一覧表～印刷</t>
  </si>
  <si>
    <t>AC1880C</t>
  </si>
  <si>
    <t>通過レート一覧表</t>
  </si>
  <si>
    <t>AC1890C</t>
  </si>
  <si>
    <t>仮払金元帳～画面チェック</t>
  </si>
  <si>
    <t>AC1890L</t>
  </si>
  <si>
    <t>仮払金元帳～印刷</t>
  </si>
  <si>
    <t>AC1895C</t>
  </si>
  <si>
    <t>試験用仮払現金実査表～画面チェック</t>
  </si>
  <si>
    <t>AC1895L</t>
  </si>
  <si>
    <t>試験用仮払現金実査表～印刷</t>
  </si>
  <si>
    <t>AC1900AC</t>
  </si>
  <si>
    <t>振替伝票日次更新</t>
  </si>
  <si>
    <t>AC1900B</t>
  </si>
  <si>
    <t>日次更新・振替伝票データファイル作成・履歴作成</t>
  </si>
  <si>
    <t>AC1900TSC8</t>
  </si>
  <si>
    <t>貸借・損益科目集計ﾌｧｲﾙ再計算　日付指定可</t>
  </si>
  <si>
    <t>AC1902AC</t>
  </si>
  <si>
    <t>振替伝票（AC400自動作成仕訳ﾃﾞｰﾀ用）日次更新</t>
  </si>
  <si>
    <t>AC1910AX8</t>
  </si>
  <si>
    <t>日次更新・貸借科目集計ﾌｧｲﾙ再計算　日付指定可</t>
  </si>
  <si>
    <t>AC1910B</t>
  </si>
  <si>
    <t>日次更新・貸借科目集計ファイル作成（修正／履歴）</t>
  </si>
  <si>
    <t>AC1920AX8</t>
  </si>
  <si>
    <t>日次更新・損益科目集計ﾌｧｲﾙ再計算　日付指定可</t>
  </si>
  <si>
    <t>AC1920B</t>
  </si>
  <si>
    <t>日次更新・損益科目集計ファイル作成（修正／履歴）</t>
  </si>
  <si>
    <t>AC1921B</t>
  </si>
  <si>
    <t>日次更新・振替伝票データファイル削除・履歴作成</t>
  </si>
  <si>
    <t>自動仕訳データ振替伝票作成（発行）</t>
  </si>
  <si>
    <t>AC1950C</t>
  </si>
  <si>
    <t>売上自動仕訳データ振替伝票作成（発行）</t>
  </si>
  <si>
    <t>AC1951C</t>
  </si>
  <si>
    <t>自動仕訳データ伝票発行（売上）</t>
  </si>
  <si>
    <t>仕入自動仕訳データ振替伝票作成（発行）</t>
  </si>
  <si>
    <t>AC1952C</t>
  </si>
  <si>
    <t>自動仕訳データ伝票発行（仕入）</t>
  </si>
  <si>
    <t>支払手形自動仕訳データ振替伝票作成（発行）</t>
  </si>
  <si>
    <t>AC1954C</t>
  </si>
  <si>
    <t>支払手形自動仕訳データ伝票発行</t>
  </si>
  <si>
    <t>AC1960</t>
  </si>
  <si>
    <t>日次更新・貸借科目外貨集計ファイル作成</t>
  </si>
  <si>
    <t>外貨貸借科目集計ファイル年次更新</t>
  </si>
  <si>
    <t>AC1961</t>
  </si>
  <si>
    <t>貸借科目外貨集計ファイル再作成（リランのため）</t>
  </si>
  <si>
    <t>外貨建相手先元帳データ入力</t>
  </si>
  <si>
    <t>AC1973C</t>
  </si>
  <si>
    <t>外貨建相手先元帳印刷 修正必要</t>
  </si>
  <si>
    <t>AC1974</t>
  </si>
  <si>
    <t>外貨建相手先元帳用ワークファイル作成</t>
  </si>
  <si>
    <t>AC1975</t>
  </si>
  <si>
    <t>外貨建相手先元帳印刷</t>
  </si>
  <si>
    <t>AC1976</t>
  </si>
  <si>
    <t>外貨建相手先元帳（関係会社）データ入力</t>
  </si>
  <si>
    <t>AC1976C</t>
  </si>
  <si>
    <t>外貨建相手先元帳（関係会社）印刷</t>
  </si>
  <si>
    <t>AC1977</t>
  </si>
  <si>
    <t>外貨建相手先元帳（関係会社）ワークファイル作成</t>
  </si>
  <si>
    <t>AC1978</t>
  </si>
  <si>
    <t>仕入先取引条件通知書作成～画面チェック</t>
  </si>
  <si>
    <t>AC2031C</t>
  </si>
  <si>
    <t>仕入先取引条件通知書作成</t>
  </si>
  <si>
    <t>AC2032</t>
  </si>
  <si>
    <t>仕入先取引条件通知書作成～ﾜｰｸﾌｧｲﾙ作成</t>
  </si>
  <si>
    <t>AC2033</t>
  </si>
  <si>
    <t>仕入先取引条件通知書作成～印刷</t>
  </si>
  <si>
    <t>AC2100C</t>
  </si>
  <si>
    <t>外貨仕入明細～画面入力</t>
  </si>
  <si>
    <t>AC2110C</t>
  </si>
  <si>
    <t>AC2111</t>
  </si>
  <si>
    <t>外貨仕入明細～レコード作成</t>
  </si>
  <si>
    <t>AC2112</t>
  </si>
  <si>
    <t>外貨仕入明細～印刷</t>
  </si>
  <si>
    <t>AC2113</t>
  </si>
  <si>
    <t>外貨仕入明細～ﾚｺｰﾄﾞ作成（部課別機種別合計表）</t>
  </si>
  <si>
    <t>AC2114</t>
  </si>
  <si>
    <t>外貨仕入明細～印刷（部課別機種別合計表）</t>
  </si>
  <si>
    <t>外貨建支払入力</t>
  </si>
  <si>
    <t>AC2300</t>
  </si>
  <si>
    <t>外貨建買掛金管理（月次更新）</t>
  </si>
  <si>
    <t>外貨建買掛金管理（月次更新）指示画面</t>
  </si>
  <si>
    <t>AC2320</t>
  </si>
  <si>
    <t>外貨建買掛金ファイルメンテナンス</t>
  </si>
  <si>
    <t>AC2410C</t>
  </si>
  <si>
    <t>外貨支払用ファイル作成</t>
  </si>
  <si>
    <t>AC2500C</t>
  </si>
  <si>
    <t>外貨支払用ファイル作成指示</t>
  </si>
  <si>
    <t>AC2510</t>
  </si>
  <si>
    <t>外貨建支払ワーク作成</t>
  </si>
  <si>
    <t>AC2510C</t>
  </si>
  <si>
    <t>外貨支払ファイル作成</t>
  </si>
  <si>
    <t>AC2600C</t>
  </si>
  <si>
    <t>INVOICE取込データ変換</t>
  </si>
  <si>
    <t>AC2601</t>
  </si>
  <si>
    <t>INVOICE取込ワークレコードチェック</t>
  </si>
  <si>
    <t>AC2602</t>
  </si>
  <si>
    <t>INVOICE取込ワークパターンチェック</t>
  </si>
  <si>
    <t>AC2605</t>
  </si>
  <si>
    <t>INVOICE照合ワーク補正</t>
  </si>
  <si>
    <t>AC2610</t>
  </si>
  <si>
    <t>INVOICE照合ワーク作成（１）                   '</t>
  </si>
  <si>
    <t>AC2611</t>
  </si>
  <si>
    <t>INVOICE照合ワーク作成（２）STEP1</t>
  </si>
  <si>
    <t>AC2612</t>
  </si>
  <si>
    <t>INVOICE照合ワーク作成（２）STEP2</t>
  </si>
  <si>
    <t>AC2613</t>
  </si>
  <si>
    <t>INVOICE照合ワーク作成（２）STEP3</t>
  </si>
  <si>
    <t>AC2614</t>
  </si>
  <si>
    <t>INVOICE照合ワーク作成（２）STEP4</t>
  </si>
  <si>
    <t>AC2620</t>
  </si>
  <si>
    <t>INVOICEデータ変換エラーチェック</t>
  </si>
  <si>
    <t>INVOICE変換照合データ確認・調整</t>
  </si>
  <si>
    <t>AC2640</t>
  </si>
  <si>
    <t>AC2640C</t>
  </si>
  <si>
    <t>AC2641</t>
  </si>
  <si>
    <t>INVOICE照合結果データ作成</t>
  </si>
  <si>
    <t>AC2642</t>
  </si>
  <si>
    <t>INVOICE照合結果リスト</t>
  </si>
  <si>
    <t>AC3010C</t>
  </si>
  <si>
    <t>預金残高チェックリスト作成</t>
  </si>
  <si>
    <t>未払費用データ入力</t>
  </si>
  <si>
    <t>２０日締め未払データ作成ｻﾝﾌﾟﾙﾛｼﾞｯｸ内在</t>
  </si>
  <si>
    <t>AC4001C</t>
  </si>
  <si>
    <t>AC4200A</t>
  </si>
  <si>
    <t>支払データ作成　買掛金（相殺計算変更）</t>
  </si>
  <si>
    <t>AC4200C</t>
  </si>
  <si>
    <t>支払データ作成　買掛金</t>
  </si>
  <si>
    <t>AC4201</t>
  </si>
  <si>
    <t>支払データ作成　買掛金　日付入力</t>
  </si>
  <si>
    <t>AC4202A</t>
  </si>
  <si>
    <t>支払データ作成　買掛金　前残キープ（２）</t>
  </si>
  <si>
    <t>AC4203A</t>
  </si>
  <si>
    <t>支払データ作成　買掛金　支払方法別金額計算２</t>
  </si>
  <si>
    <t>AC4210</t>
  </si>
  <si>
    <t>支払データ作成　未払費用</t>
  </si>
  <si>
    <t>AC4210C</t>
  </si>
  <si>
    <t>支払データ作成　未払費用　日付入力</t>
  </si>
  <si>
    <t>買掛金仕入データ作成</t>
  </si>
  <si>
    <t>未払費用経費データ作成</t>
  </si>
  <si>
    <t>未払費用（経費）一覧表</t>
  </si>
  <si>
    <t>部課別未払費用（経費）一覧表</t>
  </si>
  <si>
    <t>支払データ修正／削除</t>
  </si>
  <si>
    <t>買掛金ファイルメンテナンス</t>
  </si>
  <si>
    <t>AC4730C</t>
  </si>
  <si>
    <t>香港製品仕入原価差額(ﾀﾞｳﾝﾛｰﾄﾞ)</t>
  </si>
  <si>
    <t>AC4740C</t>
  </si>
  <si>
    <t>仕入高合計一覧表（納入者ｺｰﾄﾞ順）～画面入力</t>
  </si>
  <si>
    <t>AC4745C</t>
  </si>
  <si>
    <t>買掛金合計一覧表（納入者ｺｰﾄﾞ順）</t>
  </si>
  <si>
    <t>AC4746</t>
  </si>
  <si>
    <t>仕入高合計一覧表（納入者ｺｰﾄﾞ順）～ﾚｺｰﾄﾞ作成</t>
  </si>
  <si>
    <t>AC4747</t>
  </si>
  <si>
    <t>仕入高合計一覧表（納入者ｺｰﾄﾞ順）～印刷</t>
  </si>
  <si>
    <t>仕入高合計一覧表（金額順）～画面入力</t>
  </si>
  <si>
    <t>AC4750C</t>
  </si>
  <si>
    <t>買掛金合計一覧表（金額順）</t>
  </si>
  <si>
    <t>AC4751</t>
  </si>
  <si>
    <t>仕入高合計一覧表（金額順）～ﾚｺｰﾄﾞ作成</t>
  </si>
  <si>
    <t>AC4752</t>
  </si>
  <si>
    <t>仕入高合計一覧表（金額順）～印刷</t>
  </si>
  <si>
    <t>少額減価償却資産の仕入～画面入力&amp; ﾚｺｰﾄﾞ作成</t>
  </si>
  <si>
    <t>AC4755C</t>
  </si>
  <si>
    <t>仕入実績表　ワークＦ作成（全社・部門別・機種別）</t>
  </si>
  <si>
    <t>AC4760C</t>
  </si>
  <si>
    <t>仕入実績表　納入者・勘定科目別（全社・部門別）</t>
  </si>
  <si>
    <t>AC4761</t>
  </si>
  <si>
    <t>仕入実績表　納入者・勘定科目別　全社・部門別印刷</t>
  </si>
  <si>
    <t>AC4762</t>
  </si>
  <si>
    <t>仕入実績表　機種別・勘定科目別　部門別印刷</t>
  </si>
  <si>
    <t>AC4763</t>
  </si>
  <si>
    <t>仕入実績表　勘定科目その他明細印刷</t>
  </si>
  <si>
    <t>仕入実績表　ワークＦ作成（全社・経費科目のみ）</t>
  </si>
  <si>
    <t>AC4765C</t>
  </si>
  <si>
    <t>AC4766</t>
  </si>
  <si>
    <t>香港仕入実績金額～画面入力</t>
  </si>
  <si>
    <t>AC4770C</t>
  </si>
  <si>
    <t>AC4771</t>
  </si>
  <si>
    <t>香港仕入実績金額（全件）～日付登録</t>
  </si>
  <si>
    <t>AC4772</t>
  </si>
  <si>
    <t>香港仕入実績金額(ﾀﾞﾐｰｺｰﾄﾞ分）～日付登録</t>
  </si>
  <si>
    <t>AC4775C</t>
  </si>
  <si>
    <t>AC4785C</t>
  </si>
  <si>
    <t>AC4785QC</t>
  </si>
  <si>
    <t>仕入伝票明細（原価付与）ＤＬ                   '</t>
  </si>
  <si>
    <t>仕入実績表　部課別・勘定科目別</t>
  </si>
  <si>
    <t>AC4790C</t>
  </si>
  <si>
    <t>担当者別作業区分別作業工数集計表</t>
  </si>
  <si>
    <t>AC4791</t>
  </si>
  <si>
    <t>仕入実績表　部課別・勘定科目別～ファイル作成</t>
  </si>
  <si>
    <t>AC4792</t>
  </si>
  <si>
    <t>仕入実績表　部課別・勘定科目別～印刷</t>
  </si>
  <si>
    <t>AC4793</t>
  </si>
  <si>
    <t>仕入実績表　部課別・勘定科目別～部門獲得</t>
  </si>
  <si>
    <t>AC4794</t>
  </si>
  <si>
    <t>仕入実績表　部課別・勘定科目別～実行中ﾌﾗｸﾞOFF</t>
  </si>
  <si>
    <t>AC4800C</t>
  </si>
  <si>
    <t>買掛金支払管理表（その他支払分割）</t>
  </si>
  <si>
    <t>AC4900C</t>
  </si>
  <si>
    <t>残高確認書データ作成～画面入力</t>
  </si>
  <si>
    <t>AC4910AC</t>
  </si>
  <si>
    <t>残高確認書データ作成（ファイル変更分）</t>
  </si>
  <si>
    <t>AC4911A</t>
  </si>
  <si>
    <t>残高確認書データ作成～レコード作成（ﾌｧｲﾙ変更)</t>
  </si>
  <si>
    <t>AC4912A</t>
  </si>
  <si>
    <t>残高確認書データ作成～チェックリスト印刷</t>
  </si>
  <si>
    <t>残高確認書～印刷2021/12～使用</t>
  </si>
  <si>
    <t>AC4915C</t>
  </si>
  <si>
    <t>残高確認書～印刷</t>
  </si>
  <si>
    <t>AC4920C</t>
  </si>
  <si>
    <t>残高確認書（ダウンロードデータ作成）</t>
  </si>
  <si>
    <t>AC5000C</t>
  </si>
  <si>
    <t>AC500C</t>
  </si>
  <si>
    <t>支払手形印刷　ＣＬ</t>
  </si>
  <si>
    <t>支払手形印刷／買掛・未払区分</t>
  </si>
  <si>
    <t>連結決算関係資料～画面入力</t>
  </si>
  <si>
    <t>AC5010C</t>
  </si>
  <si>
    <t>AC5100A</t>
  </si>
  <si>
    <t>支払ファイル更新　買掛金</t>
  </si>
  <si>
    <t>AC510C</t>
  </si>
  <si>
    <t>支払手形発行一覧表　ＣＬ</t>
  </si>
  <si>
    <t>相殺ファイル更新　買掛金</t>
  </si>
  <si>
    <t>AC511C</t>
  </si>
  <si>
    <t>支払手形発行一覧表～ﾜｰｸﾌｧｲﾙにﾚｺｰﾄﾞ作成</t>
  </si>
  <si>
    <t>AC5120A</t>
  </si>
  <si>
    <t>支払ファイル更新　未払費用（修正）</t>
  </si>
  <si>
    <t>AC512C</t>
  </si>
  <si>
    <t>支払代行実行一覧表　ＣＬ</t>
  </si>
  <si>
    <t>AC515C</t>
  </si>
  <si>
    <t>AC516C</t>
  </si>
  <si>
    <t>AC516L</t>
  </si>
  <si>
    <t>支払手形　次月落込明細表元号改定対応済</t>
  </si>
  <si>
    <t>AC5200C</t>
  </si>
  <si>
    <t>支払手形　落込明細表</t>
  </si>
  <si>
    <t>AC520B</t>
  </si>
  <si>
    <t>買掛金総合振込コンバート処理</t>
  </si>
  <si>
    <t>AC520C</t>
  </si>
  <si>
    <t>買掛金総合振込処理</t>
  </si>
  <si>
    <t>AC520I</t>
  </si>
  <si>
    <t>買掛金総合振込データ作成指示</t>
  </si>
  <si>
    <t>AC525B</t>
  </si>
  <si>
    <t>未払費用総合振込コンバート処理</t>
  </si>
  <si>
    <t>AC525C</t>
  </si>
  <si>
    <t>未払費用総合振込処理</t>
  </si>
  <si>
    <t>AC525I</t>
  </si>
  <si>
    <t>未払費用総合振込データ作成指示</t>
  </si>
  <si>
    <t>支払手形管理表　取引先・期日別</t>
  </si>
  <si>
    <t>AC5300C</t>
  </si>
  <si>
    <t>支払手形管理表　銀行・期日別</t>
  </si>
  <si>
    <t>AC5400C</t>
  </si>
  <si>
    <t>AC5500C</t>
  </si>
  <si>
    <t>AC5510C</t>
  </si>
  <si>
    <t>AC5600C</t>
  </si>
  <si>
    <t>AC5650C</t>
  </si>
  <si>
    <t>支払手形集計表（銀行／期日別）</t>
  </si>
  <si>
    <t>AC5800C</t>
  </si>
  <si>
    <t>AC5801</t>
  </si>
  <si>
    <t>支払手形集計表（銀行／期日別）印刷</t>
  </si>
  <si>
    <t>為替予約申請データメンテナンス</t>
  </si>
  <si>
    <t>予約データファイルメンテナンス</t>
  </si>
  <si>
    <t>買掛金　照会</t>
  </si>
  <si>
    <t>仕入照会（勘定科目で検索）</t>
  </si>
  <si>
    <t>月別相手先別為替予約申請一覧表ﾜｰｸﾌｧｲﾙ作成</t>
  </si>
  <si>
    <t>AC6600C</t>
  </si>
  <si>
    <t>月別相手先別為替予約申請一覧表</t>
  </si>
  <si>
    <t>AC6601</t>
  </si>
  <si>
    <t>月別相手先別為替予約申請一覧表　印刷</t>
  </si>
  <si>
    <t>AC6602</t>
  </si>
  <si>
    <t>月別相手先別為替予約申請一覧表画面入力</t>
  </si>
  <si>
    <t>低価法在庫再評価用データダウンロード</t>
  </si>
  <si>
    <t>AC6610C</t>
  </si>
  <si>
    <t>貸借科目集計ファイル年次更新</t>
  </si>
  <si>
    <t>財務会計　新・振替伝票データ照会</t>
  </si>
  <si>
    <t>データ転送（１）自動振替ﾌｧｲﾙ＜人事＞</t>
  </si>
  <si>
    <t>データ転送（１）自動振替ﾌｧｲﾙ＜総務＞</t>
  </si>
  <si>
    <t>データ転送（２）振替伝票ﾌｧｲﾙ更新</t>
  </si>
  <si>
    <t>AC7012C</t>
  </si>
  <si>
    <t>ﾃﾞｰﾀ転送（２）振替伝票ﾌｧｲﾙ更新</t>
  </si>
  <si>
    <t>データ転送（１）自動振替ﾌｧｲﾙ／売上　＜経理＞</t>
  </si>
  <si>
    <t>データ転送（１）自動振替ﾌｧｲﾙ／仕入　＜経理＞</t>
  </si>
  <si>
    <t>業務別３部門別振替金額合計表～画面チェック</t>
  </si>
  <si>
    <t>AC7015C</t>
  </si>
  <si>
    <t>業務別３部門別振替金額合計表</t>
  </si>
  <si>
    <t>AC7016</t>
  </si>
  <si>
    <t>業務別３部門別振替金額合計表～ﾜｰｸﾌｧｲﾙ作成</t>
  </si>
  <si>
    <t>AC7017</t>
  </si>
  <si>
    <t>業務別３部門別振替金額合計表～印刷</t>
  </si>
  <si>
    <t>業務別売上振替金額合計表～印刷</t>
  </si>
  <si>
    <t>３部門別仕入金額合計表～画面チェック</t>
  </si>
  <si>
    <t>AC7020C</t>
  </si>
  <si>
    <t>AC7021</t>
  </si>
  <si>
    <t>３部門別仕入金額合計表～ﾜｰｸﾌｧｲﾙ作成</t>
  </si>
  <si>
    <t>AC7022</t>
  </si>
  <si>
    <t>３部門別仕入金額合計表～印刷</t>
  </si>
  <si>
    <t>仕入予定金額集計表部課別</t>
  </si>
  <si>
    <t>AC7120C</t>
  </si>
  <si>
    <t>仕入予定金額集計表　部課別</t>
  </si>
  <si>
    <t>仕入予定金額集計表部門別</t>
  </si>
  <si>
    <t>AC7130C</t>
  </si>
  <si>
    <t>仕入予定金額集計表　部門別</t>
  </si>
  <si>
    <t>仕入実績金額集計表部門別～画面入力</t>
  </si>
  <si>
    <t>AC7135C</t>
  </si>
  <si>
    <t>仕入実績金額集計表　部門別</t>
  </si>
  <si>
    <t>AC7136</t>
  </si>
  <si>
    <t>仕入実績金額集計表部門別～レコード作成</t>
  </si>
  <si>
    <t>AC7137</t>
  </si>
  <si>
    <t>仕入実績金額集計表部門別～印刷</t>
  </si>
  <si>
    <t>仕入実績&amp;予定内訳</t>
  </si>
  <si>
    <t>AC7138C</t>
  </si>
  <si>
    <t>部課別機種別生産実績集計表～画面入力</t>
  </si>
  <si>
    <t>AC7200C</t>
  </si>
  <si>
    <t>AC7201</t>
  </si>
  <si>
    <t>部課別機種別生産実績集計表～ﾚｺｰﾄﾞ作成</t>
  </si>
  <si>
    <t>AC7202</t>
  </si>
  <si>
    <t>部課別機種別生産実績集計表～印刷</t>
  </si>
  <si>
    <t>AC8500</t>
  </si>
  <si>
    <t>経費差異分析表～画面入力（計算）</t>
  </si>
  <si>
    <t>AC8500A</t>
  </si>
  <si>
    <t>経費差異分析表～画面入力（計算）・前期</t>
  </si>
  <si>
    <t>AC8500ZC</t>
  </si>
  <si>
    <t>経費差異分析表～計算／平成７年度（当／前期）</t>
  </si>
  <si>
    <t>経費差異分析表／データ作成・区分選択</t>
  </si>
  <si>
    <t>AC8510Z</t>
  </si>
  <si>
    <t>経費差異分析計算・新科目／平成７年度　</t>
  </si>
  <si>
    <t>AC8510ZA</t>
  </si>
  <si>
    <t>経費差異分析計算・新科目／平成７年度・前年度</t>
  </si>
  <si>
    <t>経費差異分析・集計データ作成／全社・部門別・当月</t>
  </si>
  <si>
    <t>AC8515C</t>
  </si>
  <si>
    <t>経費差異分析～印刷／新方式・当月1998/06/08</t>
  </si>
  <si>
    <t>AC8516</t>
  </si>
  <si>
    <t>経費差異分析・集計データ印刷／当月</t>
  </si>
  <si>
    <t>経費差異分析・集計データ作成／全社・部門別・累計</t>
  </si>
  <si>
    <t>AC8517C</t>
  </si>
  <si>
    <t>経費差異分析～印刷／新方式・累計1998/06/10</t>
  </si>
  <si>
    <t>AC8518</t>
  </si>
  <si>
    <t>経費差異分析・集計データ印刷／累計</t>
  </si>
  <si>
    <t>経費集計印刷順ﾌｧｲﾙ入力</t>
  </si>
  <si>
    <t>AC8555</t>
  </si>
  <si>
    <t>経費差異分析表印刷～その他勘定明細／新方式</t>
  </si>
  <si>
    <t>経費予算・実績対比/計画ｼｰﾄ～画面入力</t>
  </si>
  <si>
    <t>AC8665C</t>
  </si>
  <si>
    <t>AC8666</t>
  </si>
  <si>
    <t>経費予算・実績対比/計画ｼｰﾄ～ﾚｺｰﾄﾞ作成</t>
  </si>
  <si>
    <t>AC8667</t>
  </si>
  <si>
    <t>経費予算・実績対比/計画ｼｰﾄ～印刷</t>
  </si>
  <si>
    <t>AC8668</t>
  </si>
  <si>
    <t>経費予算・実績対比/累計ｼｰﾄ～ﾚｺｰﾄﾞ作成</t>
  </si>
  <si>
    <t>AC8669</t>
  </si>
  <si>
    <t>経費予算・実績対比/累計ｼｰﾄ～印刷</t>
  </si>
  <si>
    <t>経費予算・実績対比/申請ｼｰﾄ～画面入力</t>
  </si>
  <si>
    <t>AC8675C</t>
  </si>
  <si>
    <t>経費予算・実績対比/申請ｼｰﾄ</t>
  </si>
  <si>
    <t>経費予算・実績対比/予算枠～画面入力</t>
  </si>
  <si>
    <t>AC8681</t>
  </si>
  <si>
    <t>経費予算・実績対比/予算枠～ﾚｺｰﾄﾞ作成 QRY用</t>
  </si>
  <si>
    <t>AC8682</t>
  </si>
  <si>
    <t>経費予算・実績対比/予算枠～印刷</t>
  </si>
  <si>
    <t>経費予算・実績対比/分析ｼｰﾄ～画面入力</t>
  </si>
  <si>
    <t>AC8685C</t>
  </si>
  <si>
    <t>経費予算・実績対比/分析ｼｰﾄ</t>
  </si>
  <si>
    <t>AC8686</t>
  </si>
  <si>
    <t>経費予算・実績対比/分析ｼｰﾄ～ﾚｺｰﾄﾞ作成</t>
  </si>
  <si>
    <t>AC8687</t>
  </si>
  <si>
    <t>経費予算・実績対比/分析ｼｰﾄ～印刷</t>
  </si>
  <si>
    <t>AC8688</t>
  </si>
  <si>
    <t>AC8689</t>
  </si>
  <si>
    <t>経費予算申請額・申請枠～画面入力</t>
  </si>
  <si>
    <t>AC8690C</t>
  </si>
  <si>
    <t>AC8691</t>
  </si>
  <si>
    <t>経費予算申請額・申請枠～ﾚｺｰﾄﾞ作成  QRY用</t>
  </si>
  <si>
    <t>業務別振替　経理振替業務月度完了処理（売上）　</t>
  </si>
  <si>
    <t>業務別売上金額部課別一覧～画面チェック</t>
  </si>
  <si>
    <t>AC9021C</t>
  </si>
  <si>
    <t>AC9022</t>
  </si>
  <si>
    <t>業務別売上金額部課別一覧関係会社以外</t>
  </si>
  <si>
    <t>AC9023</t>
  </si>
  <si>
    <t>業務別売上金額部課別一覧関係会社</t>
  </si>
  <si>
    <t>経理自動振替データ作成（仕入）～画面チェック</t>
  </si>
  <si>
    <t>AC9050C</t>
  </si>
  <si>
    <t>経理自動振替データ作成（仕入）</t>
  </si>
  <si>
    <t>AC9051</t>
  </si>
  <si>
    <t>経理自動振替データ作成（仕入）～関係会社以外</t>
  </si>
  <si>
    <t>AC9052</t>
  </si>
  <si>
    <t>経理自動振替データ作成（仕入）～関係会社</t>
  </si>
  <si>
    <t>AC9053</t>
  </si>
  <si>
    <t>経理振替データ作成（ﾏｲﾅｽ金額・貸借入替／仕入）</t>
  </si>
  <si>
    <t>業務別振替　経理振替業務月度完了処理（仕入）　</t>
  </si>
  <si>
    <t>AC9055</t>
  </si>
  <si>
    <t>経理自動振替データ作成（仕入）消費税計算</t>
  </si>
  <si>
    <t>AC9056</t>
  </si>
  <si>
    <t>経理自動振替ﾃﾞｰﾀ作成（仕入）消費税計算</t>
  </si>
  <si>
    <t>AC9059</t>
  </si>
  <si>
    <t>関係会社（仕入）判定</t>
  </si>
  <si>
    <t>AC905A</t>
  </si>
  <si>
    <t>科目別仕入金額部課別一覧～画面チェック</t>
  </si>
  <si>
    <t>AC9061C</t>
  </si>
  <si>
    <t>AC9063</t>
  </si>
  <si>
    <t>科目別仕入金額部課別一覧ﾚｺｰﾄﾞ関係会社以外</t>
  </si>
  <si>
    <t>AC9064</t>
  </si>
  <si>
    <t>科目別仕入金額部課別一覧～印刷　関係会社以外</t>
  </si>
  <si>
    <t>AC9065</t>
  </si>
  <si>
    <t>科目別仕入金額部課別一覧ﾚｺｰﾄﾞ関係会社</t>
  </si>
  <si>
    <t>AC9066</t>
  </si>
  <si>
    <t>科目別仕入金額部課別一覧～印刷　関係会社</t>
  </si>
  <si>
    <t>AC9090C</t>
  </si>
  <si>
    <t>支払手形自動振替データ作成 NISHIMURA ADD</t>
  </si>
  <si>
    <t>AC9091</t>
  </si>
  <si>
    <t>支払手形振替データ作成（ﾏｲﾅｽ金額・貸借入替）</t>
  </si>
  <si>
    <t>支払手形振替データ一覧</t>
  </si>
  <si>
    <t>データ転送（１）自動振替ﾌｧｲﾙ／支払手形</t>
  </si>
  <si>
    <t>自動仕訳取込処理</t>
  </si>
  <si>
    <t>AC9100_310</t>
  </si>
  <si>
    <t>ＤＩＶＡ連結用財務データ抽出　会社選択</t>
  </si>
  <si>
    <t>AC9110C</t>
  </si>
  <si>
    <t>ＤＩＶＡ連結用財務データ抽出</t>
  </si>
  <si>
    <t>AC9115</t>
  </si>
  <si>
    <t>ＤＩＶＡ連結用財務データ抽出　抽出処理</t>
  </si>
  <si>
    <t>AC9115C</t>
  </si>
  <si>
    <t>ＤＩＶＡ連結用財務データ抽出　ライブラリ変更</t>
  </si>
  <si>
    <t>自動仕訳取込元データ修正</t>
  </si>
  <si>
    <t>AC9130</t>
  </si>
  <si>
    <t>FDNTRP･JFDTRPのﾊﾞｯｸｱｯﾌﾟ</t>
  </si>
  <si>
    <t>AC9130C</t>
  </si>
  <si>
    <t>AC9135C</t>
  </si>
  <si>
    <t>自動仕訳取込処理新固定資産システム用</t>
  </si>
  <si>
    <t>AC9141C</t>
  </si>
  <si>
    <t>自動仕訳取込処理経費精算システム用画面</t>
  </si>
  <si>
    <t>AC9152</t>
  </si>
  <si>
    <t>自動仕訳取込処理経費精算システム用経費分</t>
  </si>
  <si>
    <t>AC9153</t>
  </si>
  <si>
    <t>自動仕訳取込処理経費精算システム用　支払分</t>
  </si>
  <si>
    <t>AC9154</t>
  </si>
  <si>
    <t>２２桁文字→数字へ変換　（金額）</t>
  </si>
  <si>
    <t>自動仕訳取込処理振替伝票用　画面</t>
  </si>
  <si>
    <t>AC9156</t>
  </si>
  <si>
    <t>自動仕訳取込処理振替伝票用</t>
  </si>
  <si>
    <t>AC9156_310</t>
  </si>
  <si>
    <t>固定資産データメンテナンス</t>
  </si>
  <si>
    <t>AC9200C</t>
  </si>
  <si>
    <t>固定資産付加情報メンテ</t>
  </si>
  <si>
    <t>AC9220</t>
  </si>
  <si>
    <t>固定資産新規取得データ抽出処理</t>
  </si>
  <si>
    <t>AC9220C</t>
  </si>
  <si>
    <t>固定資産付加情報照会</t>
  </si>
  <si>
    <t>固定資産データ日次更新～画面入力</t>
  </si>
  <si>
    <t>AC9300C</t>
  </si>
  <si>
    <t>固定資産データ日次更新</t>
  </si>
  <si>
    <t>AC9301</t>
  </si>
  <si>
    <t>固定資産データ日次更新～更新</t>
  </si>
  <si>
    <t>固定資産データ月次更新</t>
  </si>
  <si>
    <t>AC9310C</t>
  </si>
  <si>
    <t>AC9320</t>
  </si>
  <si>
    <t>固定資産年次更新【本更新】</t>
  </si>
  <si>
    <t>固定資産年次更新《選択》</t>
  </si>
  <si>
    <t>AC9325</t>
  </si>
  <si>
    <t>固定資産年次更新【仮更新】</t>
  </si>
  <si>
    <t>償却資産申告明細表～ファイル作成</t>
  </si>
  <si>
    <t>AC9350C</t>
  </si>
  <si>
    <t>償却資産申告明細表</t>
  </si>
  <si>
    <t>AC9360</t>
  </si>
  <si>
    <t>償却資産申告明細表～印刷</t>
  </si>
  <si>
    <t>償却合計・明細（予定一覧）～画面入力,ﾚｺｰﾄﾞ作成</t>
  </si>
  <si>
    <t>AC9390C</t>
  </si>
  <si>
    <t>AC9405A</t>
  </si>
  <si>
    <t>減価償却明細表～ファイル作成（現在簿価あり）</t>
  </si>
  <si>
    <t>AC9405C</t>
  </si>
  <si>
    <t>減価償却明細表（現在簿価あり）</t>
  </si>
  <si>
    <t>AC9415</t>
  </si>
  <si>
    <t>減価償却明細表～印刷（現在簿価あり）</t>
  </si>
  <si>
    <t>AC9420C</t>
  </si>
  <si>
    <t>AC9425C</t>
  </si>
  <si>
    <t>AC9430C</t>
  </si>
  <si>
    <t>固定資産棚卸表～画面入力</t>
  </si>
  <si>
    <t>AC9440C</t>
  </si>
  <si>
    <t>AC9441</t>
  </si>
  <si>
    <t>固定資産棚卸表～印刷</t>
  </si>
  <si>
    <t>AC9445C</t>
  </si>
  <si>
    <t>AC9446</t>
  </si>
  <si>
    <t>固定資産棚卸タックシール～画面入力</t>
  </si>
  <si>
    <t>AC9450C</t>
  </si>
  <si>
    <t>固定資産棚卸用タックシール</t>
  </si>
  <si>
    <t>AC9451</t>
  </si>
  <si>
    <t>固定資産棚卸タックシール～タックシール印刷</t>
  </si>
  <si>
    <t>AC9452</t>
  </si>
  <si>
    <t>固定資産棚卸タックシール～配布管理リスト印刷</t>
  </si>
  <si>
    <t>償却予定一覧表～画面入力</t>
  </si>
  <si>
    <t>AC9460C</t>
  </si>
  <si>
    <t>償却予定一覧表</t>
  </si>
  <si>
    <t>AC9461</t>
  </si>
  <si>
    <t>償却予定一覧表～印刷</t>
  </si>
  <si>
    <t>固定資産台帳～画面入力</t>
  </si>
  <si>
    <t>AC9470C</t>
  </si>
  <si>
    <t>AC9471</t>
  </si>
  <si>
    <t>固定資産台帳～印刷</t>
  </si>
  <si>
    <t>工場財団明細表～画面入力</t>
  </si>
  <si>
    <t>AC9480C</t>
  </si>
  <si>
    <t>工場財団明細表</t>
  </si>
  <si>
    <t>AC9481</t>
  </si>
  <si>
    <t>工場財団明細表～印刷ワークファイル作成１</t>
  </si>
  <si>
    <t>AC9482</t>
  </si>
  <si>
    <t>工場財団明細表～印刷ワークファイル作成２</t>
  </si>
  <si>
    <t>AC9483</t>
  </si>
  <si>
    <t>工場財団明細表～印刷ワークファイル作成３</t>
  </si>
  <si>
    <t>AC9490</t>
  </si>
  <si>
    <t>工場財団明細表～印刷</t>
  </si>
  <si>
    <t>相殺金額入力</t>
  </si>
  <si>
    <t>買掛金代行区分別期日引落(B)</t>
  </si>
  <si>
    <t>AC9540C</t>
  </si>
  <si>
    <t>AC9550C</t>
  </si>
  <si>
    <t>買掛金代行支払ＣＦ移行一覧</t>
  </si>
  <si>
    <t>支払手形明細書データ作成・年月度指定</t>
  </si>
  <si>
    <t>AC9600C</t>
  </si>
  <si>
    <t>支払手形データ明細管理・データ作成</t>
  </si>
  <si>
    <t>AC9601</t>
  </si>
  <si>
    <t>支払手形明細書データ作成・仕入実績集計</t>
  </si>
  <si>
    <t>AC9602</t>
  </si>
  <si>
    <t>支払手形明細書データ作成・前月残／手形金額作成</t>
  </si>
  <si>
    <t>AC9603</t>
  </si>
  <si>
    <t>支払手形明細書データ作成・手形金額合計作成</t>
  </si>
  <si>
    <t>AC9604</t>
  </si>
  <si>
    <t>支払手形明細書データ作成・仕入実績反映</t>
  </si>
  <si>
    <t>AC9605</t>
  </si>
  <si>
    <t>支払手形明細書データ作成・明細データ期日別細分化</t>
  </si>
  <si>
    <t>AC9606</t>
  </si>
  <si>
    <t>支払手形明細管理・指定年月度過去データ削除</t>
  </si>
  <si>
    <t>AC9608</t>
  </si>
  <si>
    <t>支払手形明細管理・指定年月度設備手形データ追加</t>
  </si>
  <si>
    <t>AC9609</t>
  </si>
  <si>
    <t>支払手形明細管理・前月残高他科目振替処理</t>
  </si>
  <si>
    <t>AC9610A</t>
  </si>
  <si>
    <t>期日別支払手形明細表（新）</t>
  </si>
  <si>
    <t>AC9610C</t>
  </si>
  <si>
    <t>期日別支払手形明細表印刷</t>
  </si>
  <si>
    <t>期日別・相手先別支払手形／設備手形明細管理表</t>
  </si>
  <si>
    <t>AC9612C</t>
  </si>
  <si>
    <t>支払・設備手形明細管理表　取引先・期日別</t>
  </si>
  <si>
    <t>取引先振込銀行口座一覧表　</t>
  </si>
  <si>
    <t>AC9700C</t>
  </si>
  <si>
    <t>取引先銀行口座一覧表</t>
  </si>
  <si>
    <t>AC9710C</t>
  </si>
  <si>
    <t>AC9715</t>
  </si>
  <si>
    <t>銀行区分ﾌｧｲﾙ保守</t>
  </si>
  <si>
    <t>売上・原価予算ﾘｽﾄ～画面入力</t>
  </si>
  <si>
    <t>AC9840C</t>
  </si>
  <si>
    <t>AC9842</t>
  </si>
  <si>
    <t>売上・原価予算ﾘｽﾄ～ﾚｺｰﾄﾞ作成</t>
  </si>
  <si>
    <t>AC9851</t>
  </si>
  <si>
    <t>販売予算～ﾚｺｰﾄﾞ作成（販売部門別）</t>
  </si>
  <si>
    <t>AC9860</t>
  </si>
  <si>
    <t>AC9865C</t>
  </si>
  <si>
    <t>販売在庫数入力 　　　　　</t>
  </si>
  <si>
    <t>AC9866C</t>
  </si>
  <si>
    <t>販売在庫数入力</t>
  </si>
  <si>
    <t>販売生産数入力 　　　　　</t>
  </si>
  <si>
    <t>AC9867C</t>
  </si>
  <si>
    <t>販売生産数入力</t>
  </si>
  <si>
    <t>製品別売上予算印刷</t>
  </si>
  <si>
    <t>AC9870C</t>
  </si>
  <si>
    <t>製品別売上予算帳票</t>
  </si>
  <si>
    <t>売上予算～画面入力</t>
  </si>
  <si>
    <t>AC9880C</t>
  </si>
  <si>
    <t>AC9881</t>
  </si>
  <si>
    <t>売上予算～ﾚｺｰﾄﾞ作成</t>
  </si>
  <si>
    <t>AC9882</t>
  </si>
  <si>
    <t>売上予算～印刷（得意先別）</t>
  </si>
  <si>
    <t>AC9883</t>
  </si>
  <si>
    <t>売上予算～印刷（地区別）</t>
  </si>
  <si>
    <t>AC9884</t>
  </si>
  <si>
    <t>売上予算～印刷（担当者別別）</t>
  </si>
  <si>
    <t>生産（仕入）・販売・在庫予算</t>
  </si>
  <si>
    <t>AC9890C</t>
  </si>
  <si>
    <t>生産（仕入）・販売・在庫予算（金額印字）</t>
  </si>
  <si>
    <t>AC9895C</t>
  </si>
  <si>
    <t>仕入（在庫）予算</t>
  </si>
  <si>
    <t>AC9900C</t>
  </si>
  <si>
    <t>仕入（在庫）予算（品目別集計）</t>
  </si>
  <si>
    <t>AC9905C</t>
  </si>
  <si>
    <t>生産大日程計画表</t>
  </si>
  <si>
    <t>AC9910C</t>
  </si>
  <si>
    <t>予算販売計画数リスト 　　</t>
  </si>
  <si>
    <t>AC9980AC</t>
  </si>
  <si>
    <t>予算販売計画数リスト</t>
  </si>
  <si>
    <t>AC9980C</t>
  </si>
  <si>
    <t>予算在庫計画数リスト 　　</t>
  </si>
  <si>
    <t>AC9981AC</t>
  </si>
  <si>
    <t>予算在庫計画数リスト</t>
  </si>
  <si>
    <t>AC9981C</t>
  </si>
  <si>
    <t>予算生産計画数リスト 　　</t>
  </si>
  <si>
    <t>AC9982AC</t>
  </si>
  <si>
    <t>予算生産計画数リスト</t>
  </si>
  <si>
    <t>AC9982C</t>
  </si>
  <si>
    <t>ACA000C</t>
  </si>
  <si>
    <t>2021.05.01</t>
  </si>
  <si>
    <t>ACSB01</t>
  </si>
  <si>
    <t>経理業務月度引用ＳＵＢ（売上）</t>
  </si>
  <si>
    <t>ACSB02</t>
  </si>
  <si>
    <t>経理業務月度引用ＳＵＢ（仕入）</t>
  </si>
  <si>
    <t>ACSB03</t>
  </si>
  <si>
    <t>経理業務月度引用ＳＵＢ（出庫）</t>
  </si>
  <si>
    <t>ACX600B</t>
  </si>
  <si>
    <t>製・商品棚卸集計表（部課別）金額指定</t>
  </si>
  <si>
    <t>ACX600C</t>
  </si>
  <si>
    <t>製／商品部課別品目別在庫集計表・集計／印刷</t>
  </si>
  <si>
    <t>ACX600I</t>
  </si>
  <si>
    <t>実地棚卸データ／製・商品部課別集計表</t>
  </si>
  <si>
    <t>ADVANCE</t>
  </si>
  <si>
    <t>アドバンス　データダウンロード</t>
  </si>
  <si>
    <t>AD</t>
  </si>
  <si>
    <t>ASUKAC</t>
  </si>
  <si>
    <t>飛鳥システム向　部課毎請求合計ＤＬ</t>
  </si>
  <si>
    <t>AS</t>
  </si>
  <si>
    <t>自動振替データ作成（経理業務～項目選択JCM対応</t>
  </si>
  <si>
    <t>AT</t>
  </si>
  <si>
    <t>AT0200AC</t>
  </si>
  <si>
    <t>自動振替データ作成＜経理業務＞JCM対応</t>
  </si>
  <si>
    <t>AT0201A</t>
  </si>
  <si>
    <t>自動振替データ作成・出庫伝票＜経費＞JCM対応</t>
  </si>
  <si>
    <t>AT0203A</t>
  </si>
  <si>
    <t>自動振替データ作成ﾏｲﾅｽ金額・貸借入替JCM対応</t>
  </si>
  <si>
    <t>業務別振替　経理振替業務月度完了処理（出庫）　</t>
  </si>
  <si>
    <t>AT020AA</t>
  </si>
  <si>
    <t>自動振替データ作成</t>
  </si>
  <si>
    <t>振替データ一覧（出庫・ｻｰﾋﾞｽ出庫伝票）</t>
  </si>
  <si>
    <t>データ転送(1)自動振替ﾌｧｲﾙ／出庫･ｻｰﾋﾞｽ出庫</t>
  </si>
  <si>
    <t>自動仕訳データ振替伝票発行／出庫・ｻｰﾋﾞｽ出庫</t>
  </si>
  <si>
    <t>AT0221C</t>
  </si>
  <si>
    <t>自動仕訳データ伝票発行／出庫・ｻｰﾋﾞｽ出庫</t>
  </si>
  <si>
    <t>経費予算集計表～画面</t>
  </si>
  <si>
    <t>AT0229C</t>
  </si>
  <si>
    <t>AT0230</t>
  </si>
  <si>
    <t>部門別経費ファイル作成</t>
  </si>
  <si>
    <t>AT0231</t>
  </si>
  <si>
    <t>CEI16URC</t>
  </si>
  <si>
    <t>CE-I6販売実績</t>
  </si>
  <si>
    <t>CE</t>
  </si>
  <si>
    <t>CHKCEI6C</t>
  </si>
  <si>
    <t>在庫・販売ｼﾘｱﾙ･ﾘｽﾄ作成JCM</t>
  </si>
  <si>
    <t>CH</t>
  </si>
  <si>
    <t>CHKURG950C</t>
  </si>
  <si>
    <t>CHKURG953C</t>
  </si>
  <si>
    <t>経費振替ﾘｽﾄ(JTS)</t>
  </si>
  <si>
    <t>CHKURGN950</t>
  </si>
  <si>
    <t>CHKURGN953</t>
  </si>
  <si>
    <t>経費振替ﾘｽﾄ (JTS)</t>
  </si>
  <si>
    <t>CLROH2C</t>
  </si>
  <si>
    <t>クリーンローラー案内資料データ抽出</t>
  </si>
  <si>
    <t>CL</t>
  </si>
  <si>
    <t>CLROHRC</t>
  </si>
  <si>
    <t>労務費・経費率テーブル保守</t>
  </si>
  <si>
    <t>CS</t>
  </si>
  <si>
    <t>金型償却費テーブル保守</t>
  </si>
  <si>
    <t>特許料テーブル保守</t>
  </si>
  <si>
    <t>生産工場マスター保守</t>
  </si>
  <si>
    <t>実際労務費・経費率テーブル保守</t>
  </si>
  <si>
    <t>品目別販売課テーブル保守</t>
  </si>
  <si>
    <t>CS0070</t>
  </si>
  <si>
    <t>開示区分マスターメンテナンス</t>
  </si>
  <si>
    <t>CS0070C</t>
  </si>
  <si>
    <t>労務費・経費率ﾃｰﾌﾞﾙ照会                   JCM</t>
  </si>
  <si>
    <t>金型償却費テーブル照会                      JCM</t>
  </si>
  <si>
    <t>特許料テーブル照会                          JCM</t>
  </si>
  <si>
    <t>生産工場マスター照会                        JCM</t>
  </si>
  <si>
    <t>実際労務費・経費率ﾃｰﾌﾞﾙ照会               JCM</t>
  </si>
  <si>
    <t>品目別販売課テーブル照会                    JCM</t>
  </si>
  <si>
    <t>労務費・経費率ﾃｰﾌﾞﾙ一覧表                 JCM</t>
  </si>
  <si>
    <t>金型償却費テーブル一覧表                    JCM</t>
  </si>
  <si>
    <t>特許料テーブル一覧表                        JCM</t>
  </si>
  <si>
    <t>生産工場マスター一覧表                      JCM</t>
  </si>
  <si>
    <t>実際労務費・経費率ﾃｰﾌﾞﾙ一覧表             JCM</t>
  </si>
  <si>
    <t>品目別販売課テーブル一覧表                  JCM</t>
  </si>
  <si>
    <t>参考原価構成メンテナンス</t>
  </si>
  <si>
    <t>CS1030</t>
  </si>
  <si>
    <t>参考原価構成ファイル作成</t>
  </si>
  <si>
    <t>CS1060</t>
  </si>
  <si>
    <t>参考原価検索</t>
  </si>
  <si>
    <t>参考原価リスト（品目別）</t>
  </si>
  <si>
    <t>参考原価リスト（費目別）</t>
  </si>
  <si>
    <t>CS1099</t>
  </si>
  <si>
    <t>銀行マスターカナ照会</t>
  </si>
  <si>
    <t>計算環境設定</t>
  </si>
  <si>
    <t>CS2010C</t>
  </si>
  <si>
    <t>標準原価設定ＣＬ</t>
  </si>
  <si>
    <t>CS2020</t>
  </si>
  <si>
    <t>計算環境設定(2)</t>
  </si>
  <si>
    <t>標準原価チェック表作成（品目別）</t>
  </si>
  <si>
    <t>標準原価チェック表作成（品目別・明細）</t>
  </si>
  <si>
    <t>標準原価計算処理</t>
  </si>
  <si>
    <t>CS2085C</t>
  </si>
  <si>
    <t>標準原価計算ＣＬ</t>
  </si>
  <si>
    <t>CS2090</t>
  </si>
  <si>
    <t>原価積上用ワークファイル作成</t>
  </si>
  <si>
    <t>CS2100</t>
  </si>
  <si>
    <t>原価積上処理</t>
  </si>
  <si>
    <t>CS2105</t>
  </si>
  <si>
    <t>生産工場ﾏｽﾀｰ作成</t>
  </si>
  <si>
    <t>CS2110</t>
  </si>
  <si>
    <t>標準原価作成（材料費等）</t>
  </si>
  <si>
    <t>標準原価リスト作成（品目別履歴）</t>
  </si>
  <si>
    <t>標準原価リスト作成（品目別・明細）7/8 JUST MODIF</t>
  </si>
  <si>
    <t>標準原価リスト作成（機種別品目別）</t>
  </si>
  <si>
    <t>CS2160</t>
  </si>
  <si>
    <t>標準原価　間接費のみ再計算処理</t>
  </si>
  <si>
    <t>CS2160C</t>
  </si>
  <si>
    <t>来期標準原価　間接費のみ再計算</t>
  </si>
  <si>
    <t>標準原価期中変更処理</t>
  </si>
  <si>
    <t>CS2220C</t>
  </si>
  <si>
    <t>標準原価期中変更リスト</t>
  </si>
  <si>
    <t>CS2221C</t>
  </si>
  <si>
    <t>標準原価変更処理</t>
  </si>
  <si>
    <t>期中変更リスト（１）</t>
  </si>
  <si>
    <t>期中変更リスト（２）</t>
  </si>
  <si>
    <t>CS2265</t>
  </si>
  <si>
    <t>標準原価変更履歴</t>
  </si>
  <si>
    <t>CS2330</t>
  </si>
  <si>
    <t>標準原価作成（材料費等）夜間処理</t>
  </si>
  <si>
    <t>CS3019C</t>
  </si>
  <si>
    <t>HIKTRP CPYF</t>
  </si>
  <si>
    <t>実際原価リスト（機種別品目別）</t>
  </si>
  <si>
    <t>実際原価リスト（品目別明細）保留　</t>
  </si>
  <si>
    <t>製造原価見積書出力指示</t>
  </si>
  <si>
    <t>CS3323</t>
  </si>
  <si>
    <t>製造原価見積書ﾃﾞｰﾀ選択</t>
  </si>
  <si>
    <t>CS3324C</t>
  </si>
  <si>
    <t>製造原価見積書出力（実際原価計算時用）</t>
  </si>
  <si>
    <t>CS3325</t>
  </si>
  <si>
    <t>CS3325C</t>
  </si>
  <si>
    <t>CS3330C</t>
  </si>
  <si>
    <t>製造原価見積ﾘｽﾄ出力指示</t>
  </si>
  <si>
    <t>CS3340C</t>
  </si>
  <si>
    <t>製造原価見積ﾘｽﾄ指示画面</t>
  </si>
  <si>
    <t>CS3345</t>
  </si>
  <si>
    <t>製造原価見積ﾘｽﾄ</t>
  </si>
  <si>
    <t>CS3345C</t>
  </si>
  <si>
    <t>製番別実績生産効率及び労務製造経費配賦出力指示</t>
  </si>
  <si>
    <t>CS3371</t>
  </si>
  <si>
    <t>製番別実績生産効率及び労務製造経費配賦出力</t>
  </si>
  <si>
    <t>当月完了製番の製造原価集計出力指示</t>
  </si>
  <si>
    <t>CS3381</t>
  </si>
  <si>
    <t>当月完了製番の製造原価集計出力</t>
  </si>
  <si>
    <t>CS3381C</t>
  </si>
  <si>
    <t>当月完了製番の製造原価集計</t>
  </si>
  <si>
    <t>品目別実際原価照会</t>
  </si>
  <si>
    <t>原価計算カード照会</t>
  </si>
  <si>
    <t>CS3410</t>
  </si>
  <si>
    <t>受入ロット№別実際原価照会</t>
  </si>
  <si>
    <t>CS3411</t>
  </si>
  <si>
    <t>受入ロット№別実際原価照会～実際・標準原価獲得</t>
  </si>
  <si>
    <t>CS3411C</t>
  </si>
  <si>
    <t>受入ロット№別実際原価照会　実際,標準原価獲得</t>
  </si>
  <si>
    <t>CS3500</t>
  </si>
  <si>
    <t>実際引落実績Ｆ作成</t>
  </si>
  <si>
    <t>CS3500C</t>
  </si>
  <si>
    <t>実際原価計算ＣＬ</t>
  </si>
  <si>
    <t>CS3500CIMA</t>
  </si>
  <si>
    <t>実際原価計算ＣＬ2009/8/7処理中エラー対応</t>
  </si>
  <si>
    <t>CS3501C</t>
  </si>
  <si>
    <t>実際原価計算ＣＬ(ﾃｽﾄ)</t>
  </si>
  <si>
    <t>CS3502C</t>
  </si>
  <si>
    <t>実際原価計算ＣＬ(随時)</t>
  </si>
  <si>
    <t>実際原価計算指示画面</t>
  </si>
  <si>
    <t>CS350AC</t>
  </si>
  <si>
    <t>実際原価計算SBMJOB</t>
  </si>
  <si>
    <t>実際原価計算指示画面(ﾃｽﾄ)</t>
  </si>
  <si>
    <t>CS350BC</t>
  </si>
  <si>
    <t>実際原価計算SBMJOB(ﾃｽﾄ)</t>
  </si>
  <si>
    <t>CS350C</t>
  </si>
  <si>
    <t>実際原価計算指示画面(随時)</t>
  </si>
  <si>
    <t>CS350CC</t>
  </si>
  <si>
    <t>実際原価計算SBMJOB(随時)</t>
  </si>
  <si>
    <t>CS3510</t>
  </si>
  <si>
    <t>実際原価積上処理　</t>
  </si>
  <si>
    <t>CS3515</t>
  </si>
  <si>
    <t>ロット別原価（実際）ファィル積上げ</t>
  </si>
  <si>
    <t>CS3520</t>
  </si>
  <si>
    <t>実際原価完成処理　</t>
  </si>
  <si>
    <t>CS3530</t>
  </si>
  <si>
    <t>ロット別原価（仕掛）作成</t>
  </si>
  <si>
    <t>CS353A</t>
  </si>
  <si>
    <t>仕掛ファィル作成　　　　</t>
  </si>
  <si>
    <t>CS3540</t>
  </si>
  <si>
    <t>実際原価費用ワーク作成</t>
  </si>
  <si>
    <t>CS3550</t>
  </si>
  <si>
    <t>実際原価費用計算</t>
  </si>
  <si>
    <t>CS3560</t>
  </si>
  <si>
    <t>実際原価計算(当月完了製番の品目毎実際原価出力)</t>
  </si>
  <si>
    <t>CS3570</t>
  </si>
  <si>
    <t>実際原価計算(当月完了製番の製番毎実際原価出力)</t>
  </si>
  <si>
    <t>CS3580</t>
  </si>
  <si>
    <t>実際原価計算(過月完了製番の品目毎実際原価出力)</t>
  </si>
  <si>
    <t>CS3590</t>
  </si>
  <si>
    <t>実際原価計算(過月完了製番の製番毎実際原価出力)</t>
  </si>
  <si>
    <t>CS3600</t>
  </si>
  <si>
    <t>受入ロット別受払作成</t>
  </si>
  <si>
    <t>CS3600C</t>
  </si>
  <si>
    <t>受入ロット別受払いﾌｧｨﾙ作成</t>
  </si>
  <si>
    <t>CS3607</t>
  </si>
  <si>
    <t>材料・加工費受払い（合計表）</t>
  </si>
  <si>
    <t>CS3608</t>
  </si>
  <si>
    <t>製造費受払い（合計表）</t>
  </si>
  <si>
    <t>原価差額処理指示画面</t>
  </si>
  <si>
    <t>CS360AC</t>
  </si>
  <si>
    <t>CS3610</t>
  </si>
  <si>
    <t>原価差額（受入ロット単位）</t>
  </si>
  <si>
    <t>実際・標準原価比較　製番別、受入ﾛｯﾄ別～画面</t>
  </si>
  <si>
    <t>CS3620C</t>
  </si>
  <si>
    <t>CS3621</t>
  </si>
  <si>
    <t>実際・標準原価比較　製番別、受入ﾛｯﾄ別～標準ｾｯﾄ</t>
  </si>
  <si>
    <t>CS3622</t>
  </si>
  <si>
    <t>実際・標準原価比較　受入ﾛｯﾄ別～担当者登録</t>
  </si>
  <si>
    <t>原価差額明細(ﾀﾞｳﾝﾛｰﾄﾞ)</t>
  </si>
  <si>
    <t>CS3650C</t>
  </si>
  <si>
    <t>CS5001</t>
  </si>
  <si>
    <t>CS5001C</t>
  </si>
  <si>
    <t>原価差異明細表印刷</t>
  </si>
  <si>
    <t>CS5002</t>
  </si>
  <si>
    <t>原価差異明細表　標準積上ワーク</t>
  </si>
  <si>
    <t>CS5003</t>
  </si>
  <si>
    <t>原価差異明細表　実際原価積上ワーク</t>
  </si>
  <si>
    <t>CS5004C</t>
  </si>
  <si>
    <t>特別引落等一覧</t>
  </si>
  <si>
    <t>CS5010</t>
  </si>
  <si>
    <t>来期標準原価検討表　作成指示</t>
  </si>
  <si>
    <t>CS5011</t>
  </si>
  <si>
    <t>来期標準原価検討表　ワークファイル作成</t>
  </si>
  <si>
    <t>CS5012</t>
  </si>
  <si>
    <t>CS5012C</t>
  </si>
  <si>
    <t>CS5013</t>
  </si>
  <si>
    <t>来期標準原価検討　品目ﾏｽﾀ更新</t>
  </si>
  <si>
    <t>来期標準原価検討資料　品目ﾏｽﾀ変更ﾘｽﾄ</t>
  </si>
  <si>
    <t>CS9999C</t>
  </si>
  <si>
    <t>代替機　棚番一覧</t>
  </si>
  <si>
    <t>CYUZAN2C</t>
  </si>
  <si>
    <t>仕入予定データダウンロード</t>
  </si>
  <si>
    <t>CY</t>
  </si>
  <si>
    <t>CYUZANC</t>
  </si>
  <si>
    <t>注残回答納期ダウンロード</t>
  </si>
  <si>
    <t>DAITOC</t>
  </si>
  <si>
    <t>大都販売　売上実績抽出                         '</t>
  </si>
  <si>
    <t>DA</t>
  </si>
  <si>
    <t>DELIVE2C</t>
  </si>
  <si>
    <t>外注組立先別支給一覧</t>
  </si>
  <si>
    <t>DE</t>
  </si>
  <si>
    <t>DELIVE3C</t>
  </si>
  <si>
    <t>外注組立先別支給一覧 000A55等</t>
  </si>
  <si>
    <t>DELIVE4C</t>
  </si>
  <si>
    <t>外注組立先別支給一覧 000E25等</t>
  </si>
  <si>
    <t>開発機種（工番）マスターメンテナンス</t>
  </si>
  <si>
    <t>DV</t>
  </si>
  <si>
    <t>DV0003</t>
  </si>
  <si>
    <t>開発機種（工番）検索（開発工数入力用）</t>
  </si>
  <si>
    <t>DV0004</t>
  </si>
  <si>
    <t>開発工数作業種別検索（開発工数入力用）</t>
  </si>
  <si>
    <t>DV0005C</t>
  </si>
  <si>
    <t>開発工数データ入力</t>
  </si>
  <si>
    <t>DV0010B</t>
  </si>
  <si>
    <t>部課別個人別業務内容集計表（開発業務）～ﾜｰｸﾌｧｲﾙ</t>
  </si>
  <si>
    <t>DV0010C</t>
  </si>
  <si>
    <t>部課別個人別業務内容集計表（開発業務）</t>
  </si>
  <si>
    <t>部課別個人別業務内容集計表（開発業務）～画面</t>
  </si>
  <si>
    <t>DV0010XL</t>
  </si>
  <si>
    <t>部課別個人別業務内容集計表～一部変更</t>
  </si>
  <si>
    <t>機種別業務時間集計表（開発業務）</t>
  </si>
  <si>
    <t>DV0011C</t>
  </si>
  <si>
    <t>機種別業務時間累計表（開発業務）～画面チェック</t>
  </si>
  <si>
    <t>DV0012C</t>
  </si>
  <si>
    <t>機種別業務時間期別累計表（開発業務）</t>
  </si>
  <si>
    <t>DV0013</t>
  </si>
  <si>
    <t>機種別業務時間累計表（全部門）～ﾜｰｸﾌｧｲﾙ作成</t>
  </si>
  <si>
    <t>DV0014</t>
  </si>
  <si>
    <t>機種別業務時間累計表（全部門）～印刷</t>
  </si>
  <si>
    <t>DV0015</t>
  </si>
  <si>
    <t>機種別業務時間累計表（部門別）～ﾜｰｸﾌｧｲﾙ作成</t>
  </si>
  <si>
    <t>DV0016</t>
  </si>
  <si>
    <t>機種別業務時間累計表（部門別）～印刷</t>
  </si>
  <si>
    <t>DV0017B</t>
  </si>
  <si>
    <t>月別部門別工数集計表～ﾜｰｸﾌｧｲﾙ</t>
  </si>
  <si>
    <t>DV0017I</t>
  </si>
  <si>
    <t>月別部門別工数集計表～画面</t>
  </si>
  <si>
    <t>DV0017X</t>
  </si>
  <si>
    <t>月別部門別工数集計表～印刷　一部変更</t>
  </si>
  <si>
    <t>DV0017XC</t>
  </si>
  <si>
    <t>月別部門別工数集計表　一部変更</t>
  </si>
  <si>
    <t>FB0000</t>
  </si>
  <si>
    <t>差分抽出基準日設定</t>
  </si>
  <si>
    <t>FB</t>
  </si>
  <si>
    <t>FB0000C</t>
  </si>
  <si>
    <t>夜間に基準日設定</t>
  </si>
  <si>
    <t>FB0005C</t>
  </si>
  <si>
    <t>朝一連の抽出から転送するまで</t>
  </si>
  <si>
    <t>FB0010C</t>
  </si>
  <si>
    <t>継続：モニタリング分データ抽出</t>
  </si>
  <si>
    <t>FB0012C</t>
  </si>
  <si>
    <t>新規：モニタリング分データ抽出</t>
  </si>
  <si>
    <t>FB0014C</t>
  </si>
  <si>
    <t>新規：ＩＦＳの前回ストリームＦを除去</t>
  </si>
  <si>
    <t>FB0015C</t>
  </si>
  <si>
    <t>継続：ＩＦＳの前回ストリームＦを除去</t>
  </si>
  <si>
    <t>FB0019C</t>
  </si>
  <si>
    <t>継続：ＡＳ－＞ＩＦＳへ転送0件SKIP</t>
  </si>
  <si>
    <t>FB0020C</t>
  </si>
  <si>
    <t>FB0022C</t>
  </si>
  <si>
    <t>新規：ＡＳ－＞ＩＦＳへ転送0件SKIP</t>
  </si>
  <si>
    <t>FB0030C</t>
  </si>
  <si>
    <t>ＩＦＳ-＞ＰＣへ転送</t>
  </si>
  <si>
    <t>FB9010</t>
  </si>
  <si>
    <t>取引先補足項目マスタメンテナンス</t>
  </si>
  <si>
    <t>FB9020</t>
  </si>
  <si>
    <t>補足区分９２一括変更</t>
  </si>
  <si>
    <t>GAIBULC</t>
  </si>
  <si>
    <t>ガイアビルド向　店舗毎請求合計ＤＬ</t>
  </si>
  <si>
    <t>GA</t>
  </si>
  <si>
    <t>HLDJSCC</t>
  </si>
  <si>
    <t>HL</t>
  </si>
  <si>
    <t>ILETECC</t>
  </si>
  <si>
    <t>00X153アイルテック向　店舗毎請求集計</t>
  </si>
  <si>
    <t>IL</t>
  </si>
  <si>
    <t>KAI01AC</t>
  </si>
  <si>
    <t>売上情報　部　原価なし</t>
  </si>
  <si>
    <t>KA</t>
  </si>
  <si>
    <t>KAI01BC</t>
  </si>
  <si>
    <t>売上情報　部　原価あり</t>
  </si>
  <si>
    <t>KAI01CC</t>
  </si>
  <si>
    <t>売上情報　部　原価なしJS用</t>
  </si>
  <si>
    <t>KAI01DC</t>
  </si>
  <si>
    <t>売上情報　部　原価ありJS用</t>
  </si>
  <si>
    <t>KAI01EC</t>
  </si>
  <si>
    <t>売上情報　部　原価なしｱｼﾞｺﾏ</t>
  </si>
  <si>
    <t>KAI01FC</t>
  </si>
  <si>
    <t>売上情報　部　原価ありｱｼﾞｺﾏ</t>
  </si>
  <si>
    <t>KAI17AC</t>
  </si>
  <si>
    <t>発注・納品速報値</t>
  </si>
  <si>
    <t>KAI17CC</t>
  </si>
  <si>
    <t>移動データ速報値</t>
  </si>
  <si>
    <t>KAI25AC</t>
  </si>
  <si>
    <t>発注・納品情報出力（期間・取引先別）</t>
  </si>
  <si>
    <t>KAI25C</t>
  </si>
  <si>
    <t>発注・納品情報出力（ＰＪコード別）</t>
  </si>
  <si>
    <t>KEISYOC</t>
  </si>
  <si>
    <t>株式会社　慶尚　店舗毎請求合計ＤＬ</t>
  </si>
  <si>
    <t>KE</t>
  </si>
  <si>
    <t>KOZACHKC</t>
  </si>
  <si>
    <t>KO</t>
  </si>
  <si>
    <t>KUROHRC</t>
  </si>
  <si>
    <t>クロス案内発送用データ抽出                     '</t>
  </si>
  <si>
    <t>KU</t>
  </si>
  <si>
    <t>LINEPLNC</t>
  </si>
  <si>
    <t>内作・外注先　生産予定一覧</t>
  </si>
  <si>
    <t>LI</t>
  </si>
  <si>
    <t>LP2010</t>
  </si>
  <si>
    <t xml:space="preserve"> LANSA用　案件別見積価格申請</t>
  </si>
  <si>
    <t>LP</t>
  </si>
  <si>
    <t>LP2010C</t>
  </si>
  <si>
    <t>LP2020</t>
  </si>
  <si>
    <t xml:space="preserve"> LANSA用　出荷表</t>
  </si>
  <si>
    <t>LP2020C</t>
  </si>
  <si>
    <t>LP2030</t>
  </si>
  <si>
    <t xml:space="preserve"> LANSA用　工事依頼書</t>
  </si>
  <si>
    <t>LP2030C</t>
  </si>
  <si>
    <t>LP9020C</t>
  </si>
  <si>
    <t>ＬＡＮＳＡ用ＭＲＧＡＰＷ</t>
  </si>
  <si>
    <t>LP9030C</t>
  </si>
  <si>
    <t>スプール属性取得処理</t>
  </si>
  <si>
    <t>LP9070C</t>
  </si>
  <si>
    <t>在庫インターフェース　バッチ実行ＣＬ</t>
  </si>
  <si>
    <t>代替機修理内容確認一括更新指示画面</t>
  </si>
  <si>
    <t>LP9100C</t>
  </si>
  <si>
    <t>代替機修理内容確認一括更新ＣＬ</t>
  </si>
  <si>
    <t>RPGLE</t>
  </si>
  <si>
    <t>LP9110</t>
  </si>
  <si>
    <t>MARUURIC</t>
  </si>
  <si>
    <t>MA</t>
  </si>
  <si>
    <t>MEI010C</t>
  </si>
  <si>
    <t>メイホウ売上実績一覧表ダウンロード</t>
  </si>
  <si>
    <t>ME</t>
  </si>
  <si>
    <t>MEIWKPC</t>
  </si>
  <si>
    <t>メイホウ遊技機納品確認書データ抽出P31954</t>
  </si>
  <si>
    <t>MENU_JTS1</t>
  </si>
  <si>
    <t>ＪＴＳ　ＪＣＭアクセスメインメニュー</t>
  </si>
  <si>
    <t>MENU_JTS2</t>
  </si>
  <si>
    <t>ＪＴＳ　ＪＣＭアクセス受注管理メニュー</t>
  </si>
  <si>
    <t>MENU_JTS3</t>
  </si>
  <si>
    <t>ＪＴＳ　本稼働までの仮メニュー３</t>
  </si>
  <si>
    <t>MENU_JTS4</t>
  </si>
  <si>
    <t>ＪＴＳ　ＪＣＭアクセス発注照会メニュー</t>
  </si>
  <si>
    <t>MENU10</t>
  </si>
  <si>
    <t>メインメニュー</t>
  </si>
  <si>
    <t>MENU101</t>
  </si>
  <si>
    <t>購買メニュー</t>
  </si>
  <si>
    <t>MENU102</t>
  </si>
  <si>
    <t>営業メニュー</t>
  </si>
  <si>
    <t>MENU103</t>
  </si>
  <si>
    <t>サービスメニュー</t>
  </si>
  <si>
    <t>MENU104</t>
  </si>
  <si>
    <t>生産メニュー</t>
  </si>
  <si>
    <t>MENU105</t>
  </si>
  <si>
    <t>製造メニュー</t>
  </si>
  <si>
    <t>MENU106</t>
  </si>
  <si>
    <t>経理メニュー</t>
  </si>
  <si>
    <t>MENU107</t>
  </si>
  <si>
    <t>ＡＬＬメニュー</t>
  </si>
  <si>
    <t>MENU108</t>
  </si>
  <si>
    <t>開発メニュー</t>
  </si>
  <si>
    <t>MENU109</t>
  </si>
  <si>
    <t>品質メニュー</t>
  </si>
  <si>
    <t>MENU110</t>
  </si>
  <si>
    <t>物流センター専用メニュー</t>
  </si>
  <si>
    <t>MENU111</t>
  </si>
  <si>
    <t>ﾋｶﾞｼ運送専用メニュー</t>
  </si>
  <si>
    <t>MENU112</t>
  </si>
  <si>
    <t>名豊ＪＴＳ経理メニュー</t>
  </si>
  <si>
    <t>MENU113</t>
  </si>
  <si>
    <t>イズフク専用メニュー</t>
  </si>
  <si>
    <t>MENU114</t>
  </si>
  <si>
    <t>ゴールド営業メニュー</t>
  </si>
  <si>
    <t>MENU115</t>
  </si>
  <si>
    <t>ＪＴＳ　生産ｼｽﾃﾑﾒﾆｭｰ（サンオクト専用）</t>
  </si>
  <si>
    <t>MENU21</t>
  </si>
  <si>
    <t>マスター保守メニュー</t>
  </si>
  <si>
    <t>MENU211</t>
  </si>
  <si>
    <t>マスター関連　購買メニュー</t>
  </si>
  <si>
    <t>MENU212</t>
  </si>
  <si>
    <t>マスター保守　営業メニュー</t>
  </si>
  <si>
    <t>MENU213</t>
  </si>
  <si>
    <t>マスター保守　サービスメニュー</t>
  </si>
  <si>
    <t>MENU214</t>
  </si>
  <si>
    <t>マスター保守　生産メニュー</t>
  </si>
  <si>
    <t>MENU215</t>
  </si>
  <si>
    <t>マスター保守　製造メニュー</t>
  </si>
  <si>
    <t>MENU216</t>
  </si>
  <si>
    <t>マスター保守　経理メニュー</t>
  </si>
  <si>
    <t>MENU217</t>
  </si>
  <si>
    <t>マスター保守　ＡＬＬメニュー</t>
  </si>
  <si>
    <t>MENU218</t>
  </si>
  <si>
    <t>マスター保守　開発メニュー</t>
  </si>
  <si>
    <t>MENU219</t>
  </si>
  <si>
    <t>マスター保守　品質メニュー</t>
  </si>
  <si>
    <t>MENU21A</t>
  </si>
  <si>
    <t>マスター保守　名豊ＪＴＳ経理メニュー</t>
  </si>
  <si>
    <t>MENU22</t>
  </si>
  <si>
    <t>マスター一覧表メニュー</t>
  </si>
  <si>
    <t>MENU222</t>
  </si>
  <si>
    <t>マスター一覧表　営業メニュー</t>
  </si>
  <si>
    <t>MENU223</t>
  </si>
  <si>
    <t>マスター一覧表　サービスメニュー</t>
  </si>
  <si>
    <t>MENU224</t>
  </si>
  <si>
    <t>マスター一覧表　生産メニュー</t>
  </si>
  <si>
    <t>MENU225</t>
  </si>
  <si>
    <t>マスター一覧表　製造メニュー</t>
  </si>
  <si>
    <t>MENU226</t>
  </si>
  <si>
    <t>マスター一覧表　経理メニュー</t>
  </si>
  <si>
    <t>MENU227</t>
  </si>
  <si>
    <t>MENU228</t>
  </si>
  <si>
    <t>マスター一覧表　開発メニュー</t>
  </si>
  <si>
    <t>MENU229</t>
  </si>
  <si>
    <t>マスター一覧表　品質メニュー</t>
  </si>
  <si>
    <t>MENU23</t>
  </si>
  <si>
    <t>マスター照会メニュー</t>
  </si>
  <si>
    <t>MENU232</t>
  </si>
  <si>
    <t>マスター照会　営業メニュー</t>
  </si>
  <si>
    <t>MENU233</t>
  </si>
  <si>
    <t>マスター照会　サービスメニュー</t>
  </si>
  <si>
    <t>MENU234</t>
  </si>
  <si>
    <t>マスター照会　生産管理メニュー</t>
  </si>
  <si>
    <t>MENU235</t>
  </si>
  <si>
    <t>マスター照会　製造メニュー</t>
  </si>
  <si>
    <t>MENU236</t>
  </si>
  <si>
    <t>マスター照会　経理メニュー</t>
  </si>
  <si>
    <t>MENU237</t>
  </si>
  <si>
    <t>マスター照会　ＡＬＬメニュー</t>
  </si>
  <si>
    <t>MENU238</t>
  </si>
  <si>
    <t>マスター照会　開発メニュー</t>
  </si>
  <si>
    <t>MENU239</t>
  </si>
  <si>
    <t>マスター照会　品質メニュー</t>
  </si>
  <si>
    <t>MENU24</t>
  </si>
  <si>
    <t>ＭＲＰ計算メニュー</t>
  </si>
  <si>
    <t>MENU241</t>
  </si>
  <si>
    <t>ＭＲＰ計算　購買メニュー</t>
  </si>
  <si>
    <t>MENU242</t>
  </si>
  <si>
    <t>ＭＲＰ計算　営業メニュー</t>
  </si>
  <si>
    <t>MENU243</t>
  </si>
  <si>
    <t>ＭＲＰ計算　サービスメニュー</t>
  </si>
  <si>
    <t>MENU244</t>
  </si>
  <si>
    <t>ＭＲＰ計算　生産メニュー</t>
  </si>
  <si>
    <t>MENU245</t>
  </si>
  <si>
    <t>ＭＲＰ計算　製造メニュー</t>
  </si>
  <si>
    <t>MENU246</t>
  </si>
  <si>
    <t>ＭＲＰ計算　経理メニュー</t>
  </si>
  <si>
    <t>MENU247</t>
  </si>
  <si>
    <t>MENU248</t>
  </si>
  <si>
    <t>ＭＲＰ計算　開発メニュー</t>
  </si>
  <si>
    <t>MENU249</t>
  </si>
  <si>
    <t>ＭＲＰ計算　品質メニュー</t>
  </si>
  <si>
    <t>MENU25</t>
  </si>
  <si>
    <t>手配メニュー</t>
  </si>
  <si>
    <t>MENU251</t>
  </si>
  <si>
    <t>手配　購買メニュー</t>
  </si>
  <si>
    <t>MENU252</t>
  </si>
  <si>
    <t>手配　営業メニュー</t>
  </si>
  <si>
    <t>MENU253</t>
  </si>
  <si>
    <t>手配　サービスメニュー</t>
  </si>
  <si>
    <t>MENU254</t>
  </si>
  <si>
    <t>手配　生産メニュー</t>
  </si>
  <si>
    <t>MENU255</t>
  </si>
  <si>
    <t>手配　製造メニュー</t>
  </si>
  <si>
    <t>MENU256</t>
  </si>
  <si>
    <t>手配　経理メニュー</t>
  </si>
  <si>
    <t>MENU257</t>
  </si>
  <si>
    <t>手配　ＡＬＬメニュー</t>
  </si>
  <si>
    <t>MENU258</t>
  </si>
  <si>
    <t>手配　開発メニュー</t>
  </si>
  <si>
    <t>MENU259</t>
  </si>
  <si>
    <t>手配　品質メニュー</t>
  </si>
  <si>
    <t>MENU26</t>
  </si>
  <si>
    <t>実績収集(1)</t>
  </si>
  <si>
    <t>MENU261</t>
  </si>
  <si>
    <t>実績収集(1)購買メニュー</t>
  </si>
  <si>
    <t>MENU262</t>
  </si>
  <si>
    <t>実績収集(1)営業メニュー</t>
  </si>
  <si>
    <t>MENU263</t>
  </si>
  <si>
    <t>実績収集(1)サービスメニュー</t>
  </si>
  <si>
    <t>MENU264</t>
  </si>
  <si>
    <t>実績収集(1)生産メニュー</t>
  </si>
  <si>
    <t>MENU265</t>
  </si>
  <si>
    <t>実績収集(1)製造メニュー</t>
  </si>
  <si>
    <t>MENU266</t>
  </si>
  <si>
    <t>実績収集(1)経理メニュー</t>
  </si>
  <si>
    <t>MENU267</t>
  </si>
  <si>
    <t>実績収集(1)ＡＬＬメニュー</t>
  </si>
  <si>
    <t>MENU268</t>
  </si>
  <si>
    <t>実績収集(1)開発メニュー</t>
  </si>
  <si>
    <t>MENU269</t>
  </si>
  <si>
    <t>実績収集(1)品質メニュー</t>
  </si>
  <si>
    <t>MENU27</t>
  </si>
  <si>
    <t>実績収集(2)メニュー</t>
  </si>
  <si>
    <t>MENU271</t>
  </si>
  <si>
    <t>実績収集(2)購買メニュー</t>
  </si>
  <si>
    <t>MENU272</t>
  </si>
  <si>
    <t>実績収集(2)営業メニュー</t>
  </si>
  <si>
    <t>MENU273</t>
  </si>
  <si>
    <t>実績収集(2)サービスメニュー</t>
  </si>
  <si>
    <t>MENU274</t>
  </si>
  <si>
    <t>実績収集(2)生産メニュー</t>
  </si>
  <si>
    <t>MENU275</t>
  </si>
  <si>
    <t>実績収集(2)製造メニュー</t>
  </si>
  <si>
    <t>MENU276</t>
  </si>
  <si>
    <t>実績収集(2)経理メニュー</t>
  </si>
  <si>
    <t>MENU277</t>
  </si>
  <si>
    <t>実績収集(2)ＡＬＬメニュー</t>
  </si>
  <si>
    <t>MENU278</t>
  </si>
  <si>
    <t>MENU279</t>
  </si>
  <si>
    <t>実績収集(2)品質メニュー</t>
  </si>
  <si>
    <t>MENU28</t>
  </si>
  <si>
    <t>照会・帳票メニュー</t>
  </si>
  <si>
    <t>MENU281</t>
  </si>
  <si>
    <t>照会・帳票　購買メニュー</t>
  </si>
  <si>
    <t>MENU282</t>
  </si>
  <si>
    <t>照会・帳票　営業メニュー</t>
  </si>
  <si>
    <t>MENU283</t>
  </si>
  <si>
    <t>照会・帳票　サービスメニュー</t>
  </si>
  <si>
    <t>MENU284</t>
  </si>
  <si>
    <t>照会・帳票　生産メニュー</t>
  </si>
  <si>
    <t>MENU285</t>
  </si>
  <si>
    <t>照会・帳票　製造メニュー</t>
  </si>
  <si>
    <t>MENU286</t>
  </si>
  <si>
    <t>照会・帳票　経理メニュー</t>
  </si>
  <si>
    <t>MENU287</t>
  </si>
  <si>
    <t>照会・帳票　ＡＬＬメニュー</t>
  </si>
  <si>
    <t>MENU288</t>
  </si>
  <si>
    <t>MENU289</t>
  </si>
  <si>
    <t>照会・帳票　品質メニュー</t>
  </si>
  <si>
    <t>MENU29</t>
  </si>
  <si>
    <t>棚卸メニュー</t>
  </si>
  <si>
    <t>MENU291</t>
  </si>
  <si>
    <t>棚卸　購買メニュー</t>
  </si>
  <si>
    <t>MENU292</t>
  </si>
  <si>
    <t>棚卸　営業メニュー</t>
  </si>
  <si>
    <t>MENU293</t>
  </si>
  <si>
    <t>棚卸　サービスメニュー</t>
  </si>
  <si>
    <t>MENU294</t>
  </si>
  <si>
    <t>棚卸　生産メニュー</t>
  </si>
  <si>
    <t>MENU295</t>
  </si>
  <si>
    <t>棚卸　製造メニュー</t>
  </si>
  <si>
    <t>MENU296</t>
  </si>
  <si>
    <t>棚卸　経理メニュー</t>
  </si>
  <si>
    <t>MENU297</t>
  </si>
  <si>
    <t>棚卸　ＡＬＬメニュー</t>
  </si>
  <si>
    <t>MENU298</t>
  </si>
  <si>
    <t>棚卸　開発メニュー</t>
  </si>
  <si>
    <t>MENU299</t>
  </si>
  <si>
    <t>棚卸　品質メニュー</t>
  </si>
  <si>
    <t>MENU30</t>
  </si>
  <si>
    <t>日次処理メニュー</t>
  </si>
  <si>
    <t>MENU32</t>
  </si>
  <si>
    <t>月次処理メニュー</t>
  </si>
  <si>
    <t>MENU321</t>
  </si>
  <si>
    <t>月次処理　購買メニュー</t>
  </si>
  <si>
    <t>MENU322</t>
  </si>
  <si>
    <t>月次処理　営業メニュー</t>
  </si>
  <si>
    <t>MENU323</t>
  </si>
  <si>
    <t>月次処理　サービスメニュー</t>
  </si>
  <si>
    <t>MENU324</t>
  </si>
  <si>
    <t>月次処理　生産メニュー</t>
  </si>
  <si>
    <t>MENU325</t>
  </si>
  <si>
    <t>月次処理　製造メニュー</t>
  </si>
  <si>
    <t>MENU326</t>
  </si>
  <si>
    <t>月次処理　経理メニュー</t>
  </si>
  <si>
    <t>MENU328</t>
  </si>
  <si>
    <t>月次処理　開発メニュー</t>
  </si>
  <si>
    <t>MENU329</t>
  </si>
  <si>
    <t>月次処理　品質メニュー</t>
  </si>
  <si>
    <t>MENU33</t>
  </si>
  <si>
    <t>作業工数管理メニュー</t>
  </si>
  <si>
    <t>MENU51</t>
  </si>
  <si>
    <t>原価計算メニュー</t>
  </si>
  <si>
    <t>MENU511</t>
  </si>
  <si>
    <t>原価計算メインメニュー（購買）</t>
  </si>
  <si>
    <t>MENU516</t>
  </si>
  <si>
    <t>MENU61</t>
  </si>
  <si>
    <t>参考原価メニュー</t>
  </si>
  <si>
    <t>MENU611</t>
  </si>
  <si>
    <t>参考原価メニュー（購買）</t>
  </si>
  <si>
    <t>MENU616</t>
  </si>
  <si>
    <t>参考原価メニュー（経理）</t>
  </si>
  <si>
    <t>MENU64</t>
  </si>
  <si>
    <t>標準原価次年度計算メニュー</t>
  </si>
  <si>
    <t>MENU641</t>
  </si>
  <si>
    <t>標準原価次年度メニュー（購買）</t>
  </si>
  <si>
    <t>MENU646</t>
  </si>
  <si>
    <t>標準原価次年度メニュー（経理）</t>
  </si>
  <si>
    <t>MENU67</t>
  </si>
  <si>
    <t>標準原価当年度計算メニュー</t>
  </si>
  <si>
    <t>MENU671</t>
  </si>
  <si>
    <t>標準原価当年度メニュー（購買）</t>
  </si>
  <si>
    <t>MENU676</t>
  </si>
  <si>
    <t>標準原価当年度メニュー（経理）</t>
  </si>
  <si>
    <t>MENU69</t>
  </si>
  <si>
    <t>実際原価計算メニュー</t>
  </si>
  <si>
    <t>MENU691</t>
  </si>
  <si>
    <t>実際原価計算メニュー（購買）</t>
  </si>
  <si>
    <t>MENU696</t>
  </si>
  <si>
    <t>実際原価計算メニュー（経理）</t>
  </si>
  <si>
    <t>MENU70</t>
  </si>
  <si>
    <t>仕入実績管理メニュー</t>
  </si>
  <si>
    <t>MENU80</t>
  </si>
  <si>
    <t>その他メニュー</t>
  </si>
  <si>
    <t>MENU81</t>
  </si>
  <si>
    <t>締め日管理者用メニュー</t>
  </si>
  <si>
    <t>MENU88</t>
  </si>
  <si>
    <t>その他購買メニュー</t>
  </si>
  <si>
    <t>MENU90</t>
  </si>
  <si>
    <t>滞留在庫分析メニュー（経理）</t>
  </si>
  <si>
    <t>MENU91</t>
  </si>
  <si>
    <t>滞留在庫分析メニュー（経理以外）</t>
  </si>
  <si>
    <t>MH0010</t>
  </si>
  <si>
    <t>メーカー枠マスターメンテ</t>
  </si>
  <si>
    <t>MH</t>
  </si>
  <si>
    <t>MH0020</t>
  </si>
  <si>
    <t>本体価格マスターメンテ</t>
  </si>
  <si>
    <t>MH0030</t>
  </si>
  <si>
    <t>ﾌﾘｰﾌｫｰﾏｯﾄﾏｽﾀｰﾒﾝﾃ</t>
  </si>
  <si>
    <t>MH0040</t>
  </si>
  <si>
    <t>翼システムフォーマットメンテ</t>
  </si>
  <si>
    <t>MH0040C</t>
  </si>
  <si>
    <t>MH1010</t>
  </si>
  <si>
    <t>メーカー枠マスターリスト</t>
  </si>
  <si>
    <t>MH1010C</t>
  </si>
  <si>
    <t>MH1020</t>
  </si>
  <si>
    <t>本体価格マスターリスト</t>
  </si>
  <si>
    <t>MH1020C</t>
  </si>
  <si>
    <t>MH2010</t>
  </si>
  <si>
    <t>メーカー枠マスター照会</t>
  </si>
  <si>
    <t>MH2020</t>
  </si>
  <si>
    <t>本体価格マスター照会</t>
  </si>
  <si>
    <t>MH3010</t>
  </si>
  <si>
    <t>本体受注入力</t>
  </si>
  <si>
    <t>MH3010C</t>
  </si>
  <si>
    <t>MH3020</t>
  </si>
  <si>
    <t>本体受注承認入力</t>
  </si>
  <si>
    <t>MH3030</t>
  </si>
  <si>
    <t>本体回収条件入力</t>
  </si>
  <si>
    <t>MH3040</t>
  </si>
  <si>
    <t>本体売上承認入力</t>
  </si>
  <si>
    <t>MH3050</t>
  </si>
  <si>
    <t>中古機移動入力　</t>
  </si>
  <si>
    <t>MH3050C</t>
  </si>
  <si>
    <t>中古機移動入力</t>
  </si>
  <si>
    <t>MH3050CHKN</t>
  </si>
  <si>
    <t>MH3060</t>
  </si>
  <si>
    <t>部品受注入力　　</t>
  </si>
  <si>
    <t>MH3060C</t>
  </si>
  <si>
    <t>部品受注入力</t>
  </si>
  <si>
    <t>MH3070</t>
  </si>
  <si>
    <t>部品無償・修理交換完了入力</t>
  </si>
  <si>
    <t>MH3320</t>
  </si>
  <si>
    <t>本体入金エントリー</t>
  </si>
  <si>
    <t>MH3320C</t>
  </si>
  <si>
    <t>MH3330</t>
  </si>
  <si>
    <t>本体当座入金エントリ</t>
  </si>
  <si>
    <t>MH3330C</t>
  </si>
  <si>
    <t>MH3340</t>
  </si>
  <si>
    <t>本体受取手形エントリー</t>
  </si>
  <si>
    <t>MH3340C</t>
  </si>
  <si>
    <t>MH3350</t>
  </si>
  <si>
    <t>本体不備不渡エントリー</t>
  </si>
  <si>
    <t>MH3350C</t>
  </si>
  <si>
    <t>MH3355</t>
  </si>
  <si>
    <t>本体受取手形未現金化金額更新</t>
  </si>
  <si>
    <t>MH3355C</t>
  </si>
  <si>
    <t>MH3360</t>
  </si>
  <si>
    <t>本体入金及び振分入力</t>
  </si>
  <si>
    <t>MH3360C</t>
  </si>
  <si>
    <t>MH3370</t>
  </si>
  <si>
    <t>本体支払及び振分入力</t>
  </si>
  <si>
    <t>MH3370C</t>
  </si>
  <si>
    <t>MH3380</t>
  </si>
  <si>
    <t>本体不備不渡差替受取手形エントリー</t>
  </si>
  <si>
    <t>MH3380C</t>
  </si>
  <si>
    <t>MH3390</t>
  </si>
  <si>
    <t>本体不備不渡差替入金エントリ</t>
  </si>
  <si>
    <t>MH3390C</t>
  </si>
  <si>
    <t>MH5010</t>
  </si>
  <si>
    <t>本体受注リスト</t>
  </si>
  <si>
    <t>MH5010C</t>
  </si>
  <si>
    <t>本体受注リスト作成</t>
  </si>
  <si>
    <t>MH5011</t>
  </si>
  <si>
    <t>本体受注リストﾀﾞｳﾝﾛｰﾄﾞ TTOﾌｧｲﾙ編成</t>
  </si>
  <si>
    <t>MH5011C</t>
  </si>
  <si>
    <t>翼システムへの本体受注ダウンロード</t>
  </si>
  <si>
    <t>MH5021</t>
  </si>
  <si>
    <t>翼システム出力データ作成（本体受注）</t>
  </si>
  <si>
    <t>MH5021C</t>
  </si>
  <si>
    <t>MH5022</t>
  </si>
  <si>
    <t>翼システムＤＳＳ作成（本体受注）</t>
  </si>
  <si>
    <t>MH5022C</t>
  </si>
  <si>
    <t>MH5030</t>
  </si>
  <si>
    <t>本体回収条件リスト</t>
  </si>
  <si>
    <t>MH5030C</t>
  </si>
  <si>
    <t>MH5060</t>
  </si>
  <si>
    <t>中古機移動リスト作成</t>
  </si>
  <si>
    <t>MH5060C</t>
  </si>
  <si>
    <t>MH5061</t>
  </si>
  <si>
    <t>翼システム出力データ作成（中古機移動）</t>
  </si>
  <si>
    <t>MH5061C</t>
  </si>
  <si>
    <t>MH5062C</t>
  </si>
  <si>
    <t>翼システムＤＳＳ作成（中古機移動）</t>
  </si>
  <si>
    <t>MH5070</t>
  </si>
  <si>
    <t>部品受注リスト作成</t>
  </si>
  <si>
    <t>MH5070C</t>
  </si>
  <si>
    <t>MH5071</t>
  </si>
  <si>
    <t>翼システム出力データ作成（部品受注）</t>
  </si>
  <si>
    <t>MH5071C</t>
  </si>
  <si>
    <t>翼システム出力データ作成（部品受注動）</t>
  </si>
  <si>
    <t>MH5072C</t>
  </si>
  <si>
    <t>翼システムＤＳＳ作成（部品受注動）</t>
  </si>
  <si>
    <t>MH5080</t>
  </si>
  <si>
    <t>本体受注管理用データ抽出</t>
  </si>
  <si>
    <t>MH5080C</t>
  </si>
  <si>
    <t>MH5090C</t>
  </si>
  <si>
    <t>名豊商事　未承認残リスト</t>
  </si>
  <si>
    <t>MH5100</t>
  </si>
  <si>
    <t>本体集計表</t>
  </si>
  <si>
    <t>MH5100C</t>
  </si>
  <si>
    <t>MH5110</t>
  </si>
  <si>
    <t>仕切売り売買契約書</t>
  </si>
  <si>
    <t>MH5110C</t>
  </si>
  <si>
    <t>受注リスト作成</t>
  </si>
  <si>
    <t>MH5111</t>
  </si>
  <si>
    <t>翼システム出力データ作成（受注）</t>
  </si>
  <si>
    <t>MH5111C</t>
  </si>
  <si>
    <t>MH5112C</t>
  </si>
  <si>
    <t>翼システムＤＳＳ作成（受注）</t>
  </si>
  <si>
    <t>MH5310</t>
  </si>
  <si>
    <t>本体受注照会</t>
  </si>
  <si>
    <t>MH5310C</t>
  </si>
  <si>
    <t>MH5311</t>
  </si>
  <si>
    <t>MH5320</t>
  </si>
  <si>
    <t>本体回収条件照会</t>
  </si>
  <si>
    <t>MH5320C</t>
  </si>
  <si>
    <t>MH5321</t>
  </si>
  <si>
    <t>本体回収条件詳細情報照会</t>
  </si>
  <si>
    <t>MH5330</t>
  </si>
  <si>
    <t>中古機移動照会</t>
  </si>
  <si>
    <t>MH5330C</t>
  </si>
  <si>
    <t>MH5331</t>
  </si>
  <si>
    <t>中古機移動照会　</t>
  </si>
  <si>
    <t>MH5340</t>
  </si>
  <si>
    <t>部品受注照会</t>
  </si>
  <si>
    <t>MH5340C</t>
  </si>
  <si>
    <t>MH5341</t>
  </si>
  <si>
    <t>部品受注照会　　</t>
  </si>
  <si>
    <t>MH5360</t>
  </si>
  <si>
    <t>本体受取手形期日経過処理</t>
  </si>
  <si>
    <t>MH5360C</t>
  </si>
  <si>
    <t>MH5400</t>
  </si>
  <si>
    <t>本体自動仕訳</t>
  </si>
  <si>
    <t>MH5400C</t>
  </si>
  <si>
    <t>本体自動仕訳（入金データ）</t>
  </si>
  <si>
    <t>MH5410</t>
  </si>
  <si>
    <t>本体入金　振替伝票発行</t>
  </si>
  <si>
    <t>MH5430</t>
  </si>
  <si>
    <t>本体入金照会</t>
  </si>
  <si>
    <t>MH5440</t>
  </si>
  <si>
    <t>本体入金振分照会</t>
  </si>
  <si>
    <t>MH5450</t>
  </si>
  <si>
    <t>本体入金詳細照会</t>
  </si>
  <si>
    <t>MH5460</t>
  </si>
  <si>
    <t>本体受取手形照会</t>
  </si>
  <si>
    <t>MH5470</t>
  </si>
  <si>
    <t>本体受取手形詳細情報照会</t>
  </si>
  <si>
    <t>MH5480</t>
  </si>
  <si>
    <t>本体入金支払チェックリスト</t>
  </si>
  <si>
    <t>MH5480C</t>
  </si>
  <si>
    <t>手数料収入　未回収リスト</t>
  </si>
  <si>
    <t>MH5500</t>
  </si>
  <si>
    <t>回収管理表・立替管理表</t>
  </si>
  <si>
    <t>MH5500C</t>
  </si>
  <si>
    <t>MH5510</t>
  </si>
  <si>
    <t>回収管理表・立替管理表　ワーク作成</t>
  </si>
  <si>
    <t>MH5520</t>
  </si>
  <si>
    <t>保証債務残高計算</t>
  </si>
  <si>
    <t>MH5520C</t>
  </si>
  <si>
    <t>MH5525</t>
  </si>
  <si>
    <t>保証債務残高リスト作成</t>
  </si>
  <si>
    <t>MH5525C</t>
  </si>
  <si>
    <t>MH5530C</t>
  </si>
  <si>
    <t>自動振替分　振替伝票印刷ＱＲＹ</t>
  </si>
  <si>
    <t>入金科目組合マスターメンテナンス</t>
  </si>
  <si>
    <t>MM</t>
  </si>
  <si>
    <t>MM1000</t>
  </si>
  <si>
    <t>入金区分マスター検索</t>
  </si>
  <si>
    <t>MM1010</t>
  </si>
  <si>
    <t>入金科目組合マスター検索</t>
  </si>
  <si>
    <t>MM1110</t>
  </si>
  <si>
    <t>入金データ明細照会</t>
  </si>
  <si>
    <t>受取手形照会</t>
  </si>
  <si>
    <t>MM1510</t>
  </si>
  <si>
    <t>受取手形詳細情報照会</t>
  </si>
  <si>
    <t>受取手形得意先指定・指定期日以降リスト</t>
  </si>
  <si>
    <t>受取手形得意先・期日指定一覧表</t>
  </si>
  <si>
    <t>受取手形集計表（銀行／期日別）</t>
  </si>
  <si>
    <t>MM1631</t>
  </si>
  <si>
    <t>受取手形集計表（銀行／期日別）印刷</t>
  </si>
  <si>
    <t>MM1632</t>
  </si>
  <si>
    <t>MM1640</t>
  </si>
  <si>
    <t>MM1641</t>
  </si>
  <si>
    <t>期日別・得意先別受取手形集計表</t>
  </si>
  <si>
    <t>MM1645</t>
  </si>
  <si>
    <t>得意先別受取手形明細表～画面入力</t>
  </si>
  <si>
    <t>MM1645C</t>
  </si>
  <si>
    <t>部課別受取手形明細表</t>
  </si>
  <si>
    <t>MM1646</t>
  </si>
  <si>
    <t>得意先別受取手形明細表～ﾚｺｰﾄﾞ更新</t>
  </si>
  <si>
    <t>受取手形明細表選択（月次・随時）</t>
  </si>
  <si>
    <t>受取手形明細表　選択【月次】</t>
  </si>
  <si>
    <t>MM1655C</t>
  </si>
  <si>
    <t>受取手形明細表選択【月次】</t>
  </si>
  <si>
    <t>MM1656</t>
  </si>
  <si>
    <t>手持手形明細表【月次】</t>
  </si>
  <si>
    <t>MM1656C</t>
  </si>
  <si>
    <t>MM1657</t>
  </si>
  <si>
    <t>取立手形明細表【月次】</t>
  </si>
  <si>
    <t>MM1657C</t>
  </si>
  <si>
    <t>MM1658</t>
  </si>
  <si>
    <t>割引手形明細表【月次】</t>
  </si>
  <si>
    <t>MM1658C</t>
  </si>
  <si>
    <t>MM1659</t>
  </si>
  <si>
    <t>受取手形得意先別明細表【月次】</t>
  </si>
  <si>
    <t>MM1659C</t>
  </si>
  <si>
    <t>受取手形得意先元帳(1)</t>
  </si>
  <si>
    <t>MM1671</t>
  </si>
  <si>
    <t>受取手形得意先元帳(2)</t>
  </si>
  <si>
    <t>MM1672</t>
  </si>
  <si>
    <t>受取手形得意先元帳(3)</t>
  </si>
  <si>
    <t>受取手形ﾃﾞｰﾀ(ﾀﾞｳﾝﾛｰﾄﾞ)～画面入力</t>
  </si>
  <si>
    <t>MM1900</t>
  </si>
  <si>
    <t>受取手形期日経過処理</t>
  </si>
  <si>
    <t>MM1900C</t>
  </si>
  <si>
    <t>MM2000</t>
  </si>
  <si>
    <t>MM2001</t>
  </si>
  <si>
    <t>請求書作成処理</t>
  </si>
  <si>
    <t>MM2002</t>
  </si>
  <si>
    <t>請求書まとめ処理</t>
  </si>
  <si>
    <t>MM2002C</t>
  </si>
  <si>
    <t>MM2003</t>
  </si>
  <si>
    <t>MM2011</t>
  </si>
  <si>
    <t>請求書削除処理</t>
  </si>
  <si>
    <t>MM2020C</t>
  </si>
  <si>
    <t>MM2021</t>
  </si>
  <si>
    <t>請求書印刷処理</t>
  </si>
  <si>
    <t>MM2021C</t>
  </si>
  <si>
    <t>MM2021CN</t>
  </si>
  <si>
    <t>請求書印刷処理10/04/05～</t>
  </si>
  <si>
    <t>MM2021N</t>
  </si>
  <si>
    <t>MM2021N.</t>
  </si>
  <si>
    <t>請求書印刷処理22/06/06～</t>
  </si>
  <si>
    <t>MM2021NOLD</t>
  </si>
  <si>
    <t>MM2022</t>
  </si>
  <si>
    <t>適格請求書出力判断</t>
  </si>
  <si>
    <t>MM2022C</t>
  </si>
  <si>
    <t>MM2023CN</t>
  </si>
  <si>
    <t>適格請求書印刷処理10/04/05～</t>
  </si>
  <si>
    <t>MM2023N</t>
  </si>
  <si>
    <t>適格請求書印刷処理</t>
  </si>
  <si>
    <t>MM2030C</t>
  </si>
  <si>
    <t>MM2040</t>
  </si>
  <si>
    <t>請求書新規作成（部課別）</t>
  </si>
  <si>
    <t>MM2050C</t>
  </si>
  <si>
    <t>MM2051</t>
  </si>
  <si>
    <t>請求書作成処理（部課別）</t>
  </si>
  <si>
    <t>MM2052</t>
  </si>
  <si>
    <t>請求書削除指示（部課別）</t>
  </si>
  <si>
    <t>請求書発行区分変更ＰＧＭ</t>
  </si>
  <si>
    <t>発行区分一覧表出力</t>
  </si>
  <si>
    <t>取立割引依頼書印刷</t>
  </si>
  <si>
    <t>MM2120</t>
  </si>
  <si>
    <t>入金入力チェックリスト</t>
  </si>
  <si>
    <t>MM3000C</t>
  </si>
  <si>
    <t>MM3010C</t>
  </si>
  <si>
    <t>MM3020C</t>
  </si>
  <si>
    <t>MM3030C</t>
  </si>
  <si>
    <t>MM3040C</t>
  </si>
  <si>
    <t>MM3041</t>
  </si>
  <si>
    <t>受取手形　回収条件チェックサブＰＧＭ</t>
  </si>
  <si>
    <t>MM3041C</t>
  </si>
  <si>
    <t>MM3060C</t>
  </si>
  <si>
    <t>MM3062</t>
  </si>
  <si>
    <t>入金振分入力伝票番号検索</t>
  </si>
  <si>
    <t>MM3070C</t>
  </si>
  <si>
    <t>売掛金相殺入力</t>
  </si>
  <si>
    <t>科目振替エントリー</t>
  </si>
  <si>
    <t>MM3080C</t>
  </si>
  <si>
    <t>入金振替エントリー</t>
  </si>
  <si>
    <t>MM3090</t>
  </si>
  <si>
    <t>自動仕訳（入金データ）Y2K-SUMI</t>
  </si>
  <si>
    <t>MM3090C</t>
  </si>
  <si>
    <t>自動仕訳（入金データ）</t>
  </si>
  <si>
    <t>MM3100C</t>
  </si>
  <si>
    <t>MM3110C</t>
  </si>
  <si>
    <t>MM3120C</t>
  </si>
  <si>
    <t>外貨建売掛金相殺入力</t>
  </si>
  <si>
    <t>MM3130C</t>
  </si>
  <si>
    <t>MM3140C</t>
  </si>
  <si>
    <t>外貨入金端数処理</t>
  </si>
  <si>
    <t>MM3150</t>
  </si>
  <si>
    <t>受取手形未現金化金額更新</t>
  </si>
  <si>
    <t>MM3150C</t>
  </si>
  <si>
    <t>MM5020C</t>
  </si>
  <si>
    <t>MM5030C</t>
  </si>
  <si>
    <t>MM5040</t>
  </si>
  <si>
    <t>請求書詳細照会</t>
  </si>
  <si>
    <t>MM5050</t>
  </si>
  <si>
    <t>請求書明細照会</t>
  </si>
  <si>
    <t>入金照会Ｖｅｒ２</t>
  </si>
  <si>
    <t>MM5070</t>
  </si>
  <si>
    <t>入金詳細照会Ｖｅｒ２</t>
  </si>
  <si>
    <t>入金一覧表Ｖｅｒ２</t>
  </si>
  <si>
    <t>MM5090</t>
  </si>
  <si>
    <t>入金振分照会　Ｖｅｒ２</t>
  </si>
  <si>
    <t>MM5090C</t>
  </si>
  <si>
    <t>入金振分照会</t>
  </si>
  <si>
    <t>売掛金元帳ＪＣＭ版</t>
  </si>
  <si>
    <t>MM5100C</t>
  </si>
  <si>
    <t>請求書発行前一覧表</t>
  </si>
  <si>
    <t>MM5110_TMP</t>
  </si>
  <si>
    <t>MM5120C</t>
  </si>
  <si>
    <t>部門別ｲﾝﾎﾞｲｽNO別月別明細表　画面チェック</t>
  </si>
  <si>
    <t>MM5201</t>
  </si>
  <si>
    <t>部門別ｲﾝﾎﾞｲｽNO別月別明細表　印刷処理</t>
  </si>
  <si>
    <t>MM5201C</t>
  </si>
  <si>
    <t>部門別ｲﾝﾎﾞｲｽNO別月別明細表 SBMJOB投入前</t>
  </si>
  <si>
    <t>MM5202C</t>
  </si>
  <si>
    <t>部門別ｲﾝﾎﾞｲｽNO別月別明細表 SBMJOB投入後</t>
  </si>
  <si>
    <t>ｲﾝﾎﾞｲｽNO別月別明細表　画面チェック</t>
  </si>
  <si>
    <t>MM5211</t>
  </si>
  <si>
    <t>ｲﾝﾎﾞｲｽNO別月別明細表　印刷処理</t>
  </si>
  <si>
    <t>MM5211C</t>
  </si>
  <si>
    <t>ｲﾝﾎﾞｲｽNO別月別明細表 SBMJOB投入前</t>
  </si>
  <si>
    <t>MM5212C</t>
  </si>
  <si>
    <t>ｲﾝﾎﾞｲｽNO別月別明細表 SBMJOB投入後</t>
  </si>
  <si>
    <t>外貨建売掛金ｲﾝﾎﾞｲｽNO別明細　画面チェック</t>
  </si>
  <si>
    <t>MM5221</t>
  </si>
  <si>
    <t>外貨建売掛金ｲﾝﾎﾞｲｽNO別明細　印刷処理</t>
  </si>
  <si>
    <t>MM5221C</t>
  </si>
  <si>
    <t>外貨建売掛金ｲﾝﾎﾞｲｽNO別明細  SBMJOB投入前</t>
  </si>
  <si>
    <t>MM5222C</t>
  </si>
  <si>
    <t>外貨建売掛金ｲﾝﾎﾞｲｽNO別明細  SBMJOB投入後</t>
  </si>
  <si>
    <t>経理自動振替データ作成（売上）～画面チェック</t>
  </si>
  <si>
    <t>MM6000C</t>
  </si>
  <si>
    <t>経理自動振替データ作成（売上）</t>
  </si>
  <si>
    <t>MM6001</t>
  </si>
  <si>
    <t>経理自動振替データ作成（売上）～関係会社以外</t>
  </si>
  <si>
    <t>MM6002</t>
  </si>
  <si>
    <t>経理自動振替データ作成（売上）～関係会社</t>
  </si>
  <si>
    <t>MM6003</t>
  </si>
  <si>
    <t>経理振替データ作成（ﾏｲﾅｽ金額・貸借入替／売上）</t>
  </si>
  <si>
    <t>売掛金ファイル作成（月次更新）画面入力</t>
  </si>
  <si>
    <t>MM6010C</t>
  </si>
  <si>
    <t>売掛金Ｆ更新</t>
  </si>
  <si>
    <t>MM6011</t>
  </si>
  <si>
    <t>売掛金ファイル作成（ファイル変更）</t>
  </si>
  <si>
    <t>MM6012</t>
  </si>
  <si>
    <t>インボイス№別売掛金Ｆ作成（月次更新）</t>
  </si>
  <si>
    <t>MM6013</t>
  </si>
  <si>
    <t>課税売上ファイル作成（月次更新）</t>
  </si>
  <si>
    <t>受取手形月次残高更新プログラム</t>
  </si>
  <si>
    <t>MM9997</t>
  </si>
  <si>
    <t>平成日付令和日付変換ＳＵＢ</t>
  </si>
  <si>
    <t>MM9998</t>
  </si>
  <si>
    <t>和暦西暦変換ＳＵＢ</t>
  </si>
  <si>
    <t>MM9999</t>
  </si>
  <si>
    <t>西暦和暦変換ＳＵＢ</t>
  </si>
  <si>
    <t>MNSL001</t>
  </si>
  <si>
    <t>ＪＣＭシステム選択メニュー・販売／生産／財務</t>
  </si>
  <si>
    <t>MN</t>
  </si>
  <si>
    <t>MNSL002</t>
  </si>
  <si>
    <t>ＪＣＭシステム選択メニュー・生産／財務</t>
  </si>
  <si>
    <t>MNSL003</t>
  </si>
  <si>
    <t>MNSL004</t>
  </si>
  <si>
    <t>ＪＣＭシステム選択メニュー（物流センター専用）</t>
  </si>
  <si>
    <t>MNSL005</t>
  </si>
  <si>
    <t>ＪＣＭシステム選択ﾒﾆｭｰ 販売／生産／財務／管理</t>
  </si>
  <si>
    <t>MNSL006</t>
  </si>
  <si>
    <t>ＪＣＭシステム選択メニュー（ﾋｶﾞｼ運送専用）</t>
  </si>
  <si>
    <t>MNSL007</t>
  </si>
  <si>
    <t>ＪＣＭシステム選択メニュー（経理の社員以外専用）</t>
  </si>
  <si>
    <t>MNSL008</t>
  </si>
  <si>
    <t>ＪＣＭシステム選択メニュー（イズフク専用）</t>
  </si>
  <si>
    <t>MNSL009</t>
  </si>
  <si>
    <t>ＪＴＳシステム選択メニュー（サンオクト専用）</t>
  </si>
  <si>
    <t>MNSL010</t>
  </si>
  <si>
    <t>ＪＣＭシステム選択メニュー（保守外部委託専用）</t>
  </si>
  <si>
    <t>MNSL011</t>
  </si>
  <si>
    <t>ＪＣＭシステム選択メニュー（外部ｺｰﾙｾﾝﾀｰ専用）</t>
  </si>
  <si>
    <t>MNUD010</t>
  </si>
  <si>
    <t>ＪＣＭ財務システム・開発工数管理メニュー</t>
  </si>
  <si>
    <t>MNUF010</t>
  </si>
  <si>
    <t>モニタリングシステム・メニュー</t>
  </si>
  <si>
    <t>MNUH10</t>
  </si>
  <si>
    <t>ＪＣＭ販売ｼｽﾃﾑﾒｲﾝﾒﾆｭｰ EDP/DB</t>
  </si>
  <si>
    <t>MNUH101</t>
  </si>
  <si>
    <t>ＪＣＭ販売ｼｽﾃﾑﾒﾆｭｰ 　営業海外</t>
  </si>
  <si>
    <t>MNUH102</t>
  </si>
  <si>
    <t>ＪＣＭ販売ｼｽﾃﾑﾒｲﾝﾒﾆｭｰ営業国内</t>
  </si>
  <si>
    <t>MNUH103</t>
  </si>
  <si>
    <t>ＪＣＭ販売ｼｽﾃﾑﾒｲﾝﾒﾆｭｰ営業業務海外</t>
  </si>
  <si>
    <t>MNUH104</t>
  </si>
  <si>
    <t>ＪＣＭ販売ｼｽﾃﾑﾒｲﾝﾒﾆｭｰサービス</t>
  </si>
  <si>
    <t>MNUH105</t>
  </si>
  <si>
    <t>ＪＣＭ販売ｼｽﾃﾑﾒｲﾝﾒﾆｭｰ営業業務国内</t>
  </si>
  <si>
    <t>MNUH107</t>
  </si>
  <si>
    <t>ＪＣＭ販売ｼｽﾃﾑﾒｲﾝﾒﾆｭｰ経理</t>
  </si>
  <si>
    <t>MNUH108</t>
  </si>
  <si>
    <t>ＪＣＭ販売システムメニュー（イズフク専用）</t>
  </si>
  <si>
    <t>MNUH109</t>
  </si>
  <si>
    <t>ＪＣＭ販売システムメニュー（ﾋｶﾞｼ運送専用）</t>
  </si>
  <si>
    <t>MNUH110</t>
  </si>
  <si>
    <t>名豊販売システムメニュー　営業</t>
  </si>
  <si>
    <t>MNUH111</t>
  </si>
  <si>
    <t>名豊販売システムメニュー　経理</t>
  </si>
  <si>
    <t>MNUH112</t>
  </si>
  <si>
    <t>ＪＴＳ販売ｼｽﾃﾑﾒｲﾝﾒﾆｭｰ営業</t>
  </si>
  <si>
    <t>MNUH113</t>
  </si>
  <si>
    <t>ＪＴＳ販売ｼｽﾃﾑﾒｲﾝﾒﾆｭｰ経理</t>
  </si>
  <si>
    <t>MNUH114</t>
  </si>
  <si>
    <t>ＧＳ販売ｼｽﾃﾑﾒｲﾝﾒﾆｭｰ営業</t>
  </si>
  <si>
    <t>MNUH115</t>
  </si>
  <si>
    <t>ＧＳ販売ｼｽﾃﾑﾒｲﾝﾒﾆｭｰサービス</t>
  </si>
  <si>
    <t>MNUH116</t>
  </si>
  <si>
    <t>ＧＳ販売ｼｽﾃﾑﾒｲﾝﾒﾆｭｰ経理</t>
  </si>
  <si>
    <t>MNUH117</t>
  </si>
  <si>
    <t>ＪＣＭ販売システムメニュー（物流センター専用）</t>
  </si>
  <si>
    <t>MNUH118</t>
  </si>
  <si>
    <t>ＪＴＳ販売システムメニュー（サンオクト専用）</t>
  </si>
  <si>
    <t>MNUH20</t>
  </si>
  <si>
    <t>ＪＣＭ販売システム・マスター保守</t>
  </si>
  <si>
    <t>MNUH201</t>
  </si>
  <si>
    <t>ＪＣＭ販売システム・マスター保守・ｻｰﾋﾞｽ用</t>
  </si>
  <si>
    <t>MNUH202</t>
  </si>
  <si>
    <t>ＪＣＭ販売システム・マスター保守・営業用</t>
  </si>
  <si>
    <t>MNUH207</t>
  </si>
  <si>
    <t>MNUH208</t>
  </si>
  <si>
    <t>ＪＴＳ販売システム・マスター保守・営業</t>
  </si>
  <si>
    <t>MNUH209</t>
  </si>
  <si>
    <t>ＪＴＳ販売システム・マスター保守　経理</t>
  </si>
  <si>
    <t>MNUH21</t>
  </si>
  <si>
    <t>ＪＣＭ販売システム・マスター保守EDP･DB専用</t>
  </si>
  <si>
    <t>MNUH25</t>
  </si>
  <si>
    <t>ＪＣＭ販売システム・与信申請書管理メニュー</t>
  </si>
  <si>
    <t>MNUH30</t>
  </si>
  <si>
    <t>ＪＣＭ販売システム・マスター照会</t>
  </si>
  <si>
    <t>MNUH40</t>
  </si>
  <si>
    <t>ＪＣＭ販売システム・マスター帳票</t>
  </si>
  <si>
    <t>MNUH50</t>
  </si>
  <si>
    <t>ＪＣＭ販売システム・受注管理／出荷指示</t>
  </si>
  <si>
    <t>MNUH52</t>
  </si>
  <si>
    <t>名豊販売システム・受注管理／出荷指示</t>
  </si>
  <si>
    <t>MNUH53</t>
  </si>
  <si>
    <t>ＪＴＳ販売システム・受注管理／出荷指示</t>
  </si>
  <si>
    <t>MNUH54</t>
  </si>
  <si>
    <t>MNUH60</t>
  </si>
  <si>
    <t>ＪＣＭ販売システム・出荷管理</t>
  </si>
  <si>
    <t>MNUH62</t>
  </si>
  <si>
    <t>名豊販売システム・出荷管理</t>
  </si>
  <si>
    <t>MNUH63</t>
  </si>
  <si>
    <t>ＪＴＳ販売システム・出荷管理</t>
  </si>
  <si>
    <t>MNUH64</t>
  </si>
  <si>
    <t>ＧＳ販売システム・出荷管理</t>
  </si>
  <si>
    <t>MNUH70</t>
  </si>
  <si>
    <t>ＪＣＭ販売システム・売上実績管理</t>
  </si>
  <si>
    <t>MNUH71</t>
  </si>
  <si>
    <t>ＧＳ販売システム・売上実績管理</t>
  </si>
  <si>
    <t>MNUH80</t>
  </si>
  <si>
    <t>ＪＣＭ販売システム・売上訂正メニュー</t>
  </si>
  <si>
    <t>MNUH81</t>
  </si>
  <si>
    <t>ＪＣＭ販売システム・売上訂正メニュー現場用</t>
  </si>
  <si>
    <t>MNUH90</t>
  </si>
  <si>
    <t>ＪＣＭ販売システム・売上実績帳票メニュー</t>
  </si>
  <si>
    <t>MNUH91</t>
  </si>
  <si>
    <t>ＧＳ販売システム・売上実績帳票メニュー</t>
  </si>
  <si>
    <t>MNUK10</t>
  </si>
  <si>
    <t>ＪＣＭ管理ｼｽﾃﾑﾒｲﾝﾒﾆｭｰ</t>
  </si>
  <si>
    <t>MNUM010</t>
  </si>
  <si>
    <t>名豊販売システム・本体売上業務メニュー</t>
  </si>
  <si>
    <t>MNUM020</t>
  </si>
  <si>
    <t>名豊販売システム・各種専用帳票印刷メニュー</t>
  </si>
  <si>
    <t>MNUM030</t>
  </si>
  <si>
    <t>名豊販売システム・本体入金処理メニュー　営業</t>
  </si>
  <si>
    <t>MNUM031</t>
  </si>
  <si>
    <t>名豊販売システム・本体入金処理メニュー　経理</t>
  </si>
  <si>
    <t>MNUN10</t>
  </si>
  <si>
    <t>ＪＣＭ販売システム・入金処理業務メニュー・経理</t>
  </si>
  <si>
    <t>MNUN101</t>
  </si>
  <si>
    <t>ＪＣＭ販売システム・入金処理業務メニュー・営業</t>
  </si>
  <si>
    <t>MNUN102</t>
  </si>
  <si>
    <t>ＪＴＳ販売システム・入金処理業務メニュー・営業</t>
  </si>
  <si>
    <t>MNUN11</t>
  </si>
  <si>
    <t>ＧＳ販売システム・入金処理業務メニュー・経理</t>
  </si>
  <si>
    <t>MNUN12</t>
  </si>
  <si>
    <t>ＪＴＳ入金処理その他メニュー</t>
  </si>
  <si>
    <t>MNUN30</t>
  </si>
  <si>
    <t>ＪＣＭ販売システム・入金関係帳票メニュー・経理</t>
  </si>
  <si>
    <t>MNUP010</t>
  </si>
  <si>
    <t>ＪＣＭ生産システム・棚卸在庫管理メニュー</t>
  </si>
  <si>
    <t>MNUQ010</t>
  </si>
  <si>
    <t>データ抽出メニュー</t>
  </si>
  <si>
    <t>MNUQ010217</t>
  </si>
  <si>
    <t>MNUQ011</t>
  </si>
  <si>
    <t>MNUQ020</t>
  </si>
  <si>
    <t>データ抽出メニュー（開発）</t>
  </si>
  <si>
    <t>MNUZ010</t>
  </si>
  <si>
    <t>ＪＣＭ財務ｼｽﾃﾑﾒｲﾝﾒﾆｭｰ・経理</t>
  </si>
  <si>
    <t>MNUZ011</t>
  </si>
  <si>
    <t>ＪＣＭ財務ｼｽﾃﾑﾒｲﾝﾒﾆｭｰ・人事</t>
  </si>
  <si>
    <t>MNUZ012</t>
  </si>
  <si>
    <t>ＪＣＭ財務ｼｽﾃﾑﾒｲﾝﾒﾆｭｰ・総務</t>
  </si>
  <si>
    <t>MNUZ013</t>
  </si>
  <si>
    <t>ＪＣＭ財務ｼｽﾃﾑﾒｲﾝﾒﾆｭｰ・開発</t>
  </si>
  <si>
    <t>MNUZ014</t>
  </si>
  <si>
    <t>ＪＣＭ財務ｼｽﾃﾑﾒｲﾝﾒﾆｭｰ・その他</t>
  </si>
  <si>
    <t>MNUZ015</t>
  </si>
  <si>
    <t>ＪＣＭ財務ｼｽﾃﾑﾒｲﾝﾒﾆｭｰ・経営企画室</t>
  </si>
  <si>
    <t>MNUZ016</t>
  </si>
  <si>
    <t>ＪＣＭ財務ｼｽﾃﾑﾒｲﾝﾒﾆｭｰ・営業</t>
  </si>
  <si>
    <t>MNUZ017</t>
  </si>
  <si>
    <t>ＪＣＭ財務ｼｽﾃﾑﾒｲﾝﾒﾆｭｰ・生産</t>
  </si>
  <si>
    <t>MNUZ018</t>
  </si>
  <si>
    <t>ＪＣＭ財務ｼｽﾃﾑﾒｲﾝﾒﾆｭｰ・購買</t>
  </si>
  <si>
    <t>MNUZ020</t>
  </si>
  <si>
    <t>ＪＣＭ財務システム・マスター保守</t>
  </si>
  <si>
    <t>MNUZ030</t>
  </si>
  <si>
    <t>ＪＣＭ財務システム・マスター照会</t>
  </si>
  <si>
    <t>MNUZ040</t>
  </si>
  <si>
    <t>ＪＣＭ財務システム・マスター帳票</t>
  </si>
  <si>
    <t>MNUZ050</t>
  </si>
  <si>
    <t>ＪＣＭ財務システム・ＯＣＲ処理／伝票入力</t>
  </si>
  <si>
    <t>MNUZ060</t>
  </si>
  <si>
    <t>ＪＣＭ財務システム・自動仕訳業務</t>
  </si>
  <si>
    <t>MNUZ061</t>
  </si>
  <si>
    <t>ＪＣＭ財務システム・売上自動仕訳業務</t>
  </si>
  <si>
    <t>MNUZ062</t>
  </si>
  <si>
    <t>ＪＣＭ財務システム・仕入自動仕訳業務</t>
  </si>
  <si>
    <t>MNUZ063</t>
  </si>
  <si>
    <t>ＪＣＭ財務システム・支払手形自動仕訳業務</t>
  </si>
  <si>
    <t>MNUZ064</t>
  </si>
  <si>
    <t>ＪＣＭ財務システム・経費関連自動仕訳業務</t>
  </si>
  <si>
    <t>MNUZ065</t>
  </si>
  <si>
    <t>ＪＣＭ財務システム・総務関連自動仕訳業務</t>
  </si>
  <si>
    <t>MNUZ066</t>
  </si>
  <si>
    <t>ＪＣＭ財務システム・人事関連自動仕訳業務</t>
  </si>
  <si>
    <t>MNUZ067</t>
  </si>
  <si>
    <t>ＪＣＭ財務システム・人事新幹線チケット管理業務</t>
  </si>
  <si>
    <t>MNUZ068</t>
  </si>
  <si>
    <t>ＪＣＭ財務システム・勤怠管理業務</t>
  </si>
  <si>
    <t>MNUZ069</t>
  </si>
  <si>
    <t>ＪＣＭ財務システム・勤怠管理業務サブメニュー</t>
  </si>
  <si>
    <t>MNUZ070</t>
  </si>
  <si>
    <t>ＪＣＭ販売システム・元帳／財務諸表等</t>
  </si>
  <si>
    <t>MNUZ080</t>
  </si>
  <si>
    <t>ＪＣＭ販売システム・月次管理帳票</t>
  </si>
  <si>
    <t>MNUZ090</t>
  </si>
  <si>
    <t>ＪＣＭ販売システム・買掛金・支手</t>
  </si>
  <si>
    <t>MNUZ091</t>
  </si>
  <si>
    <t>ＪＣＭINVOICE自動照合メニュー</t>
  </si>
  <si>
    <t>MNUZ100</t>
  </si>
  <si>
    <t>ＪＣＭ財務システム・固定資産管理</t>
  </si>
  <si>
    <t>MNUZ110</t>
  </si>
  <si>
    <t>ＪＣＭ財務システム・経費予算メニュー</t>
  </si>
  <si>
    <t>MNUZ120</t>
  </si>
  <si>
    <t>ＪＣＭ財務システム・経費分析メニュー</t>
  </si>
  <si>
    <t>MNUZ130</t>
  </si>
  <si>
    <t>ＪＣＭ財務システム・部門別損益メニュー</t>
  </si>
  <si>
    <t>MNUZ140</t>
  </si>
  <si>
    <t>ＪＣＭ財務システム・未払費用管理メニュー</t>
  </si>
  <si>
    <t>MNUZ150</t>
  </si>
  <si>
    <t>ＪＣＭ財務システム・試験用現金管理メニュー</t>
  </si>
  <si>
    <t>MNUZ160</t>
  </si>
  <si>
    <t>ＪＣＭ財務システム・売掛金管理メニュー</t>
  </si>
  <si>
    <t>MNUZ170</t>
  </si>
  <si>
    <t>ＪＣＭ財務システム・管理帳票メニュー</t>
  </si>
  <si>
    <t>MNUZ180</t>
  </si>
  <si>
    <t>ＪＣＭ財務システム・為替予約管理メニュー</t>
  </si>
  <si>
    <t>MNUZ200</t>
  </si>
  <si>
    <t>ＪＣＭ財務システム・総合実績メニュー</t>
  </si>
  <si>
    <t>MNUZ210</t>
  </si>
  <si>
    <t>ＪＣＭ財務システム・販売計画メニュー</t>
  </si>
  <si>
    <t>MNUZ211</t>
  </si>
  <si>
    <t>ＪＣＭ財務システム・生産計画メニュー</t>
  </si>
  <si>
    <t>MNUZ212</t>
  </si>
  <si>
    <t>ＪＣＭ財務システム・購買計画メニュー</t>
  </si>
  <si>
    <t>MNUZ213</t>
  </si>
  <si>
    <t>ＪＣＭ財務システム・来期予算ﾒﾆｭｰEDP用</t>
  </si>
  <si>
    <t>MP0020A</t>
  </si>
  <si>
    <t>棚卸データ機種別合計表　作成</t>
  </si>
  <si>
    <t>MP</t>
  </si>
  <si>
    <t>MP0020BC</t>
  </si>
  <si>
    <t>棚卸実績　機種別</t>
  </si>
  <si>
    <t>MP0020C</t>
  </si>
  <si>
    <t>MP0026B</t>
  </si>
  <si>
    <t>取引先住所ﾀｯｸｼｰﾙ印刷（６行）</t>
  </si>
  <si>
    <t>MP0026BC</t>
  </si>
  <si>
    <t>取引先住所ﾀｯｸｼｰﾙ作成（６行）</t>
  </si>
  <si>
    <t>MP0086C</t>
  </si>
  <si>
    <t>MP0087</t>
  </si>
  <si>
    <t>MP0088</t>
  </si>
  <si>
    <t>社外在庫報告書発送・回収チェックリスト</t>
  </si>
  <si>
    <t>部門別区分別機種別棚卸滞留品～画面入力</t>
  </si>
  <si>
    <t>MP0165C</t>
  </si>
  <si>
    <t>部門別区分別機種別棚卸滞留品</t>
  </si>
  <si>
    <t>MP0166</t>
  </si>
  <si>
    <t>部門別区分別機種別棚卸滞留品～ﾚｺｰﾄﾞ作成</t>
  </si>
  <si>
    <t>MP0167</t>
  </si>
  <si>
    <t>部門別区分別機種別棚卸滞留品～印刷</t>
  </si>
  <si>
    <t>MP2120</t>
  </si>
  <si>
    <t>活動中ジョブのチェック</t>
  </si>
  <si>
    <t>取引先別仕入実績推移表　画面入力</t>
  </si>
  <si>
    <t>MP2800C</t>
  </si>
  <si>
    <t>MP2801</t>
  </si>
  <si>
    <t>MP7600</t>
  </si>
  <si>
    <t>MP8500A</t>
  </si>
  <si>
    <t>機種別在庫表～ワークファイル</t>
  </si>
  <si>
    <t>MP8500C</t>
  </si>
  <si>
    <t>機種別在庫表～入力ﾁｪｯｸ</t>
  </si>
  <si>
    <t>MP8500L</t>
  </si>
  <si>
    <t>機種別在庫表～印刷</t>
  </si>
  <si>
    <t>MP9000</t>
  </si>
  <si>
    <t>通産省　生産動態統計調査～画面入力</t>
  </si>
  <si>
    <t>MP9000C</t>
  </si>
  <si>
    <t>MP9001</t>
  </si>
  <si>
    <t>通産省　生産動態統計調査～レコード作成</t>
  </si>
  <si>
    <t>MP9002</t>
  </si>
  <si>
    <t>通産省　生産動態統計調査～印刷</t>
  </si>
  <si>
    <t>MS0070</t>
  </si>
  <si>
    <t>部門マスターリスト</t>
  </si>
  <si>
    <t>MS</t>
  </si>
  <si>
    <t>ユーザーコントロールファイル　メンテナンス</t>
  </si>
  <si>
    <t>自治体マスターメンテナンス</t>
  </si>
  <si>
    <t>MS0170</t>
  </si>
  <si>
    <t>自治体マスター　一覧表</t>
  </si>
  <si>
    <t>MS0170C</t>
  </si>
  <si>
    <t>自治体マスター　リスト</t>
  </si>
  <si>
    <t>固定資産保管場所マスターメンテナンス</t>
  </si>
  <si>
    <t>固定資産保管場所マスターリスト</t>
  </si>
  <si>
    <t>MS0185C</t>
  </si>
  <si>
    <t>固定資産保管場所マスターリスト*BLANK</t>
  </si>
  <si>
    <t>償却率マスターメンテナス</t>
  </si>
  <si>
    <t>経費の部門名　保守</t>
  </si>
  <si>
    <t>部課コード／部門の関連　保守</t>
  </si>
  <si>
    <t>振込手数料マスターメンテナンス</t>
  </si>
  <si>
    <t>税率マスターの保守</t>
  </si>
  <si>
    <t>地区コードマスター　メンテナンス</t>
  </si>
  <si>
    <t>得意先親コードメンテナンス</t>
  </si>
  <si>
    <t>得意先親子コード関連付け保守</t>
  </si>
  <si>
    <t>MS1520</t>
  </si>
  <si>
    <t>親得意先マスター　一覧表</t>
  </si>
  <si>
    <t>得意先一覧表（親ｺｰﾄﾞ付き,50音順）</t>
  </si>
  <si>
    <t>MS1545C</t>
  </si>
  <si>
    <t>イニシャルマスター照会</t>
  </si>
  <si>
    <t>部門分類マスターメンテナンス</t>
  </si>
  <si>
    <t>経費明細印刷列メンテナンス</t>
  </si>
  <si>
    <t>部門分類マスター　一覧表</t>
  </si>
  <si>
    <t>銀行住所一覧～入力&amp; ﾚｺｰﾄﾞ作成</t>
  </si>
  <si>
    <t>MS2120C</t>
  </si>
  <si>
    <t>銀行住所一覧</t>
  </si>
  <si>
    <t>MS2121</t>
  </si>
  <si>
    <t>銀行住所一覧～印刷</t>
  </si>
  <si>
    <t>地区コードマスター照会</t>
  </si>
  <si>
    <t>地区分類コードマスター照会</t>
  </si>
  <si>
    <t>摘要マスター　メンテナンス</t>
  </si>
  <si>
    <t>勘定科目マスターメンテナンス</t>
  </si>
  <si>
    <t>親勘定科目マスターメンテナンス</t>
  </si>
  <si>
    <t>勘定科目ｽﾄﾗｸﾁｬｰ ﾏｽﾀｰ ﾒﾝﾃﾅﾝｽ</t>
  </si>
  <si>
    <t>勘定科目ｽﾄﾗｸﾁｬｰ ﾏｽﾀｰ ﾘｽﾄ</t>
  </si>
  <si>
    <t>勘定科目・摘要コード関連データ保守</t>
  </si>
  <si>
    <t>勘定科目・摘要コード関連データリスト</t>
  </si>
  <si>
    <t>MS2710C</t>
  </si>
  <si>
    <t>通貨コードマスターメンテナンス</t>
  </si>
  <si>
    <t>自動振替伝票付加情報入力＜総務業務＞</t>
  </si>
  <si>
    <t>自動振替伝票付加情報入力＜人事業務＞</t>
  </si>
  <si>
    <t>MS9000C</t>
  </si>
  <si>
    <t>部門実績総合表作成システム</t>
  </si>
  <si>
    <t>MS9010</t>
  </si>
  <si>
    <t>部門総合実績表データ作成・不足部課追加</t>
  </si>
  <si>
    <t>部門総合実績表データ作成・処理年月度更新</t>
  </si>
  <si>
    <t>MS9013</t>
  </si>
  <si>
    <t>部門総合実績表データ作成・経費／一連処理</t>
  </si>
  <si>
    <t>総合実績表部門分類マスターメンテナンス</t>
  </si>
  <si>
    <t>MS9200C</t>
  </si>
  <si>
    <t>総合実績表・部門分類ﾏｽﾀｰﾒﾝﾃﾅﾝｽ</t>
  </si>
  <si>
    <t>MS9200S</t>
  </si>
  <si>
    <t>＊部門分類コード検索＜総合実績表＞</t>
  </si>
  <si>
    <t>総合実績表・全社共通項目入力</t>
  </si>
  <si>
    <t>総合実績表・超過工数入力</t>
  </si>
  <si>
    <t>総合実績表・勤怠情報入力</t>
  </si>
  <si>
    <t>総合実績表データ入力改善</t>
  </si>
  <si>
    <t>総合実績表データ作成・画面選択</t>
  </si>
  <si>
    <t>MS9240C</t>
  </si>
  <si>
    <t>総合実績表データ作成・個別及び一括処理</t>
  </si>
  <si>
    <t>MS9241A</t>
  </si>
  <si>
    <t>総合実績表データ作成・売上高／標準原価JCM対応</t>
  </si>
  <si>
    <t>MS9242</t>
  </si>
  <si>
    <t>総合実績表データ作成・経費</t>
  </si>
  <si>
    <t>MS9243</t>
  </si>
  <si>
    <t>総合実績表データ作成・滞留在庫金額／在庫金利</t>
  </si>
  <si>
    <t>MS9244A</t>
  </si>
  <si>
    <t>総合実績表データ作成・生産高／材料費JCM対応</t>
  </si>
  <si>
    <t>MS9245</t>
  </si>
  <si>
    <t>総合実績表データ作成・準社員金額</t>
  </si>
  <si>
    <t>MS9246XK</t>
  </si>
  <si>
    <t>総合実績・配賦データ作成【全社共通】改善</t>
  </si>
  <si>
    <t>MS9246ZK</t>
  </si>
  <si>
    <t>総合実績・配賦データ作成／工数【全社共通】改善</t>
  </si>
  <si>
    <t>MS9247XK</t>
  </si>
  <si>
    <t>総合実績・配賦データ作成【本部内共通】改善</t>
  </si>
  <si>
    <t>MS9247ZK</t>
  </si>
  <si>
    <t>総合実績・配賦データ作成／工数【本部内共通】改善</t>
  </si>
  <si>
    <t>MS9248</t>
  </si>
  <si>
    <t>総合実績表データ作成・開発費</t>
  </si>
  <si>
    <t>MS9248C</t>
  </si>
  <si>
    <t>MS9248Z</t>
  </si>
  <si>
    <t>総合実績表データ作成・配賦工数／開発＜実績＞</t>
  </si>
  <si>
    <t>MS9249C</t>
  </si>
  <si>
    <t>総合実績表データ作成・配賦工数</t>
  </si>
  <si>
    <t>MS9250</t>
  </si>
  <si>
    <t>総合実績表データ作成・利益計算</t>
  </si>
  <si>
    <t>総合実績表・開発７部門分類マスターメンテナンス</t>
  </si>
  <si>
    <t>MS9251C</t>
  </si>
  <si>
    <t>総合実績表・開発７部門部門分類ﾏｽﾀｰﾒﾝﾃﾅﾝｽ</t>
  </si>
  <si>
    <t>MS9251S</t>
  </si>
  <si>
    <t>＊開発部門コード検索＜総合実績表＞</t>
  </si>
  <si>
    <t>総合実績表・開発７部門別工数比率入力</t>
  </si>
  <si>
    <t>MS9252C</t>
  </si>
  <si>
    <t>総合実績表・印刷／画面選択</t>
  </si>
  <si>
    <t>MS9260C</t>
  </si>
  <si>
    <t>総合実績表・印刷</t>
  </si>
  <si>
    <t>MS9261H</t>
  </si>
  <si>
    <t>総合実績表・印刷（部門指定）変更＜現在使用＞</t>
  </si>
  <si>
    <t>MS9262C</t>
  </si>
  <si>
    <t>総合実績表・印刷＜部課別＞</t>
  </si>
  <si>
    <t>MS9262H</t>
  </si>
  <si>
    <t>総合実績表・印刷（部課指定）変更＜現在使用＞</t>
  </si>
  <si>
    <t>総合実績表・印刷用部課分類入力</t>
  </si>
  <si>
    <t>MS9265C</t>
  </si>
  <si>
    <t>MS9265S</t>
  </si>
  <si>
    <t>＊部課分類コード検索＜総合実績表＞</t>
  </si>
  <si>
    <t>MS9266S</t>
  </si>
  <si>
    <t>総合実績表・実績印刷用分類入力</t>
  </si>
  <si>
    <t>MS9267S</t>
  </si>
  <si>
    <t>MS9280</t>
  </si>
  <si>
    <t>全社共通配賦ﾏｽﾀｰﾒﾝﾃﾅﾝｽ</t>
  </si>
  <si>
    <t>MS9280C</t>
  </si>
  <si>
    <t>MS9281</t>
  </si>
  <si>
    <t>本部内共通配賦ﾏｽﾀｰﾒﾝﾃﾅﾝｽ</t>
  </si>
  <si>
    <t>MS9281C</t>
  </si>
  <si>
    <t>MS9281S</t>
  </si>
  <si>
    <t>＊部門・分担区分検索＜総合実績表＞</t>
  </si>
  <si>
    <t>配賦データ分類入力・選択画面</t>
  </si>
  <si>
    <t>MS9282C</t>
  </si>
  <si>
    <t>総合実績表（実績のみ）・印刷／画面指定 改善</t>
  </si>
  <si>
    <t>MS9290KC</t>
  </si>
  <si>
    <t>総合実績表（実績のみ）印刷 改善</t>
  </si>
  <si>
    <t>MS9291KH</t>
  </si>
  <si>
    <t>総合実績表／実績のみ～ﾜｰｸﾌｧｲﾙ作成＜現在使用＞</t>
  </si>
  <si>
    <t>MS9292KH</t>
  </si>
  <si>
    <t>総合実績表／実績のみ～印刷＜現在使用＞</t>
  </si>
  <si>
    <t>総合実績表営業所部門分類ﾏｽﾀｰﾒﾝﾃﾅﾝｽ</t>
  </si>
  <si>
    <t>MS9400C</t>
  </si>
  <si>
    <t>総合実績表・営業所部門分類ﾏｽﾀｰﾒﾝﾃﾅﾝｽ</t>
  </si>
  <si>
    <t>MS9400S</t>
  </si>
  <si>
    <t>＊部門分類コード検索＜総合実績表＞営業所</t>
  </si>
  <si>
    <t>総合実績表・営業所のみ印刷／画面選択</t>
  </si>
  <si>
    <t>MS9424C</t>
  </si>
  <si>
    <t>総合実績表・営業所のみ印刷</t>
  </si>
  <si>
    <t>MS9425C</t>
  </si>
  <si>
    <t>総合実績表・営業所のみ印刷＜部門別＞</t>
  </si>
  <si>
    <t>MS9425H</t>
  </si>
  <si>
    <t>総合実績表・営業所のみ（部門）変更＜現在使用＞</t>
  </si>
  <si>
    <t>MS9426H</t>
  </si>
  <si>
    <t>総合実績表・営業所のみ（部課）変更＜現在使用＞</t>
  </si>
  <si>
    <t>総合実績表・営業所別実績印刷用分類入力</t>
  </si>
  <si>
    <t>MS9430S</t>
  </si>
  <si>
    <t>＊部課分類コード検索＜総合実績表＞営業所別</t>
  </si>
  <si>
    <t>総合実績表　実績印刷＜営業所＞／画面指定改善</t>
  </si>
  <si>
    <t>MS9432KC</t>
  </si>
  <si>
    <t>総合実績表・営業所別実績のみ印刷改善</t>
  </si>
  <si>
    <t>MS9433KH</t>
  </si>
  <si>
    <t>総合実績表（実績）営業所～ﾜｰｸﾌｧｲﾙ ＜現在使用＞</t>
  </si>
  <si>
    <t>MS9434KH</t>
  </si>
  <si>
    <t>総合実績表（実績）営業所～印刷＜現在使用＞</t>
  </si>
  <si>
    <t>総合実績表　特別原価内訳照会</t>
  </si>
  <si>
    <t>総合実績・ﾏｽﾀｰﾌﾟﾗﾝデータ集計～年度指定</t>
  </si>
  <si>
    <t>MS9500C</t>
  </si>
  <si>
    <t>総合実績・ﾏｽﾀｰﾌﾟﾗﾝデータ集計</t>
  </si>
  <si>
    <t>MS9501</t>
  </si>
  <si>
    <t>総合実績・マスタープラン集計表～画面指定</t>
  </si>
  <si>
    <t>MS9502C</t>
  </si>
  <si>
    <t>総合実績・マスタープラン集計表印刷</t>
  </si>
  <si>
    <t>MS9503</t>
  </si>
  <si>
    <t>総合実績・マスタープラン集計表～ﾜｰｸﾌｧｲﾙ</t>
  </si>
  <si>
    <t>MS9503Z</t>
  </si>
  <si>
    <t>総合実績・マスタープラン集計表／全社～ﾜｰｸﾌｧｲﾙ</t>
  </si>
  <si>
    <t>MS9504</t>
  </si>
  <si>
    <t>総合実績・マスタープラン集計表～印刷</t>
  </si>
  <si>
    <t>総合実績・マスタープラン集計表（営業所）～画面</t>
  </si>
  <si>
    <t>MS9506C</t>
  </si>
  <si>
    <t>総合実績・マスタープラン集計表印刷（営業所）</t>
  </si>
  <si>
    <t>MS9507</t>
  </si>
  <si>
    <t>総合実績・マスタープラン集計表（営業所～ﾜｰｸﾌｧｲﾙ</t>
  </si>
  <si>
    <t>MS9508</t>
  </si>
  <si>
    <t>総合実績・マスタープラン集計表（営業所）～印刷</t>
  </si>
  <si>
    <t>MS9511</t>
  </si>
  <si>
    <t>総合実績・ﾏｽﾀｰﾌﾟﾗﾝ配賦経費／全社共通</t>
  </si>
  <si>
    <t>MS9512</t>
  </si>
  <si>
    <t>総合実績・ﾏｽﾀｰﾌﾟﾗﾝ配賦工数／全社共通</t>
  </si>
  <si>
    <t>MS9512C</t>
  </si>
  <si>
    <t>総合実績・マスタープラン配賦工数</t>
  </si>
  <si>
    <t>MS9513</t>
  </si>
  <si>
    <t>総合実績・ﾏｽﾀｰﾌﾟﾗﾝ配賦経費／本部内共通</t>
  </si>
  <si>
    <t>MS9514</t>
  </si>
  <si>
    <t>総合実績・ﾏｽﾀｰﾌﾟﾗﾝ配賦工数／本部内共通</t>
  </si>
  <si>
    <t>MS9515</t>
  </si>
  <si>
    <t>総合実績・ﾏｽﾀｰﾌﾟﾗﾝ配賦経費／開発費</t>
  </si>
  <si>
    <t>MS9515C</t>
  </si>
  <si>
    <t>総合実績・マスタープラン配賦経費／開発費</t>
  </si>
  <si>
    <t>MS9516</t>
  </si>
  <si>
    <t>総合実績・ﾏｽﾀｰﾌﾟﾗﾝ配賦工数／開発費</t>
  </si>
  <si>
    <t>MS9517</t>
  </si>
  <si>
    <t>総合実績・マスタープラン利益計算</t>
  </si>
  <si>
    <t>MS9520</t>
  </si>
  <si>
    <t>総合実績・ﾏｽﾀｰﾌﾟﾗﾝデータ集計（経費以外）</t>
  </si>
  <si>
    <t>MS9520C</t>
  </si>
  <si>
    <t>MS9521</t>
  </si>
  <si>
    <t>MS9530C</t>
  </si>
  <si>
    <t>２の部　仕入実績推移表～画面入力</t>
  </si>
  <si>
    <t>NB</t>
  </si>
  <si>
    <t>NB5000C</t>
  </si>
  <si>
    <t>２の部　仕入実績推移表&amp;有償支給推移表</t>
  </si>
  <si>
    <t>NB5010</t>
  </si>
  <si>
    <t>２の部　仕入実績推移表～計算</t>
  </si>
  <si>
    <t>NB5020</t>
  </si>
  <si>
    <t>２の部　仕入実績推移表～印刷</t>
  </si>
  <si>
    <t>NB5020C</t>
  </si>
  <si>
    <t>NB5030</t>
  </si>
  <si>
    <t>有償支給推移表～計算</t>
  </si>
  <si>
    <t>NB5040</t>
  </si>
  <si>
    <t>有償支給推移表～印刷</t>
  </si>
  <si>
    <t>NISI67</t>
  </si>
  <si>
    <t>NI</t>
  </si>
  <si>
    <t>PARCSC</t>
  </si>
  <si>
    <t>システムズ　パーツ発注残状況　ＤＬ</t>
  </si>
  <si>
    <t>PA</t>
  </si>
  <si>
    <t>品目マスターメンテナンス</t>
  </si>
  <si>
    <t>PD</t>
  </si>
  <si>
    <t>PD0010C</t>
  </si>
  <si>
    <t>PD0011C</t>
  </si>
  <si>
    <t>品目マスター　別会社間の共通項目チェック</t>
  </si>
  <si>
    <t>標準変更ＰＧＭ</t>
  </si>
  <si>
    <t>PD0020</t>
  </si>
  <si>
    <t>品目マスターログリスト</t>
  </si>
  <si>
    <t>PD0030</t>
  </si>
  <si>
    <t>削除・使用禁止時のﾌｧｲﾙ存在ﾁｪｯｸＰＧＭ</t>
  </si>
  <si>
    <t>構成マスターメンテナンス</t>
  </si>
  <si>
    <t>PD0040C</t>
  </si>
  <si>
    <t>PD0045</t>
  </si>
  <si>
    <t>単価積上げＰＧＭ</t>
  </si>
  <si>
    <t>PD0047</t>
  </si>
  <si>
    <t>単価積上げＰＧＭ２構成補助M展開</t>
  </si>
  <si>
    <t>PD0050</t>
  </si>
  <si>
    <t>製品構成マスターログリスト</t>
  </si>
  <si>
    <t>PD0060</t>
  </si>
  <si>
    <t>構成ループチェック</t>
  </si>
  <si>
    <t>PD0070</t>
  </si>
  <si>
    <t xml:space="preserve"> LLC再設定   LLC-0CLEAR</t>
  </si>
  <si>
    <t>ＬＬＣ　再設定 初期画面付</t>
  </si>
  <si>
    <t>PD0080</t>
  </si>
  <si>
    <t xml:space="preserve"> LLC再設定   LLC設定品番指定（有・無）</t>
  </si>
  <si>
    <t>構成Ｍ失効日チェック    夜の日次処理</t>
  </si>
  <si>
    <t>構成Ｍ発行日チェック    夜の日次処理</t>
  </si>
  <si>
    <t>機種マスターメンテナンス</t>
  </si>
  <si>
    <t>工場・課・関連マスターメンテナンス           6/4</t>
  </si>
  <si>
    <t>PD0100C</t>
  </si>
  <si>
    <t>工場・課・関連マスターメンテナンス</t>
  </si>
  <si>
    <t>同等品マスターメンテナンス                   6/4</t>
  </si>
  <si>
    <t>取引先マスターメンテナンス</t>
  </si>
  <si>
    <t>PD0120C</t>
  </si>
  <si>
    <t>PD0121C</t>
  </si>
  <si>
    <t>取引先マスター　別会社間の共通項目チェック</t>
  </si>
  <si>
    <t>仕入先マスターメンテナンス</t>
  </si>
  <si>
    <t>PD0130C</t>
  </si>
  <si>
    <t>PD0131</t>
  </si>
  <si>
    <t>取引先・仕入先マスター保守ログリスト</t>
  </si>
  <si>
    <t>得意先マスターメンテナンス</t>
  </si>
  <si>
    <t>PD0132C</t>
  </si>
  <si>
    <t>PD0133</t>
  </si>
  <si>
    <t>取引先・得意先マスター保守ログリスト</t>
  </si>
  <si>
    <t>その他マスターメンテナンス                  JCM</t>
  </si>
  <si>
    <t>PD0135C</t>
  </si>
  <si>
    <t>その他マスターメンテナンス</t>
  </si>
  <si>
    <t>発注・受入担当マスターメンテナンス</t>
  </si>
  <si>
    <t>PD0140C</t>
  </si>
  <si>
    <t>PD0145</t>
  </si>
  <si>
    <t>発注・受入担当マスターログリスト</t>
  </si>
  <si>
    <t>生産ｺﾝﾄﾛｰﾙﾏｽﾀﾒﾝﾃﾅﾝｽ（棚卸バッチ化対応）</t>
  </si>
  <si>
    <t>PD0151</t>
  </si>
  <si>
    <t>生産ｺﾝﾄﾛｰﾙﾏｽﾀﾒﾝﾃﾅﾝｽ 情シス用</t>
  </si>
  <si>
    <t>PD0151C</t>
  </si>
  <si>
    <t>生産ｺﾝﾄﾛｰﾙマスター保守 (KYOYU)          '</t>
  </si>
  <si>
    <t>PD0155</t>
  </si>
  <si>
    <t>パスワードマスターメンテナンス</t>
  </si>
  <si>
    <t>PD0160C</t>
  </si>
  <si>
    <t>PD0161</t>
  </si>
  <si>
    <t>PD0161C</t>
  </si>
  <si>
    <t>PD0162</t>
  </si>
  <si>
    <t>パスワードマスターメンテ（他ライブラリー取得</t>
  </si>
  <si>
    <t>PD0163</t>
  </si>
  <si>
    <t>パスワードマスターメンテナンス履歴ファイル出力済</t>
  </si>
  <si>
    <t>単価マスターメンテナンス</t>
  </si>
  <si>
    <t>PD0170C</t>
  </si>
  <si>
    <t>PD0180</t>
  </si>
  <si>
    <t>単価マスターログリスト</t>
  </si>
  <si>
    <t>構成補助マスターメンテナンス</t>
  </si>
  <si>
    <t>PD0200C</t>
  </si>
  <si>
    <t>PD0205</t>
  </si>
  <si>
    <t>構成補助自動作成・削除ＰＧＭ</t>
  </si>
  <si>
    <t>PD0205C</t>
  </si>
  <si>
    <t>構成補助自動作成</t>
  </si>
  <si>
    <t>PD0206</t>
  </si>
  <si>
    <t>構成補助自動作成ワークＦ</t>
  </si>
  <si>
    <t>PD0210</t>
  </si>
  <si>
    <t>構成補助マスターログリスト</t>
  </si>
  <si>
    <t>棚番マスターメンテナンス</t>
  </si>
  <si>
    <t>引当優先順位マスターメンテナンス</t>
  </si>
  <si>
    <t>元号ﾏｽﾀｰ保守</t>
  </si>
  <si>
    <t>カレンダーファイル登録</t>
  </si>
  <si>
    <t>カレンダー　メンテナンス</t>
  </si>
  <si>
    <t>税率マスターメンテナンス</t>
  </si>
  <si>
    <t>作業項目マスター保守</t>
  </si>
  <si>
    <t>工場別品目ﾏｽﾀｰ保守</t>
  </si>
  <si>
    <t>PD0280C</t>
  </si>
  <si>
    <t>工場別品目マスターメンテナンス</t>
  </si>
  <si>
    <t>PD0285</t>
  </si>
  <si>
    <t>工場別品目ﾏｽﾀｰログリスト</t>
  </si>
  <si>
    <t>分類ﾏｽﾀｰ保守</t>
  </si>
  <si>
    <t>マウント日付テーブル保守</t>
  </si>
  <si>
    <t>お知らせマスタメンテナンス</t>
  </si>
  <si>
    <t>PD0320</t>
  </si>
  <si>
    <t>ＪＣＭ→ＪＴＳ　品目マスタ移行処理</t>
  </si>
  <si>
    <t>PD0320C</t>
  </si>
  <si>
    <t>ＪＣＭ→ＪＴＳ　マスタ夜間移行処理</t>
  </si>
  <si>
    <t>PD0320CA</t>
  </si>
  <si>
    <t>ＪＣＭ→ＪＴＳ　品目マスタのみ移行処理</t>
  </si>
  <si>
    <t>PD0321</t>
  </si>
  <si>
    <t>ＪＣＭ→ＪＴＳ　工場別品目マスタ移行処理</t>
  </si>
  <si>
    <t>PD0322</t>
  </si>
  <si>
    <t>ＪＣＭ　ＪＴＳ用販売価格マスタ作成処理</t>
  </si>
  <si>
    <t>PD0323</t>
  </si>
  <si>
    <t>ＪＣＭ→ＪＴＳ　取引先マスタ移行処理</t>
  </si>
  <si>
    <t>PD0323C</t>
  </si>
  <si>
    <t>ＪＣＭ→ＪＴＳ　取引先マスタのみ移行処理</t>
  </si>
  <si>
    <t>PD0324</t>
  </si>
  <si>
    <t>ＪＴＳ　単価マスタ作成処理</t>
  </si>
  <si>
    <t>PD0325</t>
  </si>
  <si>
    <t>ＪＴＳ　販売価格マスタ作成処理</t>
  </si>
  <si>
    <t>PD0326</t>
  </si>
  <si>
    <t>ＪＣＭ→ＪＴＳ　取引先関係履歴ﾚｺｰﾄﾞ作成</t>
  </si>
  <si>
    <t>PD0327</t>
  </si>
  <si>
    <t>ＪＣＭ→ＪＳ　取引先マスタ移行処理</t>
  </si>
  <si>
    <t>PD0327C</t>
  </si>
  <si>
    <t>品目追加情報マスタメンテナンス</t>
  </si>
  <si>
    <t>プロジェクトコードマスターメンテナンス</t>
  </si>
  <si>
    <t>PD0345</t>
  </si>
  <si>
    <t xml:space="preserve"> PC -&gt; AS400 CSVファイルアップロード</t>
  </si>
  <si>
    <t>PD0345C</t>
  </si>
  <si>
    <t>プロジェクトコードマスター一括登録CL</t>
  </si>
  <si>
    <t>PD0346</t>
  </si>
  <si>
    <t>プロジェクトコードマスター一括登録</t>
  </si>
  <si>
    <t>ﾏｽﾀﾒﾝﾃNO.01&lt;申請№取得&gt;</t>
  </si>
  <si>
    <t>PD0350C</t>
  </si>
  <si>
    <t xml:space="preserve"> ﾏｽﾀﾒﾝﾃNO.01&lt;申請№取得&gt;</t>
  </si>
  <si>
    <t>PD0360</t>
  </si>
  <si>
    <t>ﾏｽﾀﾒﾝﾃNO.02&lt;修正・取消選択&gt;</t>
  </si>
  <si>
    <t>PD0370</t>
  </si>
  <si>
    <t>ﾏｽﾀﾒﾝﾃNO.03&lt;処理ﾒﾆｭｰ &gt;</t>
  </si>
  <si>
    <t>PD0370C</t>
  </si>
  <si>
    <t xml:space="preserve"> ﾏｽﾀﾒﾝﾃNO.03&lt;処理ﾒﾆｭｰ &gt;</t>
  </si>
  <si>
    <t>PD0380</t>
  </si>
  <si>
    <t>ﾏｽﾀﾒﾝﾃ用&lt;処理内容一覧&gt;</t>
  </si>
  <si>
    <t>PD0390</t>
  </si>
  <si>
    <t>ﾏｽﾀﾒﾝﾃNO.04&lt;新規追加&gt;</t>
  </si>
  <si>
    <t>PD0400</t>
  </si>
  <si>
    <t>ﾏｽﾀﾒﾝﾃNO.05&lt;品目Ｍ&gt;</t>
  </si>
  <si>
    <t>PD0410</t>
  </si>
  <si>
    <t>ﾏｽﾀﾒﾝﾃNO.06&lt;単価Ｍ&gt;</t>
  </si>
  <si>
    <t>PD0420</t>
  </si>
  <si>
    <t>ﾏｽﾀﾒﾝﾃNO.07&lt;発注受入担当Ｍ&gt;</t>
  </si>
  <si>
    <t>PD0440</t>
  </si>
  <si>
    <t>ﾏｽﾀﾒﾝﾃNO.09･10&lt;構成Ｍ&gt;&lt;構成補助Ｍ&gt;</t>
  </si>
  <si>
    <t>PD0470</t>
  </si>
  <si>
    <t>ﾏｽﾀﾒﾝﾃ用&lt;生産系ﾏｽﾀｰ更新&gt;</t>
  </si>
  <si>
    <t>ﾏｽﾀﾒﾝﾃNO.11&lt;承認&gt;</t>
  </si>
  <si>
    <t>PD0480C</t>
  </si>
  <si>
    <t xml:space="preserve"> ﾏｽﾀﾒﾝﾃNO.11&lt;承認&gt;</t>
  </si>
  <si>
    <t>PD0490</t>
  </si>
  <si>
    <t>ﾏｽﾀﾒﾝﾃ用&lt;本番データ更新&gt;</t>
  </si>
  <si>
    <t>PD0490C</t>
  </si>
  <si>
    <t xml:space="preserve"> ﾏｽﾀﾒﾝﾃ用&lt;本番データ更新&gt;</t>
  </si>
  <si>
    <t>ﾏｽﾀﾒﾝﾃNO.12&lt;申請書印刷&gt;</t>
  </si>
  <si>
    <t>PD0500C</t>
  </si>
  <si>
    <t xml:space="preserve"> ﾏｽﾀﾒﾝﾃNO.12&lt;申請書印刷&gt;</t>
  </si>
  <si>
    <t>PD0510</t>
  </si>
  <si>
    <t>ﾏｽﾀﾒﾝﾃ用&lt;品目コード判別SUB &gt;</t>
  </si>
  <si>
    <t>PD0520</t>
  </si>
  <si>
    <t>ﾏｽﾀﾒﾝﾃ用&lt;ログオン判別SUB &gt;</t>
  </si>
  <si>
    <t>PD0530C</t>
  </si>
  <si>
    <t xml:space="preserve"> ﾏｽﾀﾒﾝﾃ用&lt;処理ＬＩＢ切替&gt;</t>
  </si>
  <si>
    <t>PD0540</t>
  </si>
  <si>
    <t>ﾏｽﾀﾒﾝﾃNO.13&lt;変更履歴照会&gt;</t>
  </si>
  <si>
    <t>PD0540C</t>
  </si>
  <si>
    <t>PD0600</t>
  </si>
  <si>
    <t>保守・代替機在庫補正</t>
  </si>
  <si>
    <t>社員振込口座マスタメンテナンス</t>
  </si>
  <si>
    <t>PD0620</t>
  </si>
  <si>
    <t>納品書未出力設定マスタメンテナンス</t>
  </si>
  <si>
    <t>PD0700</t>
  </si>
  <si>
    <t>UL認定品目マスタ・メンテナンス</t>
  </si>
  <si>
    <t>品目マスター一覧表                          JCM</t>
  </si>
  <si>
    <t>部品表作成指示</t>
  </si>
  <si>
    <t>PD1050C</t>
  </si>
  <si>
    <t>部品表出力</t>
  </si>
  <si>
    <t>PD1050C@</t>
  </si>
  <si>
    <t>PD1055AC</t>
  </si>
  <si>
    <t>部品表出力ＣＬ　アドバンス</t>
  </si>
  <si>
    <t>PD1055C</t>
  </si>
  <si>
    <t>部品表出力ＣＬ</t>
  </si>
  <si>
    <t>PD1055C@</t>
  </si>
  <si>
    <t>PD1056</t>
  </si>
  <si>
    <t>部品表ワークファイル作成　中間積上無しTOSHI,JCM</t>
  </si>
  <si>
    <t>PD1056@</t>
  </si>
  <si>
    <t>PD1056A</t>
  </si>
  <si>
    <t>部品表ワークファイル作成　アドバンス</t>
  </si>
  <si>
    <t>PD105A</t>
  </si>
  <si>
    <t>部品表作成指示　アドバンス用</t>
  </si>
  <si>
    <t>PD105AC</t>
  </si>
  <si>
    <t>部品表出力　アドバンス</t>
  </si>
  <si>
    <t>PD1060</t>
  </si>
  <si>
    <t>構成表（全レベル）</t>
  </si>
  <si>
    <t>PD1065</t>
  </si>
  <si>
    <t>構成表（全レベル製品ユニットのみ）</t>
  </si>
  <si>
    <t>PD1070</t>
  </si>
  <si>
    <t>構成表（単一レベル）</t>
  </si>
  <si>
    <t>PD1080</t>
  </si>
  <si>
    <t>構成表（ユニット別）</t>
  </si>
  <si>
    <t>部品構成比較表指示</t>
  </si>
  <si>
    <t>PD1095</t>
  </si>
  <si>
    <t>部品構成比較表</t>
  </si>
  <si>
    <t>機種マスター一覧表                          JCM</t>
  </si>
  <si>
    <t>PD1100C</t>
  </si>
  <si>
    <t>機種マスター一覧表セレクト画面</t>
  </si>
  <si>
    <t>組織マスター一覧表                          JCM</t>
  </si>
  <si>
    <t>PD1110C</t>
  </si>
  <si>
    <t>組織マスター一覧表セレクト画面</t>
  </si>
  <si>
    <t>同等品マスター一覧表                        JCM</t>
  </si>
  <si>
    <t>取引先マスター一覧表                        JCM</t>
  </si>
  <si>
    <t>仕入先マスター一覧表                        JCM</t>
  </si>
  <si>
    <t>発注・受入担当者マスター一覧表              JCM</t>
  </si>
  <si>
    <t>パスワードマスター一覧表                    JCM</t>
  </si>
  <si>
    <t>単価ﾏｽﾀｰ一覧表（品目ﾀｲﾌﾟ）              JCM</t>
  </si>
  <si>
    <t>単価マスター一覧表（品目タイプ）セレクト画面</t>
  </si>
  <si>
    <t>PD1211</t>
  </si>
  <si>
    <t>単価ﾏｽﾀｰ一覧表（仕入先別）                JCM</t>
  </si>
  <si>
    <t>仮単価ﾏｽﾀｰ一覧表                          JCM</t>
  </si>
  <si>
    <t>仮単価ﾏｽﾀｰ一覧表</t>
  </si>
  <si>
    <t>PD1231</t>
  </si>
  <si>
    <t>構成補助マスター一覧表                      JCM</t>
  </si>
  <si>
    <t>棚番ﾏｽﾀｰ一覧表                            JCM</t>
  </si>
  <si>
    <t>引当優先順位ﾏｽﾀｰ一覧表                    JCM</t>
  </si>
  <si>
    <t>製番付構成・マスター比較指示                 JCM</t>
  </si>
  <si>
    <t>製番付構成・マスター比較表</t>
  </si>
  <si>
    <t>PD1281</t>
  </si>
  <si>
    <t>PD1281C</t>
  </si>
  <si>
    <t>PD1282C</t>
  </si>
  <si>
    <t>改造余剰部品表(ｴｸｾﾙﾀﾞｳﾝﾛｰﾄﾞ)</t>
  </si>
  <si>
    <t>PD1290C</t>
  </si>
  <si>
    <t>部品表出力ＣＬｴｸｾﾙﾀﾞｳﾝﾛｰﾄﾞ開始</t>
  </si>
  <si>
    <t>PD1291</t>
  </si>
  <si>
    <t>改造余剰部品表(ｴｸｾﾙﾀﾞｳﾝﾛｰﾄﾞ) ﾜｰｸﾌｧｲﾙ作成</t>
  </si>
  <si>
    <t>PD1291C</t>
  </si>
  <si>
    <t>部品表出力ＣＬ　ﾜｰｸﾌｧｲﾙ作成</t>
  </si>
  <si>
    <t>PD1293</t>
  </si>
  <si>
    <t>改造余剰部品表(ｴｸｾﾙﾀﾞｳﾝﾛｰﾄﾞ) TTOﾌｧｲﾙ作成</t>
  </si>
  <si>
    <t>発注単価見積書</t>
  </si>
  <si>
    <t>PD1301</t>
  </si>
  <si>
    <t>発注単価見積書印刷</t>
  </si>
  <si>
    <t>PD1310</t>
  </si>
  <si>
    <t>構成表照会</t>
  </si>
  <si>
    <t>PD1320</t>
  </si>
  <si>
    <t>構成表ｴｸｾﾙﾀﾞｳﾝﾛｰﾄﾞ TTOﾌｧｲﾙ作成</t>
  </si>
  <si>
    <t>PD1320C</t>
  </si>
  <si>
    <t>構成表ｴｸｾﾙﾀﾞｳﾝﾛｰﾄﾞ</t>
  </si>
  <si>
    <t>PD1330</t>
  </si>
  <si>
    <t>宛名タックシール作成</t>
  </si>
  <si>
    <t>品目マスターダウンロード</t>
  </si>
  <si>
    <t>品目マスタダウンロード</t>
  </si>
  <si>
    <t>品目マスター照会</t>
  </si>
  <si>
    <t>PD2011</t>
  </si>
  <si>
    <t>品目登録結果照会</t>
  </si>
  <si>
    <t>新規登録後　品目コード確認</t>
  </si>
  <si>
    <t>申請№から品目照会　</t>
  </si>
  <si>
    <t>PD2020</t>
  </si>
  <si>
    <t>品目マスター検索                             6/4</t>
  </si>
  <si>
    <t>PD2025</t>
  </si>
  <si>
    <t>品目マスター検索（略称）                     6/4</t>
  </si>
  <si>
    <t>構成マスター照会（正／全）</t>
  </si>
  <si>
    <t>PD2041</t>
  </si>
  <si>
    <t>構成マスター照会（正／全）生産中止・使用禁止</t>
  </si>
  <si>
    <t>構成マスター照会選択</t>
  </si>
  <si>
    <t>PD2045C</t>
  </si>
  <si>
    <t>PD2050</t>
  </si>
  <si>
    <t>構成マスター照会（正／単一）</t>
  </si>
  <si>
    <t>PD2060</t>
  </si>
  <si>
    <t>構成マスター照会（逆／全）</t>
  </si>
  <si>
    <t>PD2070</t>
  </si>
  <si>
    <t>構成マスター照会（逆／単一）</t>
  </si>
  <si>
    <t>最終使途照会</t>
  </si>
  <si>
    <t>PD2081</t>
  </si>
  <si>
    <t>部品構成比較指示</t>
  </si>
  <si>
    <t>PD2100</t>
  </si>
  <si>
    <t>部品構成比較</t>
  </si>
  <si>
    <t>PD2110</t>
  </si>
  <si>
    <t>機種マスター検索                             6/4</t>
  </si>
  <si>
    <t>工場・課・関連マスター照会</t>
  </si>
  <si>
    <t>PD2130</t>
  </si>
  <si>
    <t>工場マスター検索                             6/4</t>
  </si>
  <si>
    <t>課マスター検索                               6/4</t>
  </si>
  <si>
    <t>同等品マスター照会</t>
  </si>
  <si>
    <t>取引先マスター照会</t>
  </si>
  <si>
    <t>PD2180</t>
  </si>
  <si>
    <t>取引先ﾏｽﾀｰ検索</t>
  </si>
  <si>
    <t>PD2181C</t>
  </si>
  <si>
    <t>取引先　部分検索　ＱＲＹ</t>
  </si>
  <si>
    <t>PD2182C</t>
  </si>
  <si>
    <t>仕入先マスター照会</t>
  </si>
  <si>
    <t>得意先マスター照会</t>
  </si>
  <si>
    <t>その他マスター照会</t>
  </si>
  <si>
    <t>発注・受入担当者マスター照会</t>
  </si>
  <si>
    <t>PD2240</t>
  </si>
  <si>
    <t>社員マスター検索</t>
  </si>
  <si>
    <t>単価マスター照会（品目ｺｰﾄﾞ別）</t>
  </si>
  <si>
    <t>単価マスター照会（取引先別）</t>
  </si>
  <si>
    <t>PD2260</t>
  </si>
  <si>
    <t>単価マスター検索</t>
  </si>
  <si>
    <t>構成補助マスター照会</t>
  </si>
  <si>
    <t>棚番マスター照会</t>
  </si>
  <si>
    <t>引当優先順位マスター照会</t>
  </si>
  <si>
    <t>PD2290</t>
  </si>
  <si>
    <t>作業項目マスター検索</t>
  </si>
  <si>
    <t>工場別品目ﾏｽﾀｰ照会</t>
  </si>
  <si>
    <t>PD2310</t>
  </si>
  <si>
    <t>廃棄伝票区分検索                            JCM</t>
  </si>
  <si>
    <t>PD2320</t>
  </si>
  <si>
    <t>廃棄理由検索　　                            JCM</t>
  </si>
  <si>
    <t>PD2330</t>
  </si>
  <si>
    <t>滞留在庫理由マスター検索</t>
  </si>
  <si>
    <t>PD2340</t>
  </si>
  <si>
    <t>滞留在庫消費見込マスタ検索</t>
  </si>
  <si>
    <t>標準原価変更影響金額照会</t>
  </si>
  <si>
    <t>PD2360</t>
  </si>
  <si>
    <t>金型・治工具種別マスター検索</t>
  </si>
  <si>
    <t>PD2370</t>
  </si>
  <si>
    <t>資産区分マスター検索</t>
  </si>
  <si>
    <t>プロジェクトコードマスター照会</t>
  </si>
  <si>
    <t>PD2381</t>
  </si>
  <si>
    <t>プロジェクトコードマスター検索</t>
  </si>
  <si>
    <t>PD2382C</t>
  </si>
  <si>
    <t>プロジェクトコードマスターダウンロード</t>
  </si>
  <si>
    <t>PD2390</t>
  </si>
  <si>
    <t>発注摘要検索</t>
  </si>
  <si>
    <t>PD2400</t>
  </si>
  <si>
    <t>申請№マスター検索</t>
  </si>
  <si>
    <t>PD2400C</t>
  </si>
  <si>
    <t>PD2500C</t>
  </si>
  <si>
    <t>発注問合せ先マスタメンテナンス</t>
  </si>
  <si>
    <t>PD2510C</t>
  </si>
  <si>
    <t>発注問合せ先情報メンテ</t>
  </si>
  <si>
    <t>PD3010H</t>
  </si>
  <si>
    <t>生産計画入力（販売）</t>
  </si>
  <si>
    <t>PD3011</t>
  </si>
  <si>
    <t>生産計画　新規登録の時の製番付き構成Ｆ作成</t>
  </si>
  <si>
    <t>PD3011C</t>
  </si>
  <si>
    <t>製番付構成Ｆ　作成         SBMJOB-IN</t>
  </si>
  <si>
    <t>PD3011CB</t>
  </si>
  <si>
    <t>製番付構成Ｆ　作成         SBMJOB-JOB</t>
  </si>
  <si>
    <t>PD3011H</t>
  </si>
  <si>
    <t>生産計画入力（販売）エラー製番削除</t>
  </si>
  <si>
    <t>PD3012</t>
  </si>
  <si>
    <t>生産計画　改造製番登録の時の製番付き構成Ｆ作成</t>
  </si>
  <si>
    <t>PD3012C</t>
  </si>
  <si>
    <t>製番付構成Ｆ　展開単位植付 SBMJOB-IN</t>
  </si>
  <si>
    <t>PD3012CB</t>
  </si>
  <si>
    <t>製番付構成Ｆ　展開単位植付 SBMJOB-JOB</t>
  </si>
  <si>
    <t>PD3013</t>
  </si>
  <si>
    <t>生産計画　エラー分削除</t>
  </si>
  <si>
    <t>PD3015</t>
  </si>
  <si>
    <t>生産計画　［展開単位植え付け］</t>
  </si>
  <si>
    <t>PD3017</t>
  </si>
  <si>
    <t>生産計画［生産数変更］</t>
  </si>
  <si>
    <t>PD3019</t>
  </si>
  <si>
    <t>所要量・在庫引当の変更による下位構成変更</t>
  </si>
  <si>
    <t>PD3020</t>
  </si>
  <si>
    <t>生産計画　    ［製番削除］</t>
  </si>
  <si>
    <t>PD3021</t>
  </si>
  <si>
    <t>製番付構成Ｆ修正［展開単位植付］</t>
  </si>
  <si>
    <t>PD3023</t>
  </si>
  <si>
    <t>製番付構成Ｆ修正［ﾌｧﾝﾄﾑ構成追加］</t>
  </si>
  <si>
    <t>PD3024</t>
  </si>
  <si>
    <t>製番付構成Ｆ修正［構成追加］</t>
  </si>
  <si>
    <t>製番付構成Ｆ修正 メイン</t>
  </si>
  <si>
    <t>製番付構成ファイル・ダウンロード</t>
  </si>
  <si>
    <t>PD3027C</t>
  </si>
  <si>
    <t>生産計画入力照会</t>
  </si>
  <si>
    <t>PD3032</t>
  </si>
  <si>
    <t>製番付構成Ｆ修正発注まるめ展開単位クリア</t>
  </si>
  <si>
    <t>PD3033</t>
  </si>
  <si>
    <t>製番付構成Ｆ修正単独製番発注まるめ紐切り</t>
  </si>
  <si>
    <t>PD3034</t>
  </si>
  <si>
    <t xml:space="preserve"> ﾌｧﾝﾄﾑ扱い製品単価Ｆ　「変更／削除」</t>
  </si>
  <si>
    <t>生産計画照会(製番指定)</t>
  </si>
  <si>
    <t>PD3036</t>
  </si>
  <si>
    <t>製番付構成Ｆ修正発注まるめ検索</t>
  </si>
  <si>
    <t>PD3037</t>
  </si>
  <si>
    <t>製番付構成Ｆ修正発注まるめ「追加・削除・変更」</t>
  </si>
  <si>
    <t>PD3037C</t>
  </si>
  <si>
    <t>製番付構成Ｆ修正発注まるめ「追加・削除・変更</t>
  </si>
  <si>
    <t>PD3038</t>
  </si>
  <si>
    <t>製番付構成Ｆ修正展開単位クリア</t>
  </si>
  <si>
    <t>PD3039</t>
  </si>
  <si>
    <t>製番付構成Ｆ修正 ｷｯﾃｲﾝｸﾞF更新</t>
  </si>
  <si>
    <t>PD3040</t>
  </si>
  <si>
    <t>計画入力一覧表</t>
  </si>
  <si>
    <t>生産計画予定実績対比表</t>
  </si>
  <si>
    <t>PD3090</t>
  </si>
  <si>
    <t>MRP前処理（紐切）ZAMMSP製番付在庫クリアー</t>
  </si>
  <si>
    <t>PD3091</t>
  </si>
  <si>
    <t>MRP前処理（紐切）L2GTRP製番付在庫クリアー</t>
  </si>
  <si>
    <t>PD3092</t>
  </si>
  <si>
    <t>MRP前処理（紐切）ﾛｯﾄ別==&gt;管理場所別</t>
  </si>
  <si>
    <t>PD3093</t>
  </si>
  <si>
    <t>MRP前処理（紐切）PLNTRP/M1TTRP削除AUTO製番</t>
  </si>
  <si>
    <t>PD3094</t>
  </si>
  <si>
    <t>MRP前処理（紐切）ORDTRP/OQFTRPよりPLNTRP作成</t>
  </si>
  <si>
    <t>PD3095</t>
  </si>
  <si>
    <t>MRP前処理（紐切）PRNTRPﾖﾘAUTO製番 PD3011実行</t>
  </si>
  <si>
    <t>PD3096</t>
  </si>
  <si>
    <t>MRP前処理（紐切）M1TTRPよりHIKTRP/OQFTRP作成</t>
  </si>
  <si>
    <t>PD3097</t>
  </si>
  <si>
    <t>MRP前処理　工場別ワーククリアー</t>
  </si>
  <si>
    <t>PD3097X</t>
  </si>
  <si>
    <t>MRP前処理（紐切）　工場別ワーククリアー</t>
  </si>
  <si>
    <t>PD3098</t>
  </si>
  <si>
    <t>MRP前処理　エラーチェック再実行</t>
  </si>
  <si>
    <t>PD3099</t>
  </si>
  <si>
    <t>MRP前処理　マウント日付再設定</t>
  </si>
  <si>
    <t>PD3100</t>
  </si>
  <si>
    <t>MRP前処理(00)製番付構成Ｆｴﾗｰﾌﾗｸﾞ ﾁｪｯｸ</t>
  </si>
  <si>
    <t>PD3101</t>
  </si>
  <si>
    <t>MRP前処理(01)工場Ｍ　ＭＲＰ対象外ＦCLEAR</t>
  </si>
  <si>
    <t>PD3102</t>
  </si>
  <si>
    <t>MRP前処理(02)不要先行手配製番削除</t>
  </si>
  <si>
    <t>PD31021</t>
  </si>
  <si>
    <t>MRP前処理(02)不要先行手配製番　物理削除</t>
  </si>
  <si>
    <t>PD3103</t>
  </si>
  <si>
    <t>MRP前処理(03)製番付構成ＦLLCセット</t>
  </si>
  <si>
    <t>PD3105</t>
  </si>
  <si>
    <t>MRP前処理(04)場所別在庫Ｍの引当可能Ｆ見直</t>
  </si>
  <si>
    <t>PD3106</t>
  </si>
  <si>
    <t>MRP前処理(05)発注Ｆの引当不可能Ｆ見直</t>
  </si>
  <si>
    <t>PD3107</t>
  </si>
  <si>
    <t>ＭＲＰ所要量計算処理(1)  MRP実行日設定</t>
  </si>
  <si>
    <t>PD3108</t>
  </si>
  <si>
    <t>ＭＲＰ前処理(00) 余剰発注残計算(AUTO製番分)</t>
  </si>
  <si>
    <t>PD31086</t>
  </si>
  <si>
    <t>PD3109前1先行手配製番付構成　引当等再計算</t>
  </si>
  <si>
    <t>PD31087</t>
  </si>
  <si>
    <t>PD3112前に計画完了分の製番付構成ﾌｧｲﾙを完了</t>
  </si>
  <si>
    <t>PD3109</t>
  </si>
  <si>
    <t>MRP所要量計算先行手配製番引当PD3117 CALL NEW</t>
  </si>
  <si>
    <t>PD3109C</t>
  </si>
  <si>
    <t>ＭＲＰ所要量計算処理(3)先行手配製番引当</t>
  </si>
  <si>
    <t>PD3110</t>
  </si>
  <si>
    <t xml:space="preserve"> AUTO製番作成</t>
  </si>
  <si>
    <t>PD3111</t>
  </si>
  <si>
    <t>在庫引当分下位構成必要数減算</t>
  </si>
  <si>
    <t>PD3112</t>
  </si>
  <si>
    <t>MRP所要量計算（通常　）所要量計算</t>
  </si>
  <si>
    <t>PD3112C</t>
  </si>
  <si>
    <t>生産計画Ｆより所要量計算を行う</t>
  </si>
  <si>
    <t>PD3112W</t>
  </si>
  <si>
    <t>MRP所要量計算（紐切後）引当処理AUTO-AUTO</t>
  </si>
  <si>
    <t>PD3112X</t>
  </si>
  <si>
    <t>MRP所要量計算（紐切後）引当処理AUTO以外</t>
  </si>
  <si>
    <t>PD3112Y</t>
  </si>
  <si>
    <t>MRP所要量計算（紐切後）所要量計算</t>
  </si>
  <si>
    <t>PD3113</t>
  </si>
  <si>
    <t>MRP所要量計算        品目別丸め</t>
  </si>
  <si>
    <t>PD3114</t>
  </si>
  <si>
    <t>MRP所要量計算      オーバー発注削除</t>
  </si>
  <si>
    <t>PD3115</t>
  </si>
  <si>
    <t>MRP所要量計算        検討Ｆ作成</t>
  </si>
  <si>
    <t>PD3116</t>
  </si>
  <si>
    <t>MRP所要量計算        検討Ｆ作成（合計分）</t>
  </si>
  <si>
    <t>PD3118</t>
  </si>
  <si>
    <t>MRP所要量計算        定量点発注分</t>
  </si>
  <si>
    <t>PD3119</t>
  </si>
  <si>
    <t>MRP所要量計算        余剰品計算　</t>
  </si>
  <si>
    <t>PD3120</t>
  </si>
  <si>
    <t>引当明細の親子紐付　汎用ＰＧＭ</t>
  </si>
  <si>
    <t>PD3121</t>
  </si>
  <si>
    <t>MRP所要量計算　ユニット余剰品計算　</t>
  </si>
  <si>
    <t>PD3130</t>
  </si>
  <si>
    <t>親発注ｎｏの修復１（親紐付けのない製番を求める）</t>
  </si>
  <si>
    <t>PD3131</t>
  </si>
  <si>
    <t>親発注ｎｏの修復２</t>
  </si>
  <si>
    <t>PD3132</t>
  </si>
  <si>
    <t>親発注ｎｏの修復３</t>
  </si>
  <si>
    <t>PD3150</t>
  </si>
  <si>
    <t>MRP後処理    ワークＦクリアー</t>
  </si>
  <si>
    <t>発注検討表出力指示</t>
  </si>
  <si>
    <t>PD3190</t>
  </si>
  <si>
    <t>発注検討書（内作）</t>
  </si>
  <si>
    <t>PD3200</t>
  </si>
  <si>
    <t>発注検討書（外作）</t>
  </si>
  <si>
    <t>PD3210</t>
  </si>
  <si>
    <t>発注検討書（仕入）</t>
  </si>
  <si>
    <t>余剰品リスト出力指示</t>
  </si>
  <si>
    <t>PD3230</t>
  </si>
  <si>
    <t>余剰品リスト</t>
  </si>
  <si>
    <t>一括発注承認</t>
  </si>
  <si>
    <t>PD3250</t>
  </si>
  <si>
    <t>個別検討（組立）</t>
  </si>
  <si>
    <t>PD3260</t>
  </si>
  <si>
    <t>製番付構成Ｆ更新（発注製番紐付ﾌｧｲﾙ）</t>
  </si>
  <si>
    <t>PD3265</t>
  </si>
  <si>
    <t>製番付構成Ｆ更新</t>
  </si>
  <si>
    <t>PD3270</t>
  </si>
  <si>
    <t>個別検討（仕入）</t>
  </si>
  <si>
    <t>個別発注承認</t>
  </si>
  <si>
    <t>PD3280C</t>
  </si>
  <si>
    <t>未承認リスト         新ＤＢ</t>
  </si>
  <si>
    <t>個別発注入力（仕入）</t>
  </si>
  <si>
    <t>PD3290C</t>
  </si>
  <si>
    <t>PD3290H</t>
  </si>
  <si>
    <t>個別発注入力（仕入）（販売）　　　</t>
  </si>
  <si>
    <t>個別発注入力（外作） 新ＤＢ</t>
  </si>
  <si>
    <t>PD3300C</t>
  </si>
  <si>
    <t>個別発注入力（外作）</t>
  </si>
  <si>
    <t>個別発注入力（内作） 新ＤＢ</t>
  </si>
  <si>
    <t>PD3310C</t>
  </si>
  <si>
    <t>個別発注入力（内作）</t>
  </si>
  <si>
    <t>PD3312</t>
  </si>
  <si>
    <t>紐付・引当・ｷｯﾃｨﾝｸﾞ親発注№植付処理1/31置換</t>
  </si>
  <si>
    <t>PD3313</t>
  </si>
  <si>
    <t>製番指定　紐付・引当・ｷｯﾃｨﾝｸﾞ親発注№植付</t>
  </si>
  <si>
    <t>PD3314</t>
  </si>
  <si>
    <t>紐切り処理による親発注№植付処理</t>
  </si>
  <si>
    <t>個別発注入力（経費）</t>
  </si>
  <si>
    <t>PD3330C</t>
  </si>
  <si>
    <t>注文書再発行</t>
  </si>
  <si>
    <t>注文書再発行（完了済も発行可能版）</t>
  </si>
  <si>
    <t>PD3350</t>
  </si>
  <si>
    <t>PD3350C</t>
  </si>
  <si>
    <t>PD3350X</t>
  </si>
  <si>
    <t>PD3351</t>
  </si>
  <si>
    <t>問合せ窓口電話番号取得</t>
  </si>
  <si>
    <t>注文書メモ欄入力</t>
  </si>
  <si>
    <t>PD3380</t>
  </si>
  <si>
    <t>PD3380C</t>
  </si>
  <si>
    <t>PD3381</t>
  </si>
  <si>
    <t>納品書作成　完了分も発行可能版</t>
  </si>
  <si>
    <t>PD3381C</t>
  </si>
  <si>
    <t>PD3385</t>
  </si>
  <si>
    <t>PD3385C</t>
  </si>
  <si>
    <t>変更通知書発行</t>
  </si>
  <si>
    <t>PD3450C</t>
  </si>
  <si>
    <t>変更通知書再発行</t>
  </si>
  <si>
    <t>PD3470</t>
  </si>
  <si>
    <t>PD3470C</t>
  </si>
  <si>
    <t>PD3490</t>
  </si>
  <si>
    <t>使用部品一覧表</t>
  </si>
  <si>
    <t>PD3495C</t>
  </si>
  <si>
    <t>取引先別発注残照会</t>
  </si>
  <si>
    <t>ライン別発注残照会</t>
  </si>
  <si>
    <t>品目別発注残照会</t>
  </si>
  <si>
    <t>担当者別発注残照会</t>
  </si>
  <si>
    <t>納期別発注残照会</t>
  </si>
  <si>
    <t>PD3550</t>
  </si>
  <si>
    <t>発注残照会（詳細）</t>
  </si>
  <si>
    <t>発注残一覧表（仕入先別）                    JCM</t>
  </si>
  <si>
    <t>PD3560_616</t>
  </si>
  <si>
    <t>PD3570C</t>
  </si>
  <si>
    <t>PD3571</t>
  </si>
  <si>
    <t>支給優先順位リスト TTOﾌｧｲﾙ作成</t>
  </si>
  <si>
    <t>PD3571C</t>
  </si>
  <si>
    <t>発注残一覧表（担当者別）                    JCM</t>
  </si>
  <si>
    <t>発注残一覧表（品目別）                      JCM</t>
  </si>
  <si>
    <t>発注№別引当状況照会</t>
  </si>
  <si>
    <t>課別仕入予定一覧表出力指示</t>
  </si>
  <si>
    <t>PD3630</t>
  </si>
  <si>
    <t>課別仕入予定一覧表</t>
  </si>
  <si>
    <t>PD3630C</t>
  </si>
  <si>
    <t>課別仕入予定一覧</t>
  </si>
  <si>
    <t>発注NO別発注残照会                         JCM</t>
  </si>
  <si>
    <t>PD3650</t>
  </si>
  <si>
    <t>移動／支給伝票照会                           JCM</t>
  </si>
  <si>
    <t>PD3651</t>
  </si>
  <si>
    <t>移動／支給伝票シリアル照会</t>
  </si>
  <si>
    <t>PD3652</t>
  </si>
  <si>
    <t>ロット№別シリアル照会</t>
  </si>
  <si>
    <t>納期督促状                                JCM</t>
  </si>
  <si>
    <t>PD3660C</t>
  </si>
  <si>
    <t>納期督促状</t>
  </si>
  <si>
    <t>PD3670</t>
  </si>
  <si>
    <t>入荷予定照会</t>
  </si>
  <si>
    <t>発注用タックシール発行               JCM</t>
  </si>
  <si>
    <t>納期回答調査表</t>
  </si>
  <si>
    <t>PD3690C</t>
  </si>
  <si>
    <t>サービスパーツ未出庫一覧                    JCM</t>
  </si>
  <si>
    <t>PD3710</t>
  </si>
  <si>
    <t>個別発注一括取込み</t>
  </si>
  <si>
    <t>PD3710C</t>
  </si>
  <si>
    <t>取込み確認</t>
  </si>
  <si>
    <t>PD3720</t>
  </si>
  <si>
    <t>個別発注一括取込み：データチェック</t>
  </si>
  <si>
    <t>PD3730</t>
  </si>
  <si>
    <t>個別発注一括取込み：エラー訂正</t>
  </si>
  <si>
    <t>PD3740</t>
  </si>
  <si>
    <t>個別発注一括取込み：発注Ｆ・変更通知Ｆ作成</t>
  </si>
  <si>
    <t>受入入力(ﾊﾞｰｺｰﾄﾞ)</t>
  </si>
  <si>
    <t>PD4000C</t>
  </si>
  <si>
    <t>受入入力(ﾊﾞｰｺｰﾄﾞ及び仕入・外注選択)</t>
  </si>
  <si>
    <t>受入入力(新ﾊﾞｰｺｰﾄﾞ)</t>
  </si>
  <si>
    <t>PD4001C</t>
  </si>
  <si>
    <t>受入入力(新ﾊﾞｰｺｰﾄﾞ仕入・外注選択)</t>
  </si>
  <si>
    <t>受入入力</t>
  </si>
  <si>
    <t>PD4005C</t>
  </si>
  <si>
    <t>受入入力(仕入・外注選択) NO OMITT</t>
  </si>
  <si>
    <t>PD4010</t>
  </si>
  <si>
    <t>購入受入入力</t>
  </si>
  <si>
    <t>PD4010_413</t>
  </si>
  <si>
    <t>PD4010H</t>
  </si>
  <si>
    <t>受入入力（販売）　</t>
  </si>
  <si>
    <t>PD4010RE</t>
  </si>
  <si>
    <t>PD4010の中のリラン</t>
  </si>
  <si>
    <t>PD4012</t>
  </si>
  <si>
    <t>親品目更新ＰＧＭ</t>
  </si>
  <si>
    <t>PD4012RE</t>
  </si>
  <si>
    <t>PD4013</t>
  </si>
  <si>
    <t>親品目更新ＰＧＭ (NEW) BY H.KITAURA</t>
  </si>
  <si>
    <t>PD4013C</t>
  </si>
  <si>
    <t>PD4014</t>
  </si>
  <si>
    <t>子品目更新ＰＧＭ</t>
  </si>
  <si>
    <t>PD4016</t>
  </si>
  <si>
    <t>仮支給ＰＧＭ</t>
  </si>
  <si>
    <t>PD4017</t>
  </si>
  <si>
    <t>ロット単位初回入荷判断</t>
  </si>
  <si>
    <t>PD4018</t>
  </si>
  <si>
    <t>支給実績更新</t>
  </si>
  <si>
    <t>PD4019</t>
  </si>
  <si>
    <t>検査区分過去仕入有無判断</t>
  </si>
  <si>
    <t>PD4019_323</t>
  </si>
  <si>
    <t>PD4020</t>
  </si>
  <si>
    <t>外注組立品受入入力</t>
  </si>
  <si>
    <t>PD4024</t>
  </si>
  <si>
    <t>発注製番紐付けﾌｧｲﾙ更新（引当明細変更時）</t>
  </si>
  <si>
    <t>PD4026</t>
  </si>
  <si>
    <t>在庫引当分解除による下位必要数の加算</t>
  </si>
  <si>
    <t>PD4028</t>
  </si>
  <si>
    <t>在庫引当分下位構成必要数減算PD4271 &amp; PD4273 CALL</t>
  </si>
  <si>
    <t>PD4035</t>
  </si>
  <si>
    <t>改造余剰品・使用品入力</t>
  </si>
  <si>
    <t>検査状況リスト</t>
  </si>
  <si>
    <t>検査結果リスト</t>
  </si>
  <si>
    <t>納品分ｷｯﾃｲﾝｸﾞ入力</t>
  </si>
  <si>
    <t>PD4060C</t>
  </si>
  <si>
    <t>納品分ｷｯﾃｨﾝｸﾞ入力</t>
  </si>
  <si>
    <t>PD4062</t>
  </si>
  <si>
    <t>納品分ｷｯﾃｲﾝｸﾞ入力メニューより起動</t>
  </si>
  <si>
    <t>PD4066</t>
  </si>
  <si>
    <t>オート製番の作成  PLNTRP &amp; M1TTRP</t>
  </si>
  <si>
    <t>PD4068</t>
  </si>
  <si>
    <t>製番別子品目更新ＰＧＭ</t>
  </si>
  <si>
    <t>検収入力</t>
  </si>
  <si>
    <t>PD4080</t>
  </si>
  <si>
    <t>購入検収入力</t>
  </si>
  <si>
    <t>PD4090</t>
  </si>
  <si>
    <t>組立品検収入力</t>
  </si>
  <si>
    <t>タックシールＡ作成</t>
  </si>
  <si>
    <t>PD4100C</t>
  </si>
  <si>
    <t>タックシール（受入用）</t>
  </si>
  <si>
    <t>返品入力</t>
  </si>
  <si>
    <t>PD4110C</t>
  </si>
  <si>
    <t>PD4110H</t>
  </si>
  <si>
    <t>返品入力（販売）　　</t>
  </si>
  <si>
    <t>在庫管理対象外品目返品入力</t>
  </si>
  <si>
    <t>返品伝票発行指示</t>
  </si>
  <si>
    <t>PD4125</t>
  </si>
  <si>
    <t>返品伝票作成</t>
  </si>
  <si>
    <t>PD4125C</t>
  </si>
  <si>
    <t>作業報告入力</t>
  </si>
  <si>
    <t>PD4130C</t>
  </si>
  <si>
    <t>PD4130H</t>
  </si>
  <si>
    <t>作業報告入力（販売）</t>
  </si>
  <si>
    <t>作業日報入力</t>
  </si>
  <si>
    <t>PD4150C</t>
  </si>
  <si>
    <t>社内作業実績日報</t>
  </si>
  <si>
    <t>購買受入日報</t>
  </si>
  <si>
    <t>外注受入日報</t>
  </si>
  <si>
    <t>完成入力（シリアル№）</t>
  </si>
  <si>
    <t>PD4190H</t>
  </si>
  <si>
    <t>完成入力（シリアル№）（販売）</t>
  </si>
  <si>
    <t>PD4195</t>
  </si>
  <si>
    <t>購入検査成績書印刷</t>
  </si>
  <si>
    <t>PD4196</t>
  </si>
  <si>
    <t>購入検査成績書（明細）印刷</t>
  </si>
  <si>
    <t>PD4200C</t>
  </si>
  <si>
    <t>月次作業報告書（作業時間）</t>
  </si>
  <si>
    <t>月次作業報告書（実績数）指示画面</t>
  </si>
  <si>
    <t>PD4225</t>
  </si>
  <si>
    <t>月次作業報告書（実績数）受入履歴の実績数ｾｯﾄ</t>
  </si>
  <si>
    <t>PD4225C</t>
  </si>
  <si>
    <t>月次作業報告書（実績数）</t>
  </si>
  <si>
    <t>キッティング場所支給前情報                   JCM</t>
  </si>
  <si>
    <t>PD4230C</t>
  </si>
  <si>
    <t>キッティング在庫支給前状態リスト             JCM</t>
  </si>
  <si>
    <t>納入分ｷｯﾃｨﾝｸﾞﾘｽﾄ出力</t>
  </si>
  <si>
    <t>支給指示ﾘｽﾄ出力指示</t>
  </si>
  <si>
    <t>PD4260C</t>
  </si>
  <si>
    <t>支給指示ﾘｽﾄ出力</t>
  </si>
  <si>
    <t>PD4265</t>
  </si>
  <si>
    <t>支給指示ﾘｽﾄ</t>
  </si>
  <si>
    <t>PD4265C</t>
  </si>
  <si>
    <t>在庫分ｷｯﾃｨﾝｸﾞ入力棚番１０桁対応　変更中TOSHI</t>
  </si>
  <si>
    <t>PD4271</t>
  </si>
  <si>
    <t>オート製番への振替（下位必要数の減算なし）</t>
  </si>
  <si>
    <t>PD4272</t>
  </si>
  <si>
    <t>在庫引当分下位構成必要数加算</t>
  </si>
  <si>
    <t>PD4273</t>
  </si>
  <si>
    <t>オート製番への振替（下位必要数の減算する）</t>
  </si>
  <si>
    <t>PD4274</t>
  </si>
  <si>
    <t>紐切処理</t>
  </si>
  <si>
    <t>引当振替入力 INVITE TO RECORD 98/08/10 COPY YAMA</t>
  </si>
  <si>
    <t>PD4276</t>
  </si>
  <si>
    <t>引当振替入力（未引当）</t>
  </si>
  <si>
    <t>PD4277</t>
  </si>
  <si>
    <t>引当振替入力（未出荷）</t>
  </si>
  <si>
    <t>PD4278</t>
  </si>
  <si>
    <t>出庫単位丸め分移動処理</t>
  </si>
  <si>
    <t>現品ﾀｯｸｼｰﾙ（出庫用）</t>
  </si>
  <si>
    <t>PD4280C</t>
  </si>
  <si>
    <t>現品タックシール（出庫用）</t>
  </si>
  <si>
    <t>現品ﾀｯｸｼｰﾙ（出庫用）再発行</t>
  </si>
  <si>
    <t>PD4285</t>
  </si>
  <si>
    <t>現品ﾀｯｸｼｰﾙ（出庫用）ｾｯﾄのみ</t>
  </si>
  <si>
    <t>PD4285C</t>
  </si>
  <si>
    <t>現品タックシール（出庫用）内部コール用</t>
  </si>
  <si>
    <t>支給用ﾀｯｸｼｰﾙ再出力                 JCM</t>
  </si>
  <si>
    <t>支給用ﾀｯｸｼｰﾙ再出力　支給先棚番追加 JCM</t>
  </si>
  <si>
    <t>PD4300</t>
  </si>
  <si>
    <t>支給伝票</t>
  </si>
  <si>
    <t>支給伝票（再発行）</t>
  </si>
  <si>
    <t>移動指示入力   SFL処理</t>
  </si>
  <si>
    <t>PD4307C</t>
  </si>
  <si>
    <t>PD4307H</t>
  </si>
  <si>
    <t>移動指示入力 （販売）</t>
  </si>
  <si>
    <t>移動指示伝票出力</t>
  </si>
  <si>
    <t>PD4308XC</t>
  </si>
  <si>
    <t>２つの住所をトリム</t>
  </si>
  <si>
    <t>移動指示入力（ＪＴＳ）　</t>
  </si>
  <si>
    <t>PD4309C</t>
  </si>
  <si>
    <t>移動指示入力（ＪＴＳ用）</t>
  </si>
  <si>
    <t>PD4310C</t>
  </si>
  <si>
    <t>PD4310H</t>
  </si>
  <si>
    <t>移動入力（販売）　</t>
  </si>
  <si>
    <t>移動伝票出力</t>
  </si>
  <si>
    <t>移動伝票タックシール</t>
  </si>
  <si>
    <t>PD4321C</t>
  </si>
  <si>
    <t>移動指示残一覧表出力</t>
  </si>
  <si>
    <t>移動受入未確認リスト</t>
  </si>
  <si>
    <t>調整入力</t>
  </si>
  <si>
    <t>PD4340C</t>
  </si>
  <si>
    <t>調整入力（販売）　　　　</t>
  </si>
  <si>
    <t>PD4340H</t>
  </si>
  <si>
    <t>調整入力（販売）　　</t>
  </si>
  <si>
    <t>調整伝票発行</t>
  </si>
  <si>
    <t>PD4350C</t>
  </si>
  <si>
    <t>営業　移動実績一覧</t>
  </si>
  <si>
    <t>PD4351C</t>
  </si>
  <si>
    <t>PD4355</t>
  </si>
  <si>
    <t>PD4360H</t>
  </si>
  <si>
    <t>調整伝票承認入力（販売）</t>
  </si>
  <si>
    <t>仕入伝票集計表　画面入力チェック            JCM</t>
  </si>
  <si>
    <t>PD4400C</t>
  </si>
  <si>
    <t>仕入伝票集計表                               JCM</t>
  </si>
  <si>
    <t>PD4401</t>
  </si>
  <si>
    <t>仕入伝票集計表　印刷                        JCM</t>
  </si>
  <si>
    <t>直送分タックシール発行</t>
  </si>
  <si>
    <t>PD4420C</t>
  </si>
  <si>
    <t>タックシール（直送用）</t>
  </si>
  <si>
    <t>PD4435</t>
  </si>
  <si>
    <t>入荷予定ファイルバッチ更新（ＷＥＢ用）</t>
  </si>
  <si>
    <t>PD4510</t>
  </si>
  <si>
    <t>発注番号による最大引落可能数の計算</t>
  </si>
  <si>
    <t>PD4510C</t>
  </si>
  <si>
    <t>PD4520</t>
  </si>
  <si>
    <t>発注番号による引落可能数の製番別振替</t>
  </si>
  <si>
    <t>PD4520C</t>
  </si>
  <si>
    <t>受入摘要修正</t>
  </si>
  <si>
    <t>PD4600</t>
  </si>
  <si>
    <t xml:space="preserve"> ﾃｰﾋﾟﾝｸﾞ支給指示ﾘｽﾄ出力指示</t>
  </si>
  <si>
    <t xml:space="preserve"> ﾃｰﾋﾟﾝｸﾞ支給指示ﾘｽﾄ出力</t>
  </si>
  <si>
    <t>PD4610</t>
  </si>
  <si>
    <t xml:space="preserve"> ﾃｰﾋﾟﾝｸﾞ支給指示ﾘｽﾄ</t>
  </si>
  <si>
    <t xml:space="preserve"> ﾃｰﾋﾟﾝｸ出庫入力</t>
  </si>
  <si>
    <t>PD4630</t>
  </si>
  <si>
    <t xml:space="preserve"> ﾃｰﾋﾟﾝｸﾞ支給伝票</t>
  </si>
  <si>
    <t>ＰＪコード付移動実績抽出</t>
  </si>
  <si>
    <t>PD4650C</t>
  </si>
  <si>
    <t>PD4700C</t>
  </si>
  <si>
    <t>ＪＳ発注残データダウンロード</t>
  </si>
  <si>
    <t>PD4700C1</t>
  </si>
  <si>
    <t>PD4701C</t>
  </si>
  <si>
    <t>PD4710C</t>
  </si>
  <si>
    <t>仮単価発注残データダウンロード</t>
  </si>
  <si>
    <t>PD4800C</t>
  </si>
  <si>
    <t>指示残、在庫、生産残　状況一覧ＤＬ</t>
  </si>
  <si>
    <t>PD4850C</t>
  </si>
  <si>
    <t>発注残　入荷予定　状況一覧ＤＬ</t>
  </si>
  <si>
    <t>PD4900C</t>
  </si>
  <si>
    <t>ＪＳ発注残データダウンロード改定版</t>
  </si>
  <si>
    <t>管理場所別在庫照会</t>
  </si>
  <si>
    <t>PD5021</t>
  </si>
  <si>
    <t>ロット別在庫照会</t>
  </si>
  <si>
    <t>場所／品目／ロット別在庫照会</t>
  </si>
  <si>
    <t>PD5050C</t>
  </si>
  <si>
    <t>在庫受払元帳</t>
  </si>
  <si>
    <t>場所別受払元帳</t>
  </si>
  <si>
    <t>場所ロット別受払照会</t>
  </si>
  <si>
    <t>管理場所別受払照会</t>
  </si>
  <si>
    <t>PD5150C</t>
  </si>
  <si>
    <t>部製品タックシール</t>
  </si>
  <si>
    <t>発注№別受入実績照会</t>
  </si>
  <si>
    <t>品目別受入実績照会</t>
  </si>
  <si>
    <t>仕入先別受入実績照会</t>
  </si>
  <si>
    <t>仕入先のみ別受入実績照会</t>
  </si>
  <si>
    <t>発注担当者別受入実績照会</t>
  </si>
  <si>
    <t>PD5195</t>
  </si>
  <si>
    <t>受入実績照会（詳細）</t>
  </si>
  <si>
    <t>受払照会</t>
  </si>
  <si>
    <t>支給状況照会</t>
  </si>
  <si>
    <t>ロット別受払照会</t>
  </si>
  <si>
    <t>調整伝票照会</t>
  </si>
  <si>
    <t>発注№のみ別受入実績照会                     JCM</t>
  </si>
  <si>
    <t>PD5260</t>
  </si>
  <si>
    <t>製品ユニット引落照会　　                     JCM</t>
  </si>
  <si>
    <t>引当状況一覧表出力指示                     JCM</t>
  </si>
  <si>
    <t>PD5270C</t>
  </si>
  <si>
    <t>担当者別引当状況一覧印刷</t>
  </si>
  <si>
    <t>PD5271</t>
  </si>
  <si>
    <t>引当状況一覧Ｆ工場別クリア                   JCM</t>
  </si>
  <si>
    <t>PD5271C</t>
  </si>
  <si>
    <t>引当状況一覧WKF作成CL</t>
  </si>
  <si>
    <t>PD5272</t>
  </si>
  <si>
    <t>引当状況一覧ＷＫＦ作成 MRP直後版           JCM</t>
  </si>
  <si>
    <t>PD5273</t>
  </si>
  <si>
    <t>引当状況一覧表印刷                       JCM</t>
  </si>
  <si>
    <t>PD5274</t>
  </si>
  <si>
    <t>引当状況一覧ＷＫＦ作成 現状版              JCM</t>
  </si>
  <si>
    <t>PD5280C</t>
  </si>
  <si>
    <t>PD5281</t>
  </si>
  <si>
    <t>在庫一覧表（受入日追加）</t>
  </si>
  <si>
    <t>PD5281C</t>
  </si>
  <si>
    <t>在庫一覧表（受入日追加版）</t>
  </si>
  <si>
    <t>理論在庫一覧～画面入力</t>
  </si>
  <si>
    <t>PD5285C</t>
  </si>
  <si>
    <t>理論在庫一覧</t>
  </si>
  <si>
    <t>PD5286</t>
  </si>
  <si>
    <t>理論在庫一覧～ﾚｺｰﾄﾞ作成</t>
  </si>
  <si>
    <t>PD5287</t>
  </si>
  <si>
    <t>理論在庫一覧～印刷</t>
  </si>
  <si>
    <t>ｻｰﾋﾞｽ実動品目</t>
  </si>
  <si>
    <t>マイナス在庫関連品目リスト　</t>
  </si>
  <si>
    <t>PD5310</t>
  </si>
  <si>
    <t>生産中止機種使用部品使途</t>
  </si>
  <si>
    <t>PD5320C</t>
  </si>
  <si>
    <t>在庫照会（関連会社を含む）</t>
  </si>
  <si>
    <t>PD5330C</t>
  </si>
  <si>
    <t>棚卸開始宣言                                 JCM</t>
  </si>
  <si>
    <t>棚卸ﾘｽﾄ～画面入力                          JCM</t>
  </si>
  <si>
    <t>PD6020_C01</t>
  </si>
  <si>
    <t>PD6020C</t>
  </si>
  <si>
    <t>棚卸ﾘｽﾄ                                      JCM</t>
  </si>
  <si>
    <t>PD6030</t>
  </si>
  <si>
    <t>棚卸ﾘｽﾄ～ﾚｺｰﾄﾞ作成                       JCM</t>
  </si>
  <si>
    <t>PD6030_C25</t>
  </si>
  <si>
    <t>PD6031</t>
  </si>
  <si>
    <t>TCNTRP論理値初期セット処理</t>
  </si>
  <si>
    <t>PD6040</t>
  </si>
  <si>
    <t>棚卸ﾘｽﾄ～印刷                              JCM</t>
  </si>
  <si>
    <t>棚卸ﾘｽﾄ（再作成準備） 削除処理           JCM</t>
  </si>
  <si>
    <t>棚卸ﾘｽﾄ（手書）                            JCM</t>
  </si>
  <si>
    <t>棚卸ﾘｽﾄ（再発行）～画面入力                JCM</t>
  </si>
  <si>
    <t>PD6070C</t>
  </si>
  <si>
    <t>棚卸ﾘｽﾄ（再発行）                          JCM</t>
  </si>
  <si>
    <t>PD6080</t>
  </si>
  <si>
    <t>棚卸ﾘｽﾄ（再発行）～印刷                    JCM</t>
  </si>
  <si>
    <t>棚卸ﾀｯｸｼｰﾙ発行～画面入力                   JCM</t>
  </si>
  <si>
    <t>PD6090C</t>
  </si>
  <si>
    <t>棚卸ﾀｯｸｼｰﾙ発行                             JCM</t>
  </si>
  <si>
    <t>PD6095</t>
  </si>
  <si>
    <t>棚卸ﾀｯｸｼｰﾙ発行～印刷                       JCM</t>
  </si>
  <si>
    <t>棚卸立合ﾘｽﾄ～画面入力                      JCM</t>
  </si>
  <si>
    <t>PD6100C</t>
  </si>
  <si>
    <t>棚卸立合ﾘｽﾄ                                  JCM</t>
  </si>
  <si>
    <t>PD6105</t>
  </si>
  <si>
    <t>棚卸立合ﾘｽﾄ～ﾚｺｰﾄﾞ作成                   JCM</t>
  </si>
  <si>
    <t>PD6110</t>
  </si>
  <si>
    <t>棚卸立合ﾘｽﾄ～印刷                          JCM</t>
  </si>
  <si>
    <t>棚卸用新規受入ﾛｯﾄ№採番＆ﾀｯｸｼｰﾙ発行</t>
  </si>
  <si>
    <t>PD6135C</t>
  </si>
  <si>
    <t>新規受入ロット採番・シール発行</t>
  </si>
  <si>
    <t>PD6140C</t>
  </si>
  <si>
    <t>棚卸入力　　　　　　　　　　　　　　　　　　　</t>
  </si>
  <si>
    <t>PD6141</t>
  </si>
  <si>
    <t>PD6142作成　　　　　　　　　</t>
  </si>
  <si>
    <t>PD6141C</t>
  </si>
  <si>
    <t>PD6142作成　　　　　　　　　　　　　　　　　　</t>
  </si>
  <si>
    <t>棚卸入力照会　品目別</t>
  </si>
  <si>
    <t>棚卸入力照会　場所別</t>
  </si>
  <si>
    <t>棚卸入力照会　発注№順</t>
  </si>
  <si>
    <t>棚卸入力照会SEQ№順</t>
  </si>
  <si>
    <t>PD6185</t>
  </si>
  <si>
    <t>棚卸入力照会　詳細</t>
  </si>
  <si>
    <t>PD6190</t>
  </si>
  <si>
    <t>棚卸差異分析</t>
  </si>
  <si>
    <t>PD6191</t>
  </si>
  <si>
    <t>差異分析集計Ｆ作成</t>
  </si>
  <si>
    <t>PD6191C</t>
  </si>
  <si>
    <t>Ｔ２Ｔ＆Ｔ３Ｔリオーガナイズ</t>
  </si>
  <si>
    <t>PD6192</t>
  </si>
  <si>
    <t>棚卸差異分析(ｼﾘｱﾙ)</t>
  </si>
  <si>
    <t>PD6192C</t>
  </si>
  <si>
    <t>棚卸差異・棚卸更新指示画面</t>
  </si>
  <si>
    <t>棚卸差異・棚卸更新指示画面（バッチ版）</t>
  </si>
  <si>
    <t>PD6195BC</t>
  </si>
  <si>
    <t>棚卸更新バッチＣＬ　時間指定可　その１</t>
  </si>
  <si>
    <t>PD6195C</t>
  </si>
  <si>
    <t>棚卸更新バッチＣＬ　ＳＡＶ付き　その１</t>
  </si>
  <si>
    <t>PD6196BC</t>
  </si>
  <si>
    <t>棚卸更新バッチＣＬ　時間指定可　その２</t>
  </si>
  <si>
    <t>PD6196C</t>
  </si>
  <si>
    <t>棚卸更新バッチＣＬ　ＳＡＶ付き　その２</t>
  </si>
  <si>
    <t>PD6197</t>
  </si>
  <si>
    <t>差異計算バッチ　投入用RPG</t>
  </si>
  <si>
    <t>PD6197C</t>
  </si>
  <si>
    <t>差異分析計算　バッチ処理　投入前</t>
  </si>
  <si>
    <t>PD6198</t>
  </si>
  <si>
    <t>棚卸処理管理ファイル　クリア</t>
  </si>
  <si>
    <t>PD6198C</t>
  </si>
  <si>
    <t>差異分析計算　バッチ処理　投入後</t>
  </si>
  <si>
    <t>PD6200</t>
  </si>
  <si>
    <t>棚卸更新全て引当明細より処理</t>
  </si>
  <si>
    <t>PD6202</t>
  </si>
  <si>
    <t>棚卸差異更新　　　　　　　　　</t>
  </si>
  <si>
    <t>PD6203</t>
  </si>
  <si>
    <t>棚卸更新（販売）(ｼﾘｱﾙ)</t>
  </si>
  <si>
    <t>PD6203C</t>
  </si>
  <si>
    <t>棚卸更新処理(ｼﾘｱﾙ)</t>
  </si>
  <si>
    <t>PD6204</t>
  </si>
  <si>
    <t>棚卸更新（販売）(受入ロット)</t>
  </si>
  <si>
    <t>PD6204C</t>
  </si>
  <si>
    <t>棚卸更新処理（受入ロット）</t>
  </si>
  <si>
    <t>PD6205</t>
  </si>
  <si>
    <t>棚卸更新画面よりﾘｱﾙ処理用変更途中</t>
  </si>
  <si>
    <t>PD6206</t>
  </si>
  <si>
    <t>棚卸差異分析ﾌｧｲﾙ→繰越在庫作成</t>
  </si>
  <si>
    <t>PD6208</t>
  </si>
  <si>
    <t>滞留区分ｾｯﾄ</t>
  </si>
  <si>
    <t>PD6209</t>
  </si>
  <si>
    <t>棚卸評価単価ｾｯﾄ</t>
  </si>
  <si>
    <t>PD6209A</t>
  </si>
  <si>
    <t>棚卸評価単価ｾｯﾄ(TSRTRP)</t>
  </si>
  <si>
    <t>在庫差異合計表出力</t>
  </si>
  <si>
    <t>PD6215C</t>
  </si>
  <si>
    <t>PD6216</t>
  </si>
  <si>
    <t>ハイスピード在庫差異合計表</t>
  </si>
  <si>
    <t>在庫差異集計表出力</t>
  </si>
  <si>
    <t>PD6225C</t>
  </si>
  <si>
    <t>PD6226</t>
  </si>
  <si>
    <t>ハイスピード在庫差異集計表</t>
  </si>
  <si>
    <t>在庫差異明細表出力</t>
  </si>
  <si>
    <t>PD6235C</t>
  </si>
  <si>
    <t>在庫差異明細表（ﾛｯﾄ別)</t>
  </si>
  <si>
    <t>PD6236</t>
  </si>
  <si>
    <t>ハイスピード在庫差異明細表（ロット別）</t>
  </si>
  <si>
    <t>PD6238C</t>
  </si>
  <si>
    <t>在庫差異明細表（品目別）</t>
  </si>
  <si>
    <t>PD6239</t>
  </si>
  <si>
    <t>ハイスピード在庫差異明細表（品目別）</t>
  </si>
  <si>
    <t>PD6300</t>
  </si>
  <si>
    <t>在庫引当トレンド作成</t>
  </si>
  <si>
    <t>PD6300C</t>
  </si>
  <si>
    <t>在庫トレンド作成用ＣＬ</t>
  </si>
  <si>
    <t>PD6301</t>
  </si>
  <si>
    <t>PD6370</t>
  </si>
  <si>
    <t>マイナス在庫修復</t>
  </si>
  <si>
    <t>PD6370C</t>
  </si>
  <si>
    <t>PD6370C@G</t>
  </si>
  <si>
    <t>マイナス在庫修復　通常使用禁止テスト用</t>
  </si>
  <si>
    <t>PD6370C@H</t>
  </si>
  <si>
    <t>期間別棚卸滞留品～画面入力</t>
  </si>
  <si>
    <t>PD6381</t>
  </si>
  <si>
    <t>期間別棚卸滞留品～ﾚｺｰﾄﾞ作成</t>
  </si>
  <si>
    <t>PD6382</t>
  </si>
  <si>
    <t>PD6383</t>
  </si>
  <si>
    <t>期間別棚卸滞留品～部門ｾｯﾄ</t>
  </si>
  <si>
    <t>PD6384</t>
  </si>
  <si>
    <t>期間別棚卸滞留品～ﾚｺｰﾄﾞ選択</t>
  </si>
  <si>
    <t>PD6385</t>
  </si>
  <si>
    <t>期間別棚卸滞留品～滞留期間（月数）ｾｯﾄ</t>
  </si>
  <si>
    <t>棚卸ﾘｽﾄ(ｼﾘｱﾙ)～画面入力                    JCM</t>
  </si>
  <si>
    <t>PD6390C</t>
  </si>
  <si>
    <t>棚卸ﾘｽﾄ(ｼﾘｱﾙ)                                JCM</t>
  </si>
  <si>
    <t>PD6391</t>
  </si>
  <si>
    <t>棚卸ﾘｽﾄ(ｼﾘｱﾙ)～印刷                        JCM</t>
  </si>
  <si>
    <t>受入ロット別滞留リスト(AC0005Aで処理)</t>
  </si>
  <si>
    <t>受入ロット別滞留リスト</t>
  </si>
  <si>
    <t>PD6405C</t>
  </si>
  <si>
    <t>差異分析Ｆ　実際原価セット　起動</t>
  </si>
  <si>
    <t>PD6410</t>
  </si>
  <si>
    <t>差異分析Ｆ　実際原価セット</t>
  </si>
  <si>
    <t>滞留在庫理由・見込入力</t>
  </si>
  <si>
    <t>PD6450</t>
  </si>
  <si>
    <t>滞留在庫見込み(ﾀﾞｳﾝﾛｰﾄﾞ)～画面入力</t>
  </si>
  <si>
    <t>PD6450C</t>
  </si>
  <si>
    <t>滞留在庫見込み(ﾀﾞｳﾝﾛｰﾄﾞ)</t>
  </si>
  <si>
    <t>PD6451</t>
  </si>
  <si>
    <t>滞留在庫見込み(ﾀﾞｳﾝﾛｰﾄﾞ)～ﾚｺｰﾄﾞ作成</t>
  </si>
  <si>
    <t>PD6452</t>
  </si>
  <si>
    <t>PD6470</t>
  </si>
  <si>
    <t>ｼﾐｭﾚｰｼｮﾝMRP引当用在庫ﾌｧｲﾙ作成　日次ﾊﾞｯﾁ</t>
  </si>
  <si>
    <t>PD6470C</t>
  </si>
  <si>
    <t>ｼﾐｭﾚｰｼｮﾝMRP引当用在庫ﾌｧｲﾙ作成　元ﾃﾞｰﾀ用</t>
  </si>
  <si>
    <t>PD6480</t>
  </si>
  <si>
    <t>PD6485</t>
  </si>
  <si>
    <t>PD6485C</t>
  </si>
  <si>
    <t>PD6487</t>
  </si>
  <si>
    <t>滞留在庫引当計画　詳細照会</t>
  </si>
  <si>
    <t>PD6490</t>
  </si>
  <si>
    <t>滞留在庫分析データ作成開始</t>
  </si>
  <si>
    <t>PD6490C</t>
  </si>
  <si>
    <t>滞留在庫分析データ作成開始１SBMJOB-IN</t>
  </si>
  <si>
    <t>PD6491</t>
  </si>
  <si>
    <t>滞留在庫分析データ作成対象製番抽出</t>
  </si>
  <si>
    <t>PD6491C</t>
  </si>
  <si>
    <t>滞留在庫分析データ作成開始２SBMJOB-JOB</t>
  </si>
  <si>
    <t>PD6495</t>
  </si>
  <si>
    <t>シミュレーションＭＲＰ開始</t>
  </si>
  <si>
    <t>PD6495C</t>
  </si>
  <si>
    <t>シミュレーションＭＲＰ開始１SBMJOB-IN</t>
  </si>
  <si>
    <t>PD6496</t>
  </si>
  <si>
    <t>ｼﾐｭﾚｰｼｮﾝMRP引当用在庫ﾌｧｲﾙ作成　各端末用</t>
  </si>
  <si>
    <t>PD6496C</t>
  </si>
  <si>
    <t>シミュレーションＭＲＰ開始２SBMJOB-JOB</t>
  </si>
  <si>
    <t>PD6500</t>
  </si>
  <si>
    <t>滞留計画引当用在庫ファイル作成</t>
  </si>
  <si>
    <t>PD6520</t>
  </si>
  <si>
    <t>滞留在庫新規通常計画引当処理</t>
  </si>
  <si>
    <t>PD6530</t>
  </si>
  <si>
    <t>滞留在庫引当計画　製番付き構成Ｆ作成</t>
  </si>
  <si>
    <t>PD6540</t>
  </si>
  <si>
    <t>滞留在庫滞留計画引当処理</t>
  </si>
  <si>
    <t>PD6550</t>
  </si>
  <si>
    <t>滞留在庫分析データ作成処理</t>
  </si>
  <si>
    <t>PD6600</t>
  </si>
  <si>
    <t>シミュレーションＭＲＰ製番別引当状況一覧</t>
  </si>
  <si>
    <t>プログラム・ストップＣＬＰ</t>
  </si>
  <si>
    <t>PD8060</t>
  </si>
  <si>
    <t>検収通知書発行19/10/01～10%対応</t>
  </si>
  <si>
    <t>PD8061C</t>
  </si>
  <si>
    <t>検収通知書発行20230423</t>
  </si>
  <si>
    <t>外貨検収通知書発行</t>
  </si>
  <si>
    <t>PD8062C</t>
  </si>
  <si>
    <t>検収通知リスト発行</t>
  </si>
  <si>
    <t>PD8070C</t>
  </si>
  <si>
    <t>検収通知リスト2022.09.22                     JCM</t>
  </si>
  <si>
    <t>検収通知リストダウンロード</t>
  </si>
  <si>
    <t>PD8075C</t>
  </si>
  <si>
    <t>検収通知リストダウンロードデータ抽出         JCM</t>
  </si>
  <si>
    <t>PD8076C</t>
  </si>
  <si>
    <t>検収通知リストダウンロード                   JCM</t>
  </si>
  <si>
    <t>受入差額ファイル作成指示画面</t>
  </si>
  <si>
    <t>PD8112</t>
  </si>
  <si>
    <t>PD8112C</t>
  </si>
  <si>
    <t>PD8114C</t>
  </si>
  <si>
    <t>単価情報呼び出し</t>
  </si>
  <si>
    <t>ｺｽﾄﾀﾞｳﾝ実績表（課別仕入先別明細）－指示画面</t>
  </si>
  <si>
    <t>コストダウン実績表　課別仕入先別明細</t>
  </si>
  <si>
    <t>PD8132</t>
  </si>
  <si>
    <t>ｺｽﾄﾀﾞｳﾝ実績表（課別仕入先別集計）－指示画面</t>
  </si>
  <si>
    <t>コストダウン実績表　課別仕入先別集計</t>
  </si>
  <si>
    <t>PD8136</t>
  </si>
  <si>
    <t>コストダウン実績表ﾜｰｸﾌｧｲﾙ作成</t>
  </si>
  <si>
    <t>コストダウン実績表　発注担当者別仕入先別明細</t>
  </si>
  <si>
    <t>PD8142</t>
  </si>
  <si>
    <t>コストダウン実績表（担当者別集計）－指示画面</t>
  </si>
  <si>
    <t>コストダウン実績表　担当者別集計</t>
  </si>
  <si>
    <t>PD8146</t>
  </si>
  <si>
    <t>コストダウン実績表　発注担当者別仕入先別集計</t>
  </si>
  <si>
    <t>有償支給明細表</t>
  </si>
  <si>
    <t>PD8170C</t>
  </si>
  <si>
    <t>PD8171</t>
  </si>
  <si>
    <t>有償支給明細表～ﾚｺｰﾄﾞ作成</t>
  </si>
  <si>
    <t>PD8172</t>
  </si>
  <si>
    <t>月次生産報告書（実績数）</t>
  </si>
  <si>
    <t>PD8230C</t>
  </si>
  <si>
    <t>PD8232</t>
  </si>
  <si>
    <t>月次生産報告書ワークファイル作成</t>
  </si>
  <si>
    <t>PD8235</t>
  </si>
  <si>
    <t>PD8250C</t>
  </si>
  <si>
    <t>製番別作業区分別作業工数集計表</t>
  </si>
  <si>
    <t>PD8260C</t>
  </si>
  <si>
    <t>担当者別作業項目別作業工数集計表</t>
  </si>
  <si>
    <t>PD8270C</t>
  </si>
  <si>
    <t>PD8290C</t>
  </si>
  <si>
    <t>PD8291</t>
  </si>
  <si>
    <t>期別生産台数・工数報告書（非作業時間集計）</t>
  </si>
  <si>
    <t>PD8300C</t>
  </si>
  <si>
    <t>実際原価一覧ＱＲＹ</t>
  </si>
  <si>
    <t>PD8310C</t>
  </si>
  <si>
    <t>金型仕入リスト　JCMHK</t>
  </si>
  <si>
    <t>PD8320C</t>
  </si>
  <si>
    <t>月次発注額照会　購買・製造</t>
  </si>
  <si>
    <t>PD8321C</t>
  </si>
  <si>
    <t>月次発注明細照会　購買・製造</t>
  </si>
  <si>
    <t>PD9011</t>
  </si>
  <si>
    <t>パスワード入力　ﾛｸﾞｲﾝ端末F更新付        6/10</t>
  </si>
  <si>
    <t>PD9012C</t>
  </si>
  <si>
    <t>PD9013</t>
  </si>
  <si>
    <t>新パスワード設定</t>
  </si>
  <si>
    <t>PD9014</t>
  </si>
  <si>
    <t>新パスワード内容チェック</t>
  </si>
  <si>
    <t>PD9015</t>
  </si>
  <si>
    <t>部課取得</t>
  </si>
  <si>
    <t>PD9020</t>
  </si>
  <si>
    <t>漢字短縮プログラム                          6/4</t>
  </si>
  <si>
    <t>PD9021</t>
  </si>
  <si>
    <t>漢字短縮プログラム（３桁用）</t>
  </si>
  <si>
    <t>PD9030</t>
  </si>
  <si>
    <t xml:space="preserve"> OUTQ設定プログラム                         6/9</t>
  </si>
  <si>
    <t>PD9040</t>
  </si>
  <si>
    <t>原価獲得</t>
  </si>
  <si>
    <t>PD9041</t>
  </si>
  <si>
    <t>原価獲得（製品の時実際原価より求める）</t>
  </si>
  <si>
    <t>PD9045</t>
  </si>
  <si>
    <t>標準原価を履歴考慮で求めるＳＵＢ</t>
  </si>
  <si>
    <t>PD9046</t>
  </si>
  <si>
    <t>原価獲得SA7221用</t>
  </si>
  <si>
    <t>PD9050</t>
  </si>
  <si>
    <t xml:space="preserve"> ﾚﾍﾞﾙ表示プログラム                         6/9</t>
  </si>
  <si>
    <t>処理実行確認：Ｆ５                          6/10</t>
  </si>
  <si>
    <t>PD9070</t>
  </si>
  <si>
    <t>建値変換プログラム                          6/12</t>
  </si>
  <si>
    <t>PD9080</t>
  </si>
  <si>
    <t>全角変換ＰＧＭ                              7/18</t>
  </si>
  <si>
    <t>PD9090</t>
  </si>
  <si>
    <t>単価検索プログラム</t>
  </si>
  <si>
    <t>PD9100</t>
  </si>
  <si>
    <t>日付（締日）チェックＰＧＭ</t>
  </si>
  <si>
    <t>PD9110</t>
  </si>
  <si>
    <t>専用帳票出力ＯＵＴＱ設定</t>
  </si>
  <si>
    <t>PD9110C</t>
  </si>
  <si>
    <t>専用帳票出力ＯＵＴＱ設定ＣＬ</t>
  </si>
  <si>
    <t>PD9120</t>
  </si>
  <si>
    <t>ＯＵＴＱ取得</t>
  </si>
  <si>
    <t>PD9130</t>
  </si>
  <si>
    <t>ユーザ・プロファイルからライブラリ取得</t>
  </si>
  <si>
    <t>PD9140</t>
  </si>
  <si>
    <t>サブシステム名取得</t>
  </si>
  <si>
    <t>PD9140C</t>
  </si>
  <si>
    <t>参照ﾗｲﾌﾞﾗﾘ指定</t>
  </si>
  <si>
    <t>PD9160</t>
  </si>
  <si>
    <t>QUERY処理起動画面</t>
  </si>
  <si>
    <t>PD9160C</t>
  </si>
  <si>
    <t>WRKQRY</t>
  </si>
  <si>
    <t>PD9170</t>
  </si>
  <si>
    <t>個人情報クリアプログラム</t>
  </si>
  <si>
    <t>PD9170C</t>
  </si>
  <si>
    <t>PD9180</t>
  </si>
  <si>
    <t>ＰＳＩ作成：データ抽出</t>
  </si>
  <si>
    <t>PD9180C</t>
  </si>
  <si>
    <t>PD9190</t>
  </si>
  <si>
    <t>ＰＳＩ作成：転送用データ作成</t>
  </si>
  <si>
    <t>PD9195</t>
  </si>
  <si>
    <t>ＰＳＩ作成：転送用データ取込</t>
  </si>
  <si>
    <t>PD9200</t>
  </si>
  <si>
    <t>ﾛｹｰｼｮﾝ検索PGM（現行ｼｽﾃﾑﾘﾝｸ用）          JCM</t>
  </si>
  <si>
    <t>PD9210</t>
  </si>
  <si>
    <t>おしらせＰＧＭ                               JCM</t>
  </si>
  <si>
    <t>PD9220C</t>
  </si>
  <si>
    <t xml:space="preserve"> ﾌｧｲﾙｺﾝﾊﾟｲﾙ</t>
  </si>
  <si>
    <t>PD9230</t>
  </si>
  <si>
    <t>ＣＮＫＭＳＰ　バッチカウントアップＰＧＭ</t>
  </si>
  <si>
    <t>PD9230C</t>
  </si>
  <si>
    <t>PD9240</t>
  </si>
  <si>
    <t xml:space="preserve"> JAN-13バーコード値生成</t>
  </si>
  <si>
    <t>PD9250</t>
  </si>
  <si>
    <t>変換ＳＵＢ（数字→文字）</t>
  </si>
  <si>
    <t>PD9255</t>
  </si>
  <si>
    <t>変換ＳＵＢ（文字→数字）</t>
  </si>
  <si>
    <t>PD9260</t>
  </si>
  <si>
    <t>コマンドＰＧＭ（ＰＵＴ）CMDRPG_P</t>
  </si>
  <si>
    <t>PD9260C</t>
  </si>
  <si>
    <t>ＡＳ－＞ＰＣ　（送信）@ASPC</t>
  </si>
  <si>
    <t>PD9261</t>
  </si>
  <si>
    <t>コマンドＰＧＭ（ＧＥＴ）CMDRPG_G</t>
  </si>
  <si>
    <t>PD9261C</t>
  </si>
  <si>
    <t>ＰＣ－＞ＡＳ　（受信）@PCAS</t>
  </si>
  <si>
    <t>PD9265C</t>
  </si>
  <si>
    <t>ＦＴＰ転送　（ＡＳ＜－＞ＰＣ）FTPSEND</t>
  </si>
  <si>
    <t>PD9270</t>
  </si>
  <si>
    <t>計画系FTP転送用会社ｺｰﾄﾞ&amp;日付取得PGM</t>
  </si>
  <si>
    <t>PD9271</t>
  </si>
  <si>
    <t>ｺﾏﾝﾄﾞPGM(GET)CMDRPG_G グローバル在庫</t>
  </si>
  <si>
    <t>PD9271C</t>
  </si>
  <si>
    <t>ＰＣ－＞ＡＳ（受信）グローバル在庫照会</t>
  </si>
  <si>
    <t>PD9275</t>
  </si>
  <si>
    <t>グローバル在庫照会用日付取得PGM</t>
  </si>
  <si>
    <t>PD9275C</t>
  </si>
  <si>
    <t>FTP転送(AS&lt;-&gt;PC)FTPSEND ｸﾞﾛｰﾊﾞﾙ在庫照会</t>
  </si>
  <si>
    <t>PD9276C</t>
  </si>
  <si>
    <t>AS400(IFS)より物理Ｆへ複製置換</t>
  </si>
  <si>
    <t>PD9280</t>
  </si>
  <si>
    <t>EDP-DRIVER用ﾍｯﾀﾞｰ情報取得</t>
  </si>
  <si>
    <t>PD9281</t>
  </si>
  <si>
    <t>DOCWAYS用ﾍｯﾀﾞｰ情報取得</t>
  </si>
  <si>
    <t>PD9290</t>
  </si>
  <si>
    <t xml:space="preserve"> QRY用共通APWSRC作成</t>
  </si>
  <si>
    <t>PD9290C</t>
  </si>
  <si>
    <t>PD9291C</t>
  </si>
  <si>
    <t xml:space="preserve"> QRY用共通MRGAPW準備</t>
  </si>
  <si>
    <t>PD9292C</t>
  </si>
  <si>
    <t xml:space="preserve"> QRY用共通MRGAPW ｵｰﾊﾞｰﾚｲ</t>
  </si>
  <si>
    <t>PD9300</t>
  </si>
  <si>
    <t>出庫単位／出庫単位数取得</t>
  </si>
  <si>
    <t>PD9310</t>
  </si>
  <si>
    <t>文字→数字へ変換　（日付）</t>
  </si>
  <si>
    <t>PD9320</t>
  </si>
  <si>
    <t>仕入消費税率取得ＰＧＭ</t>
  </si>
  <si>
    <t>PD9321</t>
  </si>
  <si>
    <t>仕入消費税率取得ＰＧＭ（外貨検収通知書用）</t>
  </si>
  <si>
    <t>PD9330</t>
  </si>
  <si>
    <t>仕入消費税データ作成ＰＧＭ</t>
  </si>
  <si>
    <t>PD9330C</t>
  </si>
  <si>
    <t>夜間仕入消費税Ｆ作成</t>
  </si>
  <si>
    <t>PD9331</t>
  </si>
  <si>
    <t>仕入消費税付与</t>
  </si>
  <si>
    <t>PD9340</t>
  </si>
  <si>
    <t>部課／勘定科目の関連チェック</t>
  </si>
  <si>
    <t>PD9340C</t>
  </si>
  <si>
    <t>PD9350C</t>
  </si>
  <si>
    <t>月別発注余剰把握</t>
  </si>
  <si>
    <t>PD9400</t>
  </si>
  <si>
    <t>生産計画自動登録　画面処理なし</t>
  </si>
  <si>
    <t>PD9400C</t>
  </si>
  <si>
    <t>生産計画自動登録</t>
  </si>
  <si>
    <t>PD9405</t>
  </si>
  <si>
    <t>生産計画自動登録分発注データ作成</t>
  </si>
  <si>
    <t>PD9410</t>
  </si>
  <si>
    <t>先行手配発注自動登録</t>
  </si>
  <si>
    <t>生産計画自動取込チェックリスト</t>
  </si>
  <si>
    <t>PD9420C</t>
  </si>
  <si>
    <t>PD9421</t>
  </si>
  <si>
    <t>MRP前処理ERR OUTFILE</t>
  </si>
  <si>
    <t>PD9430</t>
  </si>
  <si>
    <t>グローバル在庫照会：転送用データ取込</t>
  </si>
  <si>
    <t>PD9430C</t>
  </si>
  <si>
    <t>グローバル在庫照会用取込</t>
  </si>
  <si>
    <t>PD9431</t>
  </si>
  <si>
    <t>グローバル在庫照会：国内データ取込</t>
  </si>
  <si>
    <t>PD9431C</t>
  </si>
  <si>
    <t>グローバル在庫香港分集約　発注検討書</t>
  </si>
  <si>
    <t>PD9432</t>
  </si>
  <si>
    <t>グローバル在庫照会：LASYESY FLAG処理</t>
  </si>
  <si>
    <t>PD9440</t>
  </si>
  <si>
    <t>グローバル注残照会：転送用データ取込</t>
  </si>
  <si>
    <t>PD9440C</t>
  </si>
  <si>
    <t>グローバル注残照会用取込</t>
  </si>
  <si>
    <t>PD9441</t>
  </si>
  <si>
    <t>グローバル注残照会：国内データ取込</t>
  </si>
  <si>
    <t>PD9510</t>
  </si>
  <si>
    <t>排他制御（発注№）</t>
  </si>
  <si>
    <t>PD9520</t>
  </si>
  <si>
    <t>排他制御（製番）</t>
  </si>
  <si>
    <t>PD9530</t>
  </si>
  <si>
    <t>排他制御（発注検討SEQ）</t>
  </si>
  <si>
    <t>PD9600</t>
  </si>
  <si>
    <t>再編成指示</t>
  </si>
  <si>
    <t>PD9600C</t>
  </si>
  <si>
    <t>ﾘｵｶﾞﾅｲｽﾞ指示画面</t>
  </si>
  <si>
    <t>PD9600CL</t>
  </si>
  <si>
    <t>ﾘｵｶﾞﾅｲｽﾞ論理作成</t>
  </si>
  <si>
    <t>PD9605C</t>
  </si>
  <si>
    <t>ﾘｵｶﾞﾅｲｽﾞ指示</t>
  </si>
  <si>
    <t>PD9610</t>
  </si>
  <si>
    <t>ﾘｵｶﾞﾅｲｽﾞ(1)-1  入荷予定管理ﾌｧｲﾙ</t>
  </si>
  <si>
    <t>PD9610C</t>
  </si>
  <si>
    <t>ﾘｵｶﾞﾅｲｽﾞ(1) 単独削除</t>
  </si>
  <si>
    <t>PD9612</t>
  </si>
  <si>
    <t>ﾘｵｶﾞﾅｲｽﾞ(1)-2   ｷｯﾃｨﾝｸﾞﾌｧｲﾙ</t>
  </si>
  <si>
    <t>PD9614</t>
  </si>
  <si>
    <t>ﾘｵｶﾞﾅｲｽﾞ(1)-3  発注製番紐付けﾌｧｲﾙ</t>
  </si>
  <si>
    <t>PD9620</t>
  </si>
  <si>
    <t>ﾘｵｶﾞﾅｲｽﾞ(2)    製番</t>
  </si>
  <si>
    <t>PD9620C</t>
  </si>
  <si>
    <t>ﾘｵｶﾞﾅｲｽﾞ(2) 製番</t>
  </si>
  <si>
    <t>PD9630</t>
  </si>
  <si>
    <t>ﾘｵｶﾞﾅｲｽﾞ(2)    発注</t>
  </si>
  <si>
    <t>PD9630C</t>
  </si>
  <si>
    <t>ﾘｵｶﾞﾅｲｽﾞ(3) 発注</t>
  </si>
  <si>
    <t>PD9640</t>
  </si>
  <si>
    <t>ﾘｵｶﾞﾅｲｽﾞ(4)    本締め</t>
  </si>
  <si>
    <t>PD9640C</t>
  </si>
  <si>
    <t>ﾘｵｶﾞﾅｲｽﾞ(4) 本締め</t>
  </si>
  <si>
    <t>PD9650</t>
  </si>
  <si>
    <t>ﾘｵｶﾞﾅｲｽﾞ(5)    繰越在庫ﾌｧｲﾙ</t>
  </si>
  <si>
    <t>PD9650C</t>
  </si>
  <si>
    <t>ﾘｵｶﾞﾅｲｽﾞ(5) 繰越</t>
  </si>
  <si>
    <t>PD9660</t>
  </si>
  <si>
    <t>ﾘｵｶﾞﾅｲｽﾞ(6)    管理場所別在庫ﾌｧｲﾙ</t>
  </si>
  <si>
    <t>PD9660C</t>
  </si>
  <si>
    <t>ﾘｵｶﾞﾅｲｽﾞ(6) 在庫</t>
  </si>
  <si>
    <t>PD9670C</t>
  </si>
  <si>
    <t>ﾘｵｶﾞﾅｲｽﾞ(7)-1 ﾀｲﾌﾟC ﾏｽﾀｰ</t>
  </si>
  <si>
    <t>PD9672C</t>
  </si>
  <si>
    <t>ﾘｵｶﾞﾅｲｽﾞ(7)-2 ﾀｲﾌﾟC</t>
  </si>
  <si>
    <t>PD9674C</t>
  </si>
  <si>
    <t>ﾘｵｶﾞﾅｲｽﾞ(7)-3 ﾀｲﾌﾟD ﾏｽﾀｰ履歴</t>
  </si>
  <si>
    <t>PD9676C</t>
  </si>
  <si>
    <t>ﾘｵｶﾞﾅｲｽﾞ(7)-4 ﾀｲﾌﾟD</t>
  </si>
  <si>
    <t>PD9678C</t>
  </si>
  <si>
    <t>ﾘｵｶﾞﾅｲｽﾞ(7)-5 ﾀｲﾌﾟE(1)</t>
  </si>
  <si>
    <t>PD9679C</t>
  </si>
  <si>
    <t>ﾘｵｶﾞﾅｲｽﾞ(7)-6 ﾀｲﾌﾟE(2)</t>
  </si>
  <si>
    <t>PD9920C</t>
  </si>
  <si>
    <t>ＰＣＯＭデータ転送　アップロード用</t>
  </si>
  <si>
    <t>PDC470</t>
  </si>
  <si>
    <t>品目一括登録&lt;生産系ﾏｽﾀｰ更新&gt;</t>
  </si>
  <si>
    <t>PDC471</t>
  </si>
  <si>
    <t>構成一括登録&lt;生産系ﾏｽﾀｰ1更新&gt;</t>
  </si>
  <si>
    <t>PDC472</t>
  </si>
  <si>
    <t>構成一括登録&lt;生産系ﾏｽﾀｰ2更新&gt;</t>
  </si>
  <si>
    <t>PDC500</t>
  </si>
  <si>
    <t>品目一括登録チェックリスト</t>
  </si>
  <si>
    <t>PDC922C</t>
  </si>
  <si>
    <t>品目一括登録ＣＬ</t>
  </si>
  <si>
    <t>PDC923C</t>
  </si>
  <si>
    <t>構成一括登録ＣＬ</t>
  </si>
  <si>
    <t>PH0010C</t>
  </si>
  <si>
    <t>PHPQUERY WORK LIB(JS)削除＋作成</t>
  </si>
  <si>
    <t>PH</t>
  </si>
  <si>
    <t>PR0035A</t>
  </si>
  <si>
    <t>社員番号／カナ検索・直接使用（照会）</t>
  </si>
  <si>
    <t>PR</t>
  </si>
  <si>
    <t>PR0035AC</t>
  </si>
  <si>
    <t>社員番号／カナ検索照会</t>
  </si>
  <si>
    <t>PR0035B</t>
  </si>
  <si>
    <t>社員番号　部課コード検索</t>
  </si>
  <si>
    <t>社員番号／カナ検索・直接使用（照会）特別</t>
  </si>
  <si>
    <t>PR0035SC</t>
  </si>
  <si>
    <t>社員番号／カナ検索照会特別</t>
  </si>
  <si>
    <t>*賞与引当金一覧表（新）*** １１等級</t>
  </si>
  <si>
    <t>PR0042C</t>
  </si>
  <si>
    <t>賞与引当金一覧表（新）１１等級</t>
  </si>
  <si>
    <t>PR1000A</t>
  </si>
  <si>
    <t>勤怠及び残業管理表（新）</t>
  </si>
  <si>
    <t>PR1000C</t>
  </si>
  <si>
    <t>勤怠及び残業管理表</t>
  </si>
  <si>
    <t>新幹線ｴｺﾉﾐｰﾁｹｯﾄ ﾃﾞｰﾀ入力／入力画面選択</t>
  </si>
  <si>
    <t>PRET00C</t>
  </si>
  <si>
    <t>新幹線ｴｺﾉﾐｰﾁｹｯﾄﾃﾞｰﾀ入力／画面選択</t>
  </si>
  <si>
    <t>PRET01</t>
  </si>
  <si>
    <t>新幹線ｴｺﾉﾐｰﾁｹｯﾄ ﾃﾞｰﾀ入力／項目選択</t>
  </si>
  <si>
    <t>PRET01C</t>
  </si>
  <si>
    <t>新幹線ｴｺﾉﾐｰﾁｹｯﾄﾃﾞｰﾀ入力／項目選択</t>
  </si>
  <si>
    <t>PRET02</t>
  </si>
  <si>
    <t>新幹線ｴｺﾉﾐｰﾁｹｯﾄ ﾃﾞｰﾀ入力</t>
  </si>
  <si>
    <t>PRET03</t>
  </si>
  <si>
    <t>新幹線ｴｺﾉﾐｰﾁｹｯﾄ ﾃﾞｰﾀ入力＜東京・相模原＞</t>
  </si>
  <si>
    <t>PRET04</t>
  </si>
  <si>
    <t>新幹線ｴｺﾉﾐｰﾁｹｯﾄ ﾃﾞｰﾀ入力＜共通振替＞</t>
  </si>
  <si>
    <t>PRET05</t>
  </si>
  <si>
    <t>新幹線ｴｺﾉﾐｰﾁｹｯﾄ ﾃﾞｰﾀ入力＜売　却＞</t>
  </si>
  <si>
    <t>PRET06</t>
  </si>
  <si>
    <t>新幹線ｴｺﾉﾐｰﾁｹｯﾄ購入入力</t>
  </si>
  <si>
    <t>PRET10</t>
  </si>
  <si>
    <t>新幹線ﾁｹｯﾄﾃﾞｰﾀ管理・振替データ作成／項目指定</t>
  </si>
  <si>
    <t>PRET10C</t>
  </si>
  <si>
    <t>新幹線ﾁｹｯﾄﾃﾞｰﾀ管理・振替データ作成／通常</t>
  </si>
  <si>
    <t>PRET11</t>
  </si>
  <si>
    <t>PRET12</t>
  </si>
  <si>
    <t>新幹線ﾁｹｯﾄﾃﾞｰﾀ管理（マイナス金額・貸借入替）</t>
  </si>
  <si>
    <t>PRET13</t>
  </si>
  <si>
    <t>新幹線ﾁｹｯﾄﾃﾞｰﾀ管理・振替データ作成／共通振替分</t>
  </si>
  <si>
    <t>PRET14</t>
  </si>
  <si>
    <t>新幹線ﾁｹｯﾄﾃﾞｰﾀ管理・振替データ作成／売却分</t>
  </si>
  <si>
    <t>PRET15</t>
  </si>
  <si>
    <t>新幹線ﾁｹｯﾄﾃﾞｰﾀ管理・振替データ作成／ﾁｹｯﾄ購入</t>
  </si>
  <si>
    <t>新幹線ﾁｹｯﾄﾃﾞｰﾀ管理・振替データ作成／項目選択</t>
  </si>
  <si>
    <t>PRET19C</t>
  </si>
  <si>
    <t>新幹線ﾁｹｯﾄﾃﾞｰﾀ管理・振替データ作成</t>
  </si>
  <si>
    <t>新幹線ﾁｹｯﾄﾃﾞｰﾀ管理／振替データ一覧</t>
  </si>
  <si>
    <t>データ転送（１）自動振替ﾌｧｲﾙ／国内旅費</t>
  </si>
  <si>
    <t>自動仕訳データ振替伝票作成（発行）＜国内旅費＞</t>
  </si>
  <si>
    <t>PRET31C</t>
  </si>
  <si>
    <t>自動仕訳データ伝票発行＜国内旅費＞</t>
  </si>
  <si>
    <t>新幹線チケット残高マスター保守</t>
  </si>
  <si>
    <t>PRET40C</t>
  </si>
  <si>
    <t>新幹線ｴｺﾉﾐｰﾁｹｯﾄ残高一覧表</t>
  </si>
  <si>
    <t>PRET50C</t>
  </si>
  <si>
    <t>業務別振替　部課別人員入力・選択画面</t>
  </si>
  <si>
    <t>PRJF01C</t>
  </si>
  <si>
    <t>業務別振替　部課別人員入力選択画面</t>
  </si>
  <si>
    <t>PRJF02A</t>
  </si>
  <si>
    <t>業務別振替　部課別人員入力・選択画面（業務内容）</t>
  </si>
  <si>
    <t>PRJF02C</t>
  </si>
  <si>
    <t>業務別振替　部課別人員入力業務内容選択画面</t>
  </si>
  <si>
    <t>PRJF03A</t>
  </si>
  <si>
    <t>業務別振替　部課別人員入力（適格保険料以外）変更</t>
  </si>
  <si>
    <t>PRJF04</t>
  </si>
  <si>
    <t>業務別振替　部課別人員入力（適格保険料）</t>
  </si>
  <si>
    <t>PRJF05</t>
  </si>
  <si>
    <t>業務別振替　部課別人員入力／個別入力</t>
  </si>
  <si>
    <t>PRJF06A</t>
  </si>
  <si>
    <t>業務別振替　部課別人員入力（適格保険料２）変更分</t>
  </si>
  <si>
    <t>業務別振替　振替案分基本額入力一部変更</t>
  </si>
  <si>
    <t>人事振替データ作成・選択画面</t>
  </si>
  <si>
    <t>PRJF20C</t>
  </si>
  <si>
    <t>一括/個別分岐および一連処理</t>
  </si>
  <si>
    <t>PRJF21</t>
  </si>
  <si>
    <t>人事振替データ作成（雇用保険・給与天引き）</t>
  </si>
  <si>
    <t>PRJF21A</t>
  </si>
  <si>
    <t>人事振替データ作成（雇用保険・賞与天引き）</t>
  </si>
  <si>
    <t>PRJF22</t>
  </si>
  <si>
    <t>人事振替データ作成（雇用保険）</t>
  </si>
  <si>
    <t>PRJF22A</t>
  </si>
  <si>
    <t>人事振替データ作成（雇用保険２）</t>
  </si>
  <si>
    <t>PRJF23</t>
  </si>
  <si>
    <t>人事振替データ作成（健康保険）</t>
  </si>
  <si>
    <t>PRJF23A</t>
  </si>
  <si>
    <t>人事振替データ作成（厚生年金）</t>
  </si>
  <si>
    <t>PRJF23X</t>
  </si>
  <si>
    <t>人事振替データ作成（厚生年金基金）</t>
  </si>
  <si>
    <t>PRJF24</t>
  </si>
  <si>
    <t>人事振替データ作成（適格年金）</t>
  </si>
  <si>
    <t>PRJF25</t>
  </si>
  <si>
    <t>人事振替データ作成（適格保険料）</t>
  </si>
  <si>
    <t>PRJF26A</t>
  </si>
  <si>
    <t>人事振替ﾃﾞｰﾀ作成（役員報酬・給与・通勤費）変更</t>
  </si>
  <si>
    <t>PRJF27</t>
  </si>
  <si>
    <t>人事振替データ作成（賞与引当金）１１等級</t>
  </si>
  <si>
    <t>PRJF28X</t>
  </si>
  <si>
    <t>振替データ作成・個別処理（現在使用）</t>
  </si>
  <si>
    <t>PRJF29</t>
  </si>
  <si>
    <t>人事振替データ作成（マイナス金額・貸借入替）</t>
  </si>
  <si>
    <t>PRJF30A</t>
  </si>
  <si>
    <t>人事振替データ作成（適格保険料２）変更分</t>
  </si>
  <si>
    <t>人事振替データ一覧 変更（現在使用）</t>
  </si>
  <si>
    <t>PRJF43A</t>
  </si>
  <si>
    <t>業務別経費割振部課別一覧 変更（現在使用）</t>
  </si>
  <si>
    <t>PRJF43C</t>
  </si>
  <si>
    <t>業務別人件費部課別一覧 変更分</t>
  </si>
  <si>
    <t>業務別振替　人事振替業務月度完了処理　</t>
  </si>
  <si>
    <t>PRJF51</t>
  </si>
  <si>
    <t>業務別振替　兼務役員登録処理　</t>
  </si>
  <si>
    <t>人事自動振替システム・補助データ修正</t>
  </si>
  <si>
    <t>PRJF51CC</t>
  </si>
  <si>
    <t>業務別振替　兼務役員登録処理</t>
  </si>
  <si>
    <t>PRJF52</t>
  </si>
  <si>
    <t>業務別振替　賞与引当金積み立て対象外者</t>
  </si>
  <si>
    <t>PRJF52C</t>
  </si>
  <si>
    <t>PRJF53</t>
  </si>
  <si>
    <t>業務別振替　兼務役員給与処理・給与最高支給額保守</t>
  </si>
  <si>
    <t>PRJF54</t>
  </si>
  <si>
    <t>業務別振替　適格保険料・職位別単価／一定乗率保守</t>
  </si>
  <si>
    <t>人事振替データファイル保守（業務選択）</t>
  </si>
  <si>
    <t>PRJF60C</t>
  </si>
  <si>
    <t>人事振替データファイル保守</t>
  </si>
  <si>
    <t>PRJF61</t>
  </si>
  <si>
    <t>賞与引当金係数マスターメンテナンス</t>
  </si>
  <si>
    <t>PRKN01A</t>
  </si>
  <si>
    <t>勤怠管理・有給休暇使用入力（２）</t>
  </si>
  <si>
    <t>PRKN01AC</t>
  </si>
  <si>
    <t>勤怠管理・有給休暇使用入力</t>
  </si>
  <si>
    <t>PRKN01Z</t>
  </si>
  <si>
    <t>勤怠管理・有給休暇使用入力／特別入力</t>
  </si>
  <si>
    <t>PRKN01ZC</t>
  </si>
  <si>
    <t>PRKN02</t>
  </si>
  <si>
    <t>勤怠管理・代休使用入力　</t>
  </si>
  <si>
    <t>PRKN02Z</t>
  </si>
  <si>
    <t>勤怠管理・代休使用入力／特別入力</t>
  </si>
  <si>
    <t>PRKN03</t>
  </si>
  <si>
    <t>勤怠管理・代休取得入力　</t>
  </si>
  <si>
    <t>PRKN03Z</t>
  </si>
  <si>
    <t>勤怠管理・代休取得入力／特別入力</t>
  </si>
  <si>
    <t>PRKN04</t>
  </si>
  <si>
    <t>勤怠管理・遅刻処理入力　</t>
  </si>
  <si>
    <t>PRKN04C</t>
  </si>
  <si>
    <t>勤怠管理・遅刻処理入力</t>
  </si>
  <si>
    <t>PRKN04S</t>
  </si>
  <si>
    <t>勤怠管理・遅刻入力の際の既存デ－タ照会</t>
  </si>
  <si>
    <t>PRKN04Z</t>
  </si>
  <si>
    <t>勤怠管理・遅刻処理入力／特別入力</t>
  </si>
  <si>
    <t>PRKN04ZC</t>
  </si>
  <si>
    <t>PRKN05</t>
  </si>
  <si>
    <t>勤怠管理・早退処理入力　</t>
  </si>
  <si>
    <t>PRKN05C</t>
  </si>
  <si>
    <t>勤怠管理・早退処理入力</t>
  </si>
  <si>
    <t>PRKN05S</t>
  </si>
  <si>
    <t>勤怠管理・早退入力の際の既存デ－タ照会</t>
  </si>
  <si>
    <t>PRKN05Z</t>
  </si>
  <si>
    <t>勤怠管理・早退処理入力／特別入力　</t>
  </si>
  <si>
    <t>PRKN05ZC</t>
  </si>
  <si>
    <t>勤怠管理・早退処理入力／特別入力</t>
  </si>
  <si>
    <t>PRKN06</t>
  </si>
  <si>
    <t>勤怠管理・欠勤処理入力　</t>
  </si>
  <si>
    <t>PRKN06S</t>
  </si>
  <si>
    <t>勤怠管理・欠勤入力の際の既存デ－タ照会</t>
  </si>
  <si>
    <t>PRKN06Z</t>
  </si>
  <si>
    <t>勤怠管理・欠勤処理入力／特別入力</t>
  </si>
  <si>
    <t>PRKN07</t>
  </si>
  <si>
    <t>勤怠管理・随時有給休暇支給　</t>
  </si>
  <si>
    <t>PRKN07C</t>
  </si>
  <si>
    <t>PRKN09</t>
  </si>
  <si>
    <t>勤怠マスターデータ勤怠ファイル反映・変更後</t>
  </si>
  <si>
    <t>PRKN09C</t>
  </si>
  <si>
    <t>PRKN11</t>
  </si>
  <si>
    <t>有給休暇部課別照会　</t>
  </si>
  <si>
    <t>PRKN11C</t>
  </si>
  <si>
    <t>有給休暇部課別照会</t>
  </si>
  <si>
    <t>PRKN12</t>
  </si>
  <si>
    <t>代休部課別照会</t>
  </si>
  <si>
    <t>PRKN13</t>
  </si>
  <si>
    <t>有給休暇個人別照会</t>
  </si>
  <si>
    <t>PRKN14</t>
  </si>
  <si>
    <t>代休個人別照会</t>
  </si>
  <si>
    <t>PRKN15</t>
  </si>
  <si>
    <t>個人別遅刻照会</t>
  </si>
  <si>
    <t>PRKN16</t>
  </si>
  <si>
    <t>個人別早退照会</t>
  </si>
  <si>
    <t>PRKN17</t>
  </si>
  <si>
    <t>個人別欠勤照会</t>
  </si>
  <si>
    <t>PRKN19</t>
  </si>
  <si>
    <t>勤怠管理／勤怠管理代休データ無効データ失効処理</t>
  </si>
  <si>
    <t>PRKN19Z</t>
  </si>
  <si>
    <t>勤怠管理／勤怠代休無効データ失効処理・前年個人</t>
  </si>
  <si>
    <t>PRKN20</t>
  </si>
  <si>
    <t>勤怠マスターデータ年次更新</t>
  </si>
  <si>
    <t>PRKN20C</t>
  </si>
  <si>
    <t>勤怠管理データ年次更新</t>
  </si>
  <si>
    <t>PRKN21</t>
  </si>
  <si>
    <t>勤怠管理データ削除（リランのため）</t>
  </si>
  <si>
    <t>PRKN22</t>
  </si>
  <si>
    <t>勤怠管理データ個人別削除（リランのため）</t>
  </si>
  <si>
    <t>PRKN23</t>
  </si>
  <si>
    <t>勤怠データ個人別再年次更新</t>
  </si>
  <si>
    <t>PRKN23C</t>
  </si>
  <si>
    <t>勤怠管理データ個人別年次更新</t>
  </si>
  <si>
    <t>PRPR01A</t>
  </si>
  <si>
    <t>勤怠データ　入力（新）</t>
  </si>
  <si>
    <t>PRPR01AC</t>
  </si>
  <si>
    <t>勤怠データ　一覧表　（所属順）</t>
  </si>
  <si>
    <t>PRPR04A</t>
  </si>
  <si>
    <t>勤怠一覧表～画面入力</t>
  </si>
  <si>
    <t>PRPR04B</t>
  </si>
  <si>
    <t>勤怠一覧表～ﾚｺｰﾄﾞ作成</t>
  </si>
  <si>
    <t>PRPR04C</t>
  </si>
  <si>
    <t>PRTSETC</t>
  </si>
  <si>
    <t>印刷管理処理</t>
  </si>
  <si>
    <t>PT2104C</t>
  </si>
  <si>
    <t>固定資産リカバリ2021.04</t>
  </si>
  <si>
    <t>PT</t>
  </si>
  <si>
    <t>PTF@L4</t>
  </si>
  <si>
    <t>棚卸差異分析NOT  全工場作成VER.3</t>
  </si>
  <si>
    <t>PTFT1T</t>
  </si>
  <si>
    <t>受払・在庫比較(棚卸差異分析)</t>
  </si>
  <si>
    <t>PTJSYSGAI</t>
  </si>
  <si>
    <t>ガイア締め日一括変更処理</t>
  </si>
  <si>
    <t>PTJSYSX389</t>
  </si>
  <si>
    <t>正栄プロジェクト締め日一括変更処理</t>
  </si>
  <si>
    <t>PTSER022</t>
  </si>
  <si>
    <t>PTSER022C</t>
  </si>
  <si>
    <t>QR¥INA001</t>
  </si>
  <si>
    <t>QR</t>
  </si>
  <si>
    <t>QR¥INA004</t>
  </si>
  <si>
    <t>生産計画予実対比表ダウンロード</t>
  </si>
  <si>
    <t>QR¥QAA001</t>
  </si>
  <si>
    <t>QR¥SBANC</t>
  </si>
  <si>
    <t>QR¥URI002</t>
  </si>
  <si>
    <t>QR¥VDA001</t>
  </si>
  <si>
    <t>受付一覧 JSYS</t>
  </si>
  <si>
    <t>RECOVERY</t>
  </si>
  <si>
    <t>PD4010リカバリ</t>
  </si>
  <si>
    <t>RE</t>
  </si>
  <si>
    <t>RLSJSCC</t>
  </si>
  <si>
    <t>RL</t>
  </si>
  <si>
    <t>不具合内容マスターメンテ</t>
  </si>
  <si>
    <t>SA</t>
  </si>
  <si>
    <t>不具合原因マスターメンテ</t>
  </si>
  <si>
    <t>処置内容マスターメンテ</t>
  </si>
  <si>
    <t>与信マスターメンテナンス</t>
  </si>
  <si>
    <t>SA0050C</t>
  </si>
  <si>
    <t>販売価格マスターメンテナンス</t>
  </si>
  <si>
    <t>品目・販売課関連マスターメンテナンス</t>
  </si>
  <si>
    <t>修理作業費マスターメンテ</t>
  </si>
  <si>
    <t>シリアルＮＯ付加情報マスターメンテナンス</t>
  </si>
  <si>
    <t>保守契約マスターメンテ</t>
  </si>
  <si>
    <t>荷姿マスターメンテナンス</t>
  </si>
  <si>
    <t>値引限度額・率マスターメンテナンス</t>
  </si>
  <si>
    <t>発送先固有情報マスターメンテナンス</t>
  </si>
  <si>
    <t>自動引当可能課マスターメンテナンス</t>
  </si>
  <si>
    <t>SA0150</t>
  </si>
  <si>
    <t>販売引当優先順位マスターメンテナンス</t>
  </si>
  <si>
    <t>期間限定与信限度登録</t>
  </si>
  <si>
    <t>与信再申請更新</t>
  </si>
  <si>
    <t>銀行振込口座マスターメンテ</t>
  </si>
  <si>
    <t>銀行振込口座マスター照会</t>
  </si>
  <si>
    <t>SA0230</t>
  </si>
  <si>
    <t>エンドユーザーマスタ保守</t>
  </si>
  <si>
    <t>SA0230C</t>
  </si>
  <si>
    <t>SA0245</t>
  </si>
  <si>
    <t>有償支給単価サブルーチン</t>
  </si>
  <si>
    <t>SA0270</t>
  </si>
  <si>
    <t>有償支給単価マスター一括更新</t>
  </si>
  <si>
    <t>SA0270C</t>
  </si>
  <si>
    <t>SA0282C</t>
  </si>
  <si>
    <t>与信再更新対象データサマリー</t>
  </si>
  <si>
    <t>SA0283C</t>
  </si>
  <si>
    <t>SA0290C</t>
  </si>
  <si>
    <t>与信決裁内容ＤＬ（日付指定）</t>
  </si>
  <si>
    <t>SA0291C</t>
  </si>
  <si>
    <t>SA1010</t>
  </si>
  <si>
    <t>地区分類マスター検索</t>
  </si>
  <si>
    <t>SA1020</t>
  </si>
  <si>
    <t>不具合内容マスター検索</t>
  </si>
  <si>
    <t>SA1030</t>
  </si>
  <si>
    <t>不具合原因マスター検索</t>
  </si>
  <si>
    <t>SA1040</t>
  </si>
  <si>
    <t>処置内容マスター検索</t>
  </si>
  <si>
    <t>SA1050</t>
  </si>
  <si>
    <t>運送便区分マスター検索</t>
  </si>
  <si>
    <t>SA1060</t>
  </si>
  <si>
    <t>シリアル付加情報区分マスター検索</t>
  </si>
  <si>
    <t>SA1070</t>
  </si>
  <si>
    <t>無償内容区分マスター検索</t>
  </si>
  <si>
    <t>SA1080</t>
  </si>
  <si>
    <t>作業区分マスター検索</t>
  </si>
  <si>
    <t>SA1090</t>
  </si>
  <si>
    <t>変更区分マスター検索</t>
  </si>
  <si>
    <t>SA1100</t>
  </si>
  <si>
    <t>値引理由マスター検索</t>
  </si>
  <si>
    <t>SA1110</t>
  </si>
  <si>
    <t>販売経路マスター検索</t>
  </si>
  <si>
    <t>SA1120</t>
  </si>
  <si>
    <t>ｴﾝﾄﾞﾕｰｻﾞ先業種ﾏｽﾀ検索</t>
  </si>
  <si>
    <t>SA1130</t>
  </si>
  <si>
    <t>販売先業種マスター検索</t>
  </si>
  <si>
    <t>SA1140</t>
  </si>
  <si>
    <t>地区コードマスター検索</t>
  </si>
  <si>
    <t>SA1150</t>
  </si>
  <si>
    <t>シリアル検索</t>
  </si>
  <si>
    <t>与信マスター照会（１）</t>
  </si>
  <si>
    <t>与信マスター照会（２）</t>
  </si>
  <si>
    <t>SA1560</t>
  </si>
  <si>
    <t>与信マスター照会（３）</t>
  </si>
  <si>
    <t>SA1565</t>
  </si>
  <si>
    <t>与信マスター照会（親得意先詳細）</t>
  </si>
  <si>
    <t>販売価格マスター照会</t>
  </si>
  <si>
    <t>SA1571</t>
  </si>
  <si>
    <t>販売価格マスター照会（新）</t>
  </si>
  <si>
    <t>修理作業費マスター照会</t>
  </si>
  <si>
    <t>シリアルＮＯ付加情報マスター照会</t>
  </si>
  <si>
    <t>保守契約マスター照会</t>
  </si>
  <si>
    <t>荷姿マスター照会</t>
  </si>
  <si>
    <t>値引限度額・率マスター照会</t>
  </si>
  <si>
    <t>発送先固有情報マスター照会</t>
  </si>
  <si>
    <t>自動引当可能課マスター照会</t>
  </si>
  <si>
    <t>販売引当優先順位マスター照会</t>
  </si>
  <si>
    <t>ホールマスター照会</t>
  </si>
  <si>
    <t>SA1680</t>
  </si>
  <si>
    <t>エンドユーザーマスタ照会　Ｖｅｒ２</t>
  </si>
  <si>
    <t>SA1680C</t>
  </si>
  <si>
    <t>ホールマスタ照会　Ｖｅｒ２</t>
  </si>
  <si>
    <t>受注チェックリスト作成指示</t>
  </si>
  <si>
    <t>SA2015</t>
  </si>
  <si>
    <t>受注チェックリスト作成</t>
  </si>
  <si>
    <t>値引承認入力ﾌﾟﾙｰﾌﾘｽﾄ作成指示</t>
  </si>
  <si>
    <t>SA2021</t>
  </si>
  <si>
    <t>値引承認入力ﾌﾟﾙｰﾌﾘｽﾄ作成</t>
  </si>
  <si>
    <t>SA2030C</t>
  </si>
  <si>
    <t>与信マスター一覧表</t>
  </si>
  <si>
    <t>与信債権対比表＜全件出力＞</t>
  </si>
  <si>
    <t>与信債権対比表＜担当者別＞</t>
  </si>
  <si>
    <t>SA2043C</t>
  </si>
  <si>
    <t>与信債権対比表</t>
  </si>
  <si>
    <t>SA2050C</t>
  </si>
  <si>
    <t>SA2051</t>
  </si>
  <si>
    <t>販売価格マスター一覧表 TTOﾌｧｲﾙ作成</t>
  </si>
  <si>
    <t>SA2051C</t>
  </si>
  <si>
    <t>販売価格マスター一覧表TTOﾌｧｲﾙ作成</t>
  </si>
  <si>
    <t>SA2070</t>
  </si>
  <si>
    <t>出荷実績入力確認リスト作成指示</t>
  </si>
  <si>
    <t>SA2071</t>
  </si>
  <si>
    <t>出荷実績入力確認リスト作成</t>
  </si>
  <si>
    <t>売上承認確認リスト作成指示</t>
  </si>
  <si>
    <t>SA2081</t>
  </si>
  <si>
    <t>売上承認確認リスト作成</t>
  </si>
  <si>
    <t>SA2090</t>
  </si>
  <si>
    <t>売上訂正入力確認リスト作成指示</t>
  </si>
  <si>
    <t>SA2091</t>
  </si>
  <si>
    <t>売上訂正確認リスト作成</t>
  </si>
  <si>
    <t>SA2091C</t>
  </si>
  <si>
    <t>売上訂正入力確認ﾘｽﾄ作成</t>
  </si>
  <si>
    <t>SA2100</t>
  </si>
  <si>
    <t>返品実績入力確認リスト作成指示</t>
  </si>
  <si>
    <t>SA2101</t>
  </si>
  <si>
    <t>返品実績入力確認リスト作成</t>
  </si>
  <si>
    <t>SA2110C</t>
  </si>
  <si>
    <t>売上伝票発行</t>
  </si>
  <si>
    <t>SA212Z</t>
  </si>
  <si>
    <t>納品書発行指示</t>
  </si>
  <si>
    <t>SA2130C</t>
  </si>
  <si>
    <t>納品書発行</t>
  </si>
  <si>
    <t>SA2130COLD</t>
  </si>
  <si>
    <t>納品書発行7/31締め分まで使用</t>
  </si>
  <si>
    <t>納品書発行指示2010/07/31まで使用PGM</t>
  </si>
  <si>
    <t>SA2135</t>
  </si>
  <si>
    <t>SA2160</t>
  </si>
  <si>
    <t>仕様出荷実績入力確認リスト作成指示</t>
  </si>
  <si>
    <t>SA2165</t>
  </si>
  <si>
    <t>仕様出荷実績入力確認リスト作成</t>
  </si>
  <si>
    <t>送り状作成指示</t>
  </si>
  <si>
    <t>SA2191</t>
  </si>
  <si>
    <t>送り状作成（ヤマト運輸）（通常）</t>
  </si>
  <si>
    <t>SA2192</t>
  </si>
  <si>
    <t>送り状作成（ヤマト運輸）(ﾀｲﾑｻｰﾋﾞｽ)</t>
  </si>
  <si>
    <t>SA2193</t>
  </si>
  <si>
    <t>送り状作成（大阪トラック）</t>
  </si>
  <si>
    <t>SA2194</t>
  </si>
  <si>
    <t>送り状作成（佐川急便）</t>
  </si>
  <si>
    <t>SA2195</t>
  </si>
  <si>
    <t>送り状作成（トナミ運輸）</t>
  </si>
  <si>
    <t>SA2196</t>
  </si>
  <si>
    <t>送り状作成（東陽運輸）</t>
  </si>
  <si>
    <t>SA2197</t>
  </si>
  <si>
    <t>送り状作成（スマイル便）</t>
  </si>
  <si>
    <t>荷造タックシール作成</t>
  </si>
  <si>
    <t>SA2210C</t>
  </si>
  <si>
    <t>SA2220</t>
  </si>
  <si>
    <t>物品送付書作成</t>
  </si>
  <si>
    <t>SA2230</t>
  </si>
  <si>
    <t>部品注文発送伝票</t>
  </si>
  <si>
    <t>SA2240</t>
  </si>
  <si>
    <t>送り状作成（ペリカン便）</t>
  </si>
  <si>
    <t>SA2241</t>
  </si>
  <si>
    <t>送り状作成（ヤマト運輸）（着払）</t>
  </si>
  <si>
    <t>SA2242</t>
  </si>
  <si>
    <t>SA2243</t>
  </si>
  <si>
    <t>送り状作成（ゆうパック）</t>
  </si>
  <si>
    <t>SA2244</t>
  </si>
  <si>
    <t>送り状作成（西濃運輸）</t>
  </si>
  <si>
    <t>SA2245</t>
  </si>
  <si>
    <t>送り状作成（ヤマト運輸）H14改訂</t>
  </si>
  <si>
    <t>SA2246</t>
  </si>
  <si>
    <t>送り状作成（東陽運輸／ﾔﾏﾄ）</t>
  </si>
  <si>
    <t>SA2248</t>
  </si>
  <si>
    <t>送り状作成（ペリカン便）GOLD用</t>
  </si>
  <si>
    <t>SA2250</t>
  </si>
  <si>
    <t>SA2251</t>
  </si>
  <si>
    <t>送り状作成（西武運輸）</t>
  </si>
  <si>
    <t>SA2252</t>
  </si>
  <si>
    <t>送り状作成（佐川急便：届け先印刷）</t>
  </si>
  <si>
    <t>SA2253</t>
  </si>
  <si>
    <t>送り状作成（佐川急便：依頼主印刷）</t>
  </si>
  <si>
    <t>送り状作成指示（手動）</t>
  </si>
  <si>
    <t>SA2320C</t>
  </si>
  <si>
    <t>ｼｬｰﾌﾟﾄﾞｷｭﾒﾝﾄｼｽﾃﾑ請求書作成指示</t>
  </si>
  <si>
    <t>SA2330C</t>
  </si>
  <si>
    <t>ｼｬｰﾌﾟﾄﾞｷｭﾒﾝﾄｼｽﾃﾑ請求書作成</t>
  </si>
  <si>
    <t>SA2331</t>
  </si>
  <si>
    <t>ｼｬｰﾌﾟﾄﾞｷｭﾒﾝﾄｼｽﾃﾑ請求書作成ﾜｰｸﾌｧｲﾙ作成</t>
  </si>
  <si>
    <t>SA2331C</t>
  </si>
  <si>
    <t>SA2331EX</t>
  </si>
  <si>
    <t>発送タックシール発行指示</t>
  </si>
  <si>
    <t>SA2350C</t>
  </si>
  <si>
    <t>売掛金未回収一覧表</t>
  </si>
  <si>
    <t>海外ｻｰﾋﾞｽﾊﾟｰﾂｵｰﾀﾞｰｼｰﾄ</t>
  </si>
  <si>
    <t>サービスパーツオーダーシート</t>
  </si>
  <si>
    <t>売掛金回収計画表　ワークファイル作成</t>
  </si>
  <si>
    <t>SA2380C</t>
  </si>
  <si>
    <t>SA2381</t>
  </si>
  <si>
    <t>売掛金回収計画表　部課別得意先別</t>
  </si>
  <si>
    <t>売掛金回収計画集計表　ワークファイル作成</t>
  </si>
  <si>
    <t>SA2385C</t>
  </si>
  <si>
    <t>SA2386</t>
  </si>
  <si>
    <t>受注一覧表ｴｸｾﾙﾀﾞｳﾝﾛｰﾄﾞ</t>
  </si>
  <si>
    <t>SA2396</t>
  </si>
  <si>
    <t>受注一覧表ｴｸｾﾙﾀﾞｳﾝﾛｰﾄﾞ TTOﾌｧｲﾙ作成</t>
  </si>
  <si>
    <t>SA2396C</t>
  </si>
  <si>
    <t>SA2400</t>
  </si>
  <si>
    <t>SA2430</t>
  </si>
  <si>
    <t>月末与信残高集計</t>
  </si>
  <si>
    <t>SA2430C</t>
  </si>
  <si>
    <t>月末与信残高集計指示画面</t>
  </si>
  <si>
    <t>SA2436C</t>
  </si>
  <si>
    <t>月末与信残高集計　バッチ処理　投入前</t>
  </si>
  <si>
    <t>SA2437C</t>
  </si>
  <si>
    <t>月末与信残高集計バッチ処理　投入後</t>
  </si>
  <si>
    <t>与信限度額申請客先リスト印刷</t>
  </si>
  <si>
    <t>SA2440C</t>
  </si>
  <si>
    <t>SA2444C</t>
  </si>
  <si>
    <t>与信申請書管理Ｆ削除予定ﾃﾞｰﾀ印刷</t>
  </si>
  <si>
    <t>SA2445</t>
  </si>
  <si>
    <t>与信限度額申請客先印刷</t>
  </si>
  <si>
    <t>期間限定与信限度客先印刷</t>
  </si>
  <si>
    <t>SA2460</t>
  </si>
  <si>
    <t>部品注文発送伝票　手動発行</t>
  </si>
  <si>
    <t>SA2465</t>
  </si>
  <si>
    <t>代替機・交換機発送伝票印刷</t>
  </si>
  <si>
    <t>技術サービス売上支払集計表</t>
  </si>
  <si>
    <t>SA2470C</t>
  </si>
  <si>
    <t>修理内容マスタ一覧表</t>
  </si>
  <si>
    <t>SA2480C</t>
  </si>
  <si>
    <t>レジャー品質対策アフター費用集計</t>
  </si>
  <si>
    <t>SA2490C</t>
  </si>
  <si>
    <t>ｺﾝﾌｧﾒｰｼｮﾝ･ｾｰﾙｽ発行　指示</t>
  </si>
  <si>
    <t>SA2500C</t>
  </si>
  <si>
    <t>ｺﾝﾌｧﾒｰｼｮﾝ･ｾｰﾙｽ発行</t>
  </si>
  <si>
    <t>SA2501</t>
  </si>
  <si>
    <t>ｺﾝﾌｧﾒｰｼｮﾝ･ｾｰﾙｽ発行　印刷</t>
  </si>
  <si>
    <t>ｲﾝﾎﾞｲｽ発行　指示</t>
  </si>
  <si>
    <t>SA2510C</t>
  </si>
  <si>
    <t>ｲﾝﾎﾞｲｽ発行</t>
  </si>
  <si>
    <t>SA2511</t>
  </si>
  <si>
    <t>ｲﾝﾎﾞｲｽ発行　印刷</t>
  </si>
  <si>
    <t>ﾊﾟｯｷﾝｸﾞﾘｽﾄ発行　指示</t>
  </si>
  <si>
    <t>SA2520C</t>
  </si>
  <si>
    <t>ﾊﾟｯｷﾝｸﾞﾘｽﾄ発行</t>
  </si>
  <si>
    <t>SA2521</t>
  </si>
  <si>
    <t>ﾊﾟｯｷﾝｸﾞﾘｽﾄ発行　印刷</t>
  </si>
  <si>
    <t>ｹｰｽﾏｰｸｼｰﾙ発行</t>
  </si>
  <si>
    <t>ｲﾝﾎﾞｲｽ発行（通関用，交渉用）指示</t>
  </si>
  <si>
    <t>SA2550C</t>
  </si>
  <si>
    <t>ｲﾝﾎﾞｲｽ発行（通関用，交渉用）</t>
  </si>
  <si>
    <t>SA2551</t>
  </si>
  <si>
    <t>ｲﾝﾎﾞｲｽ発行（通関用，交渉用）印刷</t>
  </si>
  <si>
    <t>ﾊﾟｯｷﾝｸﾞﾘｽﾄ発行（通関用，交渉用）指示</t>
  </si>
  <si>
    <t>SA2560C</t>
  </si>
  <si>
    <t>ﾊﾟｯｷﾝｸﾞﾘｽﾄ発行（通関用，交渉用）</t>
  </si>
  <si>
    <t>SA2561</t>
  </si>
  <si>
    <t>ﾊﾟｯｷﾝｸﾞﾘｽﾄ発行（通関用，交渉用）印刷</t>
  </si>
  <si>
    <t>ＩＧＴ用インボイス自動データ作成</t>
  </si>
  <si>
    <t>SA2580</t>
  </si>
  <si>
    <t>出荷問合せ№チェックリスト</t>
  </si>
  <si>
    <t>SA2580C</t>
  </si>
  <si>
    <t>SA2590</t>
  </si>
  <si>
    <t>修理作業依頼書</t>
  </si>
  <si>
    <t>SA2590C</t>
  </si>
  <si>
    <t>SA2600C</t>
  </si>
  <si>
    <t>SA2601</t>
  </si>
  <si>
    <t>売掛金回収計画表　印刷処理</t>
  </si>
  <si>
    <t>SA2602</t>
  </si>
  <si>
    <t>SA2610</t>
  </si>
  <si>
    <t>納品書作成(ﾊﾟｰﾂ用)</t>
  </si>
  <si>
    <t>SA2610C</t>
  </si>
  <si>
    <t>納品書発行(ﾊﾟｰﾂ用)</t>
  </si>
  <si>
    <t>SA2615</t>
  </si>
  <si>
    <t>SA2620C</t>
  </si>
  <si>
    <t>技術代行料リストMHKMSP失効日対応</t>
  </si>
  <si>
    <t>SA2630C</t>
  </si>
  <si>
    <t>技術代行料リスト　</t>
  </si>
  <si>
    <t>SA2640</t>
  </si>
  <si>
    <t>SA2640C</t>
  </si>
  <si>
    <t>SA2650</t>
  </si>
  <si>
    <t>SA2650C</t>
  </si>
  <si>
    <t>SA2660C</t>
  </si>
  <si>
    <t>SA2670C</t>
  </si>
  <si>
    <t>修理実績リスト　　</t>
  </si>
  <si>
    <t>SA2680C</t>
  </si>
  <si>
    <t>SA2690</t>
  </si>
  <si>
    <t>SA2690C</t>
  </si>
  <si>
    <t>SA2700</t>
  </si>
  <si>
    <t>SA2700C</t>
  </si>
  <si>
    <t>SA2820</t>
  </si>
  <si>
    <t>テック商事専用納品書</t>
  </si>
  <si>
    <t>SA2830C</t>
  </si>
  <si>
    <t>修理内容集計表ﾀﾞｳﾝﾛｰﾄﾞ</t>
  </si>
  <si>
    <t>SA2835</t>
  </si>
  <si>
    <t>修理内容集計表ﾀﾞｳﾝﾛｰﾄﾞ TTOﾌｧｲﾙ作成</t>
  </si>
  <si>
    <t>SA2835C</t>
  </si>
  <si>
    <t>SA2836</t>
  </si>
  <si>
    <t>SA2850</t>
  </si>
  <si>
    <t>保守契約管理表</t>
  </si>
  <si>
    <t>SA2850C</t>
  </si>
  <si>
    <t>修理実績入力一覧</t>
  </si>
  <si>
    <t>SA2860C</t>
  </si>
  <si>
    <t>修理報告書発行</t>
  </si>
  <si>
    <t>SA2870C</t>
  </si>
  <si>
    <t>SA2871C</t>
  </si>
  <si>
    <t>修理報告書ＡＰＷ合成</t>
  </si>
  <si>
    <t>SA2875</t>
  </si>
  <si>
    <t>修理報告書発行　新保守システム用</t>
  </si>
  <si>
    <t>SA2875C</t>
  </si>
  <si>
    <t>修理報告書作成　新保守システム用</t>
  </si>
  <si>
    <t>SA2876C</t>
  </si>
  <si>
    <t>修理報告書ＡＰＷ合成　新保守システム用</t>
  </si>
  <si>
    <t>売上訂正申請書</t>
  </si>
  <si>
    <t>SA2880C</t>
  </si>
  <si>
    <t>大都向けＩ／Ｆデータダウンロード</t>
  </si>
  <si>
    <t>SA2890C</t>
  </si>
  <si>
    <t>SA2900C</t>
  </si>
  <si>
    <t>受注入力    ＪＳ与信改善対応</t>
  </si>
  <si>
    <t>SA3010C</t>
  </si>
  <si>
    <t>SA3011</t>
  </si>
  <si>
    <t>引当紐切処理</t>
  </si>
  <si>
    <t>SA3012</t>
  </si>
  <si>
    <t>販売集計ファィル更新　サブ　ＰＧＭ</t>
  </si>
  <si>
    <t>SA3013</t>
  </si>
  <si>
    <t>引当更新処理</t>
  </si>
  <si>
    <t>SA3014</t>
  </si>
  <si>
    <t>受注入力　明細修正</t>
  </si>
  <si>
    <t>SA3015</t>
  </si>
  <si>
    <t>引当更新処理　日次バッチ処理</t>
  </si>
  <si>
    <t>SA3015C</t>
  </si>
  <si>
    <t>受注入力ＪＳ与信改善対応・受注検索</t>
  </si>
  <si>
    <t>SA301XC</t>
  </si>
  <si>
    <t>値引承認入力</t>
  </si>
  <si>
    <t>受注承認入力　ＪＳ与信改善</t>
  </si>
  <si>
    <t>SA3030C</t>
  </si>
  <si>
    <t>受注承認入力</t>
  </si>
  <si>
    <t>出荷指示荷姿入力（製品・商品)</t>
  </si>
  <si>
    <t>SA3040C</t>
  </si>
  <si>
    <t>出荷指示荷姿入力（ｻｰﾋﾞｽﾊﾟｰﾂ )</t>
  </si>
  <si>
    <t>SA3050C</t>
  </si>
  <si>
    <t>SA3070C</t>
  </si>
  <si>
    <t>INVOICE入力　　　　　　　　</t>
  </si>
  <si>
    <t>SA3090C</t>
  </si>
  <si>
    <t>返品実績入力　                　　</t>
  </si>
  <si>
    <t>SA3100C</t>
  </si>
  <si>
    <t>修理実績入力 　　　　　　　　　　</t>
  </si>
  <si>
    <t>SA3110C</t>
  </si>
  <si>
    <t>売上訂正入力　　　　　　　　　　　</t>
  </si>
  <si>
    <t>SA3120C</t>
  </si>
  <si>
    <t>SA3121</t>
  </si>
  <si>
    <t>与信オーバー解除処理（ＪＳ非対象対応）</t>
  </si>
  <si>
    <t>SA3122</t>
  </si>
  <si>
    <t>与信オーバー解除処理（親得意先単位）</t>
  </si>
  <si>
    <t>SA3125</t>
  </si>
  <si>
    <t>売上訂正入力　削除専用　受入ロット初期表示</t>
  </si>
  <si>
    <t>SA3125C</t>
  </si>
  <si>
    <t>売上訂正入力 削除専用　受入ロット初期表示</t>
  </si>
  <si>
    <t>SA3140C</t>
  </si>
  <si>
    <t>引当振替入力(ｼﾘｱﾙのみ)  　　</t>
  </si>
  <si>
    <t>SA3151C</t>
  </si>
  <si>
    <t>引当振替入力(ｼﾘｱﾙのみ)</t>
  </si>
  <si>
    <t>引当振替入力(ｼﾘｱﾙ以外)  　　</t>
  </si>
  <si>
    <t>SA3152C</t>
  </si>
  <si>
    <t>引当振替入力(ｼﾘｱﾙ以外)</t>
  </si>
  <si>
    <t>請求方法入力　　　　　　　　　　</t>
  </si>
  <si>
    <t>SA3160C</t>
  </si>
  <si>
    <t>SA3161</t>
  </si>
  <si>
    <t>請求方法（ＳＵＢ　ＰＧＭ）　　　</t>
  </si>
  <si>
    <t>SA3162</t>
  </si>
  <si>
    <t>請求方法（一式売上明細Ｆ）　　　</t>
  </si>
  <si>
    <t>INVOICE ENTRY　　　　　　　</t>
  </si>
  <si>
    <t>SA3170C</t>
  </si>
  <si>
    <t xml:space="preserve"> INVOICE ENTRY</t>
  </si>
  <si>
    <t>仕様出荷実績入力　</t>
  </si>
  <si>
    <t>SA3180C</t>
  </si>
  <si>
    <t>無償承認修理入力</t>
  </si>
  <si>
    <t>SA3200</t>
  </si>
  <si>
    <t>出荷問合せ№入力</t>
  </si>
  <si>
    <t>SA3210</t>
  </si>
  <si>
    <t>修理原価訂正入力 　　　　　　　　</t>
  </si>
  <si>
    <t>修理コメント訂正入力 　　　　　　</t>
  </si>
  <si>
    <t>受注照会</t>
  </si>
  <si>
    <t>売上照会（伝票№指定）</t>
  </si>
  <si>
    <t>SA5051</t>
  </si>
  <si>
    <t>売上照会（詳細情報）</t>
  </si>
  <si>
    <t>SA5053</t>
  </si>
  <si>
    <t>一式請求明細照会</t>
  </si>
  <si>
    <t>引当照会</t>
  </si>
  <si>
    <t>SA5061</t>
  </si>
  <si>
    <t>SA5070</t>
  </si>
  <si>
    <t>シリアル№照会</t>
  </si>
  <si>
    <t>SA5070C</t>
  </si>
  <si>
    <t>ｼﾘｱﾙ№照会（関係会社選択版）</t>
  </si>
  <si>
    <t>SA5100</t>
  </si>
  <si>
    <t>売上照会（品目・発送先指定）</t>
  </si>
  <si>
    <t>SA5100C</t>
  </si>
  <si>
    <t>売上照会</t>
  </si>
  <si>
    <t>SA5101</t>
  </si>
  <si>
    <t>売上伝票№別シリアル照会</t>
  </si>
  <si>
    <t>受注照会（品目番号検索）</t>
  </si>
  <si>
    <t>SA5115</t>
  </si>
  <si>
    <t>受注検索（品目番号検索）</t>
  </si>
  <si>
    <t>受注照会（客先オーダーNO検索）</t>
  </si>
  <si>
    <t>SA5130</t>
  </si>
  <si>
    <t>受注照会（明細詳細画面）</t>
  </si>
  <si>
    <t>出荷指示書照会</t>
  </si>
  <si>
    <t>SA5150</t>
  </si>
  <si>
    <t>出荷シリアル№照会</t>
  </si>
  <si>
    <t>SA5160</t>
  </si>
  <si>
    <t>修理実績照会 　　　　　　　　　　</t>
  </si>
  <si>
    <t>SA5160C</t>
  </si>
  <si>
    <t>修理実績照会（ヘッド）</t>
  </si>
  <si>
    <t>修理実績ﾃﾞｰﾀ作成</t>
  </si>
  <si>
    <t>SA5162A</t>
  </si>
  <si>
    <t>修理実績ﾀﾞｳﾝﾛｰﾄﾞ TTOﾌｧｲﾙ作成</t>
  </si>
  <si>
    <t>SA5162AC</t>
  </si>
  <si>
    <t>修理実績ﾀﾞｳﾝﾛｰﾄﾞ転送処理</t>
  </si>
  <si>
    <t>SA5162C</t>
  </si>
  <si>
    <t>修理実績ﾀﾞｳﾝﾛｰﾄﾞ</t>
  </si>
  <si>
    <t>SA5170</t>
  </si>
  <si>
    <t>対社内発注購買発注状況照会</t>
  </si>
  <si>
    <t>与信決裁内容照会</t>
  </si>
  <si>
    <t>販売課別地区別売上実績集計～画面</t>
  </si>
  <si>
    <t>SA7000C</t>
  </si>
  <si>
    <t>SA7001</t>
  </si>
  <si>
    <t>販売課別地区別売上実績集計～ﾚｺｰﾄﾞ作成</t>
  </si>
  <si>
    <t>SA7002</t>
  </si>
  <si>
    <t>販売課別地区別売上実績集計～比率計算ﾜｰｸﾌｧｲﾙ</t>
  </si>
  <si>
    <t>SA7003</t>
  </si>
  <si>
    <t>販売課別地区別売上実績集計～印刷（明細無）</t>
  </si>
  <si>
    <t>SA7004</t>
  </si>
  <si>
    <t>販売課別地区別売上実績集計～印刷（明細有）</t>
  </si>
  <si>
    <t>地区別売上実績集計～ﾚｺｰﾄﾞ作成</t>
  </si>
  <si>
    <t>SA7010C</t>
  </si>
  <si>
    <t>SA7011</t>
  </si>
  <si>
    <t>地区別売上実績集計（合計）～印刷・明細無</t>
  </si>
  <si>
    <t>SA7012</t>
  </si>
  <si>
    <t>地区別売上実績集計（合計）間貿～印刷・明細無</t>
  </si>
  <si>
    <t>SA7013</t>
  </si>
  <si>
    <t>地区別売上実績集計印刷・全明細</t>
  </si>
  <si>
    <t>SA7014</t>
  </si>
  <si>
    <t>地区別売上実績集計印刷・間貿明細</t>
  </si>
  <si>
    <t>SA7015</t>
  </si>
  <si>
    <t>地区別売上実績集計～合計表（間貿合計有）ﾚｺｰﾄﾞ</t>
  </si>
  <si>
    <t>SA7016</t>
  </si>
  <si>
    <t>地区別売上実績集計～合計表（間貿合計有）印刷</t>
  </si>
  <si>
    <t>SA7017</t>
  </si>
  <si>
    <t>地区別売上実績集計～得意先別ﾚｺｰﾄﾞ作成</t>
  </si>
  <si>
    <t>4品種別地区別売上実績集計～画面入力</t>
  </si>
  <si>
    <t>SA7020C</t>
  </si>
  <si>
    <t xml:space="preserve"> 4品種別地区別売上実績集計</t>
  </si>
  <si>
    <t>SA7021</t>
  </si>
  <si>
    <t>4品種別地区別売上実績集計～ﾚｺｰﾄﾞ作成</t>
  </si>
  <si>
    <t>SA7022</t>
  </si>
  <si>
    <t>4品種別地区別売上実績集計～印刷</t>
  </si>
  <si>
    <t>売上日計表（売上計上分）～画面</t>
  </si>
  <si>
    <t>SA7030C</t>
  </si>
  <si>
    <t>SA7031</t>
  </si>
  <si>
    <t>売上日計表（売上計上分）～印刷</t>
  </si>
  <si>
    <t>得意先別売上実績表～画面入力</t>
  </si>
  <si>
    <t>SA7040C</t>
  </si>
  <si>
    <t>SA7041</t>
  </si>
  <si>
    <t>得意先別売上実績表～レコード作成</t>
  </si>
  <si>
    <t>SA7042</t>
  </si>
  <si>
    <t>得意先別売上実績表～印刷</t>
  </si>
  <si>
    <t>売上伝票部課別集計表～画面</t>
  </si>
  <si>
    <t>SA7050C</t>
  </si>
  <si>
    <t>SA7051</t>
  </si>
  <si>
    <t>売上伝票部課別集計表～印刷</t>
  </si>
  <si>
    <t>SA7055</t>
  </si>
  <si>
    <t>売上伝票部門別集計表～ﾚｺｰﾄﾞ作成</t>
  </si>
  <si>
    <t>SA7056</t>
  </si>
  <si>
    <t>売上伝票部門別集計表～印刷</t>
  </si>
  <si>
    <t>売上伝票部課別・得意先別集計表～画面</t>
  </si>
  <si>
    <t>SA7060C</t>
  </si>
  <si>
    <t>売上伝票部課別・得意先別集計表</t>
  </si>
  <si>
    <t>SA7061</t>
  </si>
  <si>
    <t>売上伝票部課別・得意先別集計表～印刷</t>
  </si>
  <si>
    <t>売上伝票得意先別集計表　日付範囲指定～画面入力</t>
  </si>
  <si>
    <t>SA7070C</t>
  </si>
  <si>
    <t>SA7071</t>
  </si>
  <si>
    <t>売上伝票得意先別集計表　日付範囲指定～計算</t>
  </si>
  <si>
    <t>部課別得意先別機種別売上管理表～画面入力</t>
  </si>
  <si>
    <t>SA7080C</t>
  </si>
  <si>
    <t>部課別得意先別機種別売上管理表</t>
  </si>
  <si>
    <t>SA7081</t>
  </si>
  <si>
    <t>部課別得意先別機種別売上管理表～ファイル作成</t>
  </si>
  <si>
    <t>SA7082</t>
  </si>
  <si>
    <t>部課別得意先別機種別売上管理表～印刷</t>
  </si>
  <si>
    <t>部課別・品目別売上管理表～画面入力</t>
  </si>
  <si>
    <t>SA7090C</t>
  </si>
  <si>
    <t>SA7091</t>
  </si>
  <si>
    <t>部課別・品目別売上管理表～ﾚｺｰﾄﾞ作成</t>
  </si>
  <si>
    <t>SA7092</t>
  </si>
  <si>
    <t>部課別・品目別売上管理表～印刷</t>
  </si>
  <si>
    <t>品目区分別売上実績集計表～画面入力＆レコード作成</t>
  </si>
  <si>
    <t>SA7100C</t>
  </si>
  <si>
    <t>SA7101</t>
  </si>
  <si>
    <t>品目区分別売上実績集計表～印刷</t>
  </si>
  <si>
    <t>SA7105</t>
  </si>
  <si>
    <t>開示区分の関連売上明細</t>
  </si>
  <si>
    <t>部課別・機種別売上管理表～画面入力</t>
  </si>
  <si>
    <t>SA7110C</t>
  </si>
  <si>
    <t>SA7111</t>
  </si>
  <si>
    <t>部課別・機種別売上管理表～ﾚｺｰﾄﾞ作成</t>
  </si>
  <si>
    <t>SA7112</t>
  </si>
  <si>
    <t>部課別・機種別売上管理表～印刷</t>
  </si>
  <si>
    <t>部門別機種別売上高明細表～画面入力</t>
  </si>
  <si>
    <t>SA7120C</t>
  </si>
  <si>
    <t>SA7121</t>
  </si>
  <si>
    <t>部門別機種別売上高明細表～ファイル作成</t>
  </si>
  <si>
    <t>SA7122</t>
  </si>
  <si>
    <t>部門別機種別売上高明細表～印刷</t>
  </si>
  <si>
    <t>部課別・品目別　売上明細表～画面入力＜一部変更＞</t>
  </si>
  <si>
    <t>SA7132C</t>
  </si>
  <si>
    <t>部課別・品目別　売上明細表＜一部変更＞</t>
  </si>
  <si>
    <t>SA7133</t>
  </si>
  <si>
    <t>部課別・品目別　売上明細表～印刷＜一部変更＞</t>
  </si>
  <si>
    <t>他部門売上明細～画面入力</t>
  </si>
  <si>
    <t>SA7140C</t>
  </si>
  <si>
    <t>SA7141</t>
  </si>
  <si>
    <t>他部門売上明細～ファイル作成</t>
  </si>
  <si>
    <t>SA7142</t>
  </si>
  <si>
    <t>他部門売上明細～印刷</t>
  </si>
  <si>
    <t>ｵﾌｨｽ売上集計表～画面入力</t>
  </si>
  <si>
    <t>SA7150C</t>
  </si>
  <si>
    <t>SA7151</t>
  </si>
  <si>
    <t>ｵﾌｨｽ売上集計表～ﾚｺｰﾄﾞ作成</t>
  </si>
  <si>
    <t>SA7152</t>
  </si>
  <si>
    <t>ｵﾌｨｽ売上集計表～印刷</t>
  </si>
  <si>
    <t>SA国内機種別売上集計表～画面入力</t>
  </si>
  <si>
    <t>SA7160C</t>
  </si>
  <si>
    <t>SA7161</t>
  </si>
  <si>
    <t>SA国内機種別売上集計表～ﾚｺｰﾄﾞ作成</t>
  </si>
  <si>
    <t>SA7162</t>
  </si>
  <si>
    <t>SA国内機種別売上集計表～印刷</t>
  </si>
  <si>
    <t>SA国内地区別売上集計表～画面入力</t>
  </si>
  <si>
    <t>SA7170C</t>
  </si>
  <si>
    <t>SA7171</t>
  </si>
  <si>
    <t>SA国内地区別売上集計表～ﾚｺｰﾄﾞ作成</t>
  </si>
  <si>
    <t>SA7172</t>
  </si>
  <si>
    <t>SA国内地区別売上集計表～印刷</t>
  </si>
  <si>
    <t>部課マスターチェック</t>
  </si>
  <si>
    <t>SA7180C</t>
  </si>
  <si>
    <t>SA7181</t>
  </si>
  <si>
    <t>部門マスターチェック</t>
  </si>
  <si>
    <t>SA7182</t>
  </si>
  <si>
    <t>SA7190C</t>
  </si>
  <si>
    <t>SA7195C</t>
  </si>
  <si>
    <t>月別加工高集計表～画面入力</t>
  </si>
  <si>
    <t>SA7200C</t>
  </si>
  <si>
    <t>SA7201</t>
  </si>
  <si>
    <t>月別加工高集計表～印刷　明細表，合計表,ｻｰﾋﾞｽﾊﾟｰﾂ</t>
  </si>
  <si>
    <t>SA7202</t>
  </si>
  <si>
    <t>月別加工高集計表～印刷　部門別合計表</t>
  </si>
  <si>
    <t>SA7203</t>
  </si>
  <si>
    <t>月別加工高集計表～ﾚｺｰﾄﾞ作成</t>
  </si>
  <si>
    <t>SA7210C</t>
  </si>
  <si>
    <t>SA7211</t>
  </si>
  <si>
    <t>SA7212</t>
  </si>
  <si>
    <t>４品種別売上・原価集計表～画面入力</t>
  </si>
  <si>
    <t>SA7220C</t>
  </si>
  <si>
    <t>SA7221</t>
  </si>
  <si>
    <t>４品種別売上・原価集計表～レコード作成</t>
  </si>
  <si>
    <t>SA7221X</t>
  </si>
  <si>
    <t>SA7221Z</t>
  </si>
  <si>
    <t>SA7222</t>
  </si>
  <si>
    <t>４品種別売上・原価集計表～印刷</t>
  </si>
  <si>
    <t>４品種別売上・原価集計表～画面入力（製品）</t>
  </si>
  <si>
    <t>SA7225C</t>
  </si>
  <si>
    <t>４品種別売上・原価集計表（製品）</t>
  </si>
  <si>
    <t>SA7226</t>
  </si>
  <si>
    <t>４品種別売上・原価集計表～レコード作成（製品）</t>
  </si>
  <si>
    <t>SA7227</t>
  </si>
  <si>
    <t>４品種別売上・原価集計表～印刷（製品）</t>
  </si>
  <si>
    <t>４品種別機種別完成台数製造原価集計表～画面入力</t>
  </si>
  <si>
    <t>SA7230C</t>
  </si>
  <si>
    <t>４品種別機種別完成台数製造原価集計表</t>
  </si>
  <si>
    <t>SA7231</t>
  </si>
  <si>
    <t>４品種別機種別完成台数製造原価集計表～レコード</t>
  </si>
  <si>
    <t>SA7232</t>
  </si>
  <si>
    <t>４品種別機種別完成台数製造原価集計表～印刷</t>
  </si>
  <si>
    <t>得意先別売上・原価集計表～累計画面</t>
  </si>
  <si>
    <t>SA7240C</t>
  </si>
  <si>
    <t>得意先別売上・原価集計表　累計</t>
  </si>
  <si>
    <t>SA7241</t>
  </si>
  <si>
    <t>得意先別売上・原価集計表～累計ﾚｺｰﾄﾞ作成</t>
  </si>
  <si>
    <t>SA7242</t>
  </si>
  <si>
    <t>得意先別売上・原価集計表～累計印刷</t>
  </si>
  <si>
    <t>SA7250C</t>
  </si>
  <si>
    <t>SA7300</t>
  </si>
  <si>
    <t>売掛金差異集計ﾌｧｲﾙ作成</t>
  </si>
  <si>
    <t>売掛金回収会合資料作成</t>
  </si>
  <si>
    <t>SA7301</t>
  </si>
  <si>
    <t>売掛金回収差異一覧表印刷</t>
  </si>
  <si>
    <t>SA7302</t>
  </si>
  <si>
    <t>売掛金回収差異明細書印刷</t>
  </si>
  <si>
    <t>SA7305C</t>
  </si>
  <si>
    <t>SA7306C</t>
  </si>
  <si>
    <t>回収差異集計明細サマリーＷＫ作成　</t>
  </si>
  <si>
    <t>SA7307</t>
  </si>
  <si>
    <t>売掛金回収差異明細書印刷（保守）</t>
  </si>
  <si>
    <t>SA7310</t>
  </si>
  <si>
    <t>SA7320</t>
  </si>
  <si>
    <t>SA7330</t>
  </si>
  <si>
    <t>営業成果報奨制度データリスト～レコード作成</t>
  </si>
  <si>
    <t>SA7330C</t>
  </si>
  <si>
    <t>SA7331</t>
  </si>
  <si>
    <t>営業成果報奨制度データリスト～印刷</t>
  </si>
  <si>
    <t>売上金額順位表</t>
  </si>
  <si>
    <t>SA7340C</t>
  </si>
  <si>
    <t>SA7350</t>
  </si>
  <si>
    <t>ｺﾞｰﾙﾄﾞｼｽﾃﾑ修理部品売上管理表</t>
  </si>
  <si>
    <t>SA7350C</t>
  </si>
  <si>
    <t>SA7360</t>
  </si>
  <si>
    <t>ｺﾞｰﾙﾄﾞｼｽﾃﾑ JCｼﾘｰｽﾞ得意先別売上明細表</t>
  </si>
  <si>
    <t>SA7360C</t>
  </si>
  <si>
    <t>SA7370</t>
  </si>
  <si>
    <t>ｺﾞｰﾙﾄﾞｼｽﾃﾑ修理状況一覧表</t>
  </si>
  <si>
    <t>SA7370C</t>
  </si>
  <si>
    <t>SA7380C</t>
  </si>
  <si>
    <t>JTS保守契約月割用　売上照会QRY</t>
  </si>
  <si>
    <t>未回収リスト</t>
  </si>
  <si>
    <t>SA7390C</t>
  </si>
  <si>
    <t>SA7400</t>
  </si>
  <si>
    <t>地区別売上・原価集計表～画面入力</t>
  </si>
  <si>
    <t>SA7400C</t>
  </si>
  <si>
    <t>地区別売上・原価集計表</t>
  </si>
  <si>
    <t>SA7401</t>
  </si>
  <si>
    <t>地区別売上・原価集計表～レコード作成</t>
  </si>
  <si>
    <t>SA7410</t>
  </si>
  <si>
    <t>SA7410C</t>
  </si>
  <si>
    <t>売上明細データダウンロード</t>
  </si>
  <si>
    <t>SA7420C</t>
  </si>
  <si>
    <t>SA7421</t>
  </si>
  <si>
    <t>売上明細データダウンロード（松林さん）</t>
  </si>
  <si>
    <t>SA7421C</t>
  </si>
  <si>
    <t>売上明細データダウンロード（原価付）</t>
  </si>
  <si>
    <t>SA7422C</t>
  </si>
  <si>
    <t>売上明細データSA7420+UCSTRPＱＲＹ</t>
  </si>
  <si>
    <t>SA7423</t>
  </si>
  <si>
    <t>売上明細データダウンロード（作成のみ）</t>
  </si>
  <si>
    <t>SA7423C</t>
  </si>
  <si>
    <t>SA7430</t>
  </si>
  <si>
    <t>SA7430C</t>
  </si>
  <si>
    <t>SA7600C</t>
  </si>
  <si>
    <t>売上訂正コメント一覧</t>
  </si>
  <si>
    <t>SA7700C</t>
  </si>
  <si>
    <t>金銭　営業JS保守分KIOSﾃﾞｰﾀ照会</t>
  </si>
  <si>
    <t>SA9011</t>
  </si>
  <si>
    <t>夜間引当処理　　　　　　　　　　　</t>
  </si>
  <si>
    <t>SA9011C</t>
  </si>
  <si>
    <t>夜間引当処理</t>
  </si>
  <si>
    <t>SA9011CYAM</t>
  </si>
  <si>
    <t>夜間引当 名豊商事移行用　YAMASAKI</t>
  </si>
  <si>
    <t>SA9020</t>
  </si>
  <si>
    <t>販売ﾘｵｶﾞﾅｲｽﾞ(1)</t>
  </si>
  <si>
    <t>SA9020C</t>
  </si>
  <si>
    <t>SA9030</t>
  </si>
  <si>
    <t>販売ﾘｵｶﾞﾅｲｽﾞ(2)</t>
  </si>
  <si>
    <t>SA9040C</t>
  </si>
  <si>
    <t>販売ﾘｵｶﾞﾅｲｽﾞ</t>
  </si>
  <si>
    <t>SA9050C</t>
  </si>
  <si>
    <t>販売ﾘｵｶﾞﾅｲｽﾞ ﾊﾞｯﾁ処理</t>
  </si>
  <si>
    <t>SA9100</t>
  </si>
  <si>
    <t>売上明細原価ファイル作成</t>
  </si>
  <si>
    <t>SA9100C</t>
  </si>
  <si>
    <t>SA9150</t>
  </si>
  <si>
    <t>ＤＷＨ用データ抽出</t>
  </si>
  <si>
    <t>SA9150_IKO</t>
  </si>
  <si>
    <t>ＤＷＨ用データ抽出　売上移行データ作成</t>
  </si>
  <si>
    <t>SA9150C</t>
  </si>
  <si>
    <t>ＤＷＨ用データ抽出：ライブラリセット</t>
  </si>
  <si>
    <t>SA9150CIKO</t>
  </si>
  <si>
    <t>SA9150CTST</t>
  </si>
  <si>
    <t>SA9151C</t>
  </si>
  <si>
    <t>ＤＷＨ用データ抽出：抽出処理</t>
  </si>
  <si>
    <t>SA9151CIKO</t>
  </si>
  <si>
    <t>SA9151CTST</t>
  </si>
  <si>
    <t>SA9160</t>
  </si>
  <si>
    <t>ＤＷＨ用転送用データ作成</t>
  </si>
  <si>
    <t>SA9200C</t>
  </si>
  <si>
    <t>受注在庫品目比較</t>
  </si>
  <si>
    <t>SERIALNC</t>
  </si>
  <si>
    <t>工場・課・場所・品目　別シリアル№一覧</t>
  </si>
  <si>
    <t>SE</t>
  </si>
  <si>
    <t>代表部門・部課別案分率保守</t>
  </si>
  <si>
    <t>SM</t>
  </si>
  <si>
    <t>SM0001C</t>
  </si>
  <si>
    <t>部課別使用量保守（案分率算出）ｼｬｰﾌﾟ/ｾﾞﾛｯｸｽ</t>
  </si>
  <si>
    <t>総務振替案分基本金額入力</t>
  </si>
  <si>
    <t>部課別使用量保守（案分率算出）ﾔﾏﾄ運輸</t>
  </si>
  <si>
    <t>総務振替データ作成・選択画面</t>
  </si>
  <si>
    <t>SM0010C</t>
  </si>
  <si>
    <t>SM0011</t>
  </si>
  <si>
    <t>総務振替データ作成（シャープ複写機使用料）</t>
  </si>
  <si>
    <t>SM0012</t>
  </si>
  <si>
    <t>総務振替データ作成（ゼロックス複写機使用料）</t>
  </si>
  <si>
    <t>SM0013</t>
  </si>
  <si>
    <t>総務振替データ作成（オックスジム事務用品）</t>
  </si>
  <si>
    <t>SM0014</t>
  </si>
  <si>
    <t>総務振替データ作成（水道光熱費・電気代）</t>
  </si>
  <si>
    <t>SM0015</t>
  </si>
  <si>
    <t>総務振替データ作成（水道光熱費・ガス代）</t>
  </si>
  <si>
    <t>SM0016</t>
  </si>
  <si>
    <t>総務振替データ作成（水道光熱費・水道代）</t>
  </si>
  <si>
    <t>SM0017</t>
  </si>
  <si>
    <t>総務振替データ作成（通信費・【ＮＴＴ】）</t>
  </si>
  <si>
    <t>SM0018</t>
  </si>
  <si>
    <t>総務振替データ作成（通信費・【ＫＤＤ】）</t>
  </si>
  <si>
    <t>SM0019</t>
  </si>
  <si>
    <t>振替データ作成・個別処理変更分</t>
  </si>
  <si>
    <t>SM0020</t>
  </si>
  <si>
    <t>総務振替データ作成（マイナス金額・貸借入替）</t>
  </si>
  <si>
    <t>SM0021</t>
  </si>
  <si>
    <t>総務振替データ作成（通信費・【京セラ】）</t>
  </si>
  <si>
    <t>SM0022</t>
  </si>
  <si>
    <t>総務振替データ作成（運搬費・ﾔﾏﾄ運輸）</t>
  </si>
  <si>
    <t>SM0023</t>
  </si>
  <si>
    <t>総務振替データ作成（通信費・【ＤＤＩ】）</t>
  </si>
  <si>
    <t>SM0024</t>
  </si>
  <si>
    <t>総務振替データ作成（電気代・オリックス）</t>
  </si>
  <si>
    <t>業務別振替　総務振替業務月度完了処理　</t>
  </si>
  <si>
    <t>SM0026</t>
  </si>
  <si>
    <t>総務振替データ作成（電気代・エネオス）</t>
  </si>
  <si>
    <t>SM0027</t>
  </si>
  <si>
    <t>総務振替データ作成（電気代・関電送配電）</t>
  </si>
  <si>
    <t>SM0031B</t>
  </si>
  <si>
    <t>業務別経費割振部課別一覧～ワークファイル作成</t>
  </si>
  <si>
    <t>SM0031C</t>
  </si>
  <si>
    <t>業務別経費割振部課別一覧～画面チェック</t>
  </si>
  <si>
    <t>SM0031L</t>
  </si>
  <si>
    <t>業務別経費割振部課別一覧～印刷</t>
  </si>
  <si>
    <t>TCNOUTC</t>
  </si>
  <si>
    <t>棚卸番号　場所一覧抽出</t>
  </si>
  <si>
    <t>TC</t>
  </si>
  <si>
    <t>TS1410</t>
  </si>
  <si>
    <t>新経費明細印刷用ﾜｰｸﾌｧｲﾙｸﾘｱ</t>
  </si>
  <si>
    <t>TS</t>
  </si>
  <si>
    <t>UUSRTNC</t>
  </si>
  <si>
    <t>JS未使用返却代替機一覧ＤＬ</t>
  </si>
  <si>
    <t>UU</t>
  </si>
  <si>
    <t>VISITC</t>
  </si>
  <si>
    <t>訪問修理　訪問予定日、修理実績日抽出</t>
  </si>
  <si>
    <t>VI</t>
  </si>
  <si>
    <t>XX0000</t>
  </si>
  <si>
    <t>汎用ｊｏｂ処理</t>
  </si>
  <si>
    <t>XX</t>
  </si>
  <si>
    <t>XX0001</t>
  </si>
  <si>
    <t>タイプインファィル作成　　　　　　　　　　　</t>
  </si>
  <si>
    <t>XX0002</t>
  </si>
  <si>
    <t>ﾀﾞｳﾝﾛｰﾄﾞ TTOﾌｧｲﾙ編成</t>
  </si>
  <si>
    <t>XX0003</t>
  </si>
  <si>
    <t>ＤＳＳ作成</t>
  </si>
  <si>
    <t>XX0003C</t>
  </si>
  <si>
    <t>汎用ｊｏｂ処理(DDS作成)</t>
  </si>
  <si>
    <t>XX000AC</t>
  </si>
  <si>
    <t>ENDJOB</t>
  </si>
  <si>
    <t>XX000BC</t>
  </si>
  <si>
    <t>RLSSPLF</t>
  </si>
  <si>
    <t>XX000CC</t>
  </si>
  <si>
    <t>DLTSPLF</t>
  </si>
  <si>
    <t>XX000DC</t>
  </si>
  <si>
    <t>FDDOUT</t>
  </si>
  <si>
    <t>XX000EC</t>
  </si>
  <si>
    <t>DLTF</t>
  </si>
  <si>
    <t>XX000GC</t>
  </si>
  <si>
    <t>DSPSPLF</t>
  </si>
  <si>
    <t>XX000HC</t>
  </si>
  <si>
    <t>RUNQRY DSPLAY</t>
  </si>
  <si>
    <t>XX000IC</t>
  </si>
  <si>
    <t>RUNQRY PRINT</t>
  </si>
  <si>
    <t>XX000PC</t>
  </si>
  <si>
    <t>汎用ｊｏｂ処理一覧</t>
  </si>
  <si>
    <t>XX0011</t>
  </si>
  <si>
    <t>売上用汎用ｊｏｂ処理</t>
  </si>
  <si>
    <t>XX0011C</t>
  </si>
  <si>
    <t>XX0012</t>
  </si>
  <si>
    <t>売上用汎用ｊｏｂ処理(SBMJOB)</t>
  </si>
  <si>
    <t>XX0012C</t>
  </si>
  <si>
    <t>XX0013</t>
  </si>
  <si>
    <t>売上用汎用ｊｏｂ処理(SUM)</t>
  </si>
  <si>
    <t>XX0013C</t>
  </si>
  <si>
    <t>XX0021</t>
  </si>
  <si>
    <t>発注残・在庫用汎用ｊｏｂ処理</t>
  </si>
  <si>
    <t>XX0021C</t>
  </si>
  <si>
    <t>XX0022</t>
  </si>
  <si>
    <t>発注残・在庫用汎用ｊｏｂ処理(SBMJOB)</t>
  </si>
  <si>
    <t>XX0022C</t>
  </si>
  <si>
    <t>XX0023</t>
  </si>
  <si>
    <t>発注残・在庫用汎用ｊｏｂ処理(SUM)</t>
  </si>
  <si>
    <t>XX0023C</t>
  </si>
  <si>
    <t>XX0031</t>
  </si>
  <si>
    <t>振替伝票用汎用ｊｏｂ処理</t>
  </si>
  <si>
    <t>XX0031C</t>
  </si>
  <si>
    <t>XX0032</t>
  </si>
  <si>
    <t>振替伝票用汎用ｊｏｂ処理(SBMJOB)</t>
  </si>
  <si>
    <t>XX0032C</t>
  </si>
  <si>
    <t>XX0033</t>
  </si>
  <si>
    <t>振替伝票用汎用ｊｏｂ処理(SUM)</t>
  </si>
  <si>
    <t>XX0033C</t>
  </si>
  <si>
    <t>XX0041</t>
  </si>
  <si>
    <t>出荷在庫用汎用ｊｏｂ処理</t>
  </si>
  <si>
    <t>XX0041C</t>
  </si>
  <si>
    <t>XX0042</t>
  </si>
  <si>
    <t>出荷在庫用汎用ｊｏｂ処理(SBMJOB)</t>
  </si>
  <si>
    <t>XX0042C</t>
  </si>
  <si>
    <t>XX0043</t>
  </si>
  <si>
    <t>出荷在庫用汎用ｊｏｂ処理(SUM)</t>
  </si>
  <si>
    <t>XX0043C</t>
  </si>
  <si>
    <t>XX0051</t>
  </si>
  <si>
    <t>本体受注用汎用ｊｏｂ処理</t>
  </si>
  <si>
    <t>XX0051C</t>
  </si>
  <si>
    <t>XX0052</t>
  </si>
  <si>
    <t>本体受注用汎用ｊｏｂ処理(SBMJOB)</t>
  </si>
  <si>
    <t>XX0052C</t>
  </si>
  <si>
    <t>XX0053</t>
  </si>
  <si>
    <t>本体受注用汎用ｊｏｂ処理(SUM)</t>
  </si>
  <si>
    <t>XX0053C</t>
  </si>
  <si>
    <t>XX0061</t>
  </si>
  <si>
    <t>仕入用汎用ｊｏｂ処理</t>
  </si>
  <si>
    <t>XX0061C</t>
  </si>
  <si>
    <t>XX0062</t>
  </si>
  <si>
    <t>仕入用汎用ｊｏｂ処理(SBMJOB)</t>
  </si>
  <si>
    <t>XX0062C</t>
  </si>
  <si>
    <t>XX0063</t>
  </si>
  <si>
    <t>仕入用汎用ｊｏｂ処理(SUM)</t>
  </si>
  <si>
    <t>XX0063C</t>
  </si>
  <si>
    <t>XXS060</t>
  </si>
  <si>
    <t>ＴＹＰＩＮＳＵＢ</t>
  </si>
  <si>
    <t>XXS070</t>
  </si>
  <si>
    <t>ＴＹＰＳＥＬＳＵＢ</t>
  </si>
  <si>
    <t>YSN000C</t>
  </si>
  <si>
    <t>親与信照会</t>
  </si>
  <si>
    <t>YS</t>
  </si>
  <si>
    <t>ZA7220C</t>
  </si>
  <si>
    <t>ZA</t>
  </si>
  <si>
    <t>ZAIKEC</t>
  </si>
  <si>
    <t>在庫計上品（滞留品）リストダウンロード</t>
  </si>
  <si>
    <t>ZD9255</t>
  </si>
  <si>
    <t>ZD</t>
  </si>
  <si>
    <t>ZEN02</t>
  </si>
  <si>
    <t>ZE</t>
  </si>
  <si>
    <t>ZM0010</t>
  </si>
  <si>
    <t>項目マスター検索</t>
  </si>
  <si>
    <t>ZM</t>
  </si>
  <si>
    <t>ZM1010</t>
  </si>
  <si>
    <t>定型№検索</t>
  </si>
  <si>
    <t>ZM1020</t>
  </si>
  <si>
    <t>勘定科目マスター検索</t>
  </si>
  <si>
    <t>ZM1030</t>
  </si>
  <si>
    <t>摘要マスター検索</t>
  </si>
  <si>
    <t>ZM1040</t>
  </si>
  <si>
    <t>雛型№検索</t>
  </si>
  <si>
    <t>振替申請№・振替№照会</t>
  </si>
  <si>
    <t>ZM2010C</t>
  </si>
  <si>
    <t>ZM2011</t>
  </si>
  <si>
    <t>振替申請№・固定・定型仕訳№リスト</t>
  </si>
  <si>
    <t>固定・定型振替申請№・振替№照会</t>
  </si>
  <si>
    <t>ZM2020C</t>
  </si>
  <si>
    <t>ZM3010</t>
  </si>
  <si>
    <t>振替伝票データ入力 　　　</t>
  </si>
  <si>
    <t>ZM3020C</t>
  </si>
  <si>
    <t>定型振替申請入力   　　　</t>
  </si>
  <si>
    <t>ZM3030C</t>
  </si>
  <si>
    <t>定型振替伝票入力   　　　</t>
  </si>
  <si>
    <t>ZM3050C</t>
  </si>
  <si>
    <t>定型振替伝票承認入力</t>
  </si>
  <si>
    <t>ZM3060C</t>
  </si>
  <si>
    <t>雛型振替伝票入力   　　　</t>
  </si>
  <si>
    <t>ZM3070C</t>
  </si>
  <si>
    <t>雛型振替伝票入力</t>
  </si>
  <si>
    <t>ZM3080_A02</t>
  </si>
  <si>
    <t>ZM3080C</t>
  </si>
  <si>
    <t>ZM3090</t>
  </si>
  <si>
    <t>振替伝票申請承認入力</t>
  </si>
  <si>
    <t>ZM3100C</t>
  </si>
  <si>
    <t>ZM3101</t>
  </si>
  <si>
    <t>ZM3999</t>
  </si>
  <si>
    <t>振替№取得　ＳＵＢ</t>
  </si>
  <si>
    <t>ZM5010</t>
  </si>
  <si>
    <t>振替伝票データリスト 　　</t>
  </si>
  <si>
    <t>ZM5010C</t>
  </si>
  <si>
    <t>振替伝票データリスト</t>
  </si>
  <si>
    <t>ZM5011</t>
  </si>
  <si>
    <t>ZM5020</t>
  </si>
  <si>
    <t>ＯＣＲデータ取込み処理 　</t>
  </si>
  <si>
    <t>ZM5020C</t>
  </si>
  <si>
    <t>ＯＣＲデータ取込み処理</t>
  </si>
  <si>
    <t>ZM5030</t>
  </si>
  <si>
    <t>ZM5030C</t>
  </si>
  <si>
    <t>ZM5031</t>
  </si>
  <si>
    <t>部門別損益計算書自動計算</t>
  </si>
  <si>
    <t>ZM5031C</t>
  </si>
  <si>
    <t>部門別損益計算書出力処理～画面入力</t>
  </si>
  <si>
    <t>ZM5040C</t>
  </si>
  <si>
    <t>部門別損益計算書出力処理</t>
  </si>
  <si>
    <t>ZM5041</t>
  </si>
  <si>
    <t>部門別損益計算書出力処理～ﾚｺｰﾄﾞ作成（売上原価</t>
  </si>
  <si>
    <t>ZM5042</t>
  </si>
  <si>
    <t>部門別損益計算書出力処理～ﾚｺｰﾄﾞ作成（部門別損</t>
  </si>
  <si>
    <t>ZM5043</t>
  </si>
  <si>
    <t>部門別損益計算書出力処理～ﾚｺｰﾄﾞ作成（振替明細</t>
  </si>
  <si>
    <t>ZM5050</t>
  </si>
  <si>
    <t>棚卸廃却リスト～印刷</t>
  </si>
  <si>
    <t>ZM5050C</t>
  </si>
  <si>
    <t>棚卸廃却リスト</t>
  </si>
  <si>
    <t>ZM5055C</t>
  </si>
  <si>
    <t>棚卸廃却リスト（開示区分別）</t>
  </si>
  <si>
    <t>固定定型振替伝票リスト  　　</t>
  </si>
  <si>
    <t>ZM5060C</t>
  </si>
  <si>
    <t>定型振替伝票リスト</t>
  </si>
  <si>
    <t>ZM5061</t>
  </si>
  <si>
    <t>固定定型振替申請リスト</t>
  </si>
  <si>
    <t>ZM5065</t>
  </si>
  <si>
    <t>雛型・振替伝票リスト    　　</t>
  </si>
  <si>
    <t>ZM5070C</t>
  </si>
  <si>
    <t>ZM5071</t>
  </si>
  <si>
    <t>雛型振替伝票リスト</t>
  </si>
  <si>
    <t>ZM5075</t>
  </si>
  <si>
    <t>振替伝票リスト</t>
  </si>
  <si>
    <t>ZM9010</t>
  </si>
  <si>
    <t>サブＳメュー選択（販売／生産／財務）</t>
  </si>
  <si>
    <t>ZPD000C</t>
  </si>
  <si>
    <t>注残分関連製番情報　抽出</t>
  </si>
  <si>
    <t>ZP</t>
  </si>
  <si>
    <t>6.原価管理</t>
    <rPh sb="2" eb="6">
      <t>ゲンカカンリ</t>
    </rPh>
    <phoneticPr fontId="31"/>
  </si>
  <si>
    <t>1.標準原価設定</t>
    <rPh sb="2" eb="6">
      <t>ヒョウジュンゲンカ</t>
    </rPh>
    <rPh sb="6" eb="8">
      <t>セッテイ</t>
    </rPh>
    <phoneticPr fontId="31"/>
  </si>
  <si>
    <t>2.原料費</t>
    <rPh sb="2" eb="5">
      <t>ゲンリョウヒ</t>
    </rPh>
    <phoneticPr fontId="31"/>
  </si>
  <si>
    <t>3.労務費</t>
    <rPh sb="2" eb="5">
      <t>ロウムヒ</t>
    </rPh>
    <phoneticPr fontId="31"/>
  </si>
  <si>
    <t>4.製造経費</t>
    <rPh sb="2" eb="6">
      <t>セイゾウケイヒ</t>
    </rPh>
    <phoneticPr fontId="31"/>
  </si>
  <si>
    <t>5.共通費配賦</t>
    <rPh sb="2" eb="4">
      <t>キョウツウ</t>
    </rPh>
    <rPh sb="4" eb="5">
      <t>ヒ</t>
    </rPh>
    <rPh sb="5" eb="7">
      <t>ハイフ</t>
    </rPh>
    <phoneticPr fontId="31"/>
  </si>
  <si>
    <t>6.差異分析</t>
    <rPh sb="2" eb="4">
      <t>サイ</t>
    </rPh>
    <rPh sb="4" eb="6">
      <t>ブンセキ</t>
    </rPh>
    <phoneticPr fontId="31"/>
  </si>
  <si>
    <t>7.標準原価見直し</t>
    <rPh sb="2" eb="4">
      <t>ヒョウジュン</t>
    </rPh>
    <rPh sb="4" eb="6">
      <t>ゲンカ</t>
    </rPh>
    <rPh sb="6" eb="8">
      <t>ミナオ</t>
    </rPh>
    <phoneticPr fontId="31"/>
  </si>
  <si>
    <t>-.マスタ管理</t>
    <rPh sb="5" eb="7">
      <t>カンリ</t>
    </rPh>
    <phoneticPr fontId="31"/>
  </si>
  <si>
    <t>原価要素マスタ</t>
  </si>
  <si>
    <t>配賦基準マスタ</t>
  </si>
  <si>
    <t>標準原価単価</t>
  </si>
  <si>
    <t>費目・原価要素設定
財務会計の勘定科目とは別に、管理会計上の費目（材料費、労務費、経費、外注費など）を柔軟に設定できること。</t>
    <phoneticPr fontId="31"/>
  </si>
  <si>
    <t>配賦基準値の設定
直接費・間接費を各製品に割り振るための基準（作業時間、機械稼働時間、人数、面積など）を設定できること。</t>
    <phoneticPr fontId="31"/>
  </si>
  <si>
    <t>標準単価設定・改定
品目ごとの標準単価、工程ごとの標準賃率（アワーレート）を期間別（年度・半期等）に設定・履歴管理できること。</t>
    <phoneticPr fontId="31"/>
  </si>
  <si>
    <t>必須</t>
    <rPh sb="0" eb="2">
      <t>ヒッス</t>
    </rPh>
    <phoneticPr fontId="31"/>
  </si>
  <si>
    <t>積上計算</t>
  </si>
  <si>
    <t>バージョン管理</t>
  </si>
  <si>
    <t>データ連携</t>
  </si>
  <si>
    <t>材料費計算</t>
  </si>
  <si>
    <t>配賦計算</t>
  </si>
  <si>
    <t>仕掛品評価</t>
  </si>
  <si>
    <t>労務計算</t>
    <phoneticPr fontId="31"/>
  </si>
  <si>
    <t>経費計算</t>
    <phoneticPr fontId="31"/>
  </si>
  <si>
    <t>-. 実際原価計算</t>
    <phoneticPr fontId="31"/>
  </si>
  <si>
    <t>予実比較</t>
  </si>
  <si>
    <t>差異詳細分析</t>
  </si>
  <si>
    <t>ドリルダウン</t>
  </si>
  <si>
    <t>BOM積上計算
部品表（BOM）および工程手順（工順）に基づき、下位品目から上位品目へコストを積み上げて計算できること。</t>
    <phoneticPr fontId="31"/>
  </si>
  <si>
    <t>複数原価の保持
「期首標準原価」「現行標準原価」「次期改定シミュレーション」など、複数の標準原価バージョンを保持できること。</t>
    <phoneticPr fontId="31"/>
  </si>
  <si>
    <t>任意</t>
    <phoneticPr fontId="31"/>
  </si>
  <si>
    <t>実績データ取込
生産実績（良品数、不良数）、作業実績（工数）、受入実績（購入単価）等を生産管理・購買機能から自動連携できること。</t>
    <phoneticPr fontId="31"/>
  </si>
  <si>
    <t>加工費計算
現場から収集した作業時間や機械稼働時間に基づき、労務費・経費を製品別に賦課できること。</t>
    <phoneticPr fontId="31"/>
  </si>
  <si>
    <t>受払計算・評価
先入先出法、移動平均法、総平均法など、指定の評価方法で材料費を計算できること。</t>
    <phoneticPr fontId="31"/>
  </si>
  <si>
    <t>間接費配賦
製造間接費を、あらかじめ設定した配賦基準（工数比率等）に基づいて、製品や製造指図（オーダー）に自動配賦できること。階梯式配賦への対応可否も確認。</t>
    <phoneticPr fontId="31"/>
  </si>
  <si>
    <t>仕掛品(WIP)計算
月末時点の工程内在庫（仕掛品）の進捗度を加味して、当月の完成品原価と月末仕掛品原価を正しく按分できること。</t>
    <phoneticPr fontId="31"/>
  </si>
  <si>
    <t>標準 vs 実際差異分析
製品別、製番（オーダー）別に、標準原価と実際原価の差異を表示できること。</t>
    <phoneticPr fontId="31"/>
  </si>
  <si>
    <t>差異要因の内訳表示
原価差異を「価格差異（単価の変動）」「数量差異（歩留まり・ロスの変動）」「操業度差異」などに分解して分析できること。</t>
    <phoneticPr fontId="31"/>
  </si>
  <si>
    <t>明細問合せ
差異が発生した原因を突き止めるため、製品→部品→作業オーダー→実績明細へとドリルダウンして詳細を確認できること。</t>
    <phoneticPr fontId="31"/>
  </si>
  <si>
    <t>試算・見積</t>
  </si>
  <si>
    <t>新製品原価</t>
  </si>
  <si>
    <t>原価シミュレーション
「材料費が10%上がった場合」「為替が変動した場合」「賃率を変更した場合」等の影響額を試算できること（見積作成支援）。</t>
    <phoneticPr fontId="31"/>
  </si>
  <si>
    <t>類似品参照試算
新規製品の設計段階で、過去の類似製品のBOMや工程をコピー・修正して、概算原価を算出できること。</t>
    <phoneticPr fontId="31"/>
  </si>
  <si>
    <t>-.システム連携</t>
    <rPh sb="6" eb="8">
      <t>レンケイ</t>
    </rPh>
    <phoneticPr fontId="31"/>
  </si>
  <si>
    <t>会計連携</t>
  </si>
  <si>
    <t>在庫評価連携</t>
  </si>
  <si>
    <t>仕訳データ作成
計算された原価データ（材料費、加工費、製造原価、売上原価など）に基づき、財務会計システム向けの仕訳データを生成できること。</t>
    <phoneticPr fontId="31"/>
  </si>
  <si>
    <t>棚卸資産評価単価更新
実際原価計算の結果（実際単価）を用いて、在庫評価単価を洗い替え更新できる機能を有すること。</t>
    <phoneticPr fontId="31"/>
  </si>
  <si>
    <t>発注の要否、および、発注日、発注数量を検討するための帳票を出力する</t>
    <phoneticPr fontId="31"/>
  </si>
  <si>
    <t>請求書発行のために、締め処理対象の締め日を条件に締め処理する
（外貨が扱えること）
・転記日が締め日以降の日付での伝票入力は制限されること
・１つの取引先毎に複数の改修条件が登録できること</t>
    <phoneticPr fontId="31"/>
  </si>
  <si>
    <t>標準</t>
  </si>
  <si>
    <r>
      <t xml:space="preserve">入力された生産計画に基づき、在庫を踏まえ生産に必要な半製品・部材・資材の手配数を計算する
処理が軽量で、日中でも十分活用できるパフォーマンスが出ること
所要量計算処理において、月次処理へ影響しないシミュレーションができること
以下の要件も満たすこと
</t>
    </r>
    <r>
      <rPr>
        <b/>
        <sz val="11"/>
        <color theme="1"/>
        <rFont val="Meiryo UI"/>
        <family val="3"/>
        <charset val="128"/>
      </rPr>
      <t xml:space="preserve">・確定期間（Time Fence）の設定
・在庫の再引当（引当変更）機能
・需要に対する優先順位付け機能　または、（運用）定期的な引当の見直し
</t>
    </r>
    <r>
      <rPr>
        <sz val="11"/>
        <color theme="1"/>
        <rFont val="Meiryo UI"/>
        <family val="3"/>
        <charset val="128"/>
      </rPr>
      <t xml:space="preserve">
</t>
    </r>
    <r>
      <rPr>
        <b/>
        <sz val="11"/>
        <color theme="1"/>
        <rFont val="Meiryo UI"/>
        <family val="3"/>
        <charset val="128"/>
      </rPr>
      <t xml:space="preserve">・MRPの柔軟な実行制御
</t>
    </r>
    <r>
      <rPr>
        <sz val="11"/>
        <color theme="1"/>
        <rFont val="Meiryo UI"/>
        <family val="3"/>
        <charset val="128"/>
      </rPr>
      <t xml:space="preserve">資材所要量計画（MRP）を必要に応じて任意タイミングで実行可能とする
</t>
    </r>
    <r>
      <rPr>
        <b/>
        <sz val="11"/>
        <color theme="1"/>
        <rFont val="Meiryo UI"/>
        <family val="3"/>
        <charset val="128"/>
      </rPr>
      <t xml:space="preserve">・月次処理との共存運用
</t>
    </r>
    <r>
      <rPr>
        <sz val="11"/>
        <color theme="1"/>
        <rFont val="Meiryo UI"/>
        <family val="3"/>
        <charset val="128"/>
      </rPr>
      <t xml:space="preserve">締処理・伝票管理とMRP実行を相互に干渉させないスケジューリング機能を有するもの
</t>
    </r>
    <r>
      <rPr>
        <b/>
        <sz val="11"/>
        <color theme="1"/>
        <rFont val="Meiryo UI"/>
        <family val="3"/>
        <charset val="128"/>
      </rPr>
      <t xml:space="preserve">・計画と手配の即時連携
</t>
    </r>
    <r>
      <rPr>
        <sz val="11"/>
        <color theme="1"/>
        <rFont val="Meiryo UI"/>
        <family val="3"/>
        <charset val="128"/>
      </rPr>
      <t xml:space="preserve">生産計画入力後、即座に資材展開・所要確認が行われること
</t>
    </r>
    <r>
      <rPr>
        <b/>
        <sz val="11"/>
        <color theme="1"/>
        <rFont val="Meiryo UI"/>
        <family val="3"/>
        <charset val="128"/>
      </rPr>
      <t>・仮計画ベースでのMRPシミュレーション機能の導入</t>
    </r>
    <r>
      <rPr>
        <sz val="11"/>
        <color theme="1"/>
        <rFont val="Meiryo UI"/>
        <family val="3"/>
        <charset val="128"/>
      </rPr>
      <t xml:space="preserve">
なお、先行手配が必要な品目（例えば、半導体）は、通常品とは異なることが区分けできる区分を品目マスタに設定でき、先行手配のための所要量計算ができること
</t>
    </r>
    <r>
      <rPr>
        <b/>
        <sz val="11"/>
        <color theme="1"/>
        <rFont val="Meiryo UI"/>
        <family val="3"/>
        <charset val="128"/>
      </rPr>
      <t>・子部品からの逆展開</t>
    </r>
    <r>
      <rPr>
        <sz val="11"/>
        <color theme="1"/>
        <rFont val="Meiryo UI"/>
        <family val="3"/>
        <charset val="128"/>
      </rPr>
      <t xml:space="preserve">
子部品の現在庫から親品目（最終製品）がいくら製造できるか逆展開で所要量計算できること
</t>
    </r>
    <phoneticPr fontId="31"/>
  </si>
  <si>
    <t>アドオン・カスタマイズ</t>
  </si>
  <si>
    <t>標準</t>
    <rPh sb="0" eb="2">
      <t>ヒョウジュン</t>
    </rPh>
    <phoneticPr fontId="31"/>
  </si>
  <si>
    <t>従来の紙ベースの帳票に代わり、リアルタイムの在庫・所要状況を可視化し、発注の意思決定を支援する対話型の機能が標準で提供されています。
また、各アプリには、表示されているリストをそのままExcel形式でダウンロードする機能が標準で備わっています。</t>
    <rPh sb="51" eb="53">
      <t>キノウ</t>
    </rPh>
    <phoneticPr fontId="31"/>
  </si>
  <si>
    <t>MRPや手動で作成された購買依頼（PR）に対し、ワークフロー機能を用いた承認プロセスを標準で備えています。</t>
    <phoneticPr fontId="31"/>
  </si>
  <si>
    <t>発注書及び当社指定納品書も発行する
（外貨が扱えること）</t>
    <phoneticPr fontId="31"/>
  </si>
  <si>
    <t>基幹システムから発行された書面を所定の取引先へ送付するために楽々明細へ送信する</t>
    <phoneticPr fontId="31"/>
  </si>
  <si>
    <t>納期回答をデータとして受信する
発注数が多い仕入先には一部機能を公開し、直接納期回答を入力してもらう
または、対応できる仕入先においては、EDIによるデータ連携も可能とする</t>
    <phoneticPr fontId="31"/>
  </si>
  <si>
    <t>購買発注した部材・資材の入荷実績を入力する
今回導入する現場システム（HTT）と基幹システムがデータ連携できること
現場での受け払いに係る入力は、現場システム（ハンディターミナル）を用いて行う
そのため、現品には、品目を特定するためのバーコードが貼り付けられ、各種指示や伝票には、指示を特定するためにバーコードが印刷されていること
基幹システムと現場システムとは、人を介さず、自動でデータ連携できること</t>
    <phoneticPr fontId="31"/>
  </si>
  <si>
    <t>仕入処理にて、仕入仕訳が自動で発生すること　　（5.4.1参照）
（外貨が扱えること）
よって、受入処理（倉庫側）と仕入処理（購買または経理）
※支払通知書で運用している。（請求書照合は行っていない）
課税・非課税は、仕入先単位での設定
（外貨が扱えること）</t>
    <phoneticPr fontId="31"/>
  </si>
  <si>
    <t xml:space="preserve">法貨外貨問わず締め日ごとに締め請求を行う機能を具備しております。
・締め日以降の伝票入力制限につきましては伝票の転記可能な期間を設定する機能を具備しております。
・1つの取引先に対して会社や部門単位で異なる回収条件を登録する機能を具備しております。
</t>
    <rPh sb="0" eb="2">
      <t>ホウカ</t>
    </rPh>
    <rPh sb="2" eb="4">
      <t>ガイカ</t>
    </rPh>
    <rPh sb="4" eb="5">
      <t>ト</t>
    </rPh>
    <rPh sb="7" eb="8">
      <t>シ</t>
    </rPh>
    <rPh sb="9" eb="10">
      <t>ビ</t>
    </rPh>
    <rPh sb="13" eb="14">
      <t>シ</t>
    </rPh>
    <rPh sb="15" eb="17">
      <t>セイキュウ</t>
    </rPh>
    <rPh sb="18" eb="19">
      <t>オコナ</t>
    </rPh>
    <rPh sb="20" eb="22">
      <t>キノウ</t>
    </rPh>
    <rPh sb="23" eb="25">
      <t>グビ</t>
    </rPh>
    <rPh sb="35" eb="36">
      <t>シ</t>
    </rPh>
    <rPh sb="37" eb="38">
      <t>ビ</t>
    </rPh>
    <rPh sb="38" eb="40">
      <t>イコウ</t>
    </rPh>
    <rPh sb="41" eb="43">
      <t>デンピョウ</t>
    </rPh>
    <rPh sb="43" eb="45">
      <t>ニュウリョク</t>
    </rPh>
    <rPh sb="45" eb="47">
      <t>セイゲン</t>
    </rPh>
    <rPh sb="54" eb="56">
      <t>デンピョウ</t>
    </rPh>
    <rPh sb="57" eb="59">
      <t>テンキ</t>
    </rPh>
    <rPh sb="59" eb="61">
      <t>カノウ</t>
    </rPh>
    <rPh sb="62" eb="64">
      <t>キカン</t>
    </rPh>
    <rPh sb="65" eb="67">
      <t>セッテイ</t>
    </rPh>
    <rPh sb="69" eb="71">
      <t>キノウ</t>
    </rPh>
    <rPh sb="72" eb="74">
      <t>グビ</t>
    </rPh>
    <rPh sb="86" eb="89">
      <t>トリヒキサキ</t>
    </rPh>
    <rPh sb="90" eb="91">
      <t>タイ</t>
    </rPh>
    <rPh sb="93" eb="95">
      <t>カイシャ</t>
    </rPh>
    <rPh sb="96" eb="98">
      <t>ブモン</t>
    </rPh>
    <rPh sb="98" eb="100">
      <t>タンイ</t>
    </rPh>
    <rPh sb="101" eb="102">
      <t>コト</t>
    </rPh>
    <rPh sb="104" eb="106">
      <t>カイシュウ</t>
    </rPh>
    <rPh sb="106" eb="108">
      <t>ジョウケン</t>
    </rPh>
    <rPh sb="109" eb="111">
      <t>トウロク</t>
    </rPh>
    <rPh sb="113" eb="115">
      <t>キノウ</t>
    </rPh>
    <rPh sb="116" eb="118">
      <t>グビ</t>
    </rPh>
    <phoneticPr fontId="31"/>
  </si>
  <si>
    <t>外注加工先への支給指示書を出力する
外注加工手配および支給品の手配も、所要量計算の対象とする
人手による作業を軽減するために、個装単位等、ロットまとめ方式など、所要量計算で対応できること
・外注加工の手配も所要量計算の対象とし、所要量計算の結果、どの外注加工先に、どの品目をいつまでに、いくつ生産しなければならないかが明確になります。
・支給数も所要量計算の対象とし、その外注加工手配に基づいて、所要量計算後、部品数とその場合のリール数を算出されます。なお、リールについては、個装単位を設けることで、１リールあたりの部品点数が予め登録されているため、部品数に基づいてリール数が算出されます</t>
    <phoneticPr fontId="31"/>
  </si>
  <si>
    <t>外注加工先への支給実績を入力する
外注加工先への材料直送実績の入力について、以下の選択肢が選択できること
なお、５は、取引先様にてご協力いただけない場合の対応方法
１．仕入先（材料業者）に支給実績を入力してもらう（入力画面の提供）
２．仕入先（加工業者）に受領実績を入力してもらう（入力画面の提供）
３．仕入先（材料業者）から支給実績データを提供いただく（EDI）
４．仕入先（加工業者）から受領実績データを提供いただく（EDI）
５．当社にて一括登録</t>
    <phoneticPr fontId="31"/>
  </si>
  <si>
    <t>入金ワークフローはない。運用回避案思い浮かばず。</t>
    <rPh sb="0" eb="2">
      <t>ニュウキン</t>
    </rPh>
    <rPh sb="12" eb="14">
      <t>ウンヨウ</t>
    </rPh>
    <rPh sb="14" eb="16">
      <t>カイヒ</t>
    </rPh>
    <rPh sb="16" eb="17">
      <t>アン</t>
    </rPh>
    <rPh sb="17" eb="18">
      <t>オモ</t>
    </rPh>
    <rPh sb="19" eb="20">
      <t>ウ</t>
    </rPh>
    <phoneticPr fontId="31"/>
  </si>
  <si>
    <t>債権情報と入金結果を突合し債権を消し込む。入金消込の仕訳情報を出力する
・FBより入金データが取り込めること
・得意先毎で請求データと入金データの一致で一括消込ができること_x000B_なお、照合時の差異金額の幅（振込手数料程度）を設定できること
・一括消込以外にも明細伝票毎の個別で消込ができること</t>
    <phoneticPr fontId="31"/>
  </si>
  <si>
    <t>社内の在庫移動の指示書を発行する
なお、計画外の在庫移動（数量変更）は、承認を得るように、ワークフローが実装できること</t>
    <phoneticPr fontId="31"/>
  </si>
  <si>
    <t>立案された年間生産計画を修正する
生産計画の立案において、備忘情報として、改造情報（from-to）や数量変更情報等の定性情報がメモできること</t>
    <phoneticPr fontId="31"/>
  </si>
  <si>
    <t>在庫転送オーダーに基づく在庫移動指示書の発行機能および
計画外の数量変更や移動に対する承認機能を具備しております。</t>
    <rPh sb="0" eb="2">
      <t>ザイコ</t>
    </rPh>
    <rPh sb="2" eb="4">
      <t>テンソウ</t>
    </rPh>
    <rPh sb="9" eb="10">
      <t>モト</t>
    </rPh>
    <rPh sb="12" eb="14">
      <t>ザイコ</t>
    </rPh>
    <rPh sb="14" eb="16">
      <t>イドウ</t>
    </rPh>
    <rPh sb="16" eb="19">
      <t>シジショ</t>
    </rPh>
    <rPh sb="20" eb="22">
      <t>ハッコウ</t>
    </rPh>
    <rPh sb="22" eb="24">
      <t>キノウ</t>
    </rPh>
    <rPh sb="28" eb="30">
      <t>ケイカク</t>
    </rPh>
    <rPh sb="30" eb="31">
      <t>ガイ</t>
    </rPh>
    <rPh sb="32" eb="34">
      <t>スウリョウ</t>
    </rPh>
    <rPh sb="34" eb="36">
      <t>ヘンコウ</t>
    </rPh>
    <rPh sb="37" eb="39">
      <t>イドウ</t>
    </rPh>
    <rPh sb="40" eb="41">
      <t>タイ</t>
    </rPh>
    <rPh sb="43" eb="45">
      <t>ショウニン</t>
    </rPh>
    <rPh sb="45" eb="47">
      <t>キノウ</t>
    </rPh>
    <rPh sb="48" eb="50">
      <t>グビ</t>
    </rPh>
    <phoneticPr fontId="31"/>
  </si>
  <si>
    <t>年間生産計画を立案する
年次計画の策定においては、販売・製造する製品の仕様が定まっていない場合があるため、製品カテゴリ単位で、代表品目を設定し、その代表品目（カテゴリ品目）を用いて立案することで対応できること
生産計画の立案において、備忘情報として、改造情報（from-to）や数量変更情報等の定性情報がメモできること
海外子会社との生産計画の共有において、現行システム（出荷システム）を用いて行っている。引き続き、当該システムを利用するため、自動でデータ連携が行えること</t>
    <phoneticPr fontId="31"/>
  </si>
  <si>
    <t xml:space="preserve">未決済の支払予定明細をExcel形式で出力する機能を具備しております。
</t>
    <rPh sb="0" eb="3">
      <t>ミケッサイ</t>
    </rPh>
    <rPh sb="4" eb="6">
      <t>シハライ</t>
    </rPh>
    <rPh sb="6" eb="8">
      <t>ヨテイ</t>
    </rPh>
    <rPh sb="8" eb="10">
      <t>メイサイ</t>
    </rPh>
    <rPh sb="16" eb="18">
      <t>ケイシキ</t>
    </rPh>
    <rPh sb="19" eb="21">
      <t>シュツリョク</t>
    </rPh>
    <rPh sb="23" eb="25">
      <t>キノウ</t>
    </rPh>
    <rPh sb="26" eb="28">
      <t>グビ</t>
    </rPh>
    <phoneticPr fontId="31"/>
  </si>
  <si>
    <t>月次生産計画を立案する</t>
    <phoneticPr fontId="31"/>
  </si>
  <si>
    <t>所要量計算処理後、リソース（設備・人）の能力を考慮した能力計画ができること</t>
    <phoneticPr fontId="31"/>
  </si>
  <si>
    <t>発注書及び当社指定納品書も発行する</t>
    <phoneticPr fontId="31"/>
  </si>
  <si>
    <t>製造に必要な半製品・部材の使用一覧を出力する</t>
    <phoneticPr fontId="31"/>
  </si>
  <si>
    <t xml:space="preserve">支払情報において、外貨および法貨を表示する機能を具備しております。
</t>
    <rPh sb="0" eb="4">
      <t>シハライジョウホウ</t>
    </rPh>
    <rPh sb="9" eb="11">
      <t>ガイカ</t>
    </rPh>
    <rPh sb="14" eb="16">
      <t>ホウカ</t>
    </rPh>
    <rPh sb="17" eb="19">
      <t>ヒョウジ</t>
    </rPh>
    <rPh sb="21" eb="23">
      <t>キノウ</t>
    </rPh>
    <rPh sb="24" eb="26">
      <t>グビ</t>
    </rPh>
    <phoneticPr fontId="31"/>
  </si>
  <si>
    <t>部品構成表に代替品・同等品が登録でき、優先度、有効期限、在庫消化切り替えの基準にて、代替品・同等品への切り替えが行える機能が実装されていること
部品構成表の中に、代替品（同等品）の登録ができ、かつ、優先順位も設定できること。
また、後継品への切り替え時にも当該機能を用いることで、予め部品構成として登録することで、切替時の煩雑さの軽減を期待できる
現行の課題を解消するために、以下の要件が必要と考えます。
・同等品グループを予め登録し、当該グループに登録している品目の優先度が設定でき、優先度に応じて調達が必要な品目が設定される
・同等品グループに登録されている品目の有効期限を設けることで、後継品の切り替え時期として利用できる
・後継品への切り替えにあたり、旧部材の在庫がなくなった時点で、後継品に切り替える</t>
    <phoneticPr fontId="31"/>
  </si>
  <si>
    <t xml:space="preserve">社内の在庫移動（出庫）結果を入力する
なお、在庫の受け払いにおいては、払出側・受入側に分けて、実績入力できること（2Step）。
但し、払出側・受入側の実績入力を求めず、実績入力することで、払出側・受入側が同時に実行される処理（1Step）も選択できること
</t>
    <phoneticPr fontId="31"/>
  </si>
  <si>
    <t>業務要件や倉庫間の距離に応じて、1回の入力で移動を完了させる方式(Step1)か、払出と受入を分けて管理する方式(Step2)かを柔軟に選択可能です。</t>
    <phoneticPr fontId="31"/>
  </si>
  <si>
    <t>製造実績（生産数、使用部品数）を入力する
製品の出来高を入力することで、構成品の消費量を理論値で引き落とすバックフラッシュ機能が具備されていること。
また、製造実績の入力においては、現場システム（ハンディターミナル等）が扱えること</t>
    <phoneticPr fontId="31"/>
  </si>
  <si>
    <t>1.2.3も含まれる。品目別注文残照会・引当状況照会も実現</t>
    <phoneticPr fontId="31"/>
  </si>
  <si>
    <t>2.5.2と同じ
HTT（ハンディーターミナル）への出庫指示の送信
HTTによる出庫実績入力および基幹システムへの送信</t>
    <phoneticPr fontId="31"/>
  </si>
  <si>
    <t>実地棚卸のための棚卸一覧を出力する
HTT（ハンディーターミナル）への棚卸しリストの送信
循環棚卸もできるように</t>
    <phoneticPr fontId="31"/>
  </si>
  <si>
    <t>現物に貼り付ける現品票を出力する
現品ラベルの貼り付け作業を引き受けていただける仕入先・外注先向けに、予め現品ラベルを送付できること。または、仕入先・外注先に提供するラベル発行アプリを提供する</t>
    <phoneticPr fontId="31"/>
  </si>
  <si>
    <t>以下の機能が実現できること
１．マスタ管理機能：        品目マスタ、シリアル番号採番ルール設定、シリアル番号マスタ
２．実績収集・登録機能：        製造実績登録、親子関係登録、検査実績登録
３．在庫管理機能：                シリアル番号別在庫照会、シリアル番号指定入出庫、シリアル棚卸
４．トレーサビリティ機能：        トレースフォワード（正引き）機能、トレースバック（逆引き）機能</t>
    <phoneticPr fontId="31"/>
  </si>
  <si>
    <t>在庫の状態管理をステータスではなく場所コードで行う運用を次期システムでも継続できること</t>
    <phoneticPr fontId="31"/>
  </si>
  <si>
    <t>未登録案件を含む将来の入庫予定・出庫予定を事前に入力できること</t>
    <phoneticPr fontId="31"/>
  </si>
  <si>
    <t>品番ごとの日別入出庫表をシステム上で確認できること</t>
    <phoneticPr fontId="31"/>
  </si>
  <si>
    <t>将来の在庫不足・引当不足を判定でき、必要に応じて警告等のアラート表示を行えること。</t>
    <phoneticPr fontId="31"/>
  </si>
  <si>
    <t>標準</t>
    <phoneticPr fontId="31"/>
  </si>
  <si>
    <t>ひとつの伝票がすべてのモジュールを更新するため、生産・購買の実績入力と同時に、原価管理や会計へリアルタイムにデータが自動連携されます。</t>
    <phoneticPr fontId="31"/>
  </si>
  <si>
    <t>製品・製造指図単位で標準原価と実際原価を比較し、リアルタイムに分析可能です。</t>
    <rPh sb="0" eb="2">
      <t>セイヒン</t>
    </rPh>
    <phoneticPr fontId="31"/>
  </si>
  <si>
    <t xml:space="preserve">法人単位に対して、得意先・仕入先といった役割を関連付ける機能を具備しております。
</t>
    <rPh sb="2" eb="4">
      <t>タンイ</t>
    </rPh>
    <phoneticPr fontId="31"/>
  </si>
  <si>
    <t>取引先を「法人（親）」と「事業所・部署（子）」の階層構造で管理できること</t>
    <phoneticPr fontId="31"/>
  </si>
  <si>
    <t>与信対象区分（受注／出荷／フォーキャスト除外）をマスタとして設定でき、運用方針に応じて切り替え可能であること</t>
    <phoneticPr fontId="31"/>
  </si>
  <si>
    <t>構成マスタとして、工事案件に必要な製品・部材・作業などの構成情報を登録・更新できること。</t>
    <phoneticPr fontId="31"/>
  </si>
  <si>
    <t>工事案件作成時に、構成マスタを基に標準明細を自動展開できること。</t>
    <phoneticPr fontId="31"/>
  </si>
  <si>
    <t>4.出荷</t>
    <phoneticPr fontId="31"/>
  </si>
  <si>
    <t>株式会社システムインテグレータ</t>
    <rPh sb="0" eb="4">
      <t>カブシキガイシャ</t>
    </rPh>
    <phoneticPr fontId="31"/>
  </si>
  <si>
    <t>受注情報を起点として、前受請求書の申請・承認・作成までをシステム上で実行できること</t>
    <phoneticPr fontId="31"/>
  </si>
  <si>
    <t>貸出品をシステム上で登録・管理できること</t>
    <phoneticPr fontId="31"/>
  </si>
  <si>
    <t>受注登録時に「前受」かどうかを設定可能とし、また、同一得意先コードで前受の有無をマスタで一元管理できること</t>
    <phoneticPr fontId="31"/>
  </si>
  <si>
    <t>法人全体で設定した与信限度額を基準に、各請求先ごとの限度額を割り当てて管理できること</t>
    <phoneticPr fontId="31"/>
  </si>
  <si>
    <t>1QM(追加）でできるかも。</t>
    <rPh sb="4" eb="6">
      <t>ツイカ</t>
    </rPh>
    <phoneticPr fontId="31"/>
  </si>
  <si>
    <t>B級品に対して代替品との交換が可能であり、トレーサビリティを確保できること</t>
    <phoneticPr fontId="31"/>
  </si>
  <si>
    <t>1QM(追加）でできるはず。</t>
    <rPh sb="4" eb="6">
      <t>ツイカ</t>
    </rPh>
    <phoneticPr fontId="31"/>
  </si>
  <si>
    <t>Invoice を修正可能な帳票として出力できること</t>
    <phoneticPr fontId="31"/>
  </si>
  <si>
    <t>出荷時には Shipping Invoice および Commercial Invoice を出力する。</t>
    <phoneticPr fontId="31"/>
  </si>
  <si>
    <t>出荷日や納期を考慮した自動引当ロジックを導入し、優先順位に応じた在庫引当が可能であること</t>
    <phoneticPr fontId="31"/>
  </si>
  <si>
    <t>在庫移動入力完了時に指定宛先へ完了通知メールを自動配信できること</t>
    <phoneticPr fontId="31"/>
  </si>
  <si>
    <t xml:space="preserve">出荷日基準、検収基準、完成基準など複数の売上計上基準を選択して適用できること
</t>
    <phoneticPr fontId="31"/>
  </si>
  <si>
    <t>直送取引において、業者出荷日、納品日、検収日のいずれかを売上計上日に設定できること</t>
    <phoneticPr fontId="31"/>
  </si>
  <si>
    <t>在庫の有無にかかわらず、出荷に関する情報（出荷予定および出荷指示書）をシステム上で登録・作成・管理できること</t>
    <phoneticPr fontId="31"/>
  </si>
  <si>
    <t xml:space="preserve">得意先に対する見積機能を具備しております。見積機能にてダミー受注先に対して登録することで、仮の受注を登録いただけます。
</t>
    <rPh sb="0" eb="2">
      <t>トクイ</t>
    </rPh>
    <rPh sb="2" eb="3">
      <t>サキ</t>
    </rPh>
    <rPh sb="4" eb="5">
      <t>タイ</t>
    </rPh>
    <rPh sb="7" eb="9">
      <t>ミツモリ</t>
    </rPh>
    <rPh sb="9" eb="11">
      <t>キノウ</t>
    </rPh>
    <rPh sb="12" eb="14">
      <t>グビ</t>
    </rPh>
    <rPh sb="21" eb="23">
      <t>ミツモリ</t>
    </rPh>
    <rPh sb="23" eb="25">
      <t>キノウ</t>
    </rPh>
    <rPh sb="30" eb="33">
      <t>ジュチュウサキ</t>
    </rPh>
    <rPh sb="34" eb="35">
      <t>タイ</t>
    </rPh>
    <rPh sb="37" eb="39">
      <t>トウロク</t>
    </rPh>
    <rPh sb="45" eb="46">
      <t>カリ</t>
    </rPh>
    <rPh sb="47" eb="49">
      <t>ジュチュウ</t>
    </rPh>
    <rPh sb="50" eb="52">
      <t>トウロク</t>
    </rPh>
    <phoneticPr fontId="31"/>
  </si>
  <si>
    <t>受注情報をもとに出荷指図をシステム上で生成できること</t>
    <phoneticPr fontId="31"/>
  </si>
  <si>
    <t xml:space="preserve">MOQ未満の受注である場合、アラートメッセージを表示する機能を具備しております。
アラート機能であるため、システム上は登録いただけます。
</t>
    <rPh sb="3" eb="5">
      <t>ミマン</t>
    </rPh>
    <rPh sb="6" eb="8">
      <t>ジュチュウ</t>
    </rPh>
    <rPh sb="11" eb="13">
      <t>バアイ</t>
    </rPh>
    <rPh sb="24" eb="26">
      <t>ヒョウジ</t>
    </rPh>
    <rPh sb="28" eb="30">
      <t>キノウ</t>
    </rPh>
    <rPh sb="31" eb="33">
      <t>グビ</t>
    </rPh>
    <rPh sb="45" eb="47">
      <t>キノウ</t>
    </rPh>
    <rPh sb="57" eb="58">
      <t>ジョウ</t>
    </rPh>
    <rPh sb="59" eb="61">
      <t>トウロク</t>
    </rPh>
    <phoneticPr fontId="31"/>
  </si>
  <si>
    <t>1JW（拡張ATP）追加ライセンス</t>
    <rPh sb="4" eb="6">
      <t>カクチョウ</t>
    </rPh>
    <rPh sb="10" eb="12">
      <t>ツイカ</t>
    </rPh>
    <phoneticPr fontId="31"/>
  </si>
  <si>
    <t>優先順位判定ルールは 顧客優先度、納期緊急度、オーダー金額による重み付け計算に対応しています。</t>
    <rPh sb="39" eb="41">
      <t>タイオウ</t>
    </rPh>
    <phoneticPr fontId="31"/>
  </si>
  <si>
    <t>引当後でも引当内容を変更でき、横入対応が可能であること</t>
    <phoneticPr fontId="31"/>
  </si>
  <si>
    <t>倉庫の優先順をシステム上で簡易に変更できること</t>
    <phoneticPr fontId="31"/>
  </si>
  <si>
    <t>EPPM使用想定</t>
    <rPh sb="4" eb="6">
      <t>シヨウ</t>
    </rPh>
    <rPh sb="6" eb="8">
      <t>ソウテイ</t>
    </rPh>
    <phoneticPr fontId="31"/>
  </si>
  <si>
    <t xml:space="preserve">工事管理に適したプロジェクト管理モジュールを具備しております。
</t>
    <rPh sb="0" eb="4">
      <t>コウジカンリ</t>
    </rPh>
    <rPh sb="5" eb="6">
      <t>テキ</t>
    </rPh>
    <rPh sb="14" eb="16">
      <t>カンリ</t>
    </rPh>
    <rPh sb="22" eb="24">
      <t>グビ</t>
    </rPh>
    <phoneticPr fontId="31"/>
  </si>
  <si>
    <t>PackingList を修正可能な帳票として出力できること</t>
    <phoneticPr fontId="31"/>
  </si>
  <si>
    <t>メモ</t>
    <phoneticPr fontId="31"/>
  </si>
  <si>
    <t>Aド標準
B運用変更
C運用負荷大</t>
    <rPh sb="2" eb="4">
      <t>ヒョウジュン</t>
    </rPh>
    <rPh sb="6" eb="8">
      <t>ウンヨウ</t>
    </rPh>
    <rPh sb="8" eb="10">
      <t>ヘンコウ</t>
    </rPh>
    <rPh sb="12" eb="16">
      <t>ウンヨウフカ</t>
    </rPh>
    <rPh sb="16" eb="17">
      <t>ダイ</t>
    </rPh>
    <phoneticPr fontId="31"/>
  </si>
  <si>
    <t>北勝/玉置</t>
    <rPh sb="0" eb="2">
      <t>キタカツ</t>
    </rPh>
    <rPh sb="3" eb="5">
      <t>タマキ</t>
    </rPh>
    <phoneticPr fontId="31"/>
  </si>
  <si>
    <t>北勝</t>
    <rPh sb="0" eb="2">
      <t>キタカツ</t>
    </rPh>
    <phoneticPr fontId="31"/>
  </si>
  <si>
    <t>玉置</t>
    <rPh sb="0" eb="2">
      <t>タマキ</t>
    </rPh>
    <phoneticPr fontId="31"/>
  </si>
  <si>
    <t>必須</t>
    <phoneticPr fontId="31"/>
  </si>
  <si>
    <t xml:space="preserve">納入日程を分けて登録する機能を具備しております。
</t>
    <rPh sb="0" eb="2">
      <t>ノウニュウ</t>
    </rPh>
    <rPh sb="2" eb="4">
      <t>ニッテイ</t>
    </rPh>
    <rPh sb="5" eb="6">
      <t>ワ</t>
    </rPh>
    <rPh sb="8" eb="10">
      <t>トウロク</t>
    </rPh>
    <rPh sb="12" eb="14">
      <t>キノウ</t>
    </rPh>
    <rPh sb="15" eb="17">
      <t>グビ</t>
    </rPh>
    <phoneticPr fontId="31"/>
  </si>
  <si>
    <t>A</t>
    <phoneticPr fontId="31"/>
  </si>
  <si>
    <t>B?</t>
    <phoneticPr fontId="31"/>
  </si>
  <si>
    <t>所要量計算</t>
    <phoneticPr fontId="31"/>
  </si>
  <si>
    <t>月次生産計画を入力する</t>
    <phoneticPr fontId="31"/>
  </si>
  <si>
    <t>月次、週次、日次単位で生産計画を入力する機能を具備しております。</t>
    <rPh sb="20" eb="22">
      <t>キノウ</t>
    </rPh>
    <rPh sb="23" eb="25">
      <t>グビ</t>
    </rPh>
    <phoneticPr fontId="31"/>
  </si>
  <si>
    <t>B</t>
    <phoneticPr fontId="31"/>
  </si>
  <si>
    <t>受注数量の変更に柔軟に対応できること</t>
    <phoneticPr fontId="31"/>
  </si>
  <si>
    <t>納入日程日は必須項目となりますが、遠い先日付を登録することで、納期未定であるか識別いただけます。</t>
    <rPh sb="0" eb="2">
      <t>ノウニュウ</t>
    </rPh>
    <rPh sb="2" eb="4">
      <t>ニッテイ</t>
    </rPh>
    <rPh sb="4" eb="5">
      <t>ビ</t>
    </rPh>
    <rPh sb="6" eb="8">
      <t>ヒッス</t>
    </rPh>
    <rPh sb="8" eb="10">
      <t>コウモク</t>
    </rPh>
    <rPh sb="17" eb="18">
      <t>トオ</t>
    </rPh>
    <rPh sb="19" eb="22">
      <t>サキヒヅケ</t>
    </rPh>
    <rPh sb="23" eb="25">
      <t>トウロク</t>
    </rPh>
    <rPh sb="31" eb="35">
      <t>ノウキミテイ</t>
    </rPh>
    <rPh sb="39" eb="41">
      <t>シキベツ</t>
    </rPh>
    <phoneticPr fontId="31"/>
  </si>
  <si>
    <t xml:space="preserve">登録済みの受注伝票を編集する機能を具備しておりますので、受注数量を変更いただけます。
</t>
    <rPh sb="14" eb="16">
      <t>キノウ</t>
    </rPh>
    <rPh sb="17" eb="19">
      <t>グビ</t>
    </rPh>
    <rPh sb="28" eb="30">
      <t>ジュチュウ</t>
    </rPh>
    <rPh sb="30" eb="32">
      <t>スウリョウ</t>
    </rPh>
    <rPh sb="33" eb="35">
      <t>ヘンコウ</t>
    </rPh>
    <phoneticPr fontId="31"/>
  </si>
  <si>
    <t xml:space="preserve">ロット単価を販売ロットと理解したうえで回答いたします。
受注時に受注数量にあわせたスケール単価を初期セットする機能を具備しております。
</t>
    <rPh sb="3" eb="5">
      <t>タンカ</t>
    </rPh>
    <rPh sb="6" eb="8">
      <t>ハンバイ</t>
    </rPh>
    <rPh sb="12" eb="14">
      <t>リカイ</t>
    </rPh>
    <rPh sb="19" eb="21">
      <t>カイトウ</t>
    </rPh>
    <rPh sb="28" eb="31">
      <t>ジュチュウジ</t>
    </rPh>
    <rPh sb="45" eb="47">
      <t>タンカ</t>
    </rPh>
    <rPh sb="48" eb="50">
      <t>ショキ</t>
    </rPh>
    <rPh sb="55" eb="57">
      <t>キノウ</t>
    </rPh>
    <rPh sb="58" eb="60">
      <t>グビ</t>
    </rPh>
    <phoneticPr fontId="31"/>
  </si>
  <si>
    <t xml:space="preserve">ダミー品番とわかる品目をマスタへ事前登録しておき、それを使用して受注登録いただけます。
誤って出荷が行われないようにストップをかける機能を具備しております。
</t>
    <rPh sb="3" eb="5">
      <t>ヒンバン</t>
    </rPh>
    <rPh sb="9" eb="11">
      <t>ヒンモク</t>
    </rPh>
    <rPh sb="16" eb="20">
      <t>ジゼントウロク</t>
    </rPh>
    <rPh sb="28" eb="30">
      <t>シヨウ</t>
    </rPh>
    <rPh sb="32" eb="34">
      <t>ジュチュウ</t>
    </rPh>
    <rPh sb="34" eb="36">
      <t>トウロク</t>
    </rPh>
    <rPh sb="44" eb="45">
      <t>アヤマ</t>
    </rPh>
    <rPh sb="47" eb="49">
      <t>シュッカ</t>
    </rPh>
    <rPh sb="50" eb="51">
      <t>オコナ</t>
    </rPh>
    <rPh sb="66" eb="68">
      <t>キノウ</t>
    </rPh>
    <rPh sb="69" eb="71">
      <t>グビ</t>
    </rPh>
    <phoneticPr fontId="31"/>
  </si>
  <si>
    <t xml:space="preserve">新規登録に加え、変更時に承認フローが処理される機能を具備しております。
</t>
    <rPh sb="0" eb="4">
      <t>シンキトウロク</t>
    </rPh>
    <rPh sb="5" eb="6">
      <t>クワ</t>
    </rPh>
    <rPh sb="8" eb="10">
      <t>ヘンコウ</t>
    </rPh>
    <rPh sb="10" eb="11">
      <t>ジ</t>
    </rPh>
    <rPh sb="12" eb="14">
      <t>ショウニン</t>
    </rPh>
    <rPh sb="18" eb="20">
      <t>ショリ</t>
    </rPh>
    <rPh sb="23" eb="25">
      <t>キノウ</t>
    </rPh>
    <rPh sb="26" eb="28">
      <t>グビ</t>
    </rPh>
    <phoneticPr fontId="31"/>
  </si>
  <si>
    <t xml:space="preserve">受注情報の変更ログを照会する機能を具備しております。
また、汎用的な項目を追加する機能を具備しておりますので、MOQ未満の場合はフラグ付けすることで一元的に管理いただけます。
</t>
    <rPh sb="0" eb="2">
      <t>ジュチュウ</t>
    </rPh>
    <rPh sb="2" eb="4">
      <t>ジョウホウ</t>
    </rPh>
    <rPh sb="5" eb="7">
      <t>ヘンコウ</t>
    </rPh>
    <rPh sb="10" eb="12">
      <t>ショウカイ</t>
    </rPh>
    <rPh sb="14" eb="16">
      <t>キノウ</t>
    </rPh>
    <rPh sb="17" eb="19">
      <t>グビ</t>
    </rPh>
    <rPh sb="30" eb="33">
      <t>ハンヨウテキ</t>
    </rPh>
    <rPh sb="34" eb="36">
      <t>コウモク</t>
    </rPh>
    <rPh sb="37" eb="39">
      <t>ツイカ</t>
    </rPh>
    <rPh sb="41" eb="43">
      <t>キノウ</t>
    </rPh>
    <rPh sb="44" eb="46">
      <t>グビ</t>
    </rPh>
    <rPh sb="57" eb="59">
      <t>ミマン</t>
    </rPh>
    <rPh sb="61" eb="63">
      <t>バアイ</t>
    </rPh>
    <rPh sb="66" eb="67">
      <t>ツ</t>
    </rPh>
    <rPh sb="74" eb="77">
      <t>イチゲンテキ</t>
    </rPh>
    <rPh sb="78" eb="80">
      <t>カンリ</t>
    </rPh>
    <phoneticPr fontId="31"/>
  </si>
  <si>
    <t xml:space="preserve">品目名はマスタで登録されている名称が初期セットされますが、編集する機能を具備しております。
</t>
    <rPh sb="0" eb="2">
      <t>ヒンモク</t>
    </rPh>
    <rPh sb="2" eb="3">
      <t>メイ</t>
    </rPh>
    <rPh sb="8" eb="10">
      <t>トウロク</t>
    </rPh>
    <rPh sb="15" eb="17">
      <t>メイショウ</t>
    </rPh>
    <rPh sb="18" eb="20">
      <t>ショキ</t>
    </rPh>
    <rPh sb="29" eb="31">
      <t>ヘンシュウ</t>
    </rPh>
    <rPh sb="33" eb="35">
      <t>キノウ</t>
    </rPh>
    <rPh sb="36" eb="38">
      <t>グビ</t>
    </rPh>
    <phoneticPr fontId="31"/>
  </si>
  <si>
    <t xml:space="preserve">プロジェクトの細分化単位である「WBS要素」を管理する機能具備しております。
WBS要素と受注を紐づける機能を具備しておりますので、案件の売上や費用を紐づけて把握いただけます。
</t>
    <rPh sb="7" eb="10">
      <t>サイブンカ</t>
    </rPh>
    <rPh sb="10" eb="12">
      <t>タンイ</t>
    </rPh>
    <rPh sb="19" eb="21">
      <t>ヨウソ</t>
    </rPh>
    <rPh sb="23" eb="25">
      <t>カンリ</t>
    </rPh>
    <rPh sb="27" eb="29">
      <t>キノウ</t>
    </rPh>
    <rPh sb="29" eb="31">
      <t>グビ</t>
    </rPh>
    <rPh sb="42" eb="44">
      <t>ヨウソ</t>
    </rPh>
    <rPh sb="45" eb="47">
      <t>ジュチュウ</t>
    </rPh>
    <rPh sb="48" eb="49">
      <t>ヒモ</t>
    </rPh>
    <rPh sb="52" eb="54">
      <t>キノウ</t>
    </rPh>
    <rPh sb="55" eb="57">
      <t>グビ</t>
    </rPh>
    <rPh sb="66" eb="68">
      <t>アンケン</t>
    </rPh>
    <rPh sb="69" eb="71">
      <t>ウリアゲ</t>
    </rPh>
    <rPh sb="72" eb="74">
      <t>ヒヨウ</t>
    </rPh>
    <rPh sb="75" eb="76">
      <t>ヒモ</t>
    </rPh>
    <rPh sb="79" eb="81">
      <t>ハアク</t>
    </rPh>
    <phoneticPr fontId="31"/>
  </si>
  <si>
    <t xml:space="preserve">受注明細をWBS要素に紐づける機能を具備しております。
</t>
    <rPh sb="0" eb="2">
      <t>ジュチュウ</t>
    </rPh>
    <rPh sb="2" eb="4">
      <t>メイサイ</t>
    </rPh>
    <rPh sb="8" eb="10">
      <t>ヨウソ</t>
    </rPh>
    <rPh sb="11" eb="12">
      <t>ヒモ</t>
    </rPh>
    <rPh sb="15" eb="17">
      <t>キノウ</t>
    </rPh>
    <rPh sb="18" eb="20">
      <t>グビ</t>
    </rPh>
    <phoneticPr fontId="31"/>
  </si>
  <si>
    <t xml:space="preserve">WBS要素を選択する機能を具備しております。また、WBS要素は必須項目ではなく任意項目となります。
</t>
    <rPh sb="3" eb="5">
      <t>ヨウソ</t>
    </rPh>
    <rPh sb="6" eb="8">
      <t>センタク</t>
    </rPh>
    <rPh sb="10" eb="12">
      <t>キノウ</t>
    </rPh>
    <rPh sb="13" eb="15">
      <t>グビ</t>
    </rPh>
    <rPh sb="28" eb="30">
      <t>ヨウソ</t>
    </rPh>
    <rPh sb="31" eb="33">
      <t>ヒッス</t>
    </rPh>
    <rPh sb="33" eb="35">
      <t>コウモク</t>
    </rPh>
    <rPh sb="39" eb="41">
      <t>ニンイ</t>
    </rPh>
    <rPh sb="41" eb="43">
      <t>コウモク</t>
    </rPh>
    <phoneticPr fontId="31"/>
  </si>
  <si>
    <t>追加ライセンス1JW（拡張ATP）</t>
    <rPh sb="11" eb="13">
      <t>カクチョウ</t>
    </rPh>
    <phoneticPr fontId="31"/>
  </si>
  <si>
    <t xml:space="preserve">案件で発生した費用を原価としてWBS要素に計上する機能を具備しております。
</t>
    <rPh sb="0" eb="2">
      <t>アンケン</t>
    </rPh>
    <rPh sb="3" eb="5">
      <t>ハッセイ</t>
    </rPh>
    <rPh sb="7" eb="9">
      <t>ヒヨウ</t>
    </rPh>
    <rPh sb="10" eb="12">
      <t>ゲンカ</t>
    </rPh>
    <rPh sb="18" eb="20">
      <t>ヨウソ</t>
    </rPh>
    <rPh sb="21" eb="23">
      <t>ケイジョウ</t>
    </rPh>
    <rPh sb="25" eb="27">
      <t>キノウ</t>
    </rPh>
    <rPh sb="28" eb="30">
      <t>グビ</t>
    </rPh>
    <phoneticPr fontId="31"/>
  </si>
  <si>
    <t xml:space="preserve">「作成・リリース（仕掛中）・完了・終了」という単位でプロジェクトのステータスを管理する機能を具備しております。
</t>
    <rPh sb="1" eb="3">
      <t>サクセイ</t>
    </rPh>
    <rPh sb="9" eb="11">
      <t>シカカリ</t>
    </rPh>
    <rPh sb="11" eb="12">
      <t>チュウ</t>
    </rPh>
    <rPh sb="14" eb="16">
      <t>カンリョウ</t>
    </rPh>
    <rPh sb="17" eb="19">
      <t>シュウリョウ</t>
    </rPh>
    <rPh sb="23" eb="25">
      <t>タンイ</t>
    </rPh>
    <rPh sb="39" eb="41">
      <t>カンリ</t>
    </rPh>
    <rPh sb="43" eb="45">
      <t>キノウ</t>
    </rPh>
    <rPh sb="46" eb="48">
      <t>グビ</t>
    </rPh>
    <phoneticPr fontId="31"/>
  </si>
  <si>
    <t xml:space="preserve">前受金の発生、残高、消込を管理する機能を具備しております。
</t>
    <rPh sb="0" eb="3">
      <t>マエウケキン</t>
    </rPh>
    <rPh sb="4" eb="6">
      <t>ハッセイ</t>
    </rPh>
    <rPh sb="7" eb="9">
      <t>ザンダカ</t>
    </rPh>
    <rPh sb="10" eb="12">
      <t>ケシコミ</t>
    </rPh>
    <rPh sb="13" eb="15">
      <t>カンリ</t>
    </rPh>
    <rPh sb="17" eb="19">
      <t>キノウ</t>
    </rPh>
    <rPh sb="20" eb="22">
      <t>グビ</t>
    </rPh>
    <phoneticPr fontId="31"/>
  </si>
  <si>
    <t>確定期間の設定、在庫の再引当機能、
需要に対する優先順位付け機能を具備しております。
また、定期的な引当見直しは特定条件下で実行が可能です。
MRPは任意のタイミングで、月次処理と相互に干渉なく実行することができます。
生産計画入力は即時反映され、資材展開・所要量確認ができます。
仮計画ベースでのMRPシミュレーション、先行手配品の所要量計算にも対応しております。
子部品からの逆展開について、BOM展開と在庫情報の組み合わせによる間接的な確認が可能です。</t>
    <rPh sb="33" eb="35">
      <t>グビ</t>
    </rPh>
    <rPh sb="48" eb="49">
      <t>テキ</t>
    </rPh>
    <rPh sb="65" eb="67">
      <t>カノウ</t>
    </rPh>
    <rPh sb="76" eb="78">
      <t>ニンイ</t>
    </rPh>
    <rPh sb="86" eb="88">
      <t>ゲツジ</t>
    </rPh>
    <rPh sb="88" eb="90">
      <t>ショリ</t>
    </rPh>
    <rPh sb="91" eb="93">
      <t>ソウゴ</t>
    </rPh>
    <rPh sb="94" eb="96">
      <t>カンショウ</t>
    </rPh>
    <rPh sb="98" eb="100">
      <t>ジッコウ</t>
    </rPh>
    <rPh sb="111" eb="115">
      <t>セイサンケイカク</t>
    </rPh>
    <rPh sb="115" eb="117">
      <t>ニュウリョク</t>
    </rPh>
    <rPh sb="118" eb="120">
      <t>ソクジ</t>
    </rPh>
    <rPh sb="120" eb="122">
      <t>ハンエイ</t>
    </rPh>
    <rPh sb="125" eb="127">
      <t>シザイ</t>
    </rPh>
    <rPh sb="127" eb="129">
      <t>テンカイ</t>
    </rPh>
    <rPh sb="162" eb="166">
      <t>センコウテハイ</t>
    </rPh>
    <rPh sb="166" eb="167">
      <t>ヒン</t>
    </rPh>
    <rPh sb="168" eb="171">
      <t>ショヨウリョウ</t>
    </rPh>
    <rPh sb="171" eb="173">
      <t>ケイサン</t>
    </rPh>
    <rPh sb="175" eb="177">
      <t>タイオウ</t>
    </rPh>
    <rPh sb="186" eb="189">
      <t>コブヒン</t>
    </rPh>
    <rPh sb="192" eb="195">
      <t>ギャクテンカイ</t>
    </rPh>
    <phoneticPr fontId="31"/>
  </si>
  <si>
    <t>品目別の在庫照会機能を具備しております。
生産・販売・在庫で個別の推移確認が可能です。
複数のアプリケーションを効果的に組み合わせた運用により、入荷予定・生産予定・出荷予定を踏まえたPSI推移の照会が可能となり、実用的なレベルでのPSI推移管理が実現できます。</t>
    <rPh sb="0" eb="2">
      <t>ヒンモク</t>
    </rPh>
    <rPh sb="2" eb="3">
      <t>ベツ</t>
    </rPh>
    <rPh sb="4" eb="6">
      <t>ザイコ</t>
    </rPh>
    <rPh sb="6" eb="8">
      <t>ショウカイ</t>
    </rPh>
    <rPh sb="8" eb="10">
      <t>キノウ</t>
    </rPh>
    <rPh sb="11" eb="13">
      <t>グビ</t>
    </rPh>
    <rPh sb="21" eb="23">
      <t>セイサン</t>
    </rPh>
    <rPh sb="24" eb="26">
      <t>ハンバイ</t>
    </rPh>
    <rPh sb="27" eb="29">
      <t>ザイコ</t>
    </rPh>
    <rPh sb="30" eb="32">
      <t>コベツ</t>
    </rPh>
    <rPh sb="33" eb="35">
      <t>スイイ</t>
    </rPh>
    <rPh sb="35" eb="37">
      <t>カクニン</t>
    </rPh>
    <rPh sb="38" eb="40">
      <t>カノウ</t>
    </rPh>
    <phoneticPr fontId="31"/>
  </si>
  <si>
    <t>A</t>
    <phoneticPr fontId="31"/>
  </si>
  <si>
    <t>仕入先よりEDI経由で納入予定データを受信する</t>
    <phoneticPr fontId="31"/>
  </si>
  <si>
    <t>B</t>
    <phoneticPr fontId="31"/>
  </si>
  <si>
    <t>BD9＋BKJに合わせて、仮請求伝票のワークフロー通せばいけそう。実機触った結果承認だけ謎に飛ばないけどアプリはある。</t>
    <rPh sb="8" eb="9">
      <t>ア</t>
    </rPh>
    <rPh sb="13" eb="18">
      <t>カリセイキュウデ</t>
    </rPh>
    <rPh sb="25" eb="26">
      <t>トオ</t>
    </rPh>
    <rPh sb="33" eb="35">
      <t>ジッキ</t>
    </rPh>
    <rPh sb="35" eb="36">
      <t>サワ</t>
    </rPh>
    <rPh sb="38" eb="40">
      <t>ケッカ</t>
    </rPh>
    <rPh sb="40" eb="42">
      <t>ショウニン</t>
    </rPh>
    <rPh sb="44" eb="45">
      <t>ナゾ</t>
    </rPh>
    <rPh sb="46" eb="47">
      <t>ト</t>
    </rPh>
    <phoneticPr fontId="31"/>
  </si>
  <si>
    <t>SAP Business Network</t>
    <phoneticPr fontId="31"/>
  </si>
  <si>
    <t>以下の機能を具備しております。
・受入処理（入庫）および仕入処理（請求書照合または自動振替）の会計仕訳のリアルタイム自動生成
・請求書照合不要の「支払通知書」運用
・仕入先ごとの柔軟な税・外貨対応</t>
    <rPh sb="0" eb="2">
      <t>イカ</t>
    </rPh>
    <rPh sb="3" eb="5">
      <t>キノウ</t>
    </rPh>
    <rPh sb="6" eb="8">
      <t>グビ</t>
    </rPh>
    <phoneticPr fontId="31"/>
  </si>
  <si>
    <t>無償支給・有償支給ともに標準機能を具備しております。
MRP連動の支給数算出、支給指示、有償支給に対する債権相殺まで対応しております。</t>
    <rPh sb="0" eb="2">
      <t>ムショウ</t>
    </rPh>
    <rPh sb="2" eb="4">
      <t>シキュウ</t>
    </rPh>
    <rPh sb="5" eb="7">
      <t>ユウショウ</t>
    </rPh>
    <rPh sb="7" eb="9">
      <t>シキュウ</t>
    </rPh>
    <rPh sb="14" eb="16">
      <t>キノウ</t>
    </rPh>
    <rPh sb="17" eb="19">
      <t>グビ</t>
    </rPh>
    <rPh sb="44" eb="48">
      <t>ユウショウシキュウ</t>
    </rPh>
    <rPh sb="49" eb="50">
      <t>タイ</t>
    </rPh>
    <phoneticPr fontId="31"/>
  </si>
  <si>
    <t>ラベル印刷(F1563)
Scope　Item：3HQ</t>
    <rPh sb="3" eb="5">
      <t>インサツ</t>
    </rPh>
    <phoneticPr fontId="31"/>
  </si>
  <si>
    <t>C</t>
    <phoneticPr fontId="31"/>
  </si>
  <si>
    <t>月次生産計画を立案するために、生産実績を反映する</t>
    <phoneticPr fontId="31"/>
  </si>
  <si>
    <t>支払通知書を出力する
（外貨も扱えること）
※Invoice要件を含まれる</t>
    <phoneticPr fontId="31"/>
  </si>
  <si>
    <t>検収通知書（支払通知書）出力</t>
    <phoneticPr fontId="31"/>
  </si>
  <si>
    <t>製品を作るために必要な部材を多階層で一覧出力する機能を具備しております。</t>
    <rPh sb="24" eb="26">
      <t>キノウ</t>
    </rPh>
    <rPh sb="27" eb="29">
      <t>グビ</t>
    </rPh>
    <phoneticPr fontId="31"/>
  </si>
  <si>
    <t>製造指示書をは出力する</t>
    <phoneticPr fontId="31"/>
  </si>
  <si>
    <t>製造指図書の出力機能を具備しております。</t>
    <rPh sb="0" eb="2">
      <t>セイゾウ</t>
    </rPh>
    <rPh sb="2" eb="5">
      <t>サシズショ</t>
    </rPh>
    <rPh sb="6" eb="8">
      <t>シュツリョク</t>
    </rPh>
    <rPh sb="8" eb="10">
      <t>キノウ</t>
    </rPh>
    <rPh sb="11" eb="13">
      <t>グビ</t>
    </rPh>
    <phoneticPr fontId="31"/>
  </si>
  <si>
    <t>ピッキングリストを出力する</t>
    <phoneticPr fontId="31"/>
  </si>
  <si>
    <t>出荷伝票、生産計画からのピッキングリストの出力機能を具備しております。</t>
    <rPh sb="0" eb="2">
      <t>シュッカ</t>
    </rPh>
    <rPh sb="2" eb="4">
      <t>デンピョウ</t>
    </rPh>
    <rPh sb="5" eb="9">
      <t>セイサンケイカク</t>
    </rPh>
    <rPh sb="21" eb="23">
      <t>シュツリョク</t>
    </rPh>
    <rPh sb="23" eb="25">
      <t>キノウ</t>
    </rPh>
    <rPh sb="26" eb="28">
      <t>グビ</t>
    </rPh>
    <phoneticPr fontId="31"/>
  </si>
  <si>
    <t xml:space="preserve">支払仕訳情報において、外貨および法貨を表示する機能を具備しております。
</t>
    <rPh sb="0" eb="2">
      <t>シハライ</t>
    </rPh>
    <rPh sb="2" eb="4">
      <t>シワケ</t>
    </rPh>
    <rPh sb="4" eb="6">
      <t>ジョウホウ</t>
    </rPh>
    <rPh sb="11" eb="13">
      <t>ガイカ</t>
    </rPh>
    <rPh sb="16" eb="18">
      <t>ホウカ</t>
    </rPh>
    <rPh sb="19" eb="21">
      <t>ヒョウジ</t>
    </rPh>
    <rPh sb="23" eb="25">
      <t>キノウ</t>
    </rPh>
    <rPh sb="26" eb="28">
      <t>グビ</t>
    </rPh>
    <phoneticPr fontId="31"/>
  </si>
  <si>
    <t>仕入違算の修正結果を反映する</t>
    <phoneticPr fontId="31"/>
  </si>
  <si>
    <t>出荷伝票、生産計画からのピッキングリストの出力機能を具備しております。</t>
  </si>
  <si>
    <t>作業時間、機械稼働時間、人数、面積などの配賦基準を指標として設定し、配分管理機能により直接費・間接費を各製品に自動配分する機能を具備しております。</t>
    <rPh sb="61" eb="63">
      <t>キノウ</t>
    </rPh>
    <rPh sb="64" eb="66">
      <t>グビ</t>
    </rPh>
    <phoneticPr fontId="31"/>
  </si>
  <si>
    <t xml:space="preserve">品目属性を登録する項目を標準で具備しております。
また、必要な情報が標準項目にない場合、汎用的な項目を追加する機能も具備しております。
</t>
    <rPh sb="0" eb="2">
      <t>ヒンモク</t>
    </rPh>
    <rPh sb="2" eb="4">
      <t>ゾクセイ</t>
    </rPh>
    <rPh sb="5" eb="7">
      <t>トウロク</t>
    </rPh>
    <rPh sb="9" eb="11">
      <t>コウモク</t>
    </rPh>
    <rPh sb="12" eb="14">
      <t>ヒョウジュン</t>
    </rPh>
    <rPh sb="15" eb="17">
      <t>グビ</t>
    </rPh>
    <rPh sb="29" eb="31">
      <t>ヒツヨウ</t>
    </rPh>
    <rPh sb="32" eb="34">
      <t>ジョウホウ</t>
    </rPh>
    <rPh sb="35" eb="37">
      <t>ヒョウジュン</t>
    </rPh>
    <rPh sb="37" eb="39">
      <t>コウモク</t>
    </rPh>
    <rPh sb="42" eb="44">
      <t>バアイ</t>
    </rPh>
    <rPh sb="45" eb="48">
      <t>ハンヨウテキ</t>
    </rPh>
    <rPh sb="49" eb="51">
      <t>コウモク</t>
    </rPh>
    <rPh sb="52" eb="54">
      <t>ツイカ</t>
    </rPh>
    <rPh sb="56" eb="58">
      <t>キノウ</t>
    </rPh>
    <rPh sb="59" eb="61">
      <t>グビ</t>
    </rPh>
    <phoneticPr fontId="31"/>
  </si>
  <si>
    <t>品目ごとの標準単価は期間別に設定・履歴管理機能、工程ごとの標準賃率の管理機能を具備しております。</t>
    <rPh sb="21" eb="23">
      <t>キノウ</t>
    </rPh>
    <rPh sb="36" eb="38">
      <t>キノウ</t>
    </rPh>
    <rPh sb="39" eb="41">
      <t>グビ</t>
    </rPh>
    <phoneticPr fontId="31"/>
  </si>
  <si>
    <t>品目評価管理</t>
    <rPh sb="0" eb="2">
      <t>ヒンモク</t>
    </rPh>
    <rPh sb="2" eb="4">
      <t>ヒョウカ</t>
    </rPh>
    <rPh sb="4" eb="6">
      <t>カンリ</t>
    </rPh>
    <phoneticPr fontId="31"/>
  </si>
  <si>
    <t>2QL</t>
    <phoneticPr fontId="31"/>
  </si>
  <si>
    <t>期間内（通常月単位）の実際原価に基づいて各物料の周期単位価格を計算し、その実際価格を用いて期末在庫を再評価する機能が標準で提供されています。</t>
    <phoneticPr fontId="31"/>
  </si>
  <si>
    <t>「ユニバーサルジャーナル 」という統合アーキテクチャを採用しており、財務会計の勘定科目の中に管理会計用の「原価要素」を包含した費目を設定する機能を具備しております。</t>
    <rPh sb="66" eb="68">
      <t>セッテイ</t>
    </rPh>
    <phoneticPr fontId="31"/>
  </si>
  <si>
    <t>C</t>
    <phoneticPr fontId="31"/>
  </si>
  <si>
    <t>製品や製造指図への自動配賦に対応する共通配分機能を具備しております。</t>
    <rPh sb="14" eb="16">
      <t>タイオウ</t>
    </rPh>
    <rPh sb="25" eb="27">
      <t>グビ</t>
    </rPh>
    <phoneticPr fontId="31"/>
  </si>
  <si>
    <t>月末時点の工程内在庫の進捗度を加味した仕掛品計算機能を具備しております。</t>
    <rPh sb="24" eb="26">
      <t>キノウ</t>
    </rPh>
    <rPh sb="27" eb="29">
      <t>グビ</t>
    </rPh>
    <phoneticPr fontId="31"/>
  </si>
  <si>
    <t xml:space="preserve">得意先種別や、顧客別数量別に対する販売単価を設定する機能を具備しております。
また、設定された単価は自動導出され、受注時に初期セットされます。
</t>
    <rPh sb="0" eb="3">
      <t>トクイサキ</t>
    </rPh>
    <rPh sb="3" eb="5">
      <t>シュベツ</t>
    </rPh>
    <rPh sb="7" eb="10">
      <t>コキャクベツ</t>
    </rPh>
    <rPh sb="10" eb="12">
      <t>スウリョウ</t>
    </rPh>
    <rPh sb="12" eb="13">
      <t>ベツ</t>
    </rPh>
    <rPh sb="14" eb="15">
      <t>タイ</t>
    </rPh>
    <rPh sb="17" eb="19">
      <t>ハンバイ</t>
    </rPh>
    <rPh sb="19" eb="21">
      <t>タンカ</t>
    </rPh>
    <rPh sb="22" eb="24">
      <t>セッテイ</t>
    </rPh>
    <rPh sb="26" eb="28">
      <t>キノウ</t>
    </rPh>
    <rPh sb="29" eb="31">
      <t>グビ</t>
    </rPh>
    <rPh sb="42" eb="44">
      <t>セッテイ</t>
    </rPh>
    <rPh sb="47" eb="49">
      <t>タンカ</t>
    </rPh>
    <rPh sb="50" eb="52">
      <t>ジドウ</t>
    </rPh>
    <rPh sb="52" eb="54">
      <t>ドウシュツ</t>
    </rPh>
    <rPh sb="57" eb="60">
      <t>ジュチュウジ</t>
    </rPh>
    <rPh sb="61" eb="63">
      <t>ショキ</t>
    </rPh>
    <phoneticPr fontId="31"/>
  </si>
  <si>
    <t>入力した入出庫予定をもとに、品番ごとの在庫推移（在庫残高・引当状況）を
将来日付までシミュレーションできること。</t>
    <phoneticPr fontId="31"/>
  </si>
  <si>
    <t>独立需要計画（PIR）機能を活用することで、販売予測や計画需要をMRP運算に反映させ、原材料需要量の計算に活用することができます。</t>
    <phoneticPr fontId="31"/>
  </si>
  <si>
    <t xml:space="preserve">インコタームズ（貿易条件）別に単価を設定する機能を具備しております。
また、設定された単価は自動導出され、受注時に初期セットされます。
</t>
    <rPh sb="8" eb="12">
      <t>ボウエキジョウケン</t>
    </rPh>
    <rPh sb="13" eb="14">
      <t>ベツ</t>
    </rPh>
    <rPh sb="15" eb="17">
      <t>タンカ</t>
    </rPh>
    <rPh sb="38" eb="40">
      <t>セッテイ</t>
    </rPh>
    <rPh sb="43" eb="45">
      <t>タンカ</t>
    </rPh>
    <rPh sb="46" eb="48">
      <t>ジドウ</t>
    </rPh>
    <rPh sb="48" eb="50">
      <t>ドウシュツ</t>
    </rPh>
    <rPh sb="53" eb="55">
      <t>ジュチュウ</t>
    </rPh>
    <rPh sb="55" eb="56">
      <t>ジ</t>
    </rPh>
    <rPh sb="57" eb="59">
      <t>ショキ</t>
    </rPh>
    <phoneticPr fontId="31"/>
  </si>
  <si>
    <t xml:space="preserve">取引先を親子管理する機能を具備しております。
</t>
    <rPh sb="0" eb="3">
      <t>トリヒキサキ</t>
    </rPh>
    <rPh sb="4" eb="6">
      <t>オヤコ</t>
    </rPh>
    <rPh sb="6" eb="8">
      <t>カンリ</t>
    </rPh>
    <rPh sb="10" eb="12">
      <t>キノウ</t>
    </rPh>
    <rPh sb="13" eb="15">
      <t>グビ</t>
    </rPh>
    <phoneticPr fontId="31"/>
  </si>
  <si>
    <t xml:space="preserve">法人に紐づく請求先・支払先は複数登録・設定する機能を具備しております。
</t>
    <rPh sb="0" eb="2">
      <t>ホウジン</t>
    </rPh>
    <rPh sb="3" eb="4">
      <t>ヒモ</t>
    </rPh>
    <rPh sb="6" eb="9">
      <t>セイキュウサキ</t>
    </rPh>
    <rPh sb="10" eb="13">
      <t>シハライサキ</t>
    </rPh>
    <rPh sb="14" eb="16">
      <t>フクスウ</t>
    </rPh>
    <rPh sb="16" eb="18">
      <t>トウロク</t>
    </rPh>
    <rPh sb="19" eb="21">
      <t>セッテイ</t>
    </rPh>
    <rPh sb="23" eb="25">
      <t>キノウ</t>
    </rPh>
    <rPh sb="26" eb="28">
      <t>グビ</t>
    </rPh>
    <phoneticPr fontId="31"/>
  </si>
  <si>
    <t>法人階層内において、請求先・与信先・支払先などの取引先を一元的に管理し、各業務（請求書発行・与信管理・支払処理）で適切な先を選択できること。</t>
    <phoneticPr fontId="31"/>
  </si>
  <si>
    <t>与信はどうか確認</t>
    <rPh sb="0" eb="2">
      <t>ヨシン</t>
    </rPh>
    <rPh sb="6" eb="8">
      <t>カクニン</t>
    </rPh>
    <phoneticPr fontId="31"/>
  </si>
  <si>
    <t>入出庫伝票概要</t>
    <rPh sb="0" eb="5">
      <t>ニュウシュッコデンピョウ</t>
    </rPh>
    <rPh sb="5" eb="7">
      <t>ガイヨウ</t>
    </rPh>
    <phoneticPr fontId="31"/>
  </si>
  <si>
    <t xml:space="preserve">与信限度額超過時、警告またはエラーを表示する機能を具備しております。
また、限度額超過時、承認処理を設定する機能も具備しております。
</t>
    <rPh sb="0" eb="2">
      <t>ヨシン</t>
    </rPh>
    <rPh sb="2" eb="4">
      <t>ゲンド</t>
    </rPh>
    <rPh sb="4" eb="5">
      <t>ガク</t>
    </rPh>
    <rPh sb="5" eb="7">
      <t>チョウカ</t>
    </rPh>
    <rPh sb="7" eb="8">
      <t>ジ</t>
    </rPh>
    <rPh sb="9" eb="11">
      <t>ケイコク</t>
    </rPh>
    <rPh sb="18" eb="20">
      <t>ヒョウジ</t>
    </rPh>
    <rPh sb="22" eb="24">
      <t>キノウ</t>
    </rPh>
    <rPh sb="25" eb="27">
      <t>グビ</t>
    </rPh>
    <rPh sb="38" eb="41">
      <t>ゲンドガク</t>
    </rPh>
    <rPh sb="41" eb="43">
      <t>チョウカ</t>
    </rPh>
    <rPh sb="43" eb="44">
      <t>ジ</t>
    </rPh>
    <rPh sb="45" eb="47">
      <t>ショウニン</t>
    </rPh>
    <rPh sb="47" eb="49">
      <t>ショリ</t>
    </rPh>
    <rPh sb="50" eb="52">
      <t>セッテイ</t>
    </rPh>
    <rPh sb="54" eb="56">
      <t>キノウ</t>
    </rPh>
    <rPh sb="57" eb="59">
      <t>グビ</t>
    </rPh>
    <phoneticPr fontId="31"/>
  </si>
  <si>
    <t>品目、日付にて入出庫伝票を抽出する機能を具備しております。</t>
    <rPh sb="0" eb="2">
      <t>ヒンモク</t>
    </rPh>
    <rPh sb="3" eb="5">
      <t>ヒヅケ</t>
    </rPh>
    <rPh sb="7" eb="12">
      <t>ニュウシュッコデンピョウ</t>
    </rPh>
    <rPh sb="13" eb="15">
      <t>チュウシュツ</t>
    </rPh>
    <rPh sb="17" eb="19">
      <t>キノウ</t>
    </rPh>
    <rPh sb="20" eb="22">
      <t>グビ</t>
    </rPh>
    <phoneticPr fontId="31"/>
  </si>
  <si>
    <t xml:space="preserve">外貨建て取引であっても、前受金を管理する機能を具備しております。
</t>
    <rPh sb="0" eb="3">
      <t>ガイカダテ</t>
    </rPh>
    <rPh sb="4" eb="6">
      <t>トリヒキ</t>
    </rPh>
    <rPh sb="12" eb="15">
      <t>マエウケキン</t>
    </rPh>
    <rPh sb="16" eb="18">
      <t>カンリ</t>
    </rPh>
    <rPh sb="20" eb="22">
      <t>キノウ</t>
    </rPh>
    <rPh sb="23" eb="25">
      <t>グビ</t>
    </rPh>
    <phoneticPr fontId="31"/>
  </si>
  <si>
    <t xml:space="preserve">受注時に与信限度チェックを行う機能を具備しております。
</t>
    <rPh sb="0" eb="3">
      <t>ジュチュウジ</t>
    </rPh>
    <rPh sb="4" eb="6">
      <t>ヨシン</t>
    </rPh>
    <rPh sb="6" eb="8">
      <t>ゲンド</t>
    </rPh>
    <rPh sb="13" eb="14">
      <t>オコナ</t>
    </rPh>
    <rPh sb="15" eb="17">
      <t>キノウ</t>
    </rPh>
    <rPh sb="18" eb="20">
      <t>グビ</t>
    </rPh>
    <phoneticPr fontId="31"/>
  </si>
  <si>
    <t xml:space="preserve">出荷時に与信限度チェックを行う機能を具備しております。
</t>
    <rPh sb="0" eb="2">
      <t>シュッカ</t>
    </rPh>
    <rPh sb="2" eb="3">
      <t>ジ</t>
    </rPh>
    <rPh sb="4" eb="6">
      <t>ヨシン</t>
    </rPh>
    <rPh sb="6" eb="8">
      <t>ゲンド</t>
    </rPh>
    <rPh sb="13" eb="14">
      <t>オコナ</t>
    </rPh>
    <rPh sb="15" eb="17">
      <t>キノウ</t>
    </rPh>
    <rPh sb="18" eb="20">
      <t>グビ</t>
    </rPh>
    <phoneticPr fontId="31"/>
  </si>
  <si>
    <t xml:space="preserve">締め日と回収先を検索条件とすることで、今回請求対象の一覧を確認する機能を具備しております。
また、対象一覧はExcel形式で出力いただけます。
</t>
    <rPh sb="0" eb="1">
      <t>シ</t>
    </rPh>
    <rPh sb="2" eb="3">
      <t>ビ</t>
    </rPh>
    <rPh sb="4" eb="6">
      <t>カイシュウ</t>
    </rPh>
    <rPh sb="6" eb="7">
      <t>サキ</t>
    </rPh>
    <rPh sb="8" eb="12">
      <t>ケンサクジョウケン</t>
    </rPh>
    <rPh sb="19" eb="21">
      <t>コンカイ</t>
    </rPh>
    <rPh sb="21" eb="23">
      <t>セイキュウ</t>
    </rPh>
    <rPh sb="23" eb="25">
      <t>タイショウ</t>
    </rPh>
    <rPh sb="26" eb="28">
      <t>イチラン</t>
    </rPh>
    <rPh sb="29" eb="31">
      <t>カクニン</t>
    </rPh>
    <rPh sb="33" eb="35">
      <t>キノウ</t>
    </rPh>
    <rPh sb="36" eb="38">
      <t>グビ</t>
    </rPh>
    <rPh sb="49" eb="51">
      <t>タイショウ</t>
    </rPh>
    <rPh sb="51" eb="53">
      <t>イチラン</t>
    </rPh>
    <rPh sb="59" eb="61">
      <t>ケイシキ</t>
    </rPh>
    <rPh sb="62" eb="64">
      <t>シュツリョク</t>
    </rPh>
    <phoneticPr fontId="31"/>
  </si>
  <si>
    <t xml:space="preserve">請求対象一覧をExcel形式で出力する機能を具備しておりますので、手動でのメール連絡をいただくことで実現可能です。
</t>
    <rPh sb="0" eb="2">
      <t>セイキュウ</t>
    </rPh>
    <rPh sb="2" eb="4">
      <t>タイショウ</t>
    </rPh>
    <rPh sb="4" eb="6">
      <t>イチラン</t>
    </rPh>
    <rPh sb="12" eb="14">
      <t>ケイシキ</t>
    </rPh>
    <rPh sb="15" eb="17">
      <t>シュツリョク</t>
    </rPh>
    <rPh sb="19" eb="21">
      <t>キノウ</t>
    </rPh>
    <rPh sb="22" eb="24">
      <t>グビ</t>
    </rPh>
    <rPh sb="33" eb="35">
      <t>シュドウ</t>
    </rPh>
    <rPh sb="40" eb="42">
      <t>レンラク</t>
    </rPh>
    <rPh sb="50" eb="52">
      <t>ジツゲン</t>
    </rPh>
    <rPh sb="52" eb="54">
      <t>カノウ</t>
    </rPh>
    <phoneticPr fontId="31"/>
  </si>
  <si>
    <t>回答の仕方あってるか怪しい</t>
    <rPh sb="0" eb="2">
      <t>カイトウ</t>
    </rPh>
    <rPh sb="3" eb="5">
      <t>シカタ</t>
    </rPh>
    <rPh sb="10" eb="11">
      <t>アヤ</t>
    </rPh>
    <phoneticPr fontId="31"/>
  </si>
  <si>
    <t xml:space="preserve">一部伝票を請求対象から除くように設定する機能を具備しております。
</t>
    <rPh sb="0" eb="2">
      <t>イチブ</t>
    </rPh>
    <rPh sb="2" eb="4">
      <t>デンピョウ</t>
    </rPh>
    <rPh sb="5" eb="7">
      <t>セイキュウ</t>
    </rPh>
    <rPh sb="7" eb="9">
      <t>タイショウ</t>
    </rPh>
    <rPh sb="11" eb="12">
      <t>ノゾ</t>
    </rPh>
    <rPh sb="16" eb="18">
      <t>セッテイ</t>
    </rPh>
    <rPh sb="20" eb="22">
      <t>キノウ</t>
    </rPh>
    <rPh sb="23" eb="25">
      <t>グビ</t>
    </rPh>
    <phoneticPr fontId="31"/>
  </si>
  <si>
    <t>ファイルサーバには置けない</t>
    <rPh sb="9" eb="10">
      <t>オ</t>
    </rPh>
    <phoneticPr fontId="31"/>
  </si>
  <si>
    <t xml:space="preserve">月次の締め請求書だけでなく、都度請求書を発行する機能を具備しております。
</t>
    <rPh sb="0" eb="2">
      <t>ゲツジ</t>
    </rPh>
    <rPh sb="3" eb="4">
      <t>シ</t>
    </rPh>
    <rPh sb="5" eb="8">
      <t>セイキュウショ</t>
    </rPh>
    <rPh sb="14" eb="16">
      <t>ツド</t>
    </rPh>
    <rPh sb="16" eb="19">
      <t>セイキュウショ</t>
    </rPh>
    <rPh sb="20" eb="22">
      <t>ハッコウ</t>
    </rPh>
    <rPh sb="24" eb="26">
      <t>キノウ</t>
    </rPh>
    <rPh sb="27" eb="29">
      <t>グビ</t>
    </rPh>
    <phoneticPr fontId="31"/>
  </si>
  <si>
    <t xml:space="preserve">得意先に対する未消込明細をExcel形式で出力する機能を具備しております。
</t>
    <rPh sb="0" eb="2">
      <t>トクイ</t>
    </rPh>
    <rPh sb="2" eb="3">
      <t>サキ</t>
    </rPh>
    <rPh sb="4" eb="5">
      <t>タイ</t>
    </rPh>
    <rPh sb="7" eb="10">
      <t>ミケシコミ</t>
    </rPh>
    <rPh sb="10" eb="12">
      <t>メイサイ</t>
    </rPh>
    <rPh sb="18" eb="20">
      <t>ケイシキ</t>
    </rPh>
    <rPh sb="21" eb="23">
      <t>シュツリョク</t>
    </rPh>
    <rPh sb="25" eb="27">
      <t>キノウ</t>
    </rPh>
    <rPh sb="28" eb="30">
      <t>グビ</t>
    </rPh>
    <phoneticPr fontId="31"/>
  </si>
  <si>
    <t xml:space="preserve">入金結果をシステムへ入力する機能を具備しております。
</t>
    <rPh sb="0" eb="2">
      <t>ニュウキン</t>
    </rPh>
    <rPh sb="2" eb="4">
      <t>ケッカ</t>
    </rPh>
    <rPh sb="10" eb="12">
      <t>ニュウリョク</t>
    </rPh>
    <rPh sb="14" eb="16">
      <t>キノウ</t>
    </rPh>
    <rPh sb="17" eb="19">
      <t>グビ</t>
    </rPh>
    <phoneticPr fontId="31"/>
  </si>
  <si>
    <t xml:space="preserve">FBデータの取込機能および、取込データと債権データの自動消込機能を具備しております。
また、消込照合時に振込手数料等の金額差異を設定する機能を具備しております。
また、一括・個別両方の消込機能を具備しております。
</t>
    <rPh sb="6" eb="8">
      <t>トリコミ</t>
    </rPh>
    <rPh sb="8" eb="10">
      <t>キノウ</t>
    </rPh>
    <rPh sb="14" eb="16">
      <t>トリコミ</t>
    </rPh>
    <rPh sb="20" eb="22">
      <t>サイケン</t>
    </rPh>
    <rPh sb="26" eb="28">
      <t>ジドウ</t>
    </rPh>
    <rPh sb="28" eb="30">
      <t>ケシコミ</t>
    </rPh>
    <rPh sb="30" eb="32">
      <t>キノウ</t>
    </rPh>
    <rPh sb="33" eb="35">
      <t>グビ</t>
    </rPh>
    <rPh sb="46" eb="48">
      <t>ケシコミ</t>
    </rPh>
    <rPh sb="48" eb="50">
      <t>ショウゴウ</t>
    </rPh>
    <rPh sb="50" eb="51">
      <t>ジ</t>
    </rPh>
    <rPh sb="52" eb="57">
      <t>フリコミテスウリョウ</t>
    </rPh>
    <rPh sb="57" eb="58">
      <t>トウ</t>
    </rPh>
    <rPh sb="59" eb="61">
      <t>キンガク</t>
    </rPh>
    <rPh sb="61" eb="63">
      <t>サイ</t>
    </rPh>
    <rPh sb="64" eb="66">
      <t>セッテイ</t>
    </rPh>
    <rPh sb="68" eb="70">
      <t>キノウ</t>
    </rPh>
    <rPh sb="71" eb="73">
      <t>グビ</t>
    </rPh>
    <rPh sb="84" eb="86">
      <t>イッカツ</t>
    </rPh>
    <rPh sb="87" eb="89">
      <t>コベツ</t>
    </rPh>
    <rPh sb="89" eb="91">
      <t>リョウホウ</t>
    </rPh>
    <rPh sb="92" eb="94">
      <t>ケシコミ</t>
    </rPh>
    <rPh sb="94" eb="96">
      <t>キノウ</t>
    </rPh>
    <rPh sb="97" eb="99">
      <t>グビ</t>
    </rPh>
    <phoneticPr fontId="31"/>
  </si>
  <si>
    <t xml:space="preserve">仕入処理と同時に自動的に会計仕訳が生成される機能を具備しております。
</t>
    <rPh sb="0" eb="2">
      <t>シイレ</t>
    </rPh>
    <rPh sb="2" eb="4">
      <t>ショリ</t>
    </rPh>
    <rPh sb="5" eb="7">
      <t>ドウジ</t>
    </rPh>
    <rPh sb="8" eb="11">
      <t>ジドウテキ</t>
    </rPh>
    <rPh sb="12" eb="14">
      <t>カイケイ</t>
    </rPh>
    <rPh sb="14" eb="16">
      <t>シワケ</t>
    </rPh>
    <rPh sb="17" eb="19">
      <t>セイセイ</t>
    </rPh>
    <rPh sb="22" eb="24">
      <t>キノウ</t>
    </rPh>
    <rPh sb="25" eb="27">
      <t>グビ</t>
    </rPh>
    <phoneticPr fontId="31"/>
  </si>
  <si>
    <t xml:space="preserve">支払に対する一覧表をPDF形式で出力する機能を具備しております。
</t>
    <rPh sb="0" eb="2">
      <t>シハライ</t>
    </rPh>
    <rPh sb="3" eb="4">
      <t>タイ</t>
    </rPh>
    <rPh sb="6" eb="8">
      <t>イチラン</t>
    </rPh>
    <rPh sb="8" eb="9">
      <t>ヒョウ</t>
    </rPh>
    <rPh sb="13" eb="15">
      <t>ケイシキ</t>
    </rPh>
    <rPh sb="16" eb="18">
      <t>シュツリョク</t>
    </rPh>
    <rPh sb="20" eb="22">
      <t>キノウ</t>
    </rPh>
    <rPh sb="23" eb="25">
      <t>グビ</t>
    </rPh>
    <phoneticPr fontId="31"/>
  </si>
  <si>
    <t xml:space="preserve">全銀協フォーマットでのFBデータを出力する機能を具備しております。
</t>
    <rPh sb="0" eb="3">
      <t>ゼンギンキョウ</t>
    </rPh>
    <rPh sb="17" eb="19">
      <t>シュツリョク</t>
    </rPh>
    <rPh sb="21" eb="23">
      <t>キノウ</t>
    </rPh>
    <rPh sb="24" eb="26">
      <t>グビ</t>
    </rPh>
    <phoneticPr fontId="31"/>
  </si>
  <si>
    <t xml:space="preserve">外貨取引の債務の消込機能を具備しております。
</t>
    <rPh sb="0" eb="2">
      <t>ガイカ</t>
    </rPh>
    <rPh sb="2" eb="4">
      <t>トリヒキ</t>
    </rPh>
    <rPh sb="5" eb="7">
      <t>サイム</t>
    </rPh>
    <rPh sb="8" eb="10">
      <t>ケシコミ</t>
    </rPh>
    <rPh sb="10" eb="12">
      <t>キノウ</t>
    </rPh>
    <rPh sb="13" eb="15">
      <t>グビ</t>
    </rPh>
    <phoneticPr fontId="31"/>
  </si>
  <si>
    <t xml:space="preserve">円貨取引の債務の消込機能を具備しております。
</t>
    <rPh sb="0" eb="2">
      <t>エンカ</t>
    </rPh>
    <rPh sb="2" eb="4">
      <t>トリヒキ</t>
    </rPh>
    <rPh sb="5" eb="7">
      <t>サイム</t>
    </rPh>
    <rPh sb="8" eb="10">
      <t>ケシコミ</t>
    </rPh>
    <rPh sb="10" eb="12">
      <t>キノウ</t>
    </rPh>
    <rPh sb="13" eb="15">
      <t>グビ</t>
    </rPh>
    <phoneticPr fontId="31"/>
  </si>
  <si>
    <t xml:space="preserve">債権債務ともに残高確認書を出力する機能を具備しております。
</t>
    <rPh sb="0" eb="2">
      <t>サイケン</t>
    </rPh>
    <rPh sb="2" eb="4">
      <t>サイム</t>
    </rPh>
    <rPh sb="7" eb="9">
      <t>ザンダカ</t>
    </rPh>
    <rPh sb="9" eb="11">
      <t>カクニン</t>
    </rPh>
    <rPh sb="11" eb="12">
      <t>ショ</t>
    </rPh>
    <rPh sb="13" eb="15">
      <t>シュツリョク</t>
    </rPh>
    <rPh sb="17" eb="19">
      <t>キノウ</t>
    </rPh>
    <rPh sb="20" eb="22">
      <t>グビ</t>
    </rPh>
    <phoneticPr fontId="31"/>
  </si>
  <si>
    <t xml:space="preserve">手形の決済処理を行う機能を具備しております。
</t>
    <rPh sb="0" eb="2">
      <t>テガタ</t>
    </rPh>
    <rPh sb="3" eb="7">
      <t>ケッサイショリ</t>
    </rPh>
    <rPh sb="8" eb="9">
      <t>オコナ</t>
    </rPh>
    <rPh sb="10" eb="12">
      <t>キノウ</t>
    </rPh>
    <phoneticPr fontId="31"/>
  </si>
  <si>
    <t xml:space="preserve">支払方法「電子記録債権（債務）」を設定する機能を具備しております。
</t>
    <rPh sb="0" eb="4">
      <t>シハライホウホウ</t>
    </rPh>
    <rPh sb="5" eb="11">
      <t>デンシ</t>
    </rPh>
    <rPh sb="12" eb="14">
      <t>サイム</t>
    </rPh>
    <rPh sb="17" eb="19">
      <t>セッテイ</t>
    </rPh>
    <rPh sb="21" eb="23">
      <t>キノウ</t>
    </rPh>
    <rPh sb="24" eb="27">
      <t>グビ</t>
    </rPh>
    <phoneticPr fontId="31"/>
  </si>
  <si>
    <t xml:space="preserve">品目マスタ登録時、品目コードを自動的に連番を採番する機能を具備しております。
</t>
    <rPh sb="0" eb="2">
      <t>ヒンモク</t>
    </rPh>
    <rPh sb="5" eb="7">
      <t>トウロク</t>
    </rPh>
    <rPh sb="7" eb="8">
      <t>ジ</t>
    </rPh>
    <rPh sb="9" eb="11">
      <t>ヒンモク</t>
    </rPh>
    <rPh sb="15" eb="18">
      <t>ジドウテキ</t>
    </rPh>
    <rPh sb="19" eb="21">
      <t>レンバン</t>
    </rPh>
    <rPh sb="22" eb="24">
      <t>サイバン</t>
    </rPh>
    <rPh sb="26" eb="28">
      <t>キノウ</t>
    </rPh>
    <rPh sb="29" eb="31">
      <t>グビ</t>
    </rPh>
    <phoneticPr fontId="31"/>
  </si>
  <si>
    <t xml:space="preserve">汎用的な項目を追加する機能を具備しておりますので、品目マスタの付加情報（属性）を設定いただけます。
</t>
    <rPh sb="0" eb="3">
      <t>ハンヨウテキ</t>
    </rPh>
    <rPh sb="4" eb="6">
      <t>コウモク</t>
    </rPh>
    <rPh sb="7" eb="9">
      <t>ツイカ</t>
    </rPh>
    <rPh sb="11" eb="13">
      <t>キノウ</t>
    </rPh>
    <rPh sb="14" eb="16">
      <t>グビ</t>
    </rPh>
    <rPh sb="25" eb="27">
      <t>ヒンモク</t>
    </rPh>
    <rPh sb="31" eb="33">
      <t>フカ</t>
    </rPh>
    <rPh sb="33" eb="35">
      <t>ジョウホウ</t>
    </rPh>
    <rPh sb="36" eb="38">
      <t>ゾクセイ</t>
    </rPh>
    <rPh sb="40" eb="42">
      <t>セッテイ</t>
    </rPh>
    <phoneticPr fontId="31"/>
  </si>
  <si>
    <t xml:space="preserve">単価の適用開始日・終了日を設定する機能を具備しております。
</t>
    <rPh sb="0" eb="2">
      <t>タンカ</t>
    </rPh>
    <rPh sb="3" eb="5">
      <t>テキヨウ</t>
    </rPh>
    <rPh sb="5" eb="8">
      <t>カイシビ</t>
    </rPh>
    <rPh sb="9" eb="12">
      <t>シュウリョウビ</t>
    </rPh>
    <rPh sb="13" eb="15">
      <t>セッテイ</t>
    </rPh>
    <rPh sb="17" eb="19">
      <t>キノウ</t>
    </rPh>
    <rPh sb="20" eb="22">
      <t>グビ</t>
    </rPh>
    <phoneticPr fontId="31"/>
  </si>
  <si>
    <t xml:space="preserve">単価の適用開始日・終了日を複数設定する機能を具備しております。
期日になりますと、自動で参照する単価が切り替わります。
</t>
    <rPh sb="0" eb="2">
      <t>タンカ</t>
    </rPh>
    <rPh sb="3" eb="5">
      <t>テキヨウ</t>
    </rPh>
    <rPh sb="5" eb="8">
      <t>カイシビ</t>
    </rPh>
    <rPh sb="9" eb="12">
      <t>シュウリョウビ</t>
    </rPh>
    <rPh sb="13" eb="15">
      <t>フクスウ</t>
    </rPh>
    <rPh sb="15" eb="17">
      <t>セッテイ</t>
    </rPh>
    <rPh sb="19" eb="21">
      <t>キノウ</t>
    </rPh>
    <rPh sb="22" eb="24">
      <t>グビ</t>
    </rPh>
    <rPh sb="32" eb="34">
      <t>キジツ</t>
    </rPh>
    <rPh sb="41" eb="43">
      <t>ジドウ</t>
    </rPh>
    <rPh sb="44" eb="46">
      <t>サンショウ</t>
    </rPh>
    <rPh sb="48" eb="50">
      <t>タンカ</t>
    </rPh>
    <rPh sb="51" eb="52">
      <t>キ</t>
    </rPh>
    <rPh sb="53" eb="54">
      <t>カ</t>
    </rPh>
    <phoneticPr fontId="31"/>
  </si>
  <si>
    <t xml:space="preserve">単価マスタでは過去の単価を履歴として保持する機能を具備しております。
また、顧客別・品目別といった個別に単価を設定・保持する機能も具備しております。
</t>
    <rPh sb="0" eb="2">
      <t>タンカ</t>
    </rPh>
    <rPh sb="7" eb="9">
      <t>カコ</t>
    </rPh>
    <rPh sb="10" eb="12">
      <t>タンカ</t>
    </rPh>
    <rPh sb="13" eb="15">
      <t>リレキ</t>
    </rPh>
    <rPh sb="18" eb="20">
      <t>ホジ</t>
    </rPh>
    <rPh sb="22" eb="24">
      <t>キノウ</t>
    </rPh>
    <rPh sb="25" eb="27">
      <t>グビ</t>
    </rPh>
    <rPh sb="38" eb="41">
      <t>コキャクベツ</t>
    </rPh>
    <rPh sb="42" eb="45">
      <t>ヒンモクベツ</t>
    </rPh>
    <rPh sb="49" eb="51">
      <t>コベツ</t>
    </rPh>
    <rPh sb="52" eb="54">
      <t>タンカ</t>
    </rPh>
    <rPh sb="55" eb="57">
      <t>セッテイ</t>
    </rPh>
    <rPh sb="58" eb="60">
      <t>ホジ</t>
    </rPh>
    <rPh sb="62" eb="64">
      <t>キノウ</t>
    </rPh>
    <rPh sb="65" eb="68">
      <t>グビ</t>
    </rPh>
    <phoneticPr fontId="31"/>
  </si>
  <si>
    <t>安全在庫を下回る場合の自動検出・通知機能を具備しております。</t>
    <rPh sb="21" eb="23">
      <t>グビ</t>
    </rPh>
    <phoneticPr fontId="31"/>
  </si>
  <si>
    <t>状況処理</t>
    <rPh sb="0" eb="2">
      <t>ジョウキョウ</t>
    </rPh>
    <rPh sb="2" eb="4">
      <t>ショリ</t>
    </rPh>
    <phoneticPr fontId="31"/>
  </si>
  <si>
    <t xml:space="preserve">与信限度額に対して使用率（与信残）を確認する機能を具備しております。
</t>
    <rPh sb="0" eb="2">
      <t>ヨシン</t>
    </rPh>
    <rPh sb="2" eb="4">
      <t>ゲンド</t>
    </rPh>
    <rPh sb="4" eb="5">
      <t>ガク</t>
    </rPh>
    <rPh sb="6" eb="7">
      <t>タイ</t>
    </rPh>
    <rPh sb="9" eb="11">
      <t>シヨウ</t>
    </rPh>
    <rPh sb="11" eb="12">
      <t>リツ</t>
    </rPh>
    <rPh sb="13" eb="15">
      <t>ヨシン</t>
    </rPh>
    <rPh sb="15" eb="16">
      <t>ザン</t>
    </rPh>
    <rPh sb="18" eb="20">
      <t>カクニン</t>
    </rPh>
    <rPh sb="22" eb="24">
      <t>キノウ</t>
    </rPh>
    <rPh sb="25" eb="27">
      <t>グビ</t>
    </rPh>
    <phoneticPr fontId="31"/>
  </si>
  <si>
    <t>Scope Item: 18J</t>
    <phoneticPr fontId="31"/>
  </si>
  <si>
    <t>出荷指示書に必要な情報（長文コメント等）を追加できること</t>
    <phoneticPr fontId="31"/>
  </si>
  <si>
    <t>ケースマーク、ドライバー受領書などの関連ファイルを出荷指示書に添付できること</t>
    <phoneticPr fontId="31"/>
  </si>
  <si>
    <t>ケースマーク・ドライバー受領書等のファイルを出荷伝票に添付することは可能ですが、選択的な添付ファイル送信機能には制限があるため、運用ルールでの補完や段階的な機能拡張を検討することを推奨します。</t>
    <phoneticPr fontId="31"/>
  </si>
  <si>
    <t>貸出後に返却されず売却となる場合、売上計上基準に従い、値引き価格で売上登録できること</t>
    <phoneticPr fontId="31"/>
  </si>
  <si>
    <t>構成マスタ</t>
    <phoneticPr fontId="31"/>
  </si>
  <si>
    <t>1IU</t>
    <phoneticPr fontId="31"/>
  </si>
  <si>
    <t>得意先預託品管理の機能を具備しております。</t>
    <rPh sb="0" eb="3">
      <t>トクイサキ</t>
    </rPh>
    <rPh sb="3" eb="6">
      <t>ヨタクヒン</t>
    </rPh>
    <rPh sb="6" eb="8">
      <t>カンリ</t>
    </rPh>
    <rPh sb="9" eb="11">
      <t>キノウ</t>
    </rPh>
    <rPh sb="12" eb="14">
      <t>グビ</t>
    </rPh>
    <phoneticPr fontId="31"/>
  </si>
  <si>
    <t>貸出後に返却された品目をB級品としてステータス管理できること</t>
    <phoneticPr fontId="31"/>
  </si>
  <si>
    <t>預託在庫から自社倉庫へ戻す「預託品引取」のステップにおいて、入庫時の在庫ステータスを指定する機能を具備しております。</t>
    <rPh sb="46" eb="48">
      <t>キノウ</t>
    </rPh>
    <rPh sb="49" eb="51">
      <t>グビ</t>
    </rPh>
    <phoneticPr fontId="31"/>
  </si>
  <si>
    <t xml:space="preserve">支払手形の一覧をPDF形式で出力する機能を具備しております。
</t>
    <rPh sb="0" eb="4">
      <t>シハライテガタ</t>
    </rPh>
    <rPh sb="5" eb="7">
      <t>イチラン</t>
    </rPh>
    <rPh sb="11" eb="13">
      <t>ケイシキ</t>
    </rPh>
    <rPh sb="14" eb="16">
      <t>シュツリョク</t>
    </rPh>
    <rPh sb="18" eb="20">
      <t>キノウ</t>
    </rPh>
    <rPh sb="21" eb="23">
      <t>グビ</t>
    </rPh>
    <phoneticPr fontId="31"/>
  </si>
  <si>
    <t>標準</t>
    <rPh sb="0" eb="2">
      <t>ヒョウジュン</t>
    </rPh>
    <phoneticPr fontId="31"/>
  </si>
  <si>
    <t>B級品在庫の数量・場所・ステータスを把握できること</t>
    <phoneticPr fontId="31"/>
  </si>
  <si>
    <t>ロット番号で個体識別を行うことにより、その状態や所在を正確に管理・追跡することが可能です。</t>
    <phoneticPr fontId="31"/>
  </si>
  <si>
    <t>返却されたB級品については、入庫時に「保留在庫」などのステータスを割り当て、ロット番号で個体識別を行うことにより、その状態や所在を正確に管理・追跡することが可能です。</t>
    <phoneticPr fontId="31"/>
  </si>
  <si>
    <t>輸出帳票において品目などを英語表記で出力できること</t>
    <phoneticPr fontId="31"/>
  </si>
  <si>
    <t>品目テキストや帳票ラベルを英語に動的に切り替えて発行する機能を具備しております。</t>
    <rPh sb="28" eb="30">
      <t>キノウ</t>
    </rPh>
    <rPh sb="31" eb="33">
      <t>グビ</t>
    </rPh>
    <phoneticPr fontId="31"/>
  </si>
  <si>
    <t>得意先品目管理機能を具備しております。</t>
    <rPh sb="0" eb="5">
      <t>トクイサキヒンモク</t>
    </rPh>
    <rPh sb="5" eb="7">
      <t>カンリ</t>
    </rPh>
    <rPh sb="7" eb="9">
      <t>キノウ</t>
    </rPh>
    <rPh sb="10" eb="12">
      <t>グビ</t>
    </rPh>
    <phoneticPr fontId="31"/>
  </si>
  <si>
    <t>インボイスデータを出力し、仲介貿易申請書および輸出等申請書に転用できること</t>
    <phoneticPr fontId="31"/>
  </si>
  <si>
    <t>3国間取引における輸入者へ直送ができること</t>
    <phoneticPr fontId="31"/>
  </si>
  <si>
    <t>返品時に Credit Note を出力できること</t>
    <phoneticPr fontId="31"/>
  </si>
  <si>
    <t>クレジットメモ発行機能を具備しております。</t>
    <rPh sb="7" eb="9">
      <t>ハッコウ</t>
    </rPh>
    <rPh sb="9" eb="11">
      <t>キノウ</t>
    </rPh>
    <rPh sb="12" eb="14">
      <t>グビ</t>
    </rPh>
    <phoneticPr fontId="31"/>
  </si>
  <si>
    <t>売上以外の請求が必要な場合に Debit Note を出力できること</t>
    <phoneticPr fontId="31"/>
  </si>
  <si>
    <t>デビットメモ発行機能を具備しております。</t>
    <rPh sb="6" eb="8">
      <t>ハッコウ</t>
    </rPh>
    <rPh sb="8" eb="10">
      <t>キノウ</t>
    </rPh>
    <rPh sb="11" eb="13">
      <t>グビ</t>
    </rPh>
    <phoneticPr fontId="31"/>
  </si>
  <si>
    <t>在庫品以外の Invoice を出力できること</t>
    <phoneticPr fontId="31"/>
  </si>
  <si>
    <t>基本的な3国間取引の管理機能を具備しております。</t>
    <rPh sb="12" eb="14">
      <t>キノウ</t>
    </rPh>
    <rPh sb="15" eb="17">
      <t>グビ</t>
    </rPh>
    <phoneticPr fontId="31"/>
  </si>
  <si>
    <t>納品書および請求書において、ユーザが任意に選択した複数の品目を合算し、一行に集約表示できること</t>
    <phoneticPr fontId="31"/>
  </si>
  <si>
    <t>WBS要素で考える。コピーでいいのでは</t>
    <rPh sb="3" eb="5">
      <t>ヨウソ</t>
    </rPh>
    <rPh sb="6" eb="7">
      <t>カンガ</t>
    </rPh>
    <phoneticPr fontId="31"/>
  </si>
  <si>
    <t>品目別の在庫状況を画面に出力する
なお、現時点の在庫情報の照会だけでなく、
PSI（生産（Production）、販売（Sales）、在庫（Inventory））の推移を、将来の在庫推移（入荷予定・生産予定・出荷予定）を踏まえて、在庫推移が照会できること</t>
    <phoneticPr fontId="31"/>
  </si>
  <si>
    <t>保管場所ベースの在庫管理機能を具備しております。</t>
    <rPh sb="0" eb="2">
      <t>ホカン</t>
    </rPh>
    <rPh sb="2" eb="4">
      <t>バショ</t>
    </rPh>
    <rPh sb="12" eb="14">
      <t>キノウ</t>
    </rPh>
    <rPh sb="15" eb="17">
      <t>グビ</t>
    </rPh>
    <phoneticPr fontId="31"/>
  </si>
  <si>
    <t xml:space="preserve">在庫移動入力をもって移動完了とし、出荷日、納品日、送付先、送り状番号などの移動完了情報をシステム上で確認できること
</t>
    <phoneticPr fontId="31"/>
  </si>
  <si>
    <t>移動指示の登録から移動指示書の出力および在庫移動入力までをシステム上で一連の処理として実施できること</t>
    <phoneticPr fontId="31"/>
  </si>
  <si>
    <t>標準の倉庫管理機能により、移動指示の登録から指示書出力、在庫移動転記までの一連のプロセスを統合的に処理する機能を具備しております。</t>
    <rPh sb="53" eb="55">
      <t>キノウ</t>
    </rPh>
    <rPh sb="56" eb="58">
      <t>グビ</t>
    </rPh>
    <phoneticPr fontId="31"/>
  </si>
  <si>
    <t>移動指示伝票およびExcel依頼カードで代替している各種依頼（在庫改造依頼、滞留品検査、貸出処理）をシステム上で登録および管理できること</t>
    <phoneticPr fontId="31"/>
  </si>
  <si>
    <t>移動指示伝票、滞留品検査、貸出処理について標準機能を具備しております。
一度完成して在庫計上された製品に対して、追加の加工や修正が必要になった際のプロセスに対応しております。</t>
    <rPh sb="13" eb="17">
      <t>カシダシショリ</t>
    </rPh>
    <rPh sb="26" eb="28">
      <t>グビ</t>
    </rPh>
    <rPh sb="78" eb="80">
      <t>タイオウ</t>
    </rPh>
    <phoneticPr fontId="31"/>
  </si>
  <si>
    <t>在庫移動（入出庫確認）の入力を行うことで、そのステータスが「完了」となり、関連する日付や配送情報を伝票単位で一元管理する機能を具備しております。</t>
    <rPh sb="60" eb="62">
      <t>キノウ</t>
    </rPh>
    <rPh sb="63" eb="65">
      <t>グビ</t>
    </rPh>
    <phoneticPr fontId="31"/>
  </si>
  <si>
    <t>在庫移動をトリガーとして、あらかじめ設定した宛先に対し、電子メールを自動的に送信する仕組みが備わっています。</t>
    <rPh sb="22" eb="24">
      <t>アテサキ</t>
    </rPh>
    <phoneticPr fontId="31"/>
  </si>
  <si>
    <t>複数の売上計上基準を選択・適用でき、収益認識キーによる柔軟な制御に対応しております。</t>
    <rPh sb="33" eb="35">
      <t>タイオウ</t>
    </rPh>
    <phoneticPr fontId="31"/>
  </si>
  <si>
    <t>イベントベース収益認識機能により、業者出荷日、納品日、検収日のいずれかを売上計上日として選択・適用する、収益認識キーによる柔軟な制御機能を具備しております。</t>
    <rPh sb="66" eb="68">
      <t>キノウ</t>
    </rPh>
    <rPh sb="69" eb="71">
      <t>グビ</t>
    </rPh>
    <phoneticPr fontId="31"/>
  </si>
  <si>
    <t>工事を案件やプロジェクト単位で管理し、受発注、人件費、外注費、資材費などのコストを集計し、案件完了時に売上とコストをまとめて計上できること</t>
    <phoneticPr fontId="31"/>
  </si>
  <si>
    <t>工事案件のプロジェクト管理から受発注・コスト集計、案件完了時の売上・コスト一括計上まで包括的に対応する機能を具備しております。</t>
    <rPh sb="51" eb="53">
      <t>キノウ</t>
    </rPh>
    <rPh sb="54" eb="56">
      <t>グビ</t>
    </rPh>
    <phoneticPr fontId="31"/>
  </si>
  <si>
    <t>EPPM使用想定
WBS要素での原価集計機能に制約あり？
完成基準での収益認識設定要？</t>
    <rPh sb="4" eb="6">
      <t>シヨウ</t>
    </rPh>
    <rPh sb="6" eb="8">
      <t>ソウテイ</t>
    </rPh>
    <rPh sb="23" eb="25">
      <t>セイヤク</t>
    </rPh>
    <phoneticPr fontId="31"/>
  </si>
  <si>
    <t xml:space="preserve">各法人に対して与信限度額の設定をする機能を具備しております。
</t>
    <rPh sb="0" eb="3">
      <t>カクホウジン</t>
    </rPh>
    <rPh sb="4" eb="5">
      <t>タイ</t>
    </rPh>
    <rPh sb="7" eb="12">
      <t>ヨシンゲンドガク</t>
    </rPh>
    <rPh sb="13" eb="15">
      <t>セッテイ</t>
    </rPh>
    <rPh sb="18" eb="20">
      <t>キノウ</t>
    </rPh>
    <rPh sb="21" eb="23">
      <t>グビ</t>
    </rPh>
    <phoneticPr fontId="31"/>
  </si>
  <si>
    <t>BOM/工程手順に基づく下位から上位への原価積上計算を標準機能として具備しております。</t>
    <rPh sb="34" eb="36">
      <t>グビ</t>
    </rPh>
    <phoneticPr fontId="31"/>
  </si>
  <si>
    <t xml:space="preserve">各法人に対して与信限度額の設定をする機能を具備しております。
</t>
    <phoneticPr fontId="31"/>
  </si>
  <si>
    <t>複数の標準原価バージョンを同時に保持・管理する機能を具備しております。</t>
    <rPh sb="23" eb="25">
      <t>キノウ</t>
    </rPh>
    <rPh sb="26" eb="28">
      <t>グビ</t>
    </rPh>
    <phoneticPr fontId="31"/>
  </si>
  <si>
    <t>現場データに基づく正確な製品別加工費計算の標準機能を具備しております。</t>
    <rPh sb="26" eb="28">
      <t>グビ</t>
    </rPh>
    <phoneticPr fontId="31"/>
  </si>
  <si>
    <t>価格差異・数量差異・操業度差異などの差異要因を詳細に分解・分析する機能を具備しております。</t>
    <rPh sb="33" eb="35">
      <t>キノウ</t>
    </rPh>
    <rPh sb="36" eb="38">
      <t>グビ</t>
    </rPh>
    <phoneticPr fontId="31"/>
  </si>
  <si>
    <t>3F0：イベントベース加工費転記</t>
    <rPh sb="11" eb="16">
      <t>カコウヒテンキ</t>
    </rPh>
    <phoneticPr fontId="31"/>
  </si>
  <si>
    <t xml:space="preserve">プロジェクト管理を前提に回答いたします。
プロジェクト管理では、作成時にコピー機能を具備しておりますので、汎用的なプロジェクト構造を事前に登録いただくことで同じプロジェクト構造を繰り返して使用いただけます。
</t>
    <rPh sb="6" eb="8">
      <t>カンリ</t>
    </rPh>
    <rPh sb="9" eb="11">
      <t>ゼンテイ</t>
    </rPh>
    <rPh sb="12" eb="14">
      <t>カイトウ</t>
    </rPh>
    <rPh sb="27" eb="29">
      <t>カンリ</t>
    </rPh>
    <rPh sb="32" eb="35">
      <t>サクセイジ</t>
    </rPh>
    <phoneticPr fontId="31"/>
  </si>
  <si>
    <t xml:space="preserve">プロジェクト管理を前提に回答いたします。
作成（コピー）されたプロジェクトは案件ごとに編集いただけます。
</t>
    <rPh sb="6" eb="8">
      <t>カンリ</t>
    </rPh>
    <rPh sb="9" eb="11">
      <t>ゼンテイ</t>
    </rPh>
    <rPh sb="12" eb="14">
      <t>カイトウ</t>
    </rPh>
    <rPh sb="21" eb="23">
      <t>サクセイ</t>
    </rPh>
    <rPh sb="38" eb="40">
      <t>アンケン</t>
    </rPh>
    <rPh sb="43" eb="45">
      <t>ヘンシュウ</t>
    </rPh>
    <phoneticPr fontId="31"/>
  </si>
  <si>
    <t>標準の部品表/配合表の比較機能により類似製品の特定・比較が可能で、既存BOMのコピー・修正による新製品BOM作成機能、および品目原価見積機能を具備しております。</t>
    <rPh sb="56" eb="58">
      <t>キノウ</t>
    </rPh>
    <rPh sb="71" eb="73">
      <t>グビ</t>
    </rPh>
    <phoneticPr fontId="31"/>
  </si>
  <si>
    <t>連番176と同じ</t>
    <rPh sb="0" eb="2">
      <t>レンバン</t>
    </rPh>
    <rPh sb="6" eb="7">
      <t>オナ</t>
    </rPh>
    <phoneticPr fontId="31"/>
  </si>
  <si>
    <t>品目別注文残照会・引当状況照会を標準機能にて具備しております。
PSI推移の時系列分析機能については複数のアプリケーションを効果的に組み合わせた運用により、入荷予定・生産予定・出荷予定を踏まえたPSI推移の照会が可能となり、実用的なレベルで実現できます。</t>
    <rPh sb="22" eb="24">
      <t>グビ</t>
    </rPh>
    <phoneticPr fontId="31"/>
  </si>
  <si>
    <t>出力データを送信する</t>
    <phoneticPr fontId="31"/>
  </si>
  <si>
    <t>標準提供されている全銀協フォーマットおよび固有フォーマットへの対応を行う支払媒体書式機能を具備しております 。</t>
    <rPh sb="0" eb="4">
      <t>ヒョウジュンテイキョウ</t>
    </rPh>
    <rPh sb="36" eb="42">
      <t>シハライバイタイショシキ</t>
    </rPh>
    <rPh sb="42" eb="44">
      <t>キノウ</t>
    </rPh>
    <rPh sb="45" eb="47">
      <t>グビ</t>
    </rPh>
    <phoneticPr fontId="31"/>
  </si>
  <si>
    <t>貴社方針の「支払代行サービスの廃止・直接振込への移行」  を踏まえ、まずは標準機能で出力したファイルをWEB画面からアップロードする運用を想定しています。将来的に自動化が必要となった場合には、ミドルウェアを活用することでの拡張も可能と考えます。</t>
    <rPh sb="117" eb="118">
      <t>カンガ</t>
    </rPh>
    <phoneticPr fontId="31"/>
  </si>
  <si>
    <t>複数の構成マスタを比較し、マッチ（共通項目）およびアンマッチ（差異項目）を一覧で確認できること</t>
    <phoneticPr fontId="31"/>
  </si>
  <si>
    <t xml:space="preserve">モノの構成の比較：部品表（BOM）を比較する機能を具備しております。
コトの構成の比較：WBSごとの計画コストや実績値を一覧形式で表示するレポート機能を具備しており、Excel出力して比較する、あるいは画面上で並べて確認することを想定しております。
新しいプロジェクトを作成する際に、過去のプロジェクトをコピーしてシミュレーション用のプロジェクト（またはバージョン）として取り込み、それを現行の計画と比較する手順を踏むことで、標準の比較機能に乗せることも考えられます。
</t>
    <rPh sb="3" eb="5">
      <t>コウセイ</t>
    </rPh>
    <rPh sb="6" eb="8">
      <t>ヒカク</t>
    </rPh>
    <rPh sb="9" eb="12">
      <t>ブヒンヒョウ</t>
    </rPh>
    <rPh sb="18" eb="20">
      <t>ヒカク</t>
    </rPh>
    <rPh sb="22" eb="24">
      <t>キノウ</t>
    </rPh>
    <rPh sb="25" eb="27">
      <t>グビ</t>
    </rPh>
    <rPh sb="39" eb="41">
      <t>コウセイ</t>
    </rPh>
    <rPh sb="42" eb="44">
      <t>ヒカク</t>
    </rPh>
    <rPh sb="77" eb="79">
      <t>グビ</t>
    </rPh>
    <rPh sb="116" eb="118">
      <t>ソウテイ</t>
    </rPh>
    <rPh sb="136" eb="138">
      <t>サクセイ</t>
    </rPh>
    <rPh sb="228" eb="229">
      <t>カンガ</t>
    </rPh>
    <phoneticPr fontId="31"/>
  </si>
  <si>
    <t xml:space="preserve">製品・部材（モノ）と作業（コト）の2軸からそれぞれ回答いたします。
モノの構成情報として「部品表（BOM）」を登録する機能を具備しております。
コトの構成情報としてWBS要素（プロジェクト構造）を管理する機能を具備しております。
これにより、工事案件に必要な作業を計画いただけます。
WBS要素（プロジェクト構造）はマスタではありませんが、プロジェクトのコピー機能を具備しておりますので、汎用的なプロジェクト構造を事前に登録いただくことで同じプロジェクト構造を繰り返して使用いただけます。
</t>
    <rPh sb="0" eb="2">
      <t>セイヒン</t>
    </rPh>
    <rPh sb="3" eb="5">
      <t>ブザイ</t>
    </rPh>
    <rPh sb="10" eb="12">
      <t>サギョウ</t>
    </rPh>
    <rPh sb="18" eb="19">
      <t>ジク</t>
    </rPh>
    <rPh sb="25" eb="27">
      <t>カイトウ</t>
    </rPh>
    <rPh sb="37" eb="39">
      <t>コウセイ</t>
    </rPh>
    <rPh sb="39" eb="41">
      <t>ジョウホウ</t>
    </rPh>
    <rPh sb="45" eb="48">
      <t>ブヒンヒョウ</t>
    </rPh>
    <rPh sb="55" eb="57">
      <t>トウロク</t>
    </rPh>
    <rPh sb="59" eb="61">
      <t>キノウ</t>
    </rPh>
    <rPh sb="62" eb="64">
      <t>グビ</t>
    </rPh>
    <rPh sb="75" eb="77">
      <t>コウセイ</t>
    </rPh>
    <rPh sb="77" eb="79">
      <t>ジョウホウ</t>
    </rPh>
    <rPh sb="85" eb="87">
      <t>ヨウソ</t>
    </rPh>
    <rPh sb="98" eb="100">
      <t>カンリ</t>
    </rPh>
    <rPh sb="102" eb="104">
      <t>キノウ</t>
    </rPh>
    <rPh sb="105" eb="107">
      <t>グビ</t>
    </rPh>
    <rPh sb="121" eb="123">
      <t>コウジ</t>
    </rPh>
    <rPh sb="123" eb="125">
      <t>アンケン</t>
    </rPh>
    <rPh sb="126" eb="128">
      <t>ヒツヨウ</t>
    </rPh>
    <rPh sb="129" eb="131">
      <t>サギョウ</t>
    </rPh>
    <rPh sb="132" eb="134">
      <t>ケイカク</t>
    </rPh>
    <rPh sb="145" eb="147">
      <t>ヨウソ</t>
    </rPh>
    <rPh sb="180" eb="182">
      <t>キノウ</t>
    </rPh>
    <rPh sb="183" eb="185">
      <t>グビ</t>
    </rPh>
    <rPh sb="194" eb="197">
      <t>ハンヨウテキ</t>
    </rPh>
    <rPh sb="204" eb="206">
      <t>コウゾウ</t>
    </rPh>
    <rPh sb="207" eb="209">
      <t>ジゼン</t>
    </rPh>
    <rPh sb="210" eb="212">
      <t>トウロク</t>
    </rPh>
    <rPh sb="219" eb="220">
      <t>オナ</t>
    </rPh>
    <rPh sb="230" eb="231">
      <t>ク</t>
    </rPh>
    <rPh sb="232" eb="233">
      <t>カエ</t>
    </rPh>
    <rPh sb="235" eb="237">
      <t>シヨウ</t>
    </rPh>
    <phoneticPr fontId="31"/>
  </si>
  <si>
    <t>回答のニュアンスあっているか？</t>
    <rPh sb="0" eb="2">
      <t>カイトウ</t>
    </rPh>
    <phoneticPr fontId="31"/>
  </si>
  <si>
    <t>登録している品目の優先度を設定し、優先度に応じて調達が必要な品目を設定する機能を具備しております。
同等品の有効期限設定についてはBOMのバージョン管理を後継品切り替え時期としての利用に対応しています。
また旧部材の在庫がなくなった時点での後継品への自動切り替え機能を標準で具備しております。</t>
    <rPh sb="37" eb="39">
      <t>キノウ</t>
    </rPh>
    <rPh sb="40" eb="42">
      <t>グビ</t>
    </rPh>
    <rPh sb="75" eb="77">
      <t>カンリ</t>
    </rPh>
    <rPh sb="94" eb="96">
      <t>タイオウ</t>
    </rPh>
    <phoneticPr fontId="31"/>
  </si>
  <si>
    <t>SAP Business Network
ラベル印刷(F1563)
Scope　Item：3HQ</t>
    <rPh sb="25" eb="27">
      <t>インサツ</t>
    </rPh>
    <phoneticPr fontId="31"/>
  </si>
  <si>
    <t xml:space="preserve">支給指示書発行機能、およびMRP実行による外注加工と支給品の管理機能、基本的な単位換算機能を具備しております。
</t>
    <rPh sb="0" eb="5">
      <t>シキュウシジショ</t>
    </rPh>
    <rPh sb="5" eb="7">
      <t>ハッコウ</t>
    </rPh>
    <rPh sb="7" eb="9">
      <t>キノウ</t>
    </rPh>
    <rPh sb="16" eb="18">
      <t>ジッコウ</t>
    </rPh>
    <rPh sb="21" eb="23">
      <t>ガイチュウ</t>
    </rPh>
    <rPh sb="23" eb="25">
      <t>カコウ</t>
    </rPh>
    <rPh sb="26" eb="29">
      <t>シキュウヒン</t>
    </rPh>
    <rPh sb="30" eb="32">
      <t>カンリ</t>
    </rPh>
    <rPh sb="32" eb="34">
      <t>キノウ</t>
    </rPh>
    <rPh sb="43" eb="45">
      <t>キノウ</t>
    </rPh>
    <rPh sb="46" eb="48">
      <t>グビ</t>
    </rPh>
    <phoneticPr fontId="31"/>
  </si>
  <si>
    <t>標準</t>
    <rPh sb="0" eb="2">
      <t>ヒョウジュン</t>
    </rPh>
    <phoneticPr fontId="31"/>
  </si>
  <si>
    <t>イベントベース収益認識</t>
    <phoneticPr fontId="31"/>
  </si>
  <si>
    <t>標準としているが、外部連携するならアドオン・カスタマイズ</t>
    <rPh sb="0" eb="2">
      <t>ヒョウジュン</t>
    </rPh>
    <rPh sb="9" eb="11">
      <t>ガイブ</t>
    </rPh>
    <rPh sb="11" eb="13">
      <t>レンケイ</t>
    </rPh>
    <phoneticPr fontId="31"/>
  </si>
  <si>
    <r>
      <t>SAP Analytics Cloud(</t>
    </r>
    <r>
      <rPr>
        <sz val="11"/>
        <color theme="1"/>
        <rFont val="ＭＳ ゴシック"/>
        <family val="3"/>
        <charset val="128"/>
      </rPr>
      <t>追加ライセンス</t>
    </r>
    <r>
      <rPr>
        <sz val="11"/>
        <color theme="1"/>
        <rFont val="Calibri"/>
        <family val="2"/>
        <scheme val="minor"/>
      </rPr>
      <t>)</t>
    </r>
    <rPh sb="20" eb="22">
      <t>ツイカ</t>
    </rPh>
    <phoneticPr fontId="31"/>
  </si>
  <si>
    <t>CaseMark を修正可能な帳票として出力できること</t>
    <phoneticPr fontId="31"/>
  </si>
  <si>
    <t>CaseMark発行</t>
    <phoneticPr fontId="31"/>
  </si>
  <si>
    <t>納品書および請求書において、集約表示した行の名称（例：工事一式など）をユーザーが任意に設定できること。</t>
    <phoneticPr fontId="31"/>
  </si>
  <si>
    <t>納品書および請求書において、同一案件（または同一受注）内で、集約表示する品目と個別明細として表示する品目を併用できること</t>
    <phoneticPr fontId="31"/>
  </si>
  <si>
    <t>納品書で品目を集約した場合、その集約設定が請求書にも反映されること</t>
    <phoneticPr fontId="31"/>
  </si>
  <si>
    <t>納品書および請求書の出力時に社外向け表示形式の文言を修正できること</t>
    <phoneticPr fontId="31"/>
  </si>
  <si>
    <t>アドオン開発だが、実装方法が思い浮かばず。</t>
    <rPh sb="4" eb="6">
      <t>カイハツ</t>
    </rPh>
    <rPh sb="9" eb="11">
      <t>ジッソウ</t>
    </rPh>
    <rPh sb="11" eb="13">
      <t>ホウホウ</t>
    </rPh>
    <rPh sb="14" eb="15">
      <t>オモ</t>
    </rPh>
    <rPh sb="16" eb="17">
      <t>ウ</t>
    </rPh>
    <phoneticPr fontId="31"/>
  </si>
  <si>
    <t>A</t>
    <phoneticPr fontId="31"/>
  </si>
  <si>
    <t>B</t>
    <phoneticPr fontId="31"/>
  </si>
  <si>
    <t>生産計画管理にテキストあり。</t>
    <rPh sb="0" eb="2">
      <t>セイサン</t>
    </rPh>
    <rPh sb="2" eb="4">
      <t>ケイカク</t>
    </rPh>
    <rPh sb="4" eb="6">
      <t>カンリ</t>
    </rPh>
    <phoneticPr fontId="31"/>
  </si>
  <si>
    <t>計画独立所要量（PIR）の修正・更新に対応しており、即座に後続のMRPへ反映可能です。
計画展開後の各トランザクションにテキストを保持する機能を具備しております。</t>
    <phoneticPr fontId="31"/>
  </si>
  <si>
    <t xml:space="preserve">受注と紐づけた前受請求書を登録する請求計画機能を具備しております。
また、前受請求書は仮請求伝票として登録することで承認処理を行う機能を具備しております。
</t>
    <rPh sb="0" eb="2">
      <t>ジュチュウ</t>
    </rPh>
    <rPh sb="3" eb="4">
      <t>ヒモ</t>
    </rPh>
    <rPh sb="7" eb="9">
      <t>マエウケ</t>
    </rPh>
    <rPh sb="9" eb="11">
      <t>セイキュウ</t>
    </rPh>
    <rPh sb="11" eb="12">
      <t>ショ</t>
    </rPh>
    <rPh sb="13" eb="15">
      <t>トウロク</t>
    </rPh>
    <rPh sb="17" eb="19">
      <t>セイキュウ</t>
    </rPh>
    <rPh sb="19" eb="21">
      <t>ケイカク</t>
    </rPh>
    <rPh sb="21" eb="23">
      <t>キノウ</t>
    </rPh>
    <rPh sb="24" eb="26">
      <t>グビ</t>
    </rPh>
    <rPh sb="37" eb="42">
      <t>マエウケ</t>
    </rPh>
    <rPh sb="43" eb="46">
      <t>カリセイキュウ</t>
    </rPh>
    <rPh sb="46" eb="48">
      <t>デンピョウ</t>
    </rPh>
    <rPh sb="51" eb="53">
      <t>トウロク</t>
    </rPh>
    <rPh sb="58" eb="60">
      <t>ショウニン</t>
    </rPh>
    <rPh sb="60" eb="62">
      <t>ショリ</t>
    </rPh>
    <rPh sb="63" eb="64">
      <t>オコナ</t>
    </rPh>
    <rPh sb="65" eb="67">
      <t>キノウ</t>
    </rPh>
    <phoneticPr fontId="31"/>
  </si>
  <si>
    <t>前受請求書は、一式での金額および名称の変更が可能であること。前受請求書の一式出力は、請求書と同様の仕様とする。</t>
    <phoneticPr fontId="31"/>
  </si>
  <si>
    <t>受注と紐づけた前受請求書を登録する請求計画機能を具備しており、前受請求書に係る金額や名称を変更するには請求計画を修正する必要があります。
標準帳票での運用ができないと判断された場合には帳票のアドオン開発が必要となります。</t>
    <rPh sb="17" eb="21">
      <t>セイキュウケイカク</t>
    </rPh>
    <rPh sb="21" eb="23">
      <t>キノウ</t>
    </rPh>
    <rPh sb="24" eb="26">
      <t>グビ</t>
    </rPh>
    <rPh sb="51" eb="55">
      <t>セイキュウケイカク</t>
    </rPh>
    <rPh sb="56" eb="58">
      <t>シュウセイ</t>
    </rPh>
    <rPh sb="60" eb="62">
      <t>ヒツヨウ</t>
    </rPh>
    <phoneticPr fontId="31"/>
  </si>
  <si>
    <t xml:space="preserve">確定した受注や出荷のみを与信限度の対象とする機能を具備しております。
</t>
    <rPh sb="0" eb="2">
      <t>カクテイ</t>
    </rPh>
    <rPh sb="4" eb="6">
      <t>ジュチュウ</t>
    </rPh>
    <rPh sb="7" eb="9">
      <t>シュッカ</t>
    </rPh>
    <rPh sb="12" eb="19">
      <t>ヨシンゲン</t>
    </rPh>
    <rPh sb="22" eb="24">
      <t>キノウ</t>
    </rPh>
    <rPh sb="25" eb="27">
      <t>グビ</t>
    </rPh>
    <phoneticPr fontId="31"/>
  </si>
  <si>
    <t>連番119と同じ</t>
    <rPh sb="0" eb="2">
      <t>レンバン</t>
    </rPh>
    <rPh sb="6" eb="7">
      <t>オナ</t>
    </rPh>
    <phoneticPr fontId="31"/>
  </si>
  <si>
    <t>おそらくASの出荷即売上の制約により、工事案件では一度在庫移動する必要があった。SAPではEPPMを用いて完成基準となるため、在庫移動自体不要になりそう。</t>
    <rPh sb="7" eb="9">
      <t>シュッカ</t>
    </rPh>
    <rPh sb="9" eb="10">
      <t>ソク</t>
    </rPh>
    <rPh sb="10" eb="12">
      <t>ウリアゲ</t>
    </rPh>
    <rPh sb="13" eb="15">
      <t>セイヤク</t>
    </rPh>
    <rPh sb="19" eb="21">
      <t>コウジ</t>
    </rPh>
    <rPh sb="21" eb="23">
      <t>アンケン</t>
    </rPh>
    <rPh sb="25" eb="27">
      <t>イチド</t>
    </rPh>
    <rPh sb="27" eb="29">
      <t>ザイコ</t>
    </rPh>
    <rPh sb="29" eb="31">
      <t>イドウ</t>
    </rPh>
    <rPh sb="33" eb="35">
      <t>ヒツヨウ</t>
    </rPh>
    <rPh sb="50" eb="51">
      <t>モチ</t>
    </rPh>
    <rPh sb="53" eb="55">
      <t>カンセイ</t>
    </rPh>
    <rPh sb="55" eb="57">
      <t>キジュン</t>
    </rPh>
    <rPh sb="63" eb="65">
      <t>ザイコ</t>
    </rPh>
    <rPh sb="65" eb="67">
      <t>イドウ</t>
    </rPh>
    <rPh sb="67" eb="69">
      <t>ジタイ</t>
    </rPh>
    <rPh sb="69" eb="71">
      <t>フヨウ</t>
    </rPh>
    <phoneticPr fontId="31"/>
  </si>
  <si>
    <t>貸出：1IU
改造：BJN
(改造依頼の定義)
おそらくASの出荷即売上の制約により、工事案件では一度在庫移動する必要があった。SAPではEPPMを用いて完成基準となるため、在庫移動自体不要になりそう。</t>
    <rPh sb="0" eb="2">
      <t>カシダシ</t>
    </rPh>
    <rPh sb="7" eb="9">
      <t>カイゾウ</t>
    </rPh>
    <rPh sb="15" eb="17">
      <t>カイゾウ</t>
    </rPh>
    <rPh sb="17" eb="19">
      <t>イライ</t>
    </rPh>
    <rPh sb="20" eb="22">
      <t>テイギ</t>
    </rPh>
    <phoneticPr fontId="31"/>
  </si>
  <si>
    <t>おそらくASの出荷即売上の制約により、工事案件では一度在庫移動する必要があった。SAPではEPPMを用いて完成基準となるため、在庫移動自体不要になりそう。</t>
  </si>
  <si>
    <t xml:space="preserve">SAP標準機能およびAsteriaを介したExcel帳票出力において、納品書（Excel）上で行った手動の編集内容をシステム側で自動検知・保持し、後続の請求書へ自動反映することはできません。これは、システム上の元データと外部加工データの不一致による内部統制上のリスクを防ぐための制約となります。
納品書と請求書で同様の集約が必要な場合は、請求書出力用のExcelにおいても、ユーザー様にて同様の編集操作を行っていただく運用となります。
</t>
    <phoneticPr fontId="31"/>
  </si>
  <si>
    <t>指定宛先の動的決定ロジックには制限がある
おそらくASの出荷即売上の制約により、工事案件では一度在庫移動する必要があった。SAPではEPPMを用いて完成基準となるため、在庫移動自体不要になりそう。</t>
    <rPh sb="0" eb="4">
      <t>シテイアテサキ</t>
    </rPh>
    <phoneticPr fontId="31"/>
  </si>
  <si>
    <t xml:space="preserve">SAPの入金消込処理において、転記ボタン押下時に連動する「承認ワークフロー機能」は標準では具備されておりません。
しかしながら、以下の機能を組み合わせることで、貴社の求めるガバナンス（内部統制）を充足可能と考えます。
銀行報告書のステータス管理：インポートされた銀行データの消込状況を一覧で管理し、責任者が未処理/処理済の状況をモニタリングできます。
権限分離：データの取り込み担当者と消込実行者の権限を分けることにより、職務分掌を徹底します。
事後検証：消込結果のレポートを抽出し、事後的に上長が承認（レビュー）を行う運用を想定しています。
</t>
    <rPh sb="103" eb="104">
      <t>カンガ</t>
    </rPh>
    <phoneticPr fontId="31"/>
  </si>
  <si>
    <r>
      <t>1QMをSAP</t>
    </r>
    <r>
      <rPr>
        <sz val="11"/>
        <color theme="1"/>
        <rFont val="ＭＳ ゴシック"/>
        <family val="3"/>
        <charset val="128"/>
      </rPr>
      <t>に確認</t>
    </r>
    <rPh sb="8" eb="10">
      <t>カクニン</t>
    </rPh>
    <phoneticPr fontId="31"/>
  </si>
  <si>
    <t>将来の入出庫予定（受注、製造指図、購買発注、計画独立所要量など）をリアルタイムに集計し、将来の特定の日付における在庫残高を動的に算出・表示する機能を具備しております。</t>
    <rPh sb="74" eb="76">
      <t>グビ</t>
    </rPh>
    <phoneticPr fontId="31"/>
  </si>
  <si>
    <t xml:space="preserve">SAP標準機能では、単一の取引先に対し、部門単位で独立した与信限度額を複数設定する機能は具備されておりません。これは、取引先単位での与信リスクの総量を適正に把握・管理するという内部統制上の考え方に基づいています。
同一法人に対して部門ごとの与信枠管理が必要な場合は、部門ごとに請求先を分けて登録し、それぞれの取引先に対して限度額を割り当てる運用を提案いたします。
</t>
    <rPh sb="120" eb="122">
      <t>ヨシン</t>
    </rPh>
    <rPh sb="170" eb="172">
      <t>ウンヨウ</t>
    </rPh>
    <rPh sb="173" eb="175">
      <t>テイアン</t>
    </rPh>
    <phoneticPr fontId="31"/>
  </si>
  <si>
    <t>連番106と同じ</t>
    <rPh sb="0" eb="2">
      <t>レンバン</t>
    </rPh>
    <rPh sb="6" eb="7">
      <t>オナ</t>
    </rPh>
    <phoneticPr fontId="31"/>
  </si>
  <si>
    <t>検収通知書楽楽連携</t>
    <rPh sb="0" eb="5">
      <t>ケンシュウツウチショ</t>
    </rPh>
    <rPh sb="5" eb="7">
      <t>ラクラク</t>
    </rPh>
    <rPh sb="7" eb="9">
      <t>レンケイ</t>
    </rPh>
    <phoneticPr fontId="31"/>
  </si>
  <si>
    <t>請求書楽楽連携</t>
    <rPh sb="0" eb="3">
      <t>セイキュウショ</t>
    </rPh>
    <rPh sb="3" eb="5">
      <t>ラクラク</t>
    </rPh>
    <rPh sb="5" eb="7">
      <t>レンケイ</t>
    </rPh>
    <phoneticPr fontId="31"/>
  </si>
  <si>
    <t>SAP標準機能では購買発注情報に基づく現品票出力機能は具備されていないため、アドオン開発が必要です。
SAP上の購買発注データをAsteriaが取得し、あらかじめ定義した現品票レイアウト（バーコード等を含む）に従ってPDFを自動生成する想定です。</t>
    <rPh sb="42" eb="44">
      <t>カイハツ</t>
    </rPh>
    <rPh sb="45" eb="47">
      <t>ヒツヨウ</t>
    </rPh>
    <rPh sb="118" eb="120">
      <t>ソウテイ</t>
    </rPh>
    <phoneticPr fontId="31"/>
  </si>
  <si>
    <t>標準帳票での運用ができないと判断された場合にはアドオン開発が必要です。</t>
    <rPh sb="0" eb="2">
      <t>ヒョウジュン</t>
    </rPh>
    <rPh sb="2" eb="4">
      <t>チョウヒョウ</t>
    </rPh>
    <rPh sb="6" eb="8">
      <t>ウンヨウ</t>
    </rPh>
    <rPh sb="14" eb="16">
      <t>ハンダン</t>
    </rPh>
    <rPh sb="19" eb="21">
      <t>バアイ</t>
    </rPh>
    <rPh sb="27" eb="29">
      <t>カイハツ</t>
    </rPh>
    <rPh sb="30" eb="32">
      <t>ヒツヨウ</t>
    </rPh>
    <phoneticPr fontId="31"/>
  </si>
  <si>
    <t>納期回答データEDI取込
納期回答データファイル取込</t>
    <rPh sb="0" eb="4">
      <t>ノウキカイトウ</t>
    </rPh>
    <rPh sb="10" eb="12">
      <t>トリコミ</t>
    </rPh>
    <rPh sb="13" eb="17">
      <t>ノウキカイトウ</t>
    </rPh>
    <rPh sb="24" eb="26">
      <t>トリコミ</t>
    </rPh>
    <phoneticPr fontId="31"/>
  </si>
  <si>
    <t xml:space="preserve">SAP標準機能では請求明細の動的な合算・編集は対応不可のため、連携基盤として提案するAsteriaを活用した帳票作成プロセスを提案いたします。
SAPから抽出したデータをAsteriaにてExcel形式の帳票として出力し、Excel上で任意明細の合算や「工事一式」への名称変更などの編集作業を行うことを想定しております。
</t>
    <rPh sb="151" eb="153">
      <t>ソウテイ</t>
    </rPh>
    <phoneticPr fontId="31"/>
  </si>
  <si>
    <t xml:space="preserve">適格請求書をPDF出力する機能を具備しております。
</t>
    <rPh sb="0" eb="5">
      <t>テキカクセイキュウショ</t>
    </rPh>
    <rPh sb="9" eb="11">
      <t>シュツリョク</t>
    </rPh>
    <rPh sb="13" eb="15">
      <t>キノウ</t>
    </rPh>
    <rPh sb="16" eb="18">
      <t>グビ</t>
    </rPh>
    <phoneticPr fontId="31"/>
  </si>
  <si>
    <t>外部サービスへ連携するためのアドオン開発が必要です。</t>
    <phoneticPr fontId="31"/>
  </si>
  <si>
    <t>納入予定データEDI取込</t>
    <rPh sb="0" eb="4">
      <t>ノウニュウヨテイ</t>
    </rPh>
    <rPh sb="10" eb="12">
      <t>トリコミ</t>
    </rPh>
    <phoneticPr fontId="31"/>
  </si>
  <si>
    <t xml:space="preserve">SAPの標準機能には、特定の仕入先向けに納期回答用の専用画面を直接公開する機能および納期回答データを受信する機能は具備されていないため、アドオン開発が必要です。
EDI/データ連携：システム間連携が可能な仕入先とは、SAPの標準APIを用いて納期回答を直接受信し、購買発注データへ自動反映させることを想定しています。
ポータル画面に代わる運用：特定の仕入先向けに専用画面を構築・公開する手法は、開発・維持コストの観点から推奨いたしません。代替として、SAPの発注情報をメールやデータ（Excel等）で送付し、仕入先からの回答をAsteriaを活用してシステムへ取り込む運用を想定しています。
</t>
    <rPh sb="42" eb="46">
      <t>ノウキカイトウ</t>
    </rPh>
    <rPh sb="50" eb="52">
      <t>ジュシン</t>
    </rPh>
    <rPh sb="54" eb="56">
      <t>キノウ</t>
    </rPh>
    <phoneticPr fontId="31"/>
  </si>
  <si>
    <t xml:space="preserve">SAPの標準機能には、特定の取引先向けに専用画面を直接公開する機能は具備されていないため、アドオン開発が必要です。
EDI/データ連携：システム間連携が可能な取引先とは、SAPの標準APIを用いて実績情報を直接受信し、SAP上で実績計上することを想定しています。
ポータル画面に代わる運用：特定の取引先向けに専用画面を構築・公開する手法は、開発・維持コストの観点から推奨いたしません。代替として、SAPの発注情報をメールやデータ（Excel等）で送付し、取引先からの実績情報をAsteriaを活用してシステムへ取り込む運用を想定しています。
</t>
    <rPh sb="14" eb="17">
      <t>トリヒキサキ</t>
    </rPh>
    <rPh sb="79" eb="82">
      <t>トリヒキサキ</t>
    </rPh>
    <rPh sb="98" eb="100">
      <t>ジッセキ</t>
    </rPh>
    <rPh sb="100" eb="102">
      <t>ジョウホウ</t>
    </rPh>
    <rPh sb="112" eb="113">
      <t>ジョウ</t>
    </rPh>
    <rPh sb="114" eb="118">
      <t>ジッセキケイジョウ</t>
    </rPh>
    <rPh sb="148" eb="151">
      <t>トリヒキサキ</t>
    </rPh>
    <rPh sb="227" eb="230">
      <t>トリヒキサキ</t>
    </rPh>
    <rPh sb="233" eb="237">
      <t>ジッセキジョウホウ</t>
    </rPh>
    <phoneticPr fontId="31"/>
  </si>
  <si>
    <t>支給実績データEDI取込
支給実績データファイル取込</t>
    <rPh sb="0" eb="4">
      <t>シキュウジッセキ</t>
    </rPh>
    <rPh sb="10" eb="12">
      <t>トリコミ</t>
    </rPh>
    <rPh sb="13" eb="17">
      <t>シキュウジッセキ</t>
    </rPh>
    <rPh sb="24" eb="26">
      <t>トリコミ</t>
    </rPh>
    <phoneticPr fontId="31"/>
  </si>
  <si>
    <t>計画用品目や製品グループ機能により、仕様未定段階でのカテゴリ単位の立案に対応します。
計画展開後の各トランザクションにテキストを保持する機能を具備しております。
現行システム（出荷システム）との自動データ連携については、アドオン開発が必要です。</t>
    <rPh sb="43" eb="45">
      <t>ケイカク</t>
    </rPh>
    <rPh sb="45" eb="48">
      <t>テンカイゴ</t>
    </rPh>
    <rPh sb="49" eb="50">
      <t>カク</t>
    </rPh>
    <rPh sb="64" eb="66">
      <t>ホジ</t>
    </rPh>
    <rPh sb="89" eb="91">
      <t>シュッカ</t>
    </rPh>
    <rPh sb="115" eb="117">
      <t>カイハツ</t>
    </rPh>
    <rPh sb="118" eb="120">
      <t>ヒツヨウ</t>
    </rPh>
    <phoneticPr fontId="31"/>
  </si>
  <si>
    <t>連番1と同じ</t>
    <rPh sb="0" eb="2">
      <t>レンバン</t>
    </rPh>
    <rPh sb="4" eb="5">
      <t>オナ</t>
    </rPh>
    <phoneticPr fontId="31"/>
  </si>
  <si>
    <t>連番2と同じ</t>
    <rPh sb="0" eb="2">
      <t>レンバン</t>
    </rPh>
    <rPh sb="4" eb="5">
      <t>オナ</t>
    </rPh>
    <phoneticPr fontId="31"/>
  </si>
  <si>
    <t>連番6と同じ</t>
    <rPh sb="0" eb="2">
      <t>レンバン</t>
    </rPh>
    <rPh sb="4" eb="5">
      <t>オナ</t>
    </rPh>
    <phoneticPr fontId="31"/>
  </si>
  <si>
    <t>バックフラッシュ機能を具備しております。
ハンディターミナルによる生産入庫データを取り込む機能のアドオン開発が必要です。</t>
    <rPh sb="8" eb="10">
      <t>キノウ</t>
    </rPh>
    <rPh sb="11" eb="13">
      <t>グビ</t>
    </rPh>
    <rPh sb="33" eb="35">
      <t>セイサン</t>
    </rPh>
    <rPh sb="35" eb="37">
      <t>ニュウコ</t>
    </rPh>
    <phoneticPr fontId="31"/>
  </si>
  <si>
    <t>ハンディターミナルによる仕入入庫データを取り込む機能のアドオン開発が必要です。</t>
    <rPh sb="12" eb="14">
      <t>シイレ</t>
    </rPh>
    <rPh sb="14" eb="16">
      <t>ニュウコ</t>
    </rPh>
    <rPh sb="20" eb="21">
      <t>ト</t>
    </rPh>
    <rPh sb="22" eb="23">
      <t>コ</t>
    </rPh>
    <rPh sb="24" eb="26">
      <t>キノウ</t>
    </rPh>
    <phoneticPr fontId="31"/>
  </si>
  <si>
    <t>ハンディ仕入入庫データ取込</t>
    <rPh sb="4" eb="6">
      <t>シイレ</t>
    </rPh>
    <rPh sb="6" eb="8">
      <t>ニュウコ</t>
    </rPh>
    <rPh sb="11" eb="13">
      <t>トリコミ</t>
    </rPh>
    <phoneticPr fontId="31"/>
  </si>
  <si>
    <t>ハンディ生産入庫データ取込</t>
    <rPh sb="4" eb="8">
      <t>セイサンニュウコ</t>
    </rPh>
    <rPh sb="11" eb="13">
      <t>トリコミ</t>
    </rPh>
    <phoneticPr fontId="31"/>
  </si>
  <si>
    <t>ハンディターミナルへ出庫指示データを送信する機能のアドオン開発が必要です。</t>
    <rPh sb="10" eb="14">
      <t>シュッコシジ</t>
    </rPh>
    <rPh sb="18" eb="20">
      <t>ソウシン</t>
    </rPh>
    <phoneticPr fontId="31"/>
  </si>
  <si>
    <t>ハンディ出庫指示データ送信</t>
    <rPh sb="4" eb="8">
      <t>シュッコシジ</t>
    </rPh>
    <rPh sb="11" eb="13">
      <t>ソウシン</t>
    </rPh>
    <phoneticPr fontId="31"/>
  </si>
  <si>
    <t>ハンディターミナルへ移動指示データを送信する機能のアドオン開発が必要です。</t>
    <rPh sb="10" eb="12">
      <t>イドウ</t>
    </rPh>
    <rPh sb="12" eb="14">
      <t>シジ</t>
    </rPh>
    <rPh sb="18" eb="20">
      <t>ソウシン</t>
    </rPh>
    <phoneticPr fontId="31"/>
  </si>
  <si>
    <t>ハンディ移動指示データ送信</t>
    <rPh sb="4" eb="6">
      <t>イドウ</t>
    </rPh>
    <rPh sb="6" eb="8">
      <t>シジ</t>
    </rPh>
    <rPh sb="11" eb="13">
      <t>ソウシン</t>
    </rPh>
    <phoneticPr fontId="31"/>
  </si>
  <si>
    <t xml:space="preserve">プラント間移動、保管場所間移動、在庫ステータス変更などの実績入力を行う機能を具備しております。
</t>
    <rPh sb="33" eb="34">
      <t>オコナ</t>
    </rPh>
    <rPh sb="35" eb="37">
      <t>キノウ</t>
    </rPh>
    <rPh sb="38" eb="40">
      <t>グビ</t>
    </rPh>
    <phoneticPr fontId="31"/>
  </si>
  <si>
    <t>実績を考慮した計画立案を行う独立需要計画（PIR）とMRP機能を具備しております。</t>
    <rPh sb="12" eb="13">
      <t>オコナ</t>
    </rPh>
    <rPh sb="32" eb="34">
      <t>グビ</t>
    </rPh>
    <phoneticPr fontId="31"/>
  </si>
  <si>
    <t xml:space="preserve">単純な負荷確認から、ガントチャートを用いたドラッグ＆ドロップによるリスケジュール、さらには高度な自動スケジューリングまで、要件の複雑さに応じた標準機能が具備しております。
</t>
    <rPh sb="76" eb="78">
      <t>グビ</t>
    </rPh>
    <phoneticPr fontId="31"/>
  </si>
  <si>
    <t>ハンディターミナルによる移動実績データを取り込む機能のアドオン開発が必要です。</t>
    <rPh sb="12" eb="14">
      <t>イドウ</t>
    </rPh>
    <rPh sb="14" eb="16">
      <t>ジッセキ</t>
    </rPh>
    <rPh sb="20" eb="21">
      <t>ト</t>
    </rPh>
    <rPh sb="22" eb="23">
      <t>コ</t>
    </rPh>
    <phoneticPr fontId="31"/>
  </si>
  <si>
    <t>ハンディ移動実績データ取込</t>
    <rPh sb="4" eb="6">
      <t>イドウ</t>
    </rPh>
    <rPh sb="6" eb="8">
      <t>ジッセキ</t>
    </rPh>
    <rPh sb="11" eb="13">
      <t>トリコミ</t>
    </rPh>
    <phoneticPr fontId="31"/>
  </si>
  <si>
    <t>ハンディターミナルへ支給指示データを送信する機能のアドオン開発が必要です。</t>
    <rPh sb="10" eb="12">
      <t>シキュウ</t>
    </rPh>
    <rPh sb="12" eb="14">
      <t>シジ</t>
    </rPh>
    <rPh sb="18" eb="20">
      <t>ソウシン</t>
    </rPh>
    <phoneticPr fontId="31"/>
  </si>
  <si>
    <t>ハンディ支給指示データ送信</t>
    <rPh sb="4" eb="6">
      <t>シキュウ</t>
    </rPh>
    <rPh sb="6" eb="8">
      <t>シジ</t>
    </rPh>
    <rPh sb="11" eb="13">
      <t>ソウシン</t>
    </rPh>
    <phoneticPr fontId="31"/>
  </si>
  <si>
    <t>アドオン・カスタマイズ</t>
    <phoneticPr fontId="31"/>
  </si>
  <si>
    <t>ハンディターミナルによる支給実績データを取り込む機能のアドオン開発が必要です。</t>
    <rPh sb="12" eb="14">
      <t>シキュウ</t>
    </rPh>
    <rPh sb="14" eb="16">
      <t>ジッセキ</t>
    </rPh>
    <rPh sb="20" eb="21">
      <t>ト</t>
    </rPh>
    <rPh sb="22" eb="23">
      <t>コ</t>
    </rPh>
    <phoneticPr fontId="31"/>
  </si>
  <si>
    <t>ハンディ支給実績データ取込</t>
    <rPh sb="4" eb="6">
      <t>シキュウ</t>
    </rPh>
    <rPh sb="6" eb="8">
      <t>ジッセキ</t>
    </rPh>
    <rPh sb="11" eb="13">
      <t>トリコミ</t>
    </rPh>
    <phoneticPr fontId="31"/>
  </si>
  <si>
    <t>連番9と同じ</t>
    <rPh sb="0" eb="2">
      <t>レンバン</t>
    </rPh>
    <rPh sb="4" eb="5">
      <t>オナ</t>
    </rPh>
    <phoneticPr fontId="31"/>
  </si>
  <si>
    <t>-</t>
    <phoneticPr fontId="31"/>
  </si>
  <si>
    <t>機能名</t>
    <rPh sb="0" eb="3">
      <t>キノウメイ</t>
    </rPh>
    <phoneticPr fontId="31"/>
  </si>
  <si>
    <t>ハンディターミナルによる棚卸データを取り込む機能のアドオン開発が必要です。</t>
    <rPh sb="12" eb="14">
      <t>タナオロシ</t>
    </rPh>
    <rPh sb="18" eb="19">
      <t>ト</t>
    </rPh>
    <rPh sb="20" eb="21">
      <t>コ</t>
    </rPh>
    <phoneticPr fontId="31"/>
  </si>
  <si>
    <t>ハンディ棚卸データ取込</t>
    <rPh sb="4" eb="6">
      <t>タナオロシ</t>
    </rPh>
    <rPh sb="9" eb="11">
      <t>トリコミ</t>
    </rPh>
    <phoneticPr fontId="31"/>
  </si>
  <si>
    <t>いずれも標準機能として具備しております。</t>
    <rPh sb="4" eb="8">
      <t>ヒョウジュンキノウ</t>
    </rPh>
    <rPh sb="11" eb="13">
      <t>グビ</t>
    </rPh>
    <phoneticPr fontId="31"/>
  </si>
  <si>
    <t>ハンディ棚卸データ送信</t>
    <rPh sb="4" eb="6">
      <t>タナオロシ</t>
    </rPh>
    <rPh sb="9" eb="11">
      <t>ソウシン</t>
    </rPh>
    <phoneticPr fontId="31"/>
  </si>
  <si>
    <t>ハンディターミナルへ棚卸データを送信する機能のアドオン開発が必要です。</t>
    <rPh sb="10" eb="12">
      <t>タナオロシ</t>
    </rPh>
    <rPh sb="16" eb="18">
      <t>ソウシン</t>
    </rPh>
    <phoneticPr fontId="31"/>
  </si>
  <si>
    <t>前受請求書</t>
    <rPh sb="0" eb="5">
      <t>マエウケセイキュウショ</t>
    </rPh>
    <phoneticPr fontId="31"/>
  </si>
  <si>
    <t>Profoma Invoice</t>
    <phoneticPr fontId="31"/>
  </si>
  <si>
    <t>現品票</t>
    <rPh sb="0" eb="3">
      <t>ゲンピンヒョウ</t>
    </rPh>
    <phoneticPr fontId="31"/>
  </si>
  <si>
    <t>指定納品書</t>
    <rPh sb="0" eb="5">
      <t>シテイノウヒンショ</t>
    </rPh>
    <phoneticPr fontId="31"/>
  </si>
  <si>
    <t xml:space="preserve">標準機能として具備しております。
</t>
    <rPh sb="0" eb="2">
      <t>ヒョウジュン</t>
    </rPh>
    <rPh sb="2" eb="4">
      <t>キノウ</t>
    </rPh>
    <rPh sb="7" eb="9">
      <t>グビ</t>
    </rPh>
    <phoneticPr fontId="31"/>
  </si>
  <si>
    <t xml:space="preserve">保管場所の優先順位付け、一つの倉庫（プラント）に在庫がない場合、自動的に他の倉庫を探しに行く設定機能を具備しております。
</t>
    <rPh sb="0" eb="4">
      <t>ホカンバショ</t>
    </rPh>
    <rPh sb="5" eb="9">
      <t>ユウセンジュンイ</t>
    </rPh>
    <rPh sb="9" eb="10">
      <t>ヅ</t>
    </rPh>
    <rPh sb="43" eb="45">
      <t>セッテイ</t>
    </rPh>
    <rPh sb="48" eb="50">
      <t>グビ</t>
    </rPh>
    <phoneticPr fontId="31"/>
  </si>
  <si>
    <t xml:space="preserve">受注登録時に前受金の設定を行う機能を具備しております。
得意先に対する前受金の有無のマスタ管理については、汎用的な項目を追加する機能にて対応することを想定しております。
</t>
    <rPh sb="0" eb="2">
      <t>ジュチュウ</t>
    </rPh>
    <rPh sb="2" eb="5">
      <t>トウロクジ</t>
    </rPh>
    <rPh sb="6" eb="9">
      <t>マエウケキン</t>
    </rPh>
    <rPh sb="10" eb="12">
      <t>セッテイ</t>
    </rPh>
    <rPh sb="13" eb="14">
      <t>オコナ</t>
    </rPh>
    <rPh sb="15" eb="17">
      <t>キノウ</t>
    </rPh>
    <rPh sb="18" eb="20">
      <t>グビ</t>
    </rPh>
    <rPh sb="46" eb="48">
      <t>カンリ</t>
    </rPh>
    <rPh sb="54" eb="56">
      <t>ハンヨウ</t>
    </rPh>
    <rPh sb="56" eb="57">
      <t>テキ</t>
    </rPh>
    <rPh sb="58" eb="60">
      <t>コウモク</t>
    </rPh>
    <rPh sb="61" eb="63">
      <t>ツイカ</t>
    </rPh>
    <rPh sb="65" eb="67">
      <t>キノウ</t>
    </rPh>
    <rPh sb="69" eb="71">
      <t>タイオウ</t>
    </rPh>
    <rPh sb="76" eb="78">
      <t>ソウテイ</t>
    </rPh>
    <phoneticPr fontId="31"/>
  </si>
  <si>
    <t xml:space="preserve">販売伝票の引当管理機能により引当後の内容変更が可能で、優先度設定機能により基本的な横入対応も実現できます。
</t>
    <phoneticPr fontId="31"/>
  </si>
  <si>
    <t>在庫有無に関わらず出荷予定情報の登録を行う出荷伝票の登録および処理機能を具備しております。</t>
    <rPh sb="19" eb="20">
      <t>オコナ</t>
    </rPh>
    <rPh sb="36" eb="38">
      <t>グビ</t>
    </rPh>
    <phoneticPr fontId="31"/>
  </si>
  <si>
    <t>預託品出庫（売却）プロセスにおいて、値引き価格での売上登録を行う機能を具備しております。</t>
    <rPh sb="6" eb="8">
      <t>バイキャク</t>
    </rPh>
    <rPh sb="30" eb="31">
      <t>オコナ</t>
    </rPh>
    <rPh sb="32" eb="34">
      <t>キノウ</t>
    </rPh>
    <rPh sb="35" eb="37">
      <t>グビ</t>
    </rPh>
    <phoneticPr fontId="31"/>
  </si>
  <si>
    <t>預託品出庫 (売却)プロセスを実行することで、貸出品を自社資産から除外し、売却として処理する機能を具備しております。出庫転記により在庫が引き落とされた後、後続の請求書登録を行うことで売上と売掛金が財務会計に正しく計上されます 。</t>
    <rPh sb="7" eb="9">
      <t>バイキャク</t>
    </rPh>
    <rPh sb="46" eb="48">
      <t>キノウ</t>
    </rPh>
    <rPh sb="49" eb="51">
      <t>グビ</t>
    </rPh>
    <phoneticPr fontId="31"/>
  </si>
  <si>
    <t>連番78と同じ</t>
    <rPh sb="0" eb="2">
      <t>レンバン</t>
    </rPh>
    <rPh sb="5" eb="6">
      <t>オナ</t>
    </rPh>
    <phoneticPr fontId="31"/>
  </si>
  <si>
    <t xml:space="preserve">出荷伝票にカスタムフィールドとして長文コメント等を追加する機能および標準帳票を調整する機能を具備しております。
</t>
    <rPh sb="29" eb="31">
      <t>キノウ</t>
    </rPh>
    <rPh sb="34" eb="38">
      <t>ヒョウジュンチョウヒョウ</t>
    </rPh>
    <rPh sb="39" eb="41">
      <t>チョウセイ</t>
    </rPh>
    <rPh sb="43" eb="45">
      <t>キノウ</t>
    </rPh>
    <rPh sb="46" eb="48">
      <t>グビ</t>
    </rPh>
    <phoneticPr fontId="31"/>
  </si>
  <si>
    <t>Invoice</t>
    <phoneticPr fontId="31"/>
  </si>
  <si>
    <t>PackingList</t>
    <phoneticPr fontId="31"/>
  </si>
  <si>
    <t>CaseMark</t>
    <phoneticPr fontId="31"/>
  </si>
  <si>
    <t>仲介貿易申請書や輸出等申請書といった日本固有の申請書類を出力する機能は具備していないため、アドオン開発が必要です。</t>
    <rPh sb="0" eb="2">
      <t>チュウカイ</t>
    </rPh>
    <rPh sb="2" eb="4">
      <t>ボウエキ</t>
    </rPh>
    <rPh sb="4" eb="7">
      <t>シンセイショ</t>
    </rPh>
    <rPh sb="8" eb="11">
      <t>ユシュツナド</t>
    </rPh>
    <rPh sb="11" eb="14">
      <t>シンセイショ</t>
    </rPh>
    <rPh sb="18" eb="20">
      <t>ニホン</t>
    </rPh>
    <rPh sb="20" eb="22">
      <t>コユウ</t>
    </rPh>
    <rPh sb="23" eb="25">
      <t>シンセイ</t>
    </rPh>
    <rPh sb="25" eb="27">
      <t>ショルイ</t>
    </rPh>
    <rPh sb="28" eb="30">
      <t>シュツリョク</t>
    </rPh>
    <rPh sb="32" eb="34">
      <t>キノウ</t>
    </rPh>
    <rPh sb="35" eb="37">
      <t>グビ</t>
    </rPh>
    <rPh sb="49" eb="51">
      <t>カイハツ</t>
    </rPh>
    <rPh sb="52" eb="54">
      <t>ヒツヨウ</t>
    </rPh>
    <phoneticPr fontId="31"/>
  </si>
  <si>
    <t xml:space="preserve">修正可能な帳票として出力する機能は標準では具備していないため、帳票をExcel出力するアドオン開発が必要です。
</t>
    <rPh sb="0" eb="2">
      <t>シュウセイ</t>
    </rPh>
    <rPh sb="2" eb="4">
      <t>カノウ</t>
    </rPh>
    <rPh sb="5" eb="7">
      <t>チョウヒョウ</t>
    </rPh>
    <rPh sb="10" eb="12">
      <t>シュツリョク</t>
    </rPh>
    <rPh sb="14" eb="16">
      <t>キノウ</t>
    </rPh>
    <rPh sb="17" eb="19">
      <t>ヒョウジュン</t>
    </rPh>
    <rPh sb="21" eb="23">
      <t>グビ</t>
    </rPh>
    <rPh sb="39" eb="41">
      <t>シュツリョク</t>
    </rPh>
    <phoneticPr fontId="31"/>
  </si>
  <si>
    <t>PackingList出力機能標準では具備していないため、アドオン開発が必要です。</t>
    <rPh sb="19" eb="21">
      <t>グビ</t>
    </rPh>
    <phoneticPr fontId="31"/>
  </si>
  <si>
    <t>輸送梱包に貼付する「ケースマーク（荷印）」については、SAPの標準フォームテンプレートとして独立したものは具備していないため、アドオン開発が必要です。</t>
    <rPh sb="53" eb="55">
      <t>グビ</t>
    </rPh>
    <phoneticPr fontId="31"/>
  </si>
  <si>
    <t>仲介貿易申請書
輸出等申請書</t>
    <rPh sb="0" eb="7">
      <t>チュウカイボウエキシンセイショ</t>
    </rPh>
    <rPh sb="8" eb="11">
      <t>ユシュツトウ</t>
    </rPh>
    <rPh sb="11" eb="14">
      <t>シンセイショ</t>
    </rPh>
    <phoneticPr fontId="31"/>
  </si>
  <si>
    <t>Shipping Invoiceは出荷伝票（Delivery Note）として出荷伝票の作成時、またはピッキング・出庫確認のタイミングで出力する機能を具備しております。
Commercial Invoiceは請求伝票（Billing Document）として出荷に基づく請求伝票の作成時に出力する機能を具備しております。。</t>
    <rPh sb="72" eb="74">
      <t>キノウ</t>
    </rPh>
    <rPh sb="75" eb="77">
      <t>グビ</t>
    </rPh>
    <rPh sb="148" eb="150">
      <t>キノウ</t>
    </rPh>
    <rPh sb="151" eb="153">
      <t>グビ</t>
    </rPh>
    <phoneticPr fontId="31"/>
  </si>
  <si>
    <t>在庫品・非在庫品を問わずInvoiceを出力する標準を具備しております。</t>
    <rPh sb="27" eb="29">
      <t>グビ</t>
    </rPh>
    <phoneticPr fontId="31"/>
  </si>
  <si>
    <t xml:space="preserve">追加ライセンスが必要である「拡張与信管理」をにおいて、法人単位での階層における与信限度額を設定する機能を具備しております。
</t>
    <rPh sb="0" eb="7">
      <t>ツイカ</t>
    </rPh>
    <rPh sb="8" eb="10">
      <t>ヒツヨウ</t>
    </rPh>
    <rPh sb="14" eb="20">
      <t>カクチョウヨシンカンリ</t>
    </rPh>
    <rPh sb="27" eb="29">
      <t>ホウジン</t>
    </rPh>
    <rPh sb="29" eb="31">
      <t>タンイ</t>
    </rPh>
    <rPh sb="33" eb="35">
      <t>カイソウ</t>
    </rPh>
    <rPh sb="39" eb="44">
      <t>ヨシンゲンドガク</t>
    </rPh>
    <rPh sb="45" eb="47">
      <t>セッテイ</t>
    </rPh>
    <rPh sb="49" eb="54">
      <t>キノウ</t>
    </rPh>
    <phoneticPr fontId="31"/>
  </si>
  <si>
    <t xml:space="preserve">追加ライセンスが必要である「拡張与信管理」をにおいて、期間限定の与信限度を設定する機能を具備しております。
期間終了後は元の与信限度額でのチェックを行うこととなります。
</t>
    <rPh sb="27" eb="31">
      <t>キカンゲンテイ</t>
    </rPh>
    <rPh sb="32" eb="34">
      <t>ヨシン</t>
    </rPh>
    <rPh sb="34" eb="36">
      <t>ゲンド</t>
    </rPh>
    <rPh sb="37" eb="39">
      <t>セッテイ</t>
    </rPh>
    <rPh sb="41" eb="43">
      <t>キノウ</t>
    </rPh>
    <rPh sb="44" eb="46">
      <t>グビ</t>
    </rPh>
    <rPh sb="54" eb="59">
      <t>キカンシュウリョウゴ</t>
    </rPh>
    <rPh sb="60" eb="61">
      <t>モト</t>
    </rPh>
    <rPh sb="62" eb="64">
      <t>ヨシン</t>
    </rPh>
    <rPh sb="64" eb="66">
      <t>ゲンド</t>
    </rPh>
    <rPh sb="66" eb="67">
      <t>ガク</t>
    </rPh>
    <rPh sb="74" eb="75">
      <t>オコナ</t>
    </rPh>
    <phoneticPr fontId="31"/>
  </si>
  <si>
    <t>得意先検収データEDI取込</t>
    <rPh sb="0" eb="3">
      <t>トクイサキ</t>
    </rPh>
    <rPh sb="3" eb="5">
      <t>ケンシュウ</t>
    </rPh>
    <rPh sb="11" eb="13">
      <t>トリコミ</t>
    </rPh>
    <phoneticPr fontId="31"/>
  </si>
  <si>
    <t>EDI経由でデータを取り込むためのアドオン開発が必要です。</t>
    <rPh sb="3" eb="5">
      <t>ケイユ</t>
    </rPh>
    <rPh sb="10" eb="11">
      <t>ト</t>
    </rPh>
    <rPh sb="12" eb="13">
      <t>コ</t>
    </rPh>
    <phoneticPr fontId="31"/>
  </si>
  <si>
    <t>EDI経由でデータを取り込むためのアドオン開発が必要です。</t>
    <phoneticPr fontId="31"/>
  </si>
  <si>
    <t>納品書
請求書</t>
    <rPh sb="0" eb="3">
      <t>ノウヒンショ</t>
    </rPh>
    <rPh sb="4" eb="7">
      <t>セイキュウショ</t>
    </rPh>
    <phoneticPr fontId="31"/>
  </si>
  <si>
    <t>連番119と同じ</t>
    <rPh sb="0" eb="2">
      <t>レンバン</t>
    </rPh>
    <rPh sb="6" eb="7">
      <t>オナ</t>
    </rPh>
    <phoneticPr fontId="31"/>
  </si>
  <si>
    <t xml:space="preserve">締日別での締め請求書を出力する機能を具備しております。
</t>
    <rPh sb="0" eb="1">
      <t>シ</t>
    </rPh>
    <rPh sb="1" eb="2">
      <t>ビ</t>
    </rPh>
    <rPh sb="2" eb="3">
      <t>ベツ</t>
    </rPh>
    <rPh sb="5" eb="6">
      <t>シ</t>
    </rPh>
    <rPh sb="7" eb="10">
      <t>セイキュウショ</t>
    </rPh>
    <rPh sb="11" eb="13">
      <t>シュツリョク</t>
    </rPh>
    <rPh sb="15" eb="17">
      <t>キノウ</t>
    </rPh>
    <rPh sb="18" eb="20">
      <t>グビ</t>
    </rPh>
    <phoneticPr fontId="31"/>
  </si>
  <si>
    <t xml:space="preserve">支払通知書をInvoice要件に対応するためにはアドオン開発が必要です。
</t>
    <rPh sb="0" eb="4">
      <t>シハライツウチ</t>
    </rPh>
    <rPh sb="4" eb="5">
      <t>ショ</t>
    </rPh>
    <rPh sb="13" eb="15">
      <t>ヨウケン</t>
    </rPh>
    <rPh sb="16" eb="18">
      <t>タイオウ</t>
    </rPh>
    <rPh sb="28" eb="30">
      <t>カイハツ</t>
    </rPh>
    <rPh sb="31" eb="33">
      <t>ヒツヨウ</t>
    </rPh>
    <phoneticPr fontId="31"/>
  </si>
  <si>
    <t>支払通知書</t>
    <rPh sb="0" eb="5">
      <t>シハライツウチショ</t>
    </rPh>
    <phoneticPr fontId="31"/>
  </si>
  <si>
    <t xml:space="preserve">支払処理時に選択した通貨にて、全銀協フォーマットのFBデータを出力する機能を具備しております。
</t>
    <rPh sb="0" eb="2">
      <t>シハライ</t>
    </rPh>
    <rPh sb="2" eb="4">
      <t>ショリ</t>
    </rPh>
    <rPh sb="4" eb="5">
      <t>ジ</t>
    </rPh>
    <rPh sb="6" eb="8">
      <t>センタク</t>
    </rPh>
    <rPh sb="10" eb="12">
      <t>ツウカ</t>
    </rPh>
    <rPh sb="15" eb="24">
      <t>ゼンギン</t>
    </rPh>
    <rPh sb="31" eb="33">
      <t>シュツリョク</t>
    </rPh>
    <rPh sb="35" eb="37">
      <t>キノウ</t>
    </rPh>
    <rPh sb="38" eb="40">
      <t>グビ</t>
    </rPh>
    <phoneticPr fontId="31"/>
  </si>
  <si>
    <t>売上違算の修正結果を反映する</t>
    <phoneticPr fontId="31"/>
  </si>
  <si>
    <t xml:space="preserve">違算発生時、クレジットメモ/デビットメモを登録することで、違算の修正を行う機能を具備しております。
</t>
    <rPh sb="0" eb="2">
      <t>イサン</t>
    </rPh>
    <rPh sb="2" eb="5">
      <t>ハッセイジ</t>
    </rPh>
    <rPh sb="29" eb="31">
      <t>イサン</t>
    </rPh>
    <rPh sb="32" eb="34">
      <t>シュウセイ</t>
    </rPh>
    <rPh sb="35" eb="36">
      <t>オコナ</t>
    </rPh>
    <rPh sb="37" eb="39">
      <t>キノウ</t>
    </rPh>
    <rPh sb="40" eb="42">
      <t>グビ</t>
    </rPh>
    <phoneticPr fontId="31"/>
  </si>
  <si>
    <t>でんさいネットから債権情報を受け入れる</t>
    <phoneticPr fontId="31"/>
  </si>
  <si>
    <t>SAP標準機能では「でんさいネット」の標準フォーマットを直接インポートする機能は具備していないため、アドオン開発が必要です。</t>
    <rPh sb="54" eb="56">
      <t>カイハツ</t>
    </rPh>
    <rPh sb="57" eb="59">
      <t>ヒツヨウ</t>
    </rPh>
    <phoneticPr fontId="31"/>
  </si>
  <si>
    <t>でんさいデータ取込</t>
    <rPh sb="7" eb="9">
      <t>トリコミ</t>
    </rPh>
    <phoneticPr fontId="31"/>
  </si>
  <si>
    <t>登録した債権から、割引(全部／一部)、譲渡(全部／一部)、決済のてん末を管理する</t>
    <phoneticPr fontId="31"/>
  </si>
  <si>
    <t xml:space="preserve">電子記録債権の割引・譲渡・決済の振替仕訳を計上することで、仕訳上で確認する運用を想定しております。
また、一部の割引や譲渡については、仕訳計上時に金額を分割して転記いただく想定となります。
</t>
    <rPh sb="0" eb="6">
      <t>デンシキ</t>
    </rPh>
    <rPh sb="7" eb="9">
      <t>ワリビキ</t>
    </rPh>
    <rPh sb="10" eb="12">
      <t>ジョウト</t>
    </rPh>
    <rPh sb="13" eb="15">
      <t>ケッサイ</t>
    </rPh>
    <rPh sb="16" eb="18">
      <t>フリカエ</t>
    </rPh>
    <rPh sb="18" eb="20">
      <t>シワケ</t>
    </rPh>
    <rPh sb="21" eb="23">
      <t>ケイジョウ</t>
    </rPh>
    <rPh sb="29" eb="31">
      <t>シワケ</t>
    </rPh>
    <rPh sb="31" eb="32">
      <t>ジョウ</t>
    </rPh>
    <rPh sb="33" eb="35">
      <t>カクニン</t>
    </rPh>
    <rPh sb="37" eb="39">
      <t>ウンヨウ</t>
    </rPh>
    <rPh sb="40" eb="42">
      <t>ソウテイ</t>
    </rPh>
    <rPh sb="53" eb="55">
      <t>イチブ</t>
    </rPh>
    <rPh sb="56" eb="58">
      <t>ワリビキ</t>
    </rPh>
    <rPh sb="59" eb="61">
      <t>ジョウト</t>
    </rPh>
    <rPh sb="67" eb="69">
      <t>シワケ</t>
    </rPh>
    <rPh sb="69" eb="71">
      <t>ケイジョウ</t>
    </rPh>
    <rPh sb="71" eb="72">
      <t>ジ</t>
    </rPh>
    <rPh sb="73" eb="75">
      <t>キンガク</t>
    </rPh>
    <rPh sb="76" eb="78">
      <t>ブンカツ</t>
    </rPh>
    <rPh sb="80" eb="82">
      <t>テンキ</t>
    </rPh>
    <rPh sb="86" eb="88">
      <t>ソウテイ</t>
    </rPh>
    <phoneticPr fontId="31"/>
  </si>
  <si>
    <t xml:space="preserve">支払の電子記録債権データを出力する機能を具備しております。
出力したファイルをネットバンクへアップロードいただく想定です。
</t>
    <rPh sb="0" eb="2">
      <t>シハライ</t>
    </rPh>
    <rPh sb="3" eb="9">
      <t>デンシキ</t>
    </rPh>
    <rPh sb="13" eb="15">
      <t>シュツリョク</t>
    </rPh>
    <rPh sb="17" eb="19">
      <t>キノウ</t>
    </rPh>
    <rPh sb="20" eb="22">
      <t>グビ</t>
    </rPh>
    <rPh sb="30" eb="32">
      <t>シュツリョク</t>
    </rPh>
    <rPh sb="56" eb="58">
      <t>ソウテイ</t>
    </rPh>
    <phoneticPr fontId="31"/>
  </si>
  <si>
    <t>ネットバンクから結果を取り込みます。</t>
    <phoneticPr fontId="31"/>
  </si>
  <si>
    <t>連番149と同じ</t>
    <rPh sb="0" eb="2">
      <t>レンバン</t>
    </rPh>
    <rPh sb="6" eb="7">
      <t>オナ</t>
    </rPh>
    <phoneticPr fontId="31"/>
  </si>
  <si>
    <t>仕訳データ送信</t>
    <rPh sb="0" eb="2">
      <t>シワケ</t>
    </rPh>
    <rPh sb="5" eb="7">
      <t>ソウシン</t>
    </rPh>
    <phoneticPr fontId="31"/>
  </si>
  <si>
    <t>生産計画データ送信</t>
    <rPh sb="0" eb="4">
      <t>セイサンケイカク</t>
    </rPh>
    <rPh sb="7" eb="9">
      <t>ソウシン</t>
    </rPh>
    <phoneticPr fontId="31"/>
  </si>
  <si>
    <t>法人単位で請求先や支払先を個別の役割として一元管理し、業務プロセスに応じて最適な先を紐づける機能を具備しております。</t>
    <rPh sb="0" eb="2">
      <t>ホウジン</t>
    </rPh>
    <rPh sb="2" eb="4">
      <t>タンイ</t>
    </rPh>
    <rPh sb="5" eb="8">
      <t>セイキュウサキ</t>
    </rPh>
    <rPh sb="9" eb="12">
      <t>シハライサキ</t>
    </rPh>
    <rPh sb="13" eb="15">
      <t>コベツ</t>
    </rPh>
    <rPh sb="16" eb="18">
      <t>ヤクワリ</t>
    </rPh>
    <rPh sb="21" eb="25">
      <t>イチゲンカンリ</t>
    </rPh>
    <rPh sb="27" eb="29">
      <t>ギョウム</t>
    </rPh>
    <rPh sb="34" eb="35">
      <t>オウ</t>
    </rPh>
    <rPh sb="37" eb="39">
      <t>サイテキ</t>
    </rPh>
    <rPh sb="40" eb="41">
      <t>サキ</t>
    </rPh>
    <rPh sb="42" eb="43">
      <t>ヒモ</t>
    </rPh>
    <rPh sb="46" eb="48">
      <t>キノウ</t>
    </rPh>
    <rPh sb="49" eb="51">
      <t>グビ</t>
    </rPh>
    <phoneticPr fontId="31"/>
  </si>
  <si>
    <t xml:space="preserve">確定した受注や出荷のみを与信限度の対象とする機能を具備しております。
</t>
    <rPh sb="0" eb="2">
      <t>カクテイ</t>
    </rPh>
    <rPh sb="4" eb="6">
      <t>ジュチュウ</t>
    </rPh>
    <rPh sb="7" eb="9">
      <t>シュッカ</t>
    </rPh>
    <rPh sb="12" eb="14">
      <t>ヨシン</t>
    </rPh>
    <rPh sb="14" eb="16">
      <t>ゲンド</t>
    </rPh>
    <rPh sb="17" eb="19">
      <t>タイショウ</t>
    </rPh>
    <rPh sb="22" eb="24">
      <t>キノウ</t>
    </rPh>
    <rPh sb="25" eb="27">
      <t>グビ</t>
    </rPh>
    <phoneticPr fontId="31"/>
  </si>
  <si>
    <t xml:space="preserve">SAPではグローバル標準の評価手法である移動平均法または標準原価法を用いた受払計算および在庫評価を採用しています。
総平均法や先入先出法に対応するには、以下のような評価替え方式での運用が必要です。
総平均法：期中は移動平均法で仮計上しておき、実際原価計算によって算出した結果をもとに、会計反映を行う運用
先入先出法：標準の棚卸資産評価機能を用いて期末時点の評価額を先入先出に基づき計算し、会計反映を行う運用
</t>
    <rPh sb="24" eb="25">
      <t>ホウ</t>
    </rPh>
    <rPh sb="32" eb="33">
      <t>ホウ</t>
    </rPh>
    <rPh sb="49" eb="51">
      <t>サイヨウ</t>
    </rPh>
    <rPh sb="58" eb="62">
      <t>ソウヘイキンホウ</t>
    </rPh>
    <rPh sb="63" eb="67">
      <t>サキイレサキダシ</t>
    </rPh>
    <rPh sb="67" eb="68">
      <t>ホウ</t>
    </rPh>
    <rPh sb="69" eb="71">
      <t>タイオウ</t>
    </rPh>
    <rPh sb="76" eb="78">
      <t>イカ</t>
    </rPh>
    <rPh sb="82" eb="85">
      <t>ヒョウカガ</t>
    </rPh>
    <rPh sb="86" eb="88">
      <t>ホウシキ</t>
    </rPh>
    <rPh sb="90" eb="92">
      <t>ウンヨウ</t>
    </rPh>
    <rPh sb="93" eb="95">
      <t>ヒツヨウ</t>
    </rPh>
    <rPh sb="99" eb="103">
      <t>ソウヘイキンホウ</t>
    </rPh>
    <rPh sb="104" eb="106">
      <t>キチュウ</t>
    </rPh>
    <rPh sb="107" eb="112">
      <t>イドウヘイキンホウ</t>
    </rPh>
    <rPh sb="113" eb="116">
      <t>カリケイジョウ</t>
    </rPh>
    <rPh sb="121" eb="127">
      <t>ジッサイゲンカケイサン</t>
    </rPh>
    <rPh sb="131" eb="133">
      <t>サンシュツ</t>
    </rPh>
    <rPh sb="135" eb="137">
      <t>ケッカ</t>
    </rPh>
    <rPh sb="142" eb="144">
      <t>カイケイ</t>
    </rPh>
    <rPh sb="144" eb="146">
      <t>ハンエイ</t>
    </rPh>
    <rPh sb="147" eb="148">
      <t>オコナ</t>
    </rPh>
    <rPh sb="149" eb="151">
      <t>ウンヨウ</t>
    </rPh>
    <rPh sb="152" eb="157">
      <t>サキイレサキダシホウ</t>
    </rPh>
    <phoneticPr fontId="31"/>
  </si>
  <si>
    <t>連番181と同じ</t>
    <rPh sb="0" eb="2">
      <t>レンバン</t>
    </rPh>
    <rPh sb="6" eb="7">
      <t>オナ</t>
    </rPh>
    <phoneticPr fontId="31"/>
  </si>
  <si>
    <t xml:space="preserve">基本的なドリルダウン分析は可能ですが、一部制限があります。生産指図レベルでの詳細な振り返りが必要な場合、期間別製品原価管理や標準レポートを組み合わせた分析手法の採用が推奨されます。
</t>
    <phoneticPr fontId="31"/>
  </si>
  <si>
    <t>本番の在庫評価に影響を与えることなく、原価シミュレーションを実行する機能を具備しております。</t>
    <rPh sb="0" eb="2">
      <t>ホンバン</t>
    </rPh>
    <rPh sb="3" eb="5">
      <t>ザイコ</t>
    </rPh>
    <rPh sb="5" eb="7">
      <t>ヒョウカ</t>
    </rPh>
    <rPh sb="8" eb="10">
      <t>エイキョウ</t>
    </rPh>
    <rPh sb="11" eb="12">
      <t>アタ</t>
    </rPh>
    <rPh sb="19" eb="21">
      <t>ゲンカ</t>
    </rPh>
    <rPh sb="30" eb="32">
      <t>ジッコウ</t>
    </rPh>
    <rPh sb="34" eb="36">
      <t>キノウ</t>
    </rPh>
    <rPh sb="37" eb="39">
      <t>グビ</t>
    </rPh>
    <phoneticPr fontId="31"/>
  </si>
  <si>
    <t>連番155と同じ</t>
    <rPh sb="0" eb="2">
      <t>レンバン</t>
    </rPh>
    <rPh sb="6" eb="7">
      <t>オナ</t>
    </rPh>
    <phoneticPr fontId="31"/>
  </si>
  <si>
    <t>注文書楽楽連携
仕入先納品書楽楽連携
作業報告書楽楽連携
得意先納品書楽楽連携</t>
    <rPh sb="0" eb="3">
      <t>チュウモンショ</t>
    </rPh>
    <rPh sb="3" eb="7">
      <t>ラクラクレンケイ</t>
    </rPh>
    <rPh sb="8" eb="11">
      <t>シイレサキ</t>
    </rPh>
    <rPh sb="11" eb="14">
      <t>ノウヒンショ</t>
    </rPh>
    <rPh sb="14" eb="18">
      <t>ラクラクレンケイ</t>
    </rPh>
    <rPh sb="19" eb="21">
      <t>サギョウ</t>
    </rPh>
    <rPh sb="21" eb="24">
      <t>ホウコクショ</t>
    </rPh>
    <rPh sb="24" eb="28">
      <t>ラクラクレンケイ</t>
    </rPh>
    <rPh sb="29" eb="32">
      <t>トクイサキ</t>
    </rPh>
    <rPh sb="32" eb="35">
      <t>ノウヒンショ</t>
    </rPh>
    <rPh sb="35" eb="39">
      <t>ラクラクレンケイ</t>
    </rPh>
    <phoneticPr fontId="31"/>
  </si>
  <si>
    <t xml:space="preserve">外部サービスへ連携するためのアドオン開発が必要です。
添付資料9の「社内・社外間IF一覧」に記載されている仕入先向けの注文書および納品書、得意先向けの作業報告書および納品書を対象に当要件でのお見積とします。
</t>
    <rPh sb="27" eb="31">
      <t>テンプシリョウ</t>
    </rPh>
    <rPh sb="46" eb="48">
      <t>キサイ</t>
    </rPh>
    <rPh sb="53" eb="56">
      <t>シイレサキ</t>
    </rPh>
    <rPh sb="56" eb="57">
      <t>ム</t>
    </rPh>
    <rPh sb="59" eb="62">
      <t>チュウモンショ</t>
    </rPh>
    <rPh sb="65" eb="68">
      <t>ノウヒンショ</t>
    </rPh>
    <rPh sb="69" eb="72">
      <t>トクイサキ</t>
    </rPh>
    <rPh sb="72" eb="73">
      <t>ム</t>
    </rPh>
    <rPh sb="75" eb="80">
      <t>サギョウホウコクショ</t>
    </rPh>
    <rPh sb="83" eb="86">
      <t>ノウヒンショ</t>
    </rPh>
    <rPh sb="87" eb="89">
      <t>タイショウ</t>
    </rPh>
    <rPh sb="90" eb="93">
      <t>トウヨウケン</t>
    </rPh>
    <rPh sb="96" eb="98">
      <t>ミツモリ</t>
    </rPh>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</si>
</sst>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Red]#,##0"/>
    <numFmt numFmtId="177" formatCode="0.0%"/>
  </numFmts>
  <fonts count="41">
    <font>
      <sz val="11"/>
      <color theme="1"/>
      <name val="Calibri"/>
      <scheme val="minor"/>
    </font>
    <font>
      <b/>
      <sz val="12"/>
      <color theme="1"/>
      <name val="Meiryo"/>
      <family val="3"/>
      <charset val="128"/>
    </font>
    <font>
      <sz val="12"/>
      <color theme="1"/>
      <name val="Meiryo"/>
      <family val="3"/>
      <charset val="128"/>
    </font>
    <font>
      <sz val="10"/>
      <color theme="1"/>
      <name val="Meiryo"/>
      <family val="3"/>
      <charset val="128"/>
    </font>
    <font>
      <sz val="12"/>
      <color rgb="FFFFFFFF"/>
      <name val="Meiryo"/>
      <family val="3"/>
      <charset val="128"/>
    </font>
    <font>
      <sz val="11"/>
      <name val="Calibri"/>
      <family val="2"/>
    </font>
    <font>
      <b/>
      <sz val="12"/>
      <color rgb="FFFF0000"/>
      <name val="Meiryo"/>
      <family val="3"/>
      <charset val="128"/>
    </font>
    <font>
      <b/>
      <sz val="10"/>
      <color rgb="FFFF0000"/>
      <name val="Meiryo"/>
      <family val="3"/>
      <charset val="128"/>
    </font>
    <font>
      <sz val="10"/>
      <color rgb="FF000000"/>
      <name val="Meiryo"/>
      <family val="3"/>
      <charset val="128"/>
    </font>
    <font>
      <b/>
      <sz val="11"/>
      <color theme="1"/>
      <name val="Meiryo"/>
      <family val="3"/>
      <charset val="128"/>
    </font>
    <font>
      <sz val="9"/>
      <color theme="1"/>
      <name val="Meiryo"/>
      <family val="3"/>
      <charset val="128"/>
    </font>
    <font>
      <sz val="9"/>
      <color rgb="FF0070C0"/>
      <name val="Meiryo"/>
      <family val="3"/>
      <charset val="128"/>
    </font>
    <font>
      <b/>
      <sz val="9"/>
      <color theme="1"/>
      <name val="Meiryo"/>
      <family val="3"/>
      <charset val="128"/>
    </font>
    <font>
      <sz val="11"/>
      <color theme="1"/>
      <name val="Meiryo"/>
      <family val="3"/>
      <charset val="128"/>
    </font>
    <font>
      <sz val="11"/>
      <color theme="1"/>
      <name val="Calibri"/>
      <family val="2"/>
    </font>
    <font>
      <b/>
      <sz val="14"/>
      <color theme="0"/>
      <name val="Meiryo"/>
      <family val="3"/>
      <charset val="128"/>
    </font>
    <font>
      <sz val="14"/>
      <color theme="1"/>
      <name val="Meiryo"/>
      <family val="3"/>
      <charset val="128"/>
    </font>
    <font>
      <sz val="12"/>
      <color rgb="FF212529"/>
      <name val="Meiryo"/>
      <family val="3"/>
      <charset val="128"/>
    </font>
    <font>
      <sz val="11"/>
      <color rgb="FF212529"/>
      <name val="Quattrocento Sans"/>
      <family val="2"/>
    </font>
    <font>
      <sz val="12"/>
      <color theme="0"/>
      <name val="Meiryo"/>
      <family val="3"/>
      <charset val="128"/>
    </font>
    <font>
      <sz val="11"/>
      <color rgb="FF212529"/>
      <name val="Meiryo"/>
      <family val="3"/>
      <charset val="128"/>
    </font>
    <font>
      <sz val="11"/>
      <color rgb="FF212529"/>
      <name val="MS PGothic"/>
      <family val="3"/>
      <charset val="128"/>
    </font>
    <font>
      <sz val="12"/>
      <color rgb="FFFF0000"/>
      <name val="Meiryo"/>
      <family val="3"/>
      <charset val="128"/>
    </font>
    <font>
      <sz val="11"/>
      <color theme="1"/>
      <name val="游ゴシック"/>
      <family val="3"/>
      <charset val="128"/>
    </font>
    <font>
      <sz val="11"/>
      <color rgb="FF000000"/>
      <name val="Meiryo"/>
      <family val="3"/>
      <charset val="128"/>
    </font>
    <font>
      <b/>
      <sz val="11"/>
      <color theme="1"/>
      <name val="Meiryo UI"/>
      <family val="3"/>
      <charset val="128"/>
    </font>
    <font>
      <sz val="11"/>
      <color theme="1"/>
      <name val="Meiryo UI"/>
      <family val="3"/>
      <charset val="128"/>
    </font>
    <font>
      <sz val="11"/>
      <color rgb="FF212529"/>
      <name val="ＭＳ Ｐゴシック"/>
      <family val="3"/>
      <charset val="128"/>
    </font>
    <font>
      <sz val="11"/>
      <color rgb="FF212529"/>
      <name val="ＭＳ ゴシック"/>
      <family val="3"/>
      <charset val="128"/>
    </font>
    <font>
      <sz val="11"/>
      <color rgb="FF212529"/>
      <name val="Segoe UI"/>
      <family val="2"/>
    </font>
    <font>
      <sz val="11"/>
      <name val="Meiryo"/>
      <family val="3"/>
      <charset val="128"/>
    </font>
    <font>
      <sz val="6"/>
      <name val="Calibri"/>
      <family val="3"/>
      <charset val="128"/>
      <scheme val="minor"/>
    </font>
    <font>
      <sz val="10"/>
      <name val="Meiryo"/>
      <family val="3"/>
      <charset val="128"/>
    </font>
    <font>
      <sz val="11"/>
      <name val="Calibri"/>
      <family val="2"/>
      <scheme val="minor"/>
    </font>
    <font>
      <sz val="11"/>
      <color theme="1"/>
      <name val="Calibri"/>
      <family val="2"/>
      <scheme val="minor"/>
    </font>
    <font>
      <sz val="11"/>
      <color theme="1"/>
      <name val="ＭＳ ゴシック"/>
      <family val="3"/>
      <charset val="128"/>
    </font>
    <font>
      <b/>
      <sz val="11"/>
      <color theme="1"/>
      <name val="Calibri"/>
      <family val="3"/>
      <charset val="128"/>
      <scheme val="minor"/>
    </font>
    <font>
      <sz val="11"/>
      <color theme="1"/>
      <name val="Meiryo"/>
      <family val="2"/>
      <charset val="128"/>
    </font>
    <font>
      <sz val="11"/>
      <color theme="1"/>
      <name val="ＭＳ Ｐゴシック"/>
      <family val="3"/>
      <charset val="128"/>
    </font>
    <font>
      <sz val="11"/>
      <color theme="1"/>
      <name val="ＭＳ Ｐゴシック"/>
      <family val="2"/>
      <charset val="128"/>
    </font>
    <font>
      <sz val="11"/>
      <color theme="1"/>
      <name val="Calibri"/>
      <family val="2"/>
      <scheme val="minor"/>
    </font>
  </fonts>
  <fills count="9">
    <fill>
      <patternFill patternType="none"/>
    </fill>
    <fill>
      <patternFill patternType="gray125"/>
    </fill>
    <fill>
      <patternFill patternType="solid">
        <fgColor rgb="FF0000FF"/>
        <bgColor rgb="FF0000FF"/>
      </patternFill>
    </fill>
    <fill>
      <patternFill patternType="solid">
        <fgColor rgb="FFFFFF00"/>
        <bgColor rgb="FFFFFF00"/>
      </patternFill>
    </fill>
    <fill>
      <patternFill patternType="solid">
        <fgColor rgb="FFE2EFD9"/>
        <bgColor rgb="FFE2EFD9"/>
      </patternFill>
    </fill>
    <fill>
      <patternFill patternType="solid">
        <fgColor rgb="FF2F5496"/>
        <bgColor rgb="FF2F5496"/>
      </patternFill>
    </fill>
    <fill>
      <patternFill patternType="solid">
        <fgColor rgb="FFAEABAB"/>
        <bgColor rgb="FFAEABAB"/>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diagonal/>
    </border>
    <border>
      <left/>
      <right/>
      <top style="medium">
        <color rgb="FFDEE2E6"/>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indexed="64"/>
      </bottom>
      <diagonal/>
    </border>
  </borders>
  <cellStyleXfs count="2">
    <xf numFmtId="0" fontId="0" fillId="0" borderId="0"/>
    <xf numFmtId="38" fontId="40" fillId="0" borderId="0" applyFont="0" applyFill="0" applyBorder="0" applyAlignment="0" applyProtection="0">
      <alignment vertical="center"/>
    </xf>
  </cellStyleXfs>
  <cellXfs count="138">
    <xf numFmtId="0" fontId="0" fillId="0" borderId="0" xfId="0" applyAlignment="1">
      <alignment vertical="center"/>
    </xf>
    <xf numFmtId="0" fontId="1" fillId="0" borderId="0" xfId="0" applyFont="1"/>
    <xf numFmtId="0" fontId="2" fillId="0" borderId="0" xfId="0" applyFont="1"/>
    <xf numFmtId="0" fontId="3"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wrapText="1"/>
    </xf>
    <xf numFmtId="0" fontId="10" fillId="0" borderId="0" xfId="0" applyFont="1" applyAlignment="1">
      <alignment horizontal="left" vertical="top" wrapText="1"/>
    </xf>
    <xf numFmtId="0" fontId="12" fillId="3" borderId="6" xfId="0" applyFont="1" applyFill="1" applyBorder="1" applyAlignment="1">
      <alignment horizontal="left" vertical="top" wrapText="1"/>
    </xf>
    <xf numFmtId="0" fontId="12" fillId="3" borderId="6" xfId="0" applyFont="1" applyFill="1" applyBorder="1" applyAlignment="1">
      <alignment horizontal="center" vertical="center" wrapText="1"/>
    </xf>
    <xf numFmtId="0" fontId="12" fillId="3" borderId="6" xfId="0" applyFont="1" applyFill="1" applyBorder="1" applyAlignment="1">
      <alignment horizontal="left" vertical="center" wrapText="1"/>
    </xf>
    <xf numFmtId="0" fontId="12" fillId="3" borderId="6" xfId="0" applyFont="1" applyFill="1" applyBorder="1" applyAlignment="1">
      <alignment vertical="center" wrapText="1"/>
    </xf>
    <xf numFmtId="0" fontId="12" fillId="4" borderId="6" xfId="0" applyFont="1" applyFill="1" applyBorder="1" applyAlignment="1">
      <alignment horizontal="center" vertical="center" wrapText="1"/>
    </xf>
    <xf numFmtId="0" fontId="13" fillId="0" borderId="6" xfId="0" applyFont="1" applyBorder="1" applyAlignment="1">
      <alignment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176" fontId="13" fillId="0" borderId="6" xfId="0" applyNumberFormat="1" applyFont="1" applyBorder="1" applyAlignment="1">
      <alignment vertical="center" wrapText="1"/>
    </xf>
    <xf numFmtId="0" fontId="13" fillId="0" borderId="7" xfId="0" applyFont="1" applyBorder="1" applyAlignment="1">
      <alignment vertical="center" wrapText="1"/>
    </xf>
    <xf numFmtId="0" fontId="13" fillId="0" borderId="7" xfId="0" applyFont="1" applyBorder="1" applyAlignment="1">
      <alignment horizontal="left" vertical="center" wrapText="1"/>
    </xf>
    <xf numFmtId="0" fontId="13" fillId="0" borderId="7" xfId="0" applyFont="1" applyBorder="1" applyAlignment="1">
      <alignment horizontal="center" vertical="center" wrapText="1"/>
    </xf>
    <xf numFmtId="176" fontId="13" fillId="0" borderId="7" xfId="0" applyNumberFormat="1" applyFont="1" applyBorder="1" applyAlignment="1">
      <alignment vertical="center" wrapText="1"/>
    </xf>
    <xf numFmtId="0" fontId="13" fillId="0" borderId="3" xfId="0" applyFont="1" applyBorder="1" applyAlignment="1">
      <alignment vertical="center" wrapText="1"/>
    </xf>
    <xf numFmtId="0" fontId="14" fillId="0" borderId="6" xfId="0" applyFont="1" applyBorder="1" applyAlignment="1">
      <alignment vertical="center"/>
    </xf>
    <xf numFmtId="0" fontId="13" fillId="0" borderId="8" xfId="0" applyFont="1" applyBorder="1" applyAlignment="1">
      <alignment horizontal="center" vertical="center" wrapText="1"/>
    </xf>
    <xf numFmtId="0" fontId="13" fillId="0" borderId="8" xfId="0" applyFont="1" applyBorder="1" applyAlignment="1">
      <alignment vertical="center" wrapText="1"/>
    </xf>
    <xf numFmtId="176" fontId="13" fillId="0" borderId="8" xfId="0" applyNumberFormat="1" applyFont="1" applyBorder="1" applyAlignment="1">
      <alignment vertical="center" wrapText="1"/>
    </xf>
    <xf numFmtId="0" fontId="13" fillId="0" borderId="9" xfId="0" applyFont="1" applyBorder="1" applyAlignment="1">
      <alignment horizontal="left" vertical="center" wrapText="1"/>
    </xf>
    <xf numFmtId="0" fontId="13" fillId="0" borderId="3" xfId="0" applyFont="1" applyBorder="1" applyAlignment="1">
      <alignment horizontal="left" vertical="center" wrapText="1"/>
    </xf>
    <xf numFmtId="0" fontId="13" fillId="0" borderId="5" xfId="0" applyFont="1" applyBorder="1" applyAlignment="1">
      <alignment vertical="center" wrapText="1"/>
    </xf>
    <xf numFmtId="0" fontId="14" fillId="0" borderId="0" xfId="0" applyFont="1" applyAlignment="1">
      <alignment vertical="center"/>
    </xf>
    <xf numFmtId="0" fontId="13" fillId="0" borderId="0" xfId="0" applyFont="1" applyAlignment="1">
      <alignment vertical="center"/>
    </xf>
    <xf numFmtId="0" fontId="15" fillId="5" borderId="6" xfId="0" applyFont="1" applyFill="1" applyBorder="1" applyAlignment="1">
      <alignment horizontal="center" vertical="center"/>
    </xf>
    <xf numFmtId="38" fontId="15" fillId="5" borderId="6" xfId="0" applyNumberFormat="1" applyFont="1" applyFill="1" applyBorder="1" applyAlignment="1">
      <alignment horizontal="center" vertical="center"/>
    </xf>
    <xf numFmtId="0" fontId="16" fillId="6" borderId="10" xfId="0" applyFont="1" applyFill="1" applyBorder="1" applyAlignment="1">
      <alignment vertical="center"/>
    </xf>
    <xf numFmtId="0" fontId="16" fillId="3" borderId="10" xfId="0" applyFont="1" applyFill="1" applyBorder="1" applyAlignment="1">
      <alignment horizontal="center" vertical="center"/>
    </xf>
    <xf numFmtId="0" fontId="16" fillId="0" borderId="0" xfId="0" applyFont="1" applyAlignment="1">
      <alignment vertical="center"/>
    </xf>
    <xf numFmtId="0" fontId="15" fillId="5" borderId="11"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3" xfId="0" applyFont="1" applyBorder="1" applyAlignment="1">
      <alignment vertical="center"/>
    </xf>
    <xf numFmtId="0" fontId="2" fillId="0" borderId="6" xfId="0" applyFont="1" applyBorder="1" applyAlignment="1">
      <alignment horizontal="center" vertical="center"/>
    </xf>
    <xf numFmtId="38" fontId="2" fillId="0" borderId="6" xfId="0" applyNumberFormat="1" applyFont="1" applyBorder="1" applyAlignment="1">
      <alignment vertical="center"/>
    </xf>
    <xf numFmtId="0" fontId="2" fillId="0" borderId="0" xfId="0" applyFont="1" applyAlignment="1">
      <alignment vertical="center"/>
    </xf>
    <xf numFmtId="0" fontId="17" fillId="0" borderId="12" xfId="0" applyFont="1" applyBorder="1" applyAlignment="1">
      <alignment vertical="top" wrapText="1"/>
    </xf>
    <xf numFmtId="0" fontId="18" fillId="0" borderId="12" xfId="0" applyFont="1" applyBorder="1" applyAlignment="1">
      <alignment vertical="top" wrapText="1"/>
    </xf>
    <xf numFmtId="0" fontId="19" fillId="0" borderId="13" xfId="0" applyFont="1" applyBorder="1" applyAlignment="1">
      <alignment vertical="center"/>
    </xf>
    <xf numFmtId="0" fontId="2" fillId="0" borderId="14" xfId="0" applyFont="1" applyBorder="1" applyAlignment="1">
      <alignment vertical="center"/>
    </xf>
    <xf numFmtId="0" fontId="19" fillId="0" borderId="15" xfId="0" applyFont="1" applyBorder="1" applyAlignment="1">
      <alignment vertical="center"/>
    </xf>
    <xf numFmtId="0" fontId="17" fillId="0" borderId="6" xfId="0" applyFont="1" applyBorder="1" applyAlignment="1">
      <alignment vertical="top" wrapText="1"/>
    </xf>
    <xf numFmtId="0" fontId="20" fillId="0" borderId="12" xfId="0" applyFont="1" applyBorder="1" applyAlignment="1">
      <alignment vertical="top" wrapText="1"/>
    </xf>
    <xf numFmtId="0" fontId="21" fillId="0" borderId="12" xfId="0" applyFont="1" applyBorder="1" applyAlignment="1">
      <alignment vertical="top" wrapText="1"/>
    </xf>
    <xf numFmtId="0" fontId="22" fillId="0" borderId="0" xfId="0" applyFont="1" applyAlignment="1">
      <alignment vertical="center"/>
    </xf>
    <xf numFmtId="0" fontId="2" fillId="0" borderId="6" xfId="0" applyFont="1" applyBorder="1"/>
    <xf numFmtId="0" fontId="2" fillId="0" borderId="7" xfId="0" applyFont="1" applyBorder="1"/>
    <xf numFmtId="0" fontId="2" fillId="0" borderId="7" xfId="0" applyFont="1" applyBorder="1" applyAlignment="1">
      <alignment horizontal="center" vertical="center"/>
    </xf>
    <xf numFmtId="38" fontId="2" fillId="0" borderId="7" xfId="0" applyNumberFormat="1" applyFont="1" applyBorder="1" applyAlignment="1">
      <alignment vertical="center"/>
    </xf>
    <xf numFmtId="0" fontId="2" fillId="0" borderId="16" xfId="0" applyFont="1" applyBorder="1" applyAlignment="1">
      <alignment vertical="center"/>
    </xf>
    <xf numFmtId="0" fontId="2" fillId="0" borderId="13" xfId="0" applyFont="1" applyBorder="1" applyAlignment="1">
      <alignment vertical="center"/>
    </xf>
    <xf numFmtId="0" fontId="2" fillId="0" borderId="8" xfId="0" applyFont="1" applyBorder="1"/>
    <xf numFmtId="0" fontId="2" fillId="0" borderId="8" xfId="0" applyFont="1" applyBorder="1" applyAlignment="1">
      <alignment vertical="center"/>
    </xf>
    <xf numFmtId="0" fontId="2" fillId="0" borderId="8" xfId="0" applyFont="1" applyBorder="1" applyAlignment="1">
      <alignment horizontal="center" vertical="center"/>
    </xf>
    <xf numFmtId="38" fontId="2" fillId="0" borderId="8" xfId="0" applyNumberFormat="1" applyFont="1" applyBorder="1" applyAlignment="1">
      <alignment vertical="center"/>
    </xf>
    <xf numFmtId="0" fontId="19" fillId="0" borderId="8" xfId="0" applyFont="1" applyBorder="1" applyAlignment="1">
      <alignment vertical="center"/>
    </xf>
    <xf numFmtId="0" fontId="2" fillId="0" borderId="6" xfId="0" quotePrefix="1" applyFont="1" applyBorder="1"/>
    <xf numFmtId="0" fontId="19" fillId="0" borderId="0" xfId="0" applyFont="1" applyAlignment="1">
      <alignment vertical="center"/>
    </xf>
    <xf numFmtId="0" fontId="23" fillId="0" borderId="12" xfId="0" applyFont="1" applyBorder="1" applyAlignment="1">
      <alignment vertical="top" wrapText="1"/>
    </xf>
    <xf numFmtId="0" fontId="2" fillId="0" borderId="5" xfId="0" applyFont="1" applyBorder="1" applyAlignment="1">
      <alignment vertical="center"/>
    </xf>
    <xf numFmtId="0" fontId="2" fillId="0" borderId="9"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19" fillId="0" borderId="9" xfId="0" applyFont="1" applyBorder="1" applyAlignment="1">
      <alignment vertical="center"/>
    </xf>
    <xf numFmtId="0" fontId="2" fillId="0" borderId="4" xfId="0" applyFont="1" applyBorder="1" applyAlignment="1">
      <alignment vertical="center"/>
    </xf>
    <xf numFmtId="0" fontId="2" fillId="0" borderId="15" xfId="0" applyFont="1" applyBorder="1" applyAlignment="1">
      <alignment vertical="center"/>
    </xf>
    <xf numFmtId="0" fontId="19" fillId="0" borderId="16" xfId="0" applyFont="1" applyBorder="1" applyAlignment="1">
      <alignment vertical="center"/>
    </xf>
    <xf numFmtId="0" fontId="2" fillId="0" borderId="19" xfId="0" applyFont="1" applyBorder="1" applyAlignment="1">
      <alignment vertical="center"/>
    </xf>
    <xf numFmtId="0" fontId="19" fillId="0" borderId="18" xfId="0" applyFont="1" applyBorder="1" applyAlignment="1">
      <alignment vertical="center"/>
    </xf>
    <xf numFmtId="0" fontId="9" fillId="0" borderId="0" xfId="0" applyFont="1"/>
    <xf numFmtId="38" fontId="9" fillId="0" borderId="0" xfId="0" applyNumberFormat="1" applyFont="1"/>
    <xf numFmtId="0" fontId="24" fillId="0" borderId="0" xfId="0" applyFont="1" applyAlignment="1">
      <alignment vertical="center"/>
    </xf>
    <xf numFmtId="177" fontId="13" fillId="0" borderId="0" xfId="0" applyNumberFormat="1" applyFont="1" applyAlignment="1">
      <alignment vertical="center"/>
    </xf>
    <xf numFmtId="0" fontId="13" fillId="0" borderId="0" xfId="0" applyFont="1"/>
    <xf numFmtId="38" fontId="13" fillId="0" borderId="0" xfId="0" applyNumberFormat="1" applyFont="1"/>
    <xf numFmtId="0" fontId="13" fillId="0" borderId="8" xfId="0" applyFont="1" applyBorder="1" applyAlignment="1">
      <alignment vertical="center"/>
    </xf>
    <xf numFmtId="0" fontId="30" fillId="0" borderId="6" xfId="0" applyFont="1" applyBorder="1" applyAlignment="1">
      <alignment vertical="center" wrapText="1"/>
    </xf>
    <xf numFmtId="0" fontId="30" fillId="0" borderId="6" xfId="0" applyFont="1" applyBorder="1" applyAlignment="1">
      <alignment horizontal="center" vertical="center" wrapText="1"/>
    </xf>
    <xf numFmtId="0" fontId="30" fillId="0" borderId="3" xfId="0" applyFont="1" applyBorder="1" applyAlignment="1">
      <alignment vertical="center" wrapText="1"/>
    </xf>
    <xf numFmtId="0" fontId="30" fillId="0" borderId="6" xfId="0" applyFont="1" applyBorder="1" applyAlignment="1">
      <alignment horizontal="left" vertical="center" wrapText="1"/>
    </xf>
    <xf numFmtId="0" fontId="32" fillId="0" borderId="0" xfId="0" applyFont="1" applyAlignment="1">
      <alignment wrapText="1"/>
    </xf>
    <xf numFmtId="0" fontId="33" fillId="0" borderId="0" xfId="0" applyFont="1" applyAlignment="1">
      <alignment vertical="center"/>
    </xf>
    <xf numFmtId="0" fontId="30" fillId="0" borderId="6" xfId="0" quotePrefix="1" applyFont="1" applyBorder="1" applyAlignment="1">
      <alignment vertical="center" wrapText="1"/>
    </xf>
    <xf numFmtId="0" fontId="32" fillId="0" borderId="0" xfId="0" applyFont="1" applyAlignment="1">
      <alignment horizontal="left" wrapText="1"/>
    </xf>
    <xf numFmtId="0" fontId="30" fillId="0" borderId="0" xfId="0" applyFont="1" applyAlignment="1">
      <alignment vertical="center" wrapText="1"/>
    </xf>
    <xf numFmtId="0" fontId="32" fillId="0" borderId="0" xfId="0" applyFont="1" applyAlignment="1">
      <alignment horizontal="center" wrapText="1"/>
    </xf>
    <xf numFmtId="0" fontId="14" fillId="0" borderId="20" xfId="0" applyFont="1" applyBorder="1" applyAlignment="1">
      <alignment vertical="center"/>
    </xf>
    <xf numFmtId="0" fontId="10" fillId="0" borderId="0" xfId="0" applyFont="1" applyAlignment="1">
      <alignment horizontal="center" vertical="center"/>
    </xf>
    <xf numFmtId="0" fontId="12" fillId="0" borderId="0" xfId="0" applyFont="1" applyAlignment="1">
      <alignment horizontal="center" vertical="center"/>
    </xf>
    <xf numFmtId="0" fontId="13" fillId="7" borderId="6" xfId="0" applyFont="1" applyFill="1" applyBorder="1" applyAlignment="1">
      <alignment vertical="center" wrapText="1"/>
    </xf>
    <xf numFmtId="0" fontId="36" fillId="0" borderId="0" xfId="0" applyFont="1" applyAlignment="1">
      <alignment vertical="center"/>
    </xf>
    <xf numFmtId="0" fontId="35" fillId="0" borderId="0" xfId="0" applyFont="1" applyAlignment="1">
      <alignment vertical="center"/>
    </xf>
    <xf numFmtId="0" fontId="32" fillId="0" borderId="0" xfId="0" applyFont="1"/>
    <xf numFmtId="0" fontId="13" fillId="8" borderId="6" xfId="0" applyFont="1" applyFill="1" applyBorder="1" applyAlignment="1">
      <alignment vertical="center" wrapText="1"/>
    </xf>
    <xf numFmtId="0" fontId="24" fillId="0" borderId="6" xfId="0" applyFont="1" applyBorder="1" applyAlignment="1">
      <alignment vertical="center" wrapText="1"/>
    </xf>
    <xf numFmtId="0" fontId="37" fillId="0" borderId="0" xfId="0" applyFont="1" applyAlignment="1">
      <alignment vertical="center" wrapText="1"/>
    </xf>
    <xf numFmtId="0" fontId="35" fillId="0" borderId="0" xfId="0" applyFont="1" applyAlignment="1">
      <alignment vertical="center" wrapText="1"/>
    </xf>
    <xf numFmtId="0" fontId="38" fillId="0" borderId="0" xfId="0" applyFont="1" applyAlignment="1">
      <alignment vertical="center"/>
    </xf>
    <xf numFmtId="0" fontId="34" fillId="0" borderId="0" xfId="0" applyFont="1" applyAlignment="1">
      <alignment vertical="center"/>
    </xf>
    <xf numFmtId="0" fontId="26" fillId="0" borderId="0" xfId="0" applyFont="1" applyAlignment="1">
      <alignment vertical="center" wrapText="1"/>
    </xf>
    <xf numFmtId="0" fontId="39" fillId="0" borderId="0" xfId="0" applyFont="1" applyAlignment="1">
      <alignment vertical="center"/>
    </xf>
    <xf numFmtId="0" fontId="34" fillId="0" borderId="0" xfId="0" applyFont="1" applyAlignment="1">
      <alignment vertical="center" wrapText="1"/>
    </xf>
    <xf numFmtId="0" fontId="38" fillId="0" borderId="0" xfId="0" applyFont="1" applyAlignment="1">
      <alignment vertical="center" wrapText="1"/>
    </xf>
    <xf numFmtId="0" fontId="13" fillId="0" borderId="6" xfId="0" applyFont="1" applyBorder="1" applyAlignment="1">
      <alignment vertical="top" wrapText="1"/>
    </xf>
    <xf numFmtId="38" fontId="12" fillId="0" borderId="0" xfId="1" applyFont="1" applyAlignment="1">
      <alignment horizontal="center" vertical="center" wrapText="1"/>
    </xf>
    <xf numFmtId="38" fontId="10" fillId="0" borderId="0" xfId="1" applyFont="1" applyAlignment="1">
      <alignment horizontal="center" vertical="center" wrapText="1"/>
    </xf>
    <xf numFmtId="38" fontId="12" fillId="4" borderId="6" xfId="1" applyFont="1" applyFill="1" applyBorder="1" applyAlignment="1">
      <alignment horizontal="center" vertical="center" wrapText="1"/>
    </xf>
    <xf numFmtId="38" fontId="13" fillId="0" borderId="6" xfId="1" applyFont="1" applyBorder="1" applyAlignment="1">
      <alignment vertical="center" wrapText="1"/>
    </xf>
    <xf numFmtId="38" fontId="30" fillId="0" borderId="6" xfId="1" applyFont="1" applyBorder="1" applyAlignment="1">
      <alignment vertical="center" wrapText="1"/>
    </xf>
    <xf numFmtId="38" fontId="32" fillId="0" borderId="0" xfId="1" applyFont="1" applyAlignment="1">
      <alignment wrapText="1"/>
    </xf>
    <xf numFmtId="38" fontId="0" fillId="0" borderId="0" xfId="1" applyFont="1" applyAlignment="1">
      <alignment vertical="center"/>
    </xf>
    <xf numFmtId="0" fontId="4" fillId="2" borderId="1" xfId="0" applyFont="1" applyFill="1" applyBorder="1"/>
    <xf numFmtId="0" fontId="5" fillId="0" borderId="2" xfId="0" applyFont="1" applyBorder="1" applyAlignment="1">
      <alignment vertical="center"/>
    </xf>
    <xf numFmtId="0" fontId="2" fillId="0" borderId="3" xfId="0" applyFont="1" applyBorder="1"/>
    <xf numFmtId="0" fontId="5" fillId="0" borderId="4" xfId="0" applyFont="1" applyBorder="1" applyAlignment="1">
      <alignment vertical="center"/>
    </xf>
    <xf numFmtId="0" fontId="5" fillId="0" borderId="5" xfId="0" applyFont="1" applyBorder="1" applyAlignment="1">
      <alignment vertical="center"/>
    </xf>
    <xf numFmtId="0" fontId="12" fillId="3" borderId="3" xfId="0" applyFont="1" applyFill="1" applyBorder="1" applyAlignment="1">
      <alignment horizontal="center" vertical="top" wrapText="1"/>
    </xf>
    <xf numFmtId="0" fontId="12" fillId="4" borderId="3" xfId="0" applyFont="1" applyFill="1" applyBorder="1" applyAlignment="1">
      <alignment horizontal="center" vertical="center" wrapText="1"/>
    </xf>
    <xf numFmtId="38" fontId="5" fillId="0" borderId="5" xfId="1" applyFont="1" applyBorder="1" applyAlignment="1">
      <alignment vertical="center"/>
    </xf>
    <xf numFmtId="0" fontId="30" fillId="0" borderId="11" xfId="0" applyFont="1" applyBorder="1" applyAlignment="1">
      <alignment horizontal="left" vertical="top" wrapText="1"/>
    </xf>
    <xf numFmtId="0" fontId="30" fillId="0" borderId="8" xfId="0" applyFont="1" applyBorder="1" applyAlignment="1">
      <alignment horizontal="left" vertical="top" wrapText="1"/>
    </xf>
    <xf numFmtId="0" fontId="30" fillId="0" borderId="11" xfId="0" applyFont="1" applyBorder="1" applyAlignment="1">
      <alignment horizontal="center" vertical="center" wrapText="1"/>
    </xf>
    <xf numFmtId="0" fontId="30" fillId="0" borderId="8" xfId="0" applyFont="1" applyBorder="1" applyAlignment="1">
      <alignment horizontal="center" vertical="center" wrapText="1"/>
    </xf>
    <xf numFmtId="0" fontId="15" fillId="5" borderId="3"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5" defaultRowHeight="15" customHeight="1"/>
  <cols>
    <col min="1" max="1" width="5.5" customWidth="1"/>
    <col min="2" max="26" width="7.1640625" customWidth="1"/>
  </cols>
  <sheetData>
    <row r="1" spans="1:26" ht="20">
      <c r="A1" s="1" t="s">
        <v>0</v>
      </c>
      <c r="B1" s="2"/>
      <c r="C1" s="2"/>
      <c r="D1" s="2"/>
      <c r="E1" s="2"/>
      <c r="F1" s="2"/>
      <c r="G1" s="2"/>
      <c r="H1" s="2"/>
      <c r="I1" s="2"/>
      <c r="J1" s="3"/>
      <c r="K1" s="3"/>
      <c r="L1" s="3"/>
      <c r="M1" s="3"/>
      <c r="N1" s="3"/>
      <c r="O1" s="3"/>
      <c r="P1" s="3"/>
      <c r="Q1" s="3"/>
      <c r="R1" s="3"/>
      <c r="S1" s="3"/>
      <c r="T1" s="3"/>
      <c r="U1" s="3"/>
      <c r="V1" s="3"/>
      <c r="W1" s="3"/>
      <c r="X1" s="3"/>
      <c r="Y1" s="3"/>
      <c r="Z1" s="3"/>
    </row>
    <row r="2" spans="1:26" ht="20">
      <c r="A2" s="2"/>
      <c r="B2" s="2"/>
      <c r="C2" s="2"/>
      <c r="D2" s="2"/>
      <c r="E2" s="2"/>
      <c r="F2" s="2"/>
      <c r="G2" s="2"/>
      <c r="H2" s="2"/>
      <c r="I2" s="2"/>
      <c r="J2" s="3"/>
      <c r="K2" s="3"/>
      <c r="L2" s="3"/>
      <c r="M2" s="3"/>
      <c r="N2" s="3"/>
      <c r="O2" s="3"/>
      <c r="P2" s="3"/>
      <c r="Q2" s="3"/>
      <c r="R2" s="3"/>
      <c r="S2" s="3"/>
      <c r="T2" s="3"/>
      <c r="U2" s="3"/>
      <c r="V2" s="3"/>
      <c r="W2" s="3"/>
      <c r="X2" s="3"/>
      <c r="Y2" s="3"/>
      <c r="Z2" s="3"/>
    </row>
    <row r="3" spans="1:26" ht="20">
      <c r="A3" s="2"/>
      <c r="B3" s="2"/>
      <c r="C3" s="2"/>
      <c r="D3" s="2"/>
      <c r="E3" s="2"/>
      <c r="F3" s="2"/>
      <c r="G3" s="2"/>
      <c r="H3" s="2"/>
      <c r="I3" s="2"/>
      <c r="J3" s="3"/>
      <c r="K3" s="3"/>
      <c r="L3" s="3"/>
      <c r="M3" s="3"/>
      <c r="N3" s="3"/>
      <c r="O3" s="3"/>
      <c r="P3" s="3"/>
      <c r="Q3" s="3"/>
      <c r="R3" s="3"/>
      <c r="S3" s="3"/>
      <c r="T3" s="3"/>
      <c r="U3" s="3"/>
      <c r="V3" s="3"/>
      <c r="W3" s="3"/>
      <c r="X3" s="3"/>
      <c r="Y3" s="3"/>
      <c r="Z3" s="3"/>
    </row>
    <row r="4" spans="1:26" ht="20">
      <c r="A4" s="2"/>
      <c r="B4" s="2"/>
      <c r="C4" s="2"/>
      <c r="D4" s="2"/>
      <c r="E4" s="2"/>
      <c r="F4" s="2"/>
      <c r="G4" s="2"/>
      <c r="H4" s="2"/>
      <c r="I4" s="2"/>
      <c r="J4" s="3"/>
      <c r="K4" s="3"/>
      <c r="L4" s="3"/>
      <c r="M4" s="3"/>
      <c r="N4" s="3"/>
      <c r="O4" s="3"/>
      <c r="P4" s="3"/>
      <c r="Q4" s="3"/>
      <c r="R4" s="3"/>
      <c r="S4" s="3"/>
      <c r="T4" s="3"/>
      <c r="U4" s="3"/>
      <c r="V4" s="3"/>
      <c r="W4" s="3"/>
      <c r="X4" s="3"/>
      <c r="Y4" s="3"/>
      <c r="Z4" s="3"/>
    </row>
    <row r="5" spans="1:26" ht="20">
      <c r="A5" s="2"/>
      <c r="B5" s="125" t="s">
        <v>1</v>
      </c>
      <c r="C5" s="126"/>
      <c r="D5" s="127" t="s">
        <v>8914</v>
      </c>
      <c r="E5" s="128"/>
      <c r="F5" s="128"/>
      <c r="G5" s="128"/>
      <c r="H5" s="128"/>
      <c r="I5" s="129"/>
      <c r="J5" s="3" t="s">
        <v>2</v>
      </c>
      <c r="K5" s="3"/>
      <c r="L5" s="3"/>
      <c r="M5" s="3"/>
      <c r="N5" s="3"/>
      <c r="O5" s="3"/>
      <c r="P5" s="3"/>
      <c r="Q5" s="3"/>
      <c r="R5" s="3"/>
      <c r="S5" s="3"/>
      <c r="T5" s="3"/>
      <c r="U5" s="3"/>
      <c r="V5" s="3"/>
      <c r="W5" s="3"/>
      <c r="X5" s="3"/>
      <c r="Y5" s="3"/>
      <c r="Z5" s="3"/>
    </row>
    <row r="6" spans="1:26" ht="20">
      <c r="A6" s="2"/>
      <c r="B6" s="2"/>
      <c r="C6" s="2"/>
      <c r="D6" s="2"/>
      <c r="E6" s="2"/>
      <c r="F6" s="2"/>
      <c r="G6" s="2"/>
      <c r="H6" s="2"/>
      <c r="I6" s="2"/>
      <c r="J6" s="3"/>
      <c r="K6" s="3"/>
      <c r="L6" s="3"/>
      <c r="M6" s="3"/>
      <c r="N6" s="3"/>
      <c r="O6" s="3"/>
      <c r="P6" s="3"/>
      <c r="Q6" s="3"/>
      <c r="R6" s="3"/>
      <c r="S6" s="3"/>
      <c r="T6" s="3"/>
      <c r="U6" s="3"/>
      <c r="V6" s="3"/>
      <c r="W6" s="3"/>
      <c r="X6" s="3"/>
      <c r="Y6" s="3"/>
      <c r="Z6" s="3"/>
    </row>
    <row r="7" spans="1:26" ht="20">
      <c r="A7" s="2"/>
      <c r="B7" s="2"/>
      <c r="C7" s="2"/>
      <c r="D7" s="2"/>
      <c r="E7" s="2"/>
      <c r="F7" s="2"/>
      <c r="G7" s="2"/>
      <c r="H7" s="2"/>
      <c r="I7" s="2"/>
      <c r="J7" s="3"/>
      <c r="K7" s="3"/>
      <c r="L7" s="3"/>
      <c r="M7" s="3"/>
      <c r="N7" s="3"/>
      <c r="O7" s="3"/>
      <c r="P7" s="3"/>
      <c r="Q7" s="3"/>
      <c r="R7" s="3"/>
      <c r="S7" s="3"/>
      <c r="T7" s="3"/>
      <c r="U7" s="3"/>
      <c r="V7" s="3"/>
      <c r="W7" s="3"/>
      <c r="X7" s="3"/>
      <c r="Y7" s="3"/>
      <c r="Z7" s="3"/>
    </row>
    <row r="8" spans="1:26" ht="20">
      <c r="A8" s="1" t="s">
        <v>3</v>
      </c>
      <c r="B8" s="2"/>
      <c r="C8" s="2"/>
      <c r="D8" s="2"/>
      <c r="E8" s="2"/>
      <c r="F8" s="2"/>
      <c r="G8" s="2"/>
      <c r="H8" s="2"/>
      <c r="I8" s="2"/>
      <c r="J8" s="3"/>
      <c r="K8" s="3"/>
      <c r="L8" s="3"/>
      <c r="M8" s="3"/>
      <c r="N8" s="3"/>
      <c r="O8" s="3"/>
      <c r="P8" s="3"/>
      <c r="Q8" s="3"/>
      <c r="R8" s="3"/>
      <c r="S8" s="3"/>
      <c r="T8" s="3"/>
      <c r="U8" s="3"/>
      <c r="V8" s="3"/>
      <c r="W8" s="3"/>
      <c r="X8" s="3"/>
      <c r="Y8" s="3"/>
      <c r="Z8" s="3"/>
    </row>
    <row r="9" spans="1:26" ht="20">
      <c r="A9" s="2"/>
      <c r="B9" s="2" t="s">
        <v>4</v>
      </c>
      <c r="C9" s="2"/>
      <c r="D9" s="2"/>
      <c r="E9" s="2"/>
      <c r="F9" s="2"/>
      <c r="G9" s="2"/>
      <c r="H9" s="2"/>
      <c r="I9" s="2"/>
      <c r="J9" s="3"/>
      <c r="K9" s="3"/>
      <c r="L9" s="3"/>
      <c r="M9" s="3"/>
      <c r="N9" s="3"/>
      <c r="O9" s="3"/>
      <c r="P9" s="3"/>
      <c r="Q9" s="3"/>
      <c r="R9" s="3"/>
      <c r="S9" s="3"/>
      <c r="T9" s="3"/>
      <c r="U9" s="3"/>
      <c r="V9" s="3"/>
      <c r="W9" s="3"/>
      <c r="X9" s="3"/>
      <c r="Y9" s="3"/>
      <c r="Z9" s="3"/>
    </row>
    <row r="10" spans="1:26" ht="20">
      <c r="A10" s="2"/>
      <c r="B10" s="2" t="s">
        <v>5</v>
      </c>
      <c r="C10" s="2"/>
      <c r="D10" s="2"/>
      <c r="E10" s="2"/>
      <c r="F10" s="2"/>
      <c r="G10" s="2"/>
      <c r="H10" s="2"/>
      <c r="I10" s="2"/>
      <c r="J10" s="3"/>
      <c r="K10" s="3"/>
      <c r="L10" s="3"/>
      <c r="M10" s="3"/>
      <c r="N10" s="3"/>
      <c r="O10" s="3"/>
      <c r="P10" s="3"/>
      <c r="Q10" s="3"/>
      <c r="R10" s="3"/>
      <c r="S10" s="3"/>
      <c r="T10" s="3"/>
      <c r="U10" s="3"/>
      <c r="V10" s="3"/>
      <c r="W10" s="3"/>
      <c r="X10" s="3"/>
      <c r="Y10" s="3"/>
      <c r="Z10" s="3"/>
    </row>
    <row r="11" spans="1:26" ht="20">
      <c r="A11" s="2"/>
      <c r="B11" s="2" t="s">
        <v>6</v>
      </c>
      <c r="C11" s="4"/>
      <c r="D11" s="4"/>
      <c r="E11" s="4"/>
      <c r="F11" s="4"/>
      <c r="G11" s="4"/>
      <c r="H11" s="4"/>
      <c r="I11" s="4"/>
      <c r="J11" s="5"/>
      <c r="K11" s="3"/>
      <c r="L11" s="3"/>
      <c r="M11" s="3"/>
      <c r="N11" s="3"/>
      <c r="O11" s="3"/>
      <c r="P11" s="3"/>
      <c r="Q11" s="3"/>
      <c r="R11" s="3"/>
      <c r="S11" s="3"/>
      <c r="T11" s="3"/>
      <c r="U11" s="3"/>
      <c r="V11" s="3"/>
      <c r="W11" s="3"/>
      <c r="X11" s="3"/>
      <c r="Y11" s="3"/>
      <c r="Z11" s="3"/>
    </row>
    <row r="12" spans="1:26" ht="20">
      <c r="A12" s="2"/>
      <c r="B12" s="2" t="s">
        <v>7</v>
      </c>
      <c r="C12" s="4"/>
      <c r="D12" s="4"/>
      <c r="E12" s="4"/>
      <c r="F12" s="4"/>
      <c r="G12" s="4"/>
      <c r="H12" s="4"/>
      <c r="I12" s="4"/>
      <c r="J12" s="5"/>
      <c r="K12" s="3"/>
      <c r="L12" s="3"/>
      <c r="M12" s="3"/>
      <c r="N12" s="3"/>
      <c r="O12" s="3"/>
      <c r="P12" s="3"/>
      <c r="Q12" s="3"/>
      <c r="R12" s="3"/>
      <c r="S12" s="3"/>
      <c r="T12" s="3"/>
      <c r="U12" s="3"/>
      <c r="V12" s="3"/>
      <c r="W12" s="3"/>
      <c r="X12" s="3"/>
      <c r="Y12" s="3"/>
      <c r="Z12" s="3"/>
    </row>
    <row r="13" spans="1:26" ht="20">
      <c r="A13" s="2"/>
      <c r="B13" s="2" t="s">
        <v>8</v>
      </c>
      <c r="C13" s="4"/>
      <c r="D13" s="4"/>
      <c r="E13" s="4"/>
      <c r="F13" s="4"/>
      <c r="G13" s="4"/>
      <c r="H13" s="4"/>
      <c r="I13" s="4"/>
      <c r="J13" s="5"/>
      <c r="K13" s="3"/>
      <c r="L13" s="3"/>
      <c r="M13" s="3"/>
      <c r="N13" s="3"/>
      <c r="O13" s="3"/>
      <c r="P13" s="3"/>
      <c r="Q13" s="3"/>
      <c r="R13" s="3"/>
      <c r="S13" s="3"/>
      <c r="T13" s="3"/>
      <c r="U13" s="3"/>
      <c r="V13" s="3"/>
      <c r="W13" s="3"/>
      <c r="X13" s="3"/>
      <c r="Y13" s="3"/>
      <c r="Z13" s="3"/>
    </row>
    <row r="14" spans="1:26" ht="20">
      <c r="A14" s="2"/>
      <c r="B14" s="2"/>
      <c r="C14" s="4"/>
      <c r="D14" s="4"/>
      <c r="E14" s="4"/>
      <c r="F14" s="4"/>
      <c r="G14" s="4"/>
      <c r="H14" s="4"/>
      <c r="I14" s="4"/>
      <c r="J14" s="5"/>
      <c r="K14" s="3"/>
      <c r="L14" s="3"/>
      <c r="M14" s="3"/>
      <c r="N14" s="3"/>
      <c r="O14" s="3"/>
      <c r="P14" s="3"/>
      <c r="Q14" s="3"/>
      <c r="R14" s="3"/>
      <c r="S14" s="3"/>
      <c r="T14" s="3"/>
      <c r="U14" s="3"/>
      <c r="V14" s="3"/>
      <c r="W14" s="3"/>
      <c r="X14" s="3"/>
      <c r="Y14" s="3"/>
      <c r="Z14" s="3"/>
    </row>
    <row r="15" spans="1:26" ht="20">
      <c r="A15" s="2"/>
      <c r="B15" s="2" t="s">
        <v>9</v>
      </c>
      <c r="C15" s="4"/>
      <c r="D15" s="4"/>
      <c r="E15" s="4"/>
      <c r="F15" s="4"/>
      <c r="G15" s="4"/>
      <c r="H15" s="4"/>
      <c r="I15" s="4"/>
      <c r="J15" s="5"/>
      <c r="K15" s="3"/>
      <c r="L15" s="3"/>
      <c r="M15" s="3"/>
      <c r="N15" s="3"/>
      <c r="O15" s="3"/>
      <c r="P15" s="3"/>
      <c r="Q15" s="3"/>
      <c r="R15" s="3"/>
      <c r="S15" s="3"/>
      <c r="T15" s="3"/>
      <c r="U15" s="3"/>
      <c r="V15" s="3"/>
      <c r="W15" s="3"/>
      <c r="X15" s="3"/>
      <c r="Y15" s="3"/>
      <c r="Z15" s="3"/>
    </row>
    <row r="16" spans="1:26" ht="20">
      <c r="A16" s="2"/>
      <c r="B16" s="2" t="s">
        <v>10</v>
      </c>
      <c r="C16" s="4"/>
      <c r="D16" s="4"/>
      <c r="E16" s="4"/>
      <c r="F16" s="4"/>
      <c r="G16" s="4"/>
      <c r="H16" s="4"/>
      <c r="I16" s="4"/>
      <c r="J16" s="5"/>
      <c r="K16" s="3"/>
      <c r="L16" s="3"/>
      <c r="M16" s="3"/>
      <c r="N16" s="3"/>
      <c r="O16" s="3"/>
      <c r="P16" s="3"/>
      <c r="Q16" s="3"/>
      <c r="R16" s="3"/>
      <c r="S16" s="3"/>
      <c r="T16" s="3"/>
      <c r="U16" s="3"/>
      <c r="V16" s="3"/>
      <c r="W16" s="3"/>
      <c r="X16" s="3"/>
      <c r="Y16" s="3"/>
      <c r="Z16" s="3"/>
    </row>
    <row r="17" spans="1:26" ht="20">
      <c r="A17" s="2"/>
      <c r="B17" s="2" t="s">
        <v>11</v>
      </c>
      <c r="C17" s="2"/>
      <c r="D17" s="2"/>
      <c r="E17" s="2"/>
      <c r="F17" s="2"/>
      <c r="G17" s="2"/>
      <c r="H17" s="2"/>
      <c r="I17" s="2"/>
      <c r="J17" s="3"/>
      <c r="K17" s="3"/>
      <c r="L17" s="3"/>
      <c r="M17" s="3"/>
      <c r="N17" s="3"/>
      <c r="O17" s="3"/>
      <c r="P17" s="3"/>
      <c r="Q17" s="3"/>
      <c r="R17" s="3"/>
      <c r="S17" s="3"/>
      <c r="T17" s="3"/>
      <c r="U17" s="3"/>
      <c r="V17" s="3"/>
      <c r="W17" s="3"/>
      <c r="X17" s="3"/>
      <c r="Y17" s="3"/>
      <c r="Z17" s="3"/>
    </row>
    <row r="18" spans="1:26" ht="20">
      <c r="A18" s="2"/>
      <c r="B18" s="2" t="s">
        <v>12</v>
      </c>
      <c r="C18" s="2"/>
      <c r="D18" s="2"/>
      <c r="E18" s="2"/>
      <c r="F18" s="2"/>
      <c r="G18" s="2"/>
      <c r="H18" s="2"/>
      <c r="I18" s="2"/>
      <c r="J18" s="3"/>
      <c r="K18" s="3"/>
      <c r="L18" s="3"/>
      <c r="M18" s="3"/>
      <c r="N18" s="3"/>
      <c r="O18" s="3"/>
      <c r="P18" s="3"/>
      <c r="Q18" s="3"/>
      <c r="R18" s="3"/>
      <c r="S18" s="3"/>
      <c r="T18" s="3"/>
      <c r="U18" s="3"/>
      <c r="V18" s="3"/>
      <c r="W18" s="3"/>
      <c r="X18" s="3"/>
      <c r="Y18" s="3"/>
      <c r="Z18" s="3"/>
    </row>
    <row r="19" spans="1:26" ht="20">
      <c r="A19" s="2"/>
      <c r="B19" s="2" t="s">
        <v>13</v>
      </c>
      <c r="C19" s="2"/>
      <c r="D19" s="2"/>
      <c r="E19" s="2"/>
      <c r="F19" s="2"/>
      <c r="G19" s="2"/>
      <c r="H19" s="2"/>
      <c r="I19" s="2"/>
      <c r="J19" s="3"/>
      <c r="K19" s="3"/>
      <c r="L19" s="3"/>
      <c r="M19" s="3"/>
      <c r="N19" s="3"/>
      <c r="O19" s="3"/>
      <c r="P19" s="3"/>
      <c r="Q19" s="3"/>
      <c r="R19" s="3"/>
      <c r="S19" s="3"/>
      <c r="T19" s="3"/>
      <c r="U19" s="3"/>
      <c r="V19" s="3"/>
      <c r="W19" s="3"/>
      <c r="X19" s="3"/>
      <c r="Y19" s="3"/>
      <c r="Z19" s="3"/>
    </row>
    <row r="20" spans="1:26" ht="20">
      <c r="A20" s="2"/>
      <c r="B20" s="2" t="s">
        <v>14</v>
      </c>
      <c r="C20" s="2"/>
      <c r="D20" s="2"/>
      <c r="E20" s="2"/>
      <c r="F20" s="2"/>
      <c r="G20" s="2"/>
      <c r="H20" s="2"/>
      <c r="I20" s="2"/>
      <c r="J20" s="3"/>
      <c r="K20" s="3"/>
      <c r="L20" s="3"/>
      <c r="M20" s="3"/>
      <c r="N20" s="3"/>
      <c r="O20" s="3"/>
      <c r="P20" s="3"/>
      <c r="Q20" s="3"/>
      <c r="R20" s="3"/>
      <c r="S20" s="3"/>
      <c r="T20" s="3"/>
      <c r="U20" s="3"/>
      <c r="V20" s="3"/>
      <c r="W20" s="3"/>
      <c r="X20" s="3"/>
      <c r="Y20" s="3"/>
      <c r="Z20" s="3"/>
    </row>
    <row r="21" spans="1:26" ht="12.75" customHeight="1">
      <c r="A21" s="2"/>
      <c r="B21" s="2"/>
      <c r="C21" s="2"/>
      <c r="D21" s="2"/>
      <c r="E21" s="2"/>
      <c r="F21" s="2"/>
      <c r="G21" s="2"/>
      <c r="H21" s="2"/>
      <c r="I21" s="2"/>
      <c r="J21" s="3"/>
      <c r="K21" s="3"/>
      <c r="L21" s="3"/>
      <c r="M21" s="3"/>
      <c r="N21" s="3"/>
      <c r="O21" s="3"/>
      <c r="P21" s="3"/>
      <c r="Q21" s="3"/>
      <c r="R21" s="3"/>
      <c r="S21" s="3"/>
      <c r="T21" s="3"/>
      <c r="U21" s="3"/>
      <c r="V21" s="3"/>
      <c r="W21" s="3"/>
      <c r="X21" s="3"/>
      <c r="Y21" s="3"/>
      <c r="Z21" s="3"/>
    </row>
    <row r="22" spans="1:26" ht="12.75" customHeight="1">
      <c r="A22" s="2"/>
      <c r="B22" s="2"/>
      <c r="C22" s="2"/>
      <c r="D22" s="2"/>
      <c r="E22" s="2"/>
      <c r="F22" s="2"/>
      <c r="G22" s="2"/>
      <c r="H22" s="2"/>
      <c r="I22" s="2"/>
      <c r="J22" s="3"/>
      <c r="K22" s="3"/>
      <c r="L22" s="3"/>
      <c r="M22" s="3"/>
      <c r="N22" s="3"/>
      <c r="O22" s="3"/>
      <c r="P22" s="3"/>
      <c r="Q22" s="3"/>
      <c r="R22" s="3"/>
      <c r="S22" s="3"/>
      <c r="T22" s="3"/>
      <c r="U22" s="3"/>
      <c r="V22" s="3"/>
      <c r="W22" s="3"/>
      <c r="X22" s="3"/>
      <c r="Y22" s="3"/>
      <c r="Z22" s="3"/>
    </row>
    <row r="23" spans="1:26" ht="12.75" customHeight="1">
      <c r="A23" s="2"/>
      <c r="B23" s="2"/>
      <c r="C23" s="2"/>
      <c r="D23" s="2"/>
      <c r="E23" s="2"/>
      <c r="F23" s="2"/>
      <c r="G23" s="2"/>
      <c r="H23" s="2"/>
      <c r="I23" s="2"/>
      <c r="J23" s="3"/>
      <c r="K23" s="3"/>
      <c r="L23" s="3"/>
      <c r="M23" s="3"/>
      <c r="N23" s="3"/>
      <c r="O23" s="3"/>
      <c r="P23" s="3"/>
      <c r="Q23" s="3"/>
      <c r="R23" s="3"/>
      <c r="S23" s="3"/>
      <c r="T23" s="3"/>
      <c r="U23" s="3"/>
      <c r="V23" s="3"/>
      <c r="W23" s="3"/>
      <c r="X23" s="3"/>
      <c r="Y23" s="3"/>
      <c r="Z23" s="3"/>
    </row>
    <row r="24" spans="1:26" ht="12.75" customHeight="1">
      <c r="A24" s="2"/>
      <c r="B24" s="2"/>
      <c r="C24" s="2"/>
      <c r="D24" s="2"/>
      <c r="E24" s="2"/>
      <c r="F24" s="2"/>
      <c r="G24" s="2"/>
      <c r="H24" s="2"/>
      <c r="I24" s="2"/>
      <c r="J24" s="3"/>
      <c r="K24" s="3"/>
      <c r="L24" s="3"/>
      <c r="M24" s="3"/>
      <c r="N24" s="3"/>
      <c r="O24" s="3"/>
      <c r="P24" s="3"/>
      <c r="Q24" s="3"/>
      <c r="R24" s="3"/>
      <c r="S24" s="3"/>
      <c r="T24" s="3"/>
      <c r="U24" s="3"/>
      <c r="V24" s="3"/>
      <c r="W24" s="3"/>
      <c r="X24" s="3"/>
      <c r="Y24" s="3"/>
      <c r="Z24" s="3"/>
    </row>
    <row r="25" spans="1:26"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
    <mergeCell ref="B5:C5"/>
    <mergeCell ref="D5:I5"/>
  </mergeCells>
  <phoneticPr fontId="31"/>
  <pageMargins left="0.74803149606299213" right="0.74803149606299213" top="0.94488188976377963" bottom="0.98425196850393704" header="0" footer="0"/>
  <pageSetup paperSize="9" orientation="landscape"/>
  <headerFooter>
    <oddHeader>&amp;LRFP添付資料①_要求機能一覧&amp;R&amp;D</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0"/>
  <sheetViews>
    <sheetView tabSelected="1" zoomScaleNormal="100" workbookViewId="0">
      <pane xSplit="6" ySplit="4" topLeftCell="G377" activePane="bottomRight" state="frozen"/>
      <selection pane="topRight" activeCell="G1" sqref="G1"/>
      <selection pane="bottomLeft" activeCell="A5" sqref="A5"/>
      <selection pane="bottomRight" activeCell="F6" sqref="F6"/>
    </sheetView>
  </sheetViews>
  <sheetFormatPr baseColWidth="10" defaultColWidth="14.5" defaultRowHeight="15"/>
  <cols>
    <col min="1" max="1" width="5.83203125" customWidth="1"/>
    <col min="2" max="2" width="14.1640625" customWidth="1"/>
    <col min="3" max="3" width="26.33203125" customWidth="1"/>
    <col min="4" max="4" width="8.5" customWidth="1"/>
    <col min="5" max="5" width="27.33203125" customWidth="1"/>
    <col min="6" max="6" width="69.1640625" customWidth="1"/>
    <col min="7" max="8" width="6.5" customWidth="1"/>
    <col min="9" max="9" width="12.5" customWidth="1"/>
    <col min="10" max="10" width="65.6640625" customWidth="1"/>
    <col min="11" max="11" width="14.33203125" style="124" customWidth="1"/>
    <col min="12" max="14" width="7.5" customWidth="1"/>
    <col min="15" max="15" width="33.6640625" customWidth="1"/>
  </cols>
  <sheetData>
    <row r="1" spans="1:15" ht="19">
      <c r="A1" s="7"/>
      <c r="B1" s="8"/>
      <c r="C1" s="8"/>
      <c r="D1" s="9"/>
      <c r="E1" s="8"/>
      <c r="F1" s="10"/>
      <c r="G1" s="11"/>
      <c r="H1" s="11"/>
      <c r="I1" s="8"/>
      <c r="J1" s="8"/>
      <c r="K1" s="118"/>
      <c r="L1" s="101"/>
      <c r="M1" s="8"/>
      <c r="N1" s="8"/>
    </row>
    <row r="2" spans="1:15" ht="16">
      <c r="A2" s="14"/>
      <c r="B2" s="8"/>
      <c r="C2" s="8"/>
      <c r="D2" s="9"/>
      <c r="E2" s="8"/>
      <c r="F2" s="10"/>
      <c r="G2" s="11"/>
      <c r="H2" s="11"/>
      <c r="I2" s="8"/>
      <c r="J2" s="8"/>
      <c r="K2" s="119"/>
      <c r="L2" s="101"/>
      <c r="M2" s="8"/>
      <c r="N2" s="8"/>
    </row>
    <row r="3" spans="1:15" ht="16">
      <c r="A3" s="130" t="s">
        <v>15</v>
      </c>
      <c r="B3" s="128"/>
      <c r="C3" s="128"/>
      <c r="D3" s="128"/>
      <c r="E3" s="128"/>
      <c r="F3" s="128"/>
      <c r="G3" s="128"/>
      <c r="H3" s="129"/>
      <c r="I3" s="131" t="s">
        <v>16</v>
      </c>
      <c r="J3" s="128"/>
      <c r="K3" s="132"/>
      <c r="L3" s="101"/>
      <c r="M3" s="8"/>
      <c r="N3" s="8"/>
    </row>
    <row r="4" spans="1:15" ht="85">
      <c r="A4" s="15" t="s">
        <v>17</v>
      </c>
      <c r="B4" s="16" t="s">
        <v>18</v>
      </c>
      <c r="C4" s="16" t="s">
        <v>19</v>
      </c>
      <c r="D4" s="17" t="s">
        <v>20</v>
      </c>
      <c r="E4" s="16" t="s">
        <v>21</v>
      </c>
      <c r="F4" s="18" t="s">
        <v>22</v>
      </c>
      <c r="G4" s="16" t="s">
        <v>23</v>
      </c>
      <c r="H4" s="16" t="s">
        <v>24</v>
      </c>
      <c r="I4" s="19" t="s">
        <v>25</v>
      </c>
      <c r="J4" s="19" t="s">
        <v>26</v>
      </c>
      <c r="K4" s="120" t="s">
        <v>27</v>
      </c>
      <c r="L4" s="102" t="s">
        <v>8939</v>
      </c>
      <c r="M4" s="12" t="s">
        <v>8940</v>
      </c>
      <c r="N4" s="12" t="s">
        <v>8941</v>
      </c>
      <c r="O4" s="111" t="s">
        <v>9168</v>
      </c>
    </row>
    <row r="5" spans="1:15" ht="20">
      <c r="A5" s="20">
        <v>1</v>
      </c>
      <c r="B5" s="20" t="s">
        <v>28</v>
      </c>
      <c r="C5" s="20" t="s">
        <v>29</v>
      </c>
      <c r="D5" s="21">
        <v>1.1000000000000001</v>
      </c>
      <c r="E5" s="20" t="s">
        <v>30</v>
      </c>
      <c r="F5" s="20" t="s">
        <v>8949</v>
      </c>
      <c r="G5" s="20" t="s">
        <v>31</v>
      </c>
      <c r="H5" s="22"/>
      <c r="I5" s="20" t="s">
        <v>8866</v>
      </c>
      <c r="J5" s="20" t="s">
        <v>8950</v>
      </c>
      <c r="K5" s="23" t="s">
        <v>9167</v>
      </c>
      <c r="L5" s="13"/>
      <c r="M5" s="13" t="s">
        <v>8946</v>
      </c>
      <c r="N5" s="13" t="s">
        <v>8942</v>
      </c>
    </row>
    <row r="6" spans="1:15" ht="387">
      <c r="A6" s="20">
        <v>2</v>
      </c>
      <c r="B6" s="20" t="s">
        <v>28</v>
      </c>
      <c r="C6" s="20" t="s">
        <v>29</v>
      </c>
      <c r="D6" s="21">
        <v>1.2</v>
      </c>
      <c r="E6" s="20" t="s">
        <v>8948</v>
      </c>
      <c r="F6" s="20" t="s">
        <v>8867</v>
      </c>
      <c r="G6" s="20" t="s">
        <v>31</v>
      </c>
      <c r="H6" s="22"/>
      <c r="I6" s="20" t="s">
        <v>8866</v>
      </c>
      <c r="J6" s="20" t="s">
        <v>8967</v>
      </c>
      <c r="K6" s="23" t="s">
        <v>9167</v>
      </c>
      <c r="L6" s="6" t="s">
        <v>8932</v>
      </c>
      <c r="M6" s="94" t="s">
        <v>8951</v>
      </c>
      <c r="N6" s="13" t="s">
        <v>8942</v>
      </c>
    </row>
    <row r="7" spans="1:15" ht="80">
      <c r="A7" s="20">
        <v>3</v>
      </c>
      <c r="B7" s="20" t="s">
        <v>28</v>
      </c>
      <c r="C7" s="20" t="s">
        <v>33</v>
      </c>
      <c r="D7" s="21">
        <v>2.1</v>
      </c>
      <c r="E7" s="20" t="s">
        <v>34</v>
      </c>
      <c r="F7" s="20" t="s">
        <v>8864</v>
      </c>
      <c r="G7" s="20" t="s">
        <v>31</v>
      </c>
      <c r="H7" s="22" t="s">
        <v>35</v>
      </c>
      <c r="I7" s="20" t="s">
        <v>8866</v>
      </c>
      <c r="J7" s="20" t="s">
        <v>8870</v>
      </c>
      <c r="K7" s="23" t="s">
        <v>9167</v>
      </c>
      <c r="L7" s="13"/>
      <c r="M7" s="13" t="s">
        <v>8951</v>
      </c>
      <c r="N7" s="13" t="s">
        <v>8942</v>
      </c>
    </row>
    <row r="8" spans="1:15" ht="40">
      <c r="A8" s="20">
        <v>4</v>
      </c>
      <c r="B8" s="20" t="s">
        <v>28</v>
      </c>
      <c r="C8" s="20" t="s">
        <v>33</v>
      </c>
      <c r="D8" s="21">
        <v>2.2000000000000002</v>
      </c>
      <c r="E8" s="20" t="s">
        <v>36</v>
      </c>
      <c r="F8" s="20" t="s">
        <v>37</v>
      </c>
      <c r="G8" s="20" t="s">
        <v>31</v>
      </c>
      <c r="H8" s="22"/>
      <c r="I8" s="20" t="s">
        <v>8866</v>
      </c>
      <c r="J8" s="20" t="s">
        <v>8871</v>
      </c>
      <c r="K8" s="23" t="s">
        <v>9167</v>
      </c>
      <c r="L8" s="13"/>
      <c r="M8" s="13" t="s">
        <v>8946</v>
      </c>
      <c r="N8" s="13" t="s">
        <v>8942</v>
      </c>
    </row>
    <row r="9" spans="1:15" ht="100">
      <c r="A9" s="20">
        <v>5</v>
      </c>
      <c r="B9" s="20" t="s">
        <v>28</v>
      </c>
      <c r="C9" s="20" t="s">
        <v>33</v>
      </c>
      <c r="D9" s="21">
        <v>2.2999999999999998</v>
      </c>
      <c r="E9" s="20" t="s">
        <v>38</v>
      </c>
      <c r="F9" s="20" t="s">
        <v>9066</v>
      </c>
      <c r="G9" s="20" t="s">
        <v>31</v>
      </c>
      <c r="H9" s="22"/>
      <c r="I9" s="20" t="s">
        <v>8866</v>
      </c>
      <c r="J9" s="20" t="s">
        <v>8968</v>
      </c>
      <c r="K9" s="23" t="s">
        <v>9167</v>
      </c>
      <c r="L9" s="13"/>
      <c r="M9" s="94" t="s">
        <v>8951</v>
      </c>
      <c r="N9" s="13" t="s">
        <v>8942</v>
      </c>
    </row>
    <row r="10" spans="1:15" ht="40">
      <c r="A10" s="20">
        <v>6</v>
      </c>
      <c r="B10" s="20" t="s">
        <v>28</v>
      </c>
      <c r="C10" s="20" t="s">
        <v>39</v>
      </c>
      <c r="D10" s="21">
        <v>3.1</v>
      </c>
      <c r="E10" s="20" t="s">
        <v>40</v>
      </c>
      <c r="F10" s="20" t="s">
        <v>8872</v>
      </c>
      <c r="G10" s="20" t="s">
        <v>31</v>
      </c>
      <c r="H10" s="22" t="s">
        <v>35</v>
      </c>
      <c r="I10" s="20" t="s">
        <v>8868</v>
      </c>
      <c r="J10" s="20" t="s">
        <v>9135</v>
      </c>
      <c r="K10" s="121">
        <v>800000</v>
      </c>
      <c r="L10" s="13"/>
      <c r="M10" s="13"/>
      <c r="N10" s="13" t="s">
        <v>8942</v>
      </c>
      <c r="O10" s="110" t="s">
        <v>9177</v>
      </c>
    </row>
    <row r="11" spans="1:15" ht="100">
      <c r="A11" s="20">
        <v>7</v>
      </c>
      <c r="B11" s="20" t="s">
        <v>28</v>
      </c>
      <c r="C11" s="20" t="s">
        <v>39</v>
      </c>
      <c r="D11" s="21">
        <v>3.2</v>
      </c>
      <c r="E11" s="20" t="s">
        <v>41</v>
      </c>
      <c r="F11" s="20" t="s">
        <v>8873</v>
      </c>
      <c r="G11" s="20" t="s">
        <v>31</v>
      </c>
      <c r="H11" s="22"/>
      <c r="I11" s="20" t="s">
        <v>8868</v>
      </c>
      <c r="J11" s="20" t="s">
        <v>9228</v>
      </c>
      <c r="K11" s="121">
        <v>7200000</v>
      </c>
      <c r="L11" s="13"/>
      <c r="M11" s="13"/>
      <c r="N11" s="13" t="s">
        <v>8942</v>
      </c>
      <c r="O11" s="116" t="s">
        <v>9227</v>
      </c>
    </row>
    <row r="12" spans="1:15" ht="220">
      <c r="A12" s="20">
        <v>8</v>
      </c>
      <c r="B12" s="20" t="s">
        <v>28</v>
      </c>
      <c r="C12" s="20" t="s">
        <v>39</v>
      </c>
      <c r="D12" s="21">
        <v>3.3</v>
      </c>
      <c r="E12" s="20" t="s">
        <v>42</v>
      </c>
      <c r="F12" s="20" t="s">
        <v>8874</v>
      </c>
      <c r="G12" s="20" t="s">
        <v>31</v>
      </c>
      <c r="H12" s="22"/>
      <c r="I12" s="20" t="s">
        <v>8868</v>
      </c>
      <c r="J12" s="20" t="s">
        <v>9141</v>
      </c>
      <c r="K12" s="121">
        <v>3000000</v>
      </c>
      <c r="L12" s="13" t="s">
        <v>8973</v>
      </c>
      <c r="M12" s="13"/>
      <c r="N12" s="13" t="s">
        <v>8942</v>
      </c>
      <c r="O12" s="115" t="s">
        <v>9136</v>
      </c>
    </row>
    <row r="13" spans="1:15" ht="160">
      <c r="A13" s="20">
        <v>9</v>
      </c>
      <c r="B13" s="20" t="s">
        <v>28</v>
      </c>
      <c r="C13" s="20" t="s">
        <v>43</v>
      </c>
      <c r="D13" s="21">
        <v>4.0999999999999996</v>
      </c>
      <c r="E13" s="20" t="s">
        <v>44</v>
      </c>
      <c r="F13" s="20" t="s">
        <v>8875</v>
      </c>
      <c r="G13" s="20" t="s">
        <v>31</v>
      </c>
      <c r="H13" s="22"/>
      <c r="I13" s="20" t="s">
        <v>8868</v>
      </c>
      <c r="J13" s="20" t="s">
        <v>9149</v>
      </c>
      <c r="K13" s="121">
        <v>1500000</v>
      </c>
      <c r="L13" s="13" t="s">
        <v>8976</v>
      </c>
      <c r="M13" s="13"/>
      <c r="N13" s="13" t="s">
        <v>8942</v>
      </c>
      <c r="O13" s="114" t="s">
        <v>9150</v>
      </c>
    </row>
    <row r="14" spans="1:15" ht="40">
      <c r="A14" s="20">
        <v>10</v>
      </c>
      <c r="B14" s="20" t="s">
        <v>28</v>
      </c>
      <c r="C14" s="20" t="s">
        <v>43</v>
      </c>
      <c r="D14" s="21" t="s">
        <v>45</v>
      </c>
      <c r="E14" s="90" t="s">
        <v>46</v>
      </c>
      <c r="F14" s="90" t="s">
        <v>8970</v>
      </c>
      <c r="G14" s="90" t="s">
        <v>47</v>
      </c>
      <c r="H14" s="91"/>
      <c r="I14" s="20" t="s">
        <v>8868</v>
      </c>
      <c r="J14" s="20" t="s">
        <v>9200</v>
      </c>
      <c r="K14" s="121">
        <v>1500000</v>
      </c>
      <c r="L14" s="13"/>
      <c r="M14" s="13"/>
      <c r="N14" s="13" t="s">
        <v>8942</v>
      </c>
      <c r="O14" s="111" t="s">
        <v>9140</v>
      </c>
    </row>
    <row r="15" spans="1:15" ht="160">
      <c r="A15" s="20">
        <v>11</v>
      </c>
      <c r="B15" s="20" t="s">
        <v>28</v>
      </c>
      <c r="C15" s="20" t="s">
        <v>43</v>
      </c>
      <c r="D15" s="21">
        <v>4.2</v>
      </c>
      <c r="E15" s="20" t="s">
        <v>48</v>
      </c>
      <c r="F15" s="20" t="s">
        <v>8876</v>
      </c>
      <c r="G15" s="20" t="s">
        <v>31</v>
      </c>
      <c r="H15" s="22"/>
      <c r="I15" s="20" t="s">
        <v>8866</v>
      </c>
      <c r="J15" s="20" t="s">
        <v>8974</v>
      </c>
      <c r="K15" s="23" t="s">
        <v>9167</v>
      </c>
      <c r="L15" s="13"/>
      <c r="M15" s="13" t="s">
        <v>8946</v>
      </c>
      <c r="N15" s="13" t="s">
        <v>8942</v>
      </c>
    </row>
    <row r="16" spans="1:15" ht="140">
      <c r="A16" s="20">
        <v>12</v>
      </c>
      <c r="B16" s="20" t="s">
        <v>28</v>
      </c>
      <c r="C16" s="20" t="s">
        <v>49</v>
      </c>
      <c r="D16" s="21">
        <v>5.0999999999999996</v>
      </c>
      <c r="E16" s="20" t="s">
        <v>50</v>
      </c>
      <c r="F16" s="20" t="s">
        <v>51</v>
      </c>
      <c r="G16" s="20" t="s">
        <v>31</v>
      </c>
      <c r="H16" s="22"/>
      <c r="I16" s="20" t="s">
        <v>8866</v>
      </c>
      <c r="J16" s="20" t="s">
        <v>8975</v>
      </c>
      <c r="K16" s="23" t="s">
        <v>9167</v>
      </c>
      <c r="L16" s="13"/>
      <c r="M16" s="13" t="s">
        <v>8946</v>
      </c>
      <c r="N16" s="13" t="s">
        <v>8942</v>
      </c>
    </row>
    <row r="17" spans="1:15" ht="220">
      <c r="A17" s="20">
        <v>13</v>
      </c>
      <c r="B17" s="20" t="s">
        <v>28</v>
      </c>
      <c r="C17" s="20" t="s">
        <v>49</v>
      </c>
      <c r="D17" s="21">
        <v>5.2</v>
      </c>
      <c r="E17" s="20" t="s">
        <v>52</v>
      </c>
      <c r="F17" s="20" t="s">
        <v>8878</v>
      </c>
      <c r="G17" s="20" t="s">
        <v>31</v>
      </c>
      <c r="H17" s="22" t="s">
        <v>35</v>
      </c>
      <c r="I17" s="20" t="s">
        <v>8866</v>
      </c>
      <c r="J17" s="20" t="s">
        <v>9101</v>
      </c>
      <c r="K17" s="23" t="s">
        <v>9167</v>
      </c>
      <c r="L17" s="13"/>
      <c r="M17" s="13" t="s">
        <v>8946</v>
      </c>
      <c r="N17" s="13" t="s">
        <v>8942</v>
      </c>
    </row>
    <row r="18" spans="1:15" ht="180">
      <c r="A18" s="20">
        <v>14</v>
      </c>
      <c r="B18" s="20" t="s">
        <v>28</v>
      </c>
      <c r="C18" s="20" t="s">
        <v>53</v>
      </c>
      <c r="D18" s="21">
        <v>6.1</v>
      </c>
      <c r="E18" s="20" t="s">
        <v>54</v>
      </c>
      <c r="F18" s="20" t="s">
        <v>8879</v>
      </c>
      <c r="G18" s="20" t="s">
        <v>31</v>
      </c>
      <c r="H18" s="22"/>
      <c r="I18" s="20" t="s">
        <v>8868</v>
      </c>
      <c r="J18" s="20" t="s">
        <v>9142</v>
      </c>
      <c r="K18" s="121">
        <v>3000000</v>
      </c>
      <c r="L18" s="13"/>
      <c r="M18" s="13"/>
      <c r="N18" s="13" t="s">
        <v>8942</v>
      </c>
      <c r="O18" s="116" t="s">
        <v>9143</v>
      </c>
    </row>
    <row r="19" spans="1:15" ht="80">
      <c r="A19" s="20">
        <v>15</v>
      </c>
      <c r="B19" s="20" t="s">
        <v>28</v>
      </c>
      <c r="C19" s="20" t="s">
        <v>53</v>
      </c>
      <c r="D19" s="21">
        <v>6.2</v>
      </c>
      <c r="E19" s="20" t="s">
        <v>55</v>
      </c>
      <c r="F19" s="20" t="s">
        <v>8882</v>
      </c>
      <c r="G19" s="20" t="s">
        <v>31</v>
      </c>
      <c r="H19" s="22" t="s">
        <v>35</v>
      </c>
      <c r="I19" s="20" t="s">
        <v>8866</v>
      </c>
      <c r="J19" s="20" t="s">
        <v>8884</v>
      </c>
      <c r="K19" s="23" t="s">
        <v>9167</v>
      </c>
      <c r="L19" s="13"/>
      <c r="M19" s="13" t="s">
        <v>8946</v>
      </c>
      <c r="N19" s="13" t="s">
        <v>8942</v>
      </c>
    </row>
    <row r="20" spans="1:15" ht="60">
      <c r="A20" s="20">
        <v>16</v>
      </c>
      <c r="B20" s="20" t="s">
        <v>28</v>
      </c>
      <c r="C20" s="20" t="s">
        <v>53</v>
      </c>
      <c r="D20" s="21">
        <v>6.3</v>
      </c>
      <c r="E20" s="20" t="s">
        <v>56</v>
      </c>
      <c r="F20" s="20" t="s">
        <v>57</v>
      </c>
      <c r="G20" s="20" t="s">
        <v>31</v>
      </c>
      <c r="H20" s="22"/>
      <c r="I20" s="20" t="s">
        <v>8866</v>
      </c>
      <c r="J20" s="20" t="s">
        <v>9156</v>
      </c>
      <c r="K20" s="23" t="s">
        <v>9167</v>
      </c>
      <c r="L20" s="13"/>
      <c r="M20" s="13" t="s">
        <v>8946</v>
      </c>
      <c r="N20" s="13" t="s">
        <v>8942</v>
      </c>
    </row>
    <row r="21" spans="1:15" ht="220">
      <c r="A21" s="20">
        <v>17</v>
      </c>
      <c r="B21" s="20" t="s">
        <v>58</v>
      </c>
      <c r="C21" s="20" t="s">
        <v>59</v>
      </c>
      <c r="D21" s="21">
        <v>1.1000000000000001</v>
      </c>
      <c r="E21" s="20" t="s">
        <v>60</v>
      </c>
      <c r="F21" s="20" t="s">
        <v>8885</v>
      </c>
      <c r="G21" s="20" t="s">
        <v>31</v>
      </c>
      <c r="H21" s="22"/>
      <c r="I21" s="20" t="s">
        <v>8868</v>
      </c>
      <c r="J21" s="20" t="s">
        <v>9144</v>
      </c>
      <c r="K21" s="121">
        <v>1500000</v>
      </c>
      <c r="L21" s="13" t="s">
        <v>9115</v>
      </c>
      <c r="M21" s="13"/>
      <c r="N21" s="13" t="s">
        <v>8942</v>
      </c>
      <c r="O21" s="111" t="s">
        <v>9219</v>
      </c>
    </row>
    <row r="22" spans="1:15" ht="80">
      <c r="A22" s="20">
        <v>18</v>
      </c>
      <c r="B22" s="20" t="s">
        <v>58</v>
      </c>
      <c r="C22" s="20" t="s">
        <v>61</v>
      </c>
      <c r="D22" s="21">
        <v>2.1</v>
      </c>
      <c r="E22" s="20" t="s">
        <v>62</v>
      </c>
      <c r="F22" s="20" t="s">
        <v>8883</v>
      </c>
      <c r="G22" s="20" t="s">
        <v>31</v>
      </c>
      <c r="H22" s="22"/>
      <c r="I22" s="20" t="s">
        <v>8866</v>
      </c>
      <c r="J22" s="20" t="s">
        <v>9116</v>
      </c>
      <c r="K22" s="23" t="s">
        <v>9167</v>
      </c>
      <c r="L22" s="13" t="s">
        <v>9115</v>
      </c>
      <c r="M22" s="94" t="s">
        <v>8946</v>
      </c>
      <c r="N22" s="13" t="s">
        <v>8942</v>
      </c>
    </row>
    <row r="23" spans="1:15" ht="40">
      <c r="A23" s="20">
        <v>19</v>
      </c>
      <c r="B23" s="20" t="s">
        <v>58</v>
      </c>
      <c r="C23" s="20" t="s">
        <v>61</v>
      </c>
      <c r="D23" s="21">
        <v>2.2000000000000002</v>
      </c>
      <c r="E23" s="20" t="s">
        <v>63</v>
      </c>
      <c r="F23" s="20" t="s">
        <v>8978</v>
      </c>
      <c r="G23" s="20" t="s">
        <v>31</v>
      </c>
      <c r="H23" s="22"/>
      <c r="I23" s="20" t="s">
        <v>8866</v>
      </c>
      <c r="J23" s="20" t="s">
        <v>9157</v>
      </c>
      <c r="K23" s="23" t="s">
        <v>9167</v>
      </c>
      <c r="L23" s="13"/>
      <c r="M23" s="94" t="s">
        <v>8946</v>
      </c>
      <c r="N23" s="13" t="s">
        <v>8942</v>
      </c>
    </row>
    <row r="24" spans="1:15" ht="20">
      <c r="A24" s="20">
        <v>20</v>
      </c>
      <c r="B24" s="20" t="s">
        <v>58</v>
      </c>
      <c r="C24" s="20" t="s">
        <v>61</v>
      </c>
      <c r="D24" s="21">
        <v>2.2999999999999998</v>
      </c>
      <c r="E24" s="20" t="s">
        <v>64</v>
      </c>
      <c r="F24" s="20" t="s">
        <v>8887</v>
      </c>
      <c r="G24" s="20" t="s">
        <v>31</v>
      </c>
      <c r="H24" s="22"/>
      <c r="I24" s="20" t="s">
        <v>8866</v>
      </c>
      <c r="J24" s="20" t="s">
        <v>8950</v>
      </c>
      <c r="K24" s="23" t="s">
        <v>9167</v>
      </c>
      <c r="L24" s="13"/>
      <c r="M24" s="94" t="s">
        <v>8946</v>
      </c>
      <c r="N24" s="13" t="s">
        <v>8942</v>
      </c>
    </row>
    <row r="25" spans="1:15" ht="20">
      <c r="A25" s="20">
        <v>21</v>
      </c>
      <c r="B25" s="20" t="s">
        <v>58</v>
      </c>
      <c r="C25" s="20" t="s">
        <v>65</v>
      </c>
      <c r="D25" s="21">
        <v>3.1</v>
      </c>
      <c r="E25" s="20" t="s">
        <v>30</v>
      </c>
      <c r="F25" s="20" t="s">
        <v>66</v>
      </c>
      <c r="G25" s="20" t="s">
        <v>31</v>
      </c>
      <c r="H25" s="22"/>
      <c r="I25" s="20" t="s">
        <v>8866</v>
      </c>
      <c r="J25" s="20" t="s">
        <v>9145</v>
      </c>
      <c r="K25" s="23" t="s">
        <v>9167</v>
      </c>
      <c r="L25" s="13"/>
      <c r="M25" s="94" t="s">
        <v>8946</v>
      </c>
      <c r="N25" s="13" t="s">
        <v>8942</v>
      </c>
    </row>
    <row r="26" spans="1:15" ht="20">
      <c r="A26" s="20">
        <v>22</v>
      </c>
      <c r="B26" s="20" t="s">
        <v>58</v>
      </c>
      <c r="C26" s="20" t="s">
        <v>65</v>
      </c>
      <c r="D26" s="21">
        <v>3.2</v>
      </c>
      <c r="E26" s="20" t="s">
        <v>32</v>
      </c>
      <c r="F26" s="20" t="s">
        <v>67</v>
      </c>
      <c r="G26" s="20" t="s">
        <v>31</v>
      </c>
      <c r="H26" s="22"/>
      <c r="I26" s="20" t="s">
        <v>8866</v>
      </c>
      <c r="J26" s="20" t="s">
        <v>9146</v>
      </c>
      <c r="K26" s="23" t="s">
        <v>9167</v>
      </c>
      <c r="L26" s="13"/>
      <c r="M26" s="13" t="s">
        <v>8951</v>
      </c>
      <c r="N26" s="13" t="s">
        <v>8942</v>
      </c>
    </row>
    <row r="27" spans="1:15" ht="80">
      <c r="A27" s="20">
        <v>23</v>
      </c>
      <c r="B27" s="20" t="s">
        <v>58</v>
      </c>
      <c r="C27" s="20" t="s">
        <v>65</v>
      </c>
      <c r="D27" s="21" t="s">
        <v>68</v>
      </c>
      <c r="E27" s="20" t="s">
        <v>69</v>
      </c>
      <c r="F27" s="20" t="s">
        <v>8888</v>
      </c>
      <c r="G27" s="20" t="s">
        <v>31</v>
      </c>
      <c r="H27" s="22"/>
      <c r="I27" s="20" t="s">
        <v>8866</v>
      </c>
      <c r="J27" s="20" t="s">
        <v>9158</v>
      </c>
      <c r="K27" s="23" t="s">
        <v>9167</v>
      </c>
      <c r="L27" s="13"/>
      <c r="M27" s="94" t="s">
        <v>8946</v>
      </c>
      <c r="N27" s="13" t="s">
        <v>8942</v>
      </c>
    </row>
    <row r="28" spans="1:15" ht="40">
      <c r="A28" s="20">
        <v>24</v>
      </c>
      <c r="B28" s="20" t="s">
        <v>58</v>
      </c>
      <c r="C28" s="20" t="s">
        <v>65</v>
      </c>
      <c r="D28" s="21">
        <v>3.3</v>
      </c>
      <c r="E28" s="20" t="s">
        <v>70</v>
      </c>
      <c r="F28" s="20" t="s">
        <v>8889</v>
      </c>
      <c r="G28" s="20" t="s">
        <v>31</v>
      </c>
      <c r="H28" s="22" t="s">
        <v>35</v>
      </c>
      <c r="I28" s="20" t="s">
        <v>8868</v>
      </c>
      <c r="J28" s="20" t="s">
        <v>9147</v>
      </c>
      <c r="K28" s="121" t="s">
        <v>9167</v>
      </c>
      <c r="L28" s="13"/>
      <c r="M28" s="13"/>
      <c r="N28" s="13" t="s">
        <v>8942</v>
      </c>
      <c r="O28" s="112" t="s">
        <v>9167</v>
      </c>
    </row>
    <row r="29" spans="1:15" ht="40">
      <c r="A29" s="20">
        <v>25</v>
      </c>
      <c r="B29" s="20" t="s">
        <v>58</v>
      </c>
      <c r="C29" s="20" t="s">
        <v>65</v>
      </c>
      <c r="D29" s="21">
        <v>3.4</v>
      </c>
      <c r="E29" s="20" t="s">
        <v>71</v>
      </c>
      <c r="F29" s="20" t="s">
        <v>8890</v>
      </c>
      <c r="G29" s="20" t="s">
        <v>31</v>
      </c>
      <c r="H29" s="22" t="s">
        <v>35</v>
      </c>
      <c r="I29" s="20" t="s">
        <v>8866</v>
      </c>
      <c r="J29" s="20" t="s">
        <v>8981</v>
      </c>
      <c r="K29" s="23" t="s">
        <v>9167</v>
      </c>
      <c r="L29" s="13"/>
      <c r="M29" s="94" t="s">
        <v>8946</v>
      </c>
      <c r="N29" s="13" t="s">
        <v>8942</v>
      </c>
    </row>
    <row r="30" spans="1:15" ht="300">
      <c r="A30" s="20">
        <v>26</v>
      </c>
      <c r="B30" s="20" t="s">
        <v>58</v>
      </c>
      <c r="C30" s="20" t="s">
        <v>65</v>
      </c>
      <c r="D30" s="21" t="s">
        <v>72</v>
      </c>
      <c r="E30" s="20" t="s">
        <v>73</v>
      </c>
      <c r="F30" s="20" t="s">
        <v>8892</v>
      </c>
      <c r="G30" s="20" t="s">
        <v>31</v>
      </c>
      <c r="H30" s="22"/>
      <c r="I30" s="20" t="s">
        <v>8866</v>
      </c>
      <c r="J30" s="20" t="s">
        <v>9099</v>
      </c>
      <c r="K30" s="23" t="s">
        <v>9167</v>
      </c>
      <c r="L30" s="13"/>
      <c r="M30" s="94" t="s">
        <v>8951</v>
      </c>
      <c r="N30" s="13" t="s">
        <v>8942</v>
      </c>
    </row>
    <row r="31" spans="1:15" ht="20">
      <c r="A31" s="20">
        <v>27</v>
      </c>
      <c r="B31" s="20" t="s">
        <v>58</v>
      </c>
      <c r="C31" s="20" t="s">
        <v>74</v>
      </c>
      <c r="D31" s="21">
        <v>4.0999999999999996</v>
      </c>
      <c r="E31" s="20" t="s">
        <v>75</v>
      </c>
      <c r="F31" s="20" t="s">
        <v>8982</v>
      </c>
      <c r="G31" s="20" t="s">
        <v>31</v>
      </c>
      <c r="H31" s="22" t="s">
        <v>35</v>
      </c>
      <c r="I31" s="20" t="s">
        <v>8866</v>
      </c>
      <c r="J31" s="20" t="s">
        <v>8983</v>
      </c>
      <c r="K31" s="23" t="s">
        <v>9167</v>
      </c>
      <c r="L31" s="13"/>
      <c r="M31" s="94" t="s">
        <v>8946</v>
      </c>
      <c r="N31" s="13" t="s">
        <v>8942</v>
      </c>
    </row>
    <row r="32" spans="1:15" ht="20">
      <c r="A32" s="20">
        <v>28</v>
      </c>
      <c r="B32" s="20" t="s">
        <v>58</v>
      </c>
      <c r="C32" s="20" t="s">
        <v>76</v>
      </c>
      <c r="D32" s="21">
        <v>5.0999999999999996</v>
      </c>
      <c r="E32" s="20" t="s">
        <v>77</v>
      </c>
      <c r="F32" s="20" t="s">
        <v>8984</v>
      </c>
      <c r="G32" s="20" t="s">
        <v>31</v>
      </c>
      <c r="H32" s="22" t="s">
        <v>35</v>
      </c>
      <c r="I32" s="20" t="s">
        <v>8866</v>
      </c>
      <c r="J32" s="20" t="s">
        <v>8985</v>
      </c>
      <c r="K32" s="23" t="s">
        <v>9167</v>
      </c>
      <c r="L32" s="13"/>
      <c r="M32" s="94" t="s">
        <v>8946</v>
      </c>
      <c r="N32" s="13" t="s">
        <v>8942</v>
      </c>
    </row>
    <row r="33" spans="1:15" ht="140">
      <c r="A33" s="20">
        <v>29</v>
      </c>
      <c r="B33" s="20" t="s">
        <v>58</v>
      </c>
      <c r="C33" s="20" t="s">
        <v>76</v>
      </c>
      <c r="D33" s="21">
        <v>5.2</v>
      </c>
      <c r="E33" s="20" t="s">
        <v>78</v>
      </c>
      <c r="F33" s="20" t="s">
        <v>8893</v>
      </c>
      <c r="G33" s="20" t="s">
        <v>31</v>
      </c>
      <c r="H33" s="22"/>
      <c r="I33" s="20" t="s">
        <v>8866</v>
      </c>
      <c r="J33" s="20" t="s">
        <v>8894</v>
      </c>
      <c r="K33" s="23" t="s">
        <v>9167</v>
      </c>
      <c r="L33" s="13"/>
      <c r="M33" s="13" t="s">
        <v>8946</v>
      </c>
      <c r="N33" s="13" t="s">
        <v>8942</v>
      </c>
    </row>
    <row r="34" spans="1:15" ht="120">
      <c r="A34" s="20">
        <v>30</v>
      </c>
      <c r="B34" s="20" t="s">
        <v>58</v>
      </c>
      <c r="C34" s="20" t="s">
        <v>79</v>
      </c>
      <c r="D34" s="21">
        <v>6.1</v>
      </c>
      <c r="E34" s="20" t="s">
        <v>80</v>
      </c>
      <c r="F34" s="20" t="s">
        <v>8895</v>
      </c>
      <c r="G34" s="20" t="s">
        <v>31</v>
      </c>
      <c r="H34" s="22"/>
      <c r="I34" s="20" t="s">
        <v>8868</v>
      </c>
      <c r="J34" s="20" t="s">
        <v>9148</v>
      </c>
      <c r="K34" s="121">
        <v>1500000</v>
      </c>
      <c r="L34" s="13"/>
      <c r="M34" s="94"/>
      <c r="N34" s="13" t="s">
        <v>8942</v>
      </c>
      <c r="O34" s="111" t="s">
        <v>9151</v>
      </c>
    </row>
    <row r="35" spans="1:15" ht="80">
      <c r="A35" s="20">
        <v>31</v>
      </c>
      <c r="B35" s="20" t="s">
        <v>81</v>
      </c>
      <c r="C35" s="20" t="s">
        <v>82</v>
      </c>
      <c r="D35" s="21">
        <v>1.1000000000000001</v>
      </c>
      <c r="E35" s="20" t="s">
        <v>83</v>
      </c>
      <c r="F35" s="20" t="s">
        <v>8896</v>
      </c>
      <c r="G35" s="20" t="s">
        <v>31</v>
      </c>
      <c r="H35" s="22"/>
      <c r="I35" s="20" t="s">
        <v>8866</v>
      </c>
      <c r="J35" s="20" t="s">
        <v>9091</v>
      </c>
      <c r="K35" s="23" t="s">
        <v>9167</v>
      </c>
      <c r="L35" s="13"/>
      <c r="M35" s="13" t="s">
        <v>8951</v>
      </c>
      <c r="N35" s="13" t="s">
        <v>8942</v>
      </c>
    </row>
    <row r="36" spans="1:15" ht="20">
      <c r="A36" s="20">
        <v>32</v>
      </c>
      <c r="B36" s="20" t="s">
        <v>81</v>
      </c>
      <c r="C36" s="20" t="s">
        <v>84</v>
      </c>
      <c r="D36" s="21">
        <v>2.1</v>
      </c>
      <c r="E36" s="20" t="s">
        <v>77</v>
      </c>
      <c r="F36" s="20" t="s">
        <v>85</v>
      </c>
      <c r="G36" s="20" t="s">
        <v>31</v>
      </c>
      <c r="H36" s="22" t="s">
        <v>35</v>
      </c>
      <c r="I36" s="20" t="s">
        <v>8866</v>
      </c>
      <c r="J36" s="108" t="s">
        <v>8988</v>
      </c>
      <c r="K36" s="23" t="s">
        <v>9167</v>
      </c>
      <c r="L36" s="13"/>
      <c r="M36" s="94" t="s">
        <v>8946</v>
      </c>
      <c r="N36" s="13" t="s">
        <v>8942</v>
      </c>
    </row>
    <row r="37" spans="1:15" ht="60">
      <c r="A37" s="20">
        <v>33</v>
      </c>
      <c r="B37" s="20" t="s">
        <v>81</v>
      </c>
      <c r="C37" s="20" t="s">
        <v>84</v>
      </c>
      <c r="D37" s="21">
        <v>2.4</v>
      </c>
      <c r="E37" s="20" t="s">
        <v>78</v>
      </c>
      <c r="F37" s="20" t="s">
        <v>8897</v>
      </c>
      <c r="G37" s="20" t="s">
        <v>31</v>
      </c>
      <c r="H37" s="22"/>
      <c r="I37" s="20" t="s">
        <v>8868</v>
      </c>
      <c r="J37" s="20" t="s">
        <v>9152</v>
      </c>
      <c r="K37" s="121">
        <v>1500000</v>
      </c>
      <c r="L37" s="13"/>
      <c r="M37" s="13"/>
      <c r="N37" s="13" t="s">
        <v>8942</v>
      </c>
      <c r="O37" s="111" t="s">
        <v>9153</v>
      </c>
    </row>
    <row r="38" spans="1:15" ht="60">
      <c r="A38" s="20">
        <v>34</v>
      </c>
      <c r="B38" s="20" t="s">
        <v>81</v>
      </c>
      <c r="C38" s="20" t="s">
        <v>84</v>
      </c>
      <c r="D38" s="21">
        <v>2.7</v>
      </c>
      <c r="E38" s="20" t="s">
        <v>56</v>
      </c>
      <c r="F38" s="20" t="s">
        <v>86</v>
      </c>
      <c r="G38" s="20" t="s">
        <v>31</v>
      </c>
      <c r="H38" s="22" t="s">
        <v>35</v>
      </c>
      <c r="I38" s="20" t="s">
        <v>9163</v>
      </c>
      <c r="J38" s="20" t="s">
        <v>9159</v>
      </c>
      <c r="K38" s="121">
        <v>1500000</v>
      </c>
      <c r="L38" s="13"/>
      <c r="M38" s="13"/>
      <c r="N38" s="13" t="s">
        <v>8942</v>
      </c>
      <c r="O38" s="111" t="s">
        <v>9160</v>
      </c>
    </row>
    <row r="39" spans="1:15" ht="60">
      <c r="A39" s="20">
        <v>35</v>
      </c>
      <c r="B39" s="20" t="s">
        <v>81</v>
      </c>
      <c r="C39" s="20" t="s">
        <v>84</v>
      </c>
      <c r="D39" s="21">
        <v>2.8</v>
      </c>
      <c r="E39" s="20" t="s">
        <v>55</v>
      </c>
      <c r="F39" s="20" t="s">
        <v>87</v>
      </c>
      <c r="G39" s="20" t="s">
        <v>31</v>
      </c>
      <c r="H39" s="22"/>
      <c r="I39" s="20" t="s">
        <v>9163</v>
      </c>
      <c r="J39" s="20" t="s">
        <v>9154</v>
      </c>
      <c r="K39" s="121">
        <v>1500000</v>
      </c>
      <c r="L39" s="13"/>
      <c r="M39" s="13"/>
      <c r="N39" s="13" t="s">
        <v>8942</v>
      </c>
      <c r="O39" s="111" t="s">
        <v>9155</v>
      </c>
    </row>
    <row r="40" spans="1:15" ht="40">
      <c r="A40" s="20">
        <v>36</v>
      </c>
      <c r="B40" s="20" t="s">
        <v>81</v>
      </c>
      <c r="C40" s="20" t="s">
        <v>84</v>
      </c>
      <c r="D40" s="21">
        <v>2.1</v>
      </c>
      <c r="E40" s="20" t="s">
        <v>88</v>
      </c>
      <c r="F40" s="20" t="s">
        <v>89</v>
      </c>
      <c r="G40" s="20" t="s">
        <v>31</v>
      </c>
      <c r="H40" s="22" t="s">
        <v>35</v>
      </c>
      <c r="I40" s="20" t="s">
        <v>9163</v>
      </c>
      <c r="J40" s="20" t="s">
        <v>9161</v>
      </c>
      <c r="K40" s="121">
        <v>1500000</v>
      </c>
      <c r="L40" s="13"/>
      <c r="M40" s="13"/>
      <c r="N40" s="13" t="s">
        <v>8942</v>
      </c>
      <c r="O40" s="111" t="s">
        <v>9162</v>
      </c>
    </row>
    <row r="41" spans="1:15" ht="60">
      <c r="A41" s="20">
        <v>37</v>
      </c>
      <c r="B41" s="20" t="s">
        <v>81</v>
      </c>
      <c r="C41" s="20" t="s">
        <v>84</v>
      </c>
      <c r="D41" s="21">
        <v>2.11</v>
      </c>
      <c r="E41" s="20" t="s">
        <v>54</v>
      </c>
      <c r="F41" s="20" t="s">
        <v>90</v>
      </c>
      <c r="G41" s="20" t="s">
        <v>31</v>
      </c>
      <c r="H41" s="22"/>
      <c r="I41" s="20" t="s">
        <v>8868</v>
      </c>
      <c r="J41" s="20" t="s">
        <v>9164</v>
      </c>
      <c r="K41" s="121">
        <v>1500000</v>
      </c>
      <c r="L41" s="13"/>
      <c r="M41" s="13"/>
      <c r="N41" s="13" t="s">
        <v>8942</v>
      </c>
      <c r="O41" s="111" t="s">
        <v>9165</v>
      </c>
    </row>
    <row r="42" spans="1:15" ht="60">
      <c r="A42" s="20">
        <v>38</v>
      </c>
      <c r="B42" s="20" t="s">
        <v>81</v>
      </c>
      <c r="C42" s="20" t="s">
        <v>91</v>
      </c>
      <c r="D42" s="21">
        <v>3.2</v>
      </c>
      <c r="E42" s="20" t="s">
        <v>44</v>
      </c>
      <c r="F42" s="20" t="s">
        <v>92</v>
      </c>
      <c r="G42" s="20" t="s">
        <v>31</v>
      </c>
      <c r="H42" s="22"/>
      <c r="I42" s="20" t="s">
        <v>8868</v>
      </c>
      <c r="J42" s="23" t="s">
        <v>9166</v>
      </c>
      <c r="K42" s="121" t="s">
        <v>9167</v>
      </c>
      <c r="L42" s="13"/>
      <c r="M42" s="13"/>
      <c r="N42" s="13" t="s">
        <v>8942</v>
      </c>
      <c r="O42" s="112" t="s">
        <v>9167</v>
      </c>
    </row>
    <row r="43" spans="1:15" ht="216">
      <c r="A43" s="20">
        <v>39</v>
      </c>
      <c r="B43" s="20" t="s">
        <v>81</v>
      </c>
      <c r="C43" s="20" t="s">
        <v>91</v>
      </c>
      <c r="D43" s="21">
        <v>3.3</v>
      </c>
      <c r="E43" s="20" t="s">
        <v>93</v>
      </c>
      <c r="F43" s="20" t="s">
        <v>8899</v>
      </c>
      <c r="G43" s="20" t="s">
        <v>31</v>
      </c>
      <c r="H43" s="22" t="s">
        <v>35</v>
      </c>
      <c r="I43" s="20" t="s">
        <v>8868</v>
      </c>
      <c r="J43" s="20" t="s">
        <v>9134</v>
      </c>
      <c r="K43" s="121">
        <v>800000</v>
      </c>
      <c r="L43" s="13" t="s">
        <v>9100</v>
      </c>
      <c r="M43" s="13"/>
      <c r="N43" s="13" t="s">
        <v>8942</v>
      </c>
      <c r="O43" s="114" t="s">
        <v>9176</v>
      </c>
    </row>
    <row r="44" spans="1:15" ht="80">
      <c r="A44" s="20">
        <v>40</v>
      </c>
      <c r="B44" s="20" t="s">
        <v>81</v>
      </c>
      <c r="C44" s="20" t="s">
        <v>94</v>
      </c>
      <c r="D44" s="21">
        <v>4.0999999999999996</v>
      </c>
      <c r="E44" s="20" t="s">
        <v>95</v>
      </c>
      <c r="F44" s="20" t="s">
        <v>8898</v>
      </c>
      <c r="G44" s="20" t="s">
        <v>31</v>
      </c>
      <c r="H44" s="22" t="s">
        <v>35</v>
      </c>
      <c r="I44" s="20" t="s">
        <v>8868</v>
      </c>
      <c r="J44" s="20" t="s">
        <v>9173</v>
      </c>
      <c r="K44" s="121">
        <v>1500000</v>
      </c>
      <c r="L44" s="13"/>
      <c r="M44" s="13"/>
      <c r="N44" s="13" t="s">
        <v>8942</v>
      </c>
      <c r="O44" s="111" t="s">
        <v>9172</v>
      </c>
    </row>
    <row r="45" spans="1:15" ht="60">
      <c r="A45" s="20">
        <v>41</v>
      </c>
      <c r="B45" s="20" t="s">
        <v>81</v>
      </c>
      <c r="C45" s="20" t="s">
        <v>94</v>
      </c>
      <c r="D45" s="21">
        <v>4.3</v>
      </c>
      <c r="E45" s="20" t="s">
        <v>96</v>
      </c>
      <c r="F45" s="20" t="s">
        <v>97</v>
      </c>
      <c r="G45" s="20" t="s">
        <v>31</v>
      </c>
      <c r="H45" s="22"/>
      <c r="I45" s="20" t="s">
        <v>8868</v>
      </c>
      <c r="J45" s="20" t="s">
        <v>9169</v>
      </c>
      <c r="K45" s="121">
        <v>1500000</v>
      </c>
      <c r="L45" s="13"/>
      <c r="M45" s="13"/>
      <c r="N45" s="13" t="s">
        <v>8942</v>
      </c>
      <c r="O45" s="111" t="s">
        <v>9170</v>
      </c>
    </row>
    <row r="46" spans="1:15" ht="180">
      <c r="A46" s="20">
        <v>42</v>
      </c>
      <c r="B46" s="24" t="s">
        <v>81</v>
      </c>
      <c r="C46" s="24" t="s">
        <v>98</v>
      </c>
      <c r="D46" s="25">
        <v>5.0999999999999996</v>
      </c>
      <c r="E46" s="24" t="s">
        <v>99</v>
      </c>
      <c r="F46" s="24" t="s">
        <v>8900</v>
      </c>
      <c r="G46" s="24" t="s">
        <v>31</v>
      </c>
      <c r="H46" s="26"/>
      <c r="I46" s="24" t="s">
        <v>8866</v>
      </c>
      <c r="J46" s="24" t="s">
        <v>9171</v>
      </c>
      <c r="K46" s="27" t="s">
        <v>9167</v>
      </c>
      <c r="L46" s="13"/>
      <c r="M46" s="94" t="s">
        <v>8946</v>
      </c>
      <c r="N46" s="13" t="s">
        <v>8942</v>
      </c>
    </row>
    <row r="47" spans="1:15" ht="40">
      <c r="A47" s="28">
        <v>43</v>
      </c>
      <c r="B47" s="20" t="s">
        <v>81</v>
      </c>
      <c r="C47" s="20" t="s">
        <v>72</v>
      </c>
      <c r="D47" s="20" t="s">
        <v>72</v>
      </c>
      <c r="E47" s="20" t="s">
        <v>100</v>
      </c>
      <c r="F47" s="20" t="s">
        <v>8901</v>
      </c>
      <c r="G47" s="20" t="s">
        <v>31</v>
      </c>
      <c r="H47" s="29"/>
      <c r="I47" s="20" t="s">
        <v>8866</v>
      </c>
      <c r="J47" s="20" t="s">
        <v>9067</v>
      </c>
      <c r="K47" s="23" t="s">
        <v>9167</v>
      </c>
      <c r="L47" s="13"/>
      <c r="M47" s="94" t="s">
        <v>8946</v>
      </c>
      <c r="N47" s="13" t="s">
        <v>8942</v>
      </c>
    </row>
    <row r="48" spans="1:15" ht="40">
      <c r="A48" s="20">
        <v>44</v>
      </c>
      <c r="B48" s="20" t="s">
        <v>81</v>
      </c>
      <c r="C48" s="20" t="s">
        <v>72</v>
      </c>
      <c r="D48" s="20" t="s">
        <v>72</v>
      </c>
      <c r="E48" s="20" t="s">
        <v>101</v>
      </c>
      <c r="F48" s="20" t="s">
        <v>8902</v>
      </c>
      <c r="G48" s="20" t="s">
        <v>31</v>
      </c>
      <c r="H48" s="30"/>
      <c r="I48" s="31" t="s">
        <v>8866</v>
      </c>
      <c r="J48" s="31" t="s">
        <v>9001</v>
      </c>
      <c r="K48" s="32" t="s">
        <v>9167</v>
      </c>
      <c r="L48" s="13"/>
      <c r="M48" s="94" t="s">
        <v>8946</v>
      </c>
      <c r="N48" s="13" t="s">
        <v>8942</v>
      </c>
    </row>
    <row r="49" spans="1:15" ht="144">
      <c r="A49" s="28">
        <v>45</v>
      </c>
      <c r="B49" s="20" t="s">
        <v>81</v>
      </c>
      <c r="C49" s="20" t="s">
        <v>72</v>
      </c>
      <c r="D49" s="20" t="s">
        <v>72</v>
      </c>
      <c r="E49" s="20" t="s">
        <v>101</v>
      </c>
      <c r="F49" s="20" t="s">
        <v>9000</v>
      </c>
      <c r="G49" s="20" t="s">
        <v>31</v>
      </c>
      <c r="H49" s="30"/>
      <c r="I49" s="31" t="s">
        <v>8866</v>
      </c>
      <c r="J49" s="31" t="s">
        <v>9129</v>
      </c>
      <c r="K49" s="32" t="s">
        <v>9167</v>
      </c>
      <c r="L49" s="13" t="s">
        <v>9104</v>
      </c>
      <c r="M49" s="94" t="s">
        <v>8996</v>
      </c>
      <c r="N49" s="13" t="s">
        <v>8942</v>
      </c>
      <c r="O49" s="112"/>
    </row>
    <row r="50" spans="1:15" ht="36">
      <c r="A50" s="20">
        <v>46</v>
      </c>
      <c r="B50" s="20" t="s">
        <v>81</v>
      </c>
      <c r="C50" s="20" t="s">
        <v>72</v>
      </c>
      <c r="D50" s="20" t="s">
        <v>72</v>
      </c>
      <c r="E50" s="20" t="s">
        <v>101</v>
      </c>
      <c r="F50" s="20" t="s">
        <v>8903</v>
      </c>
      <c r="G50" s="20" t="s">
        <v>31</v>
      </c>
      <c r="H50" s="30"/>
      <c r="I50" s="31" t="s">
        <v>8866</v>
      </c>
      <c r="J50" s="31" t="s">
        <v>9009</v>
      </c>
      <c r="K50" s="32" t="s">
        <v>9167</v>
      </c>
      <c r="L50" s="13" t="s">
        <v>9007</v>
      </c>
      <c r="M50" s="94" t="s">
        <v>8946</v>
      </c>
      <c r="N50" s="13" t="s">
        <v>8942</v>
      </c>
    </row>
    <row r="51" spans="1:15" ht="40">
      <c r="A51" s="28">
        <v>47</v>
      </c>
      <c r="B51" s="20" t="s">
        <v>81</v>
      </c>
      <c r="C51" s="20" t="s">
        <v>72</v>
      </c>
      <c r="D51" s="20" t="s">
        <v>72</v>
      </c>
      <c r="E51" s="20" t="s">
        <v>101</v>
      </c>
      <c r="F51" s="20" t="s">
        <v>8904</v>
      </c>
      <c r="G51" s="20" t="s">
        <v>31</v>
      </c>
      <c r="H51" s="30"/>
      <c r="I51" s="31" t="s">
        <v>8866</v>
      </c>
      <c r="J51" s="31" t="s">
        <v>9035</v>
      </c>
      <c r="K51" s="32" t="s">
        <v>9167</v>
      </c>
      <c r="L51" s="13" t="s">
        <v>9036</v>
      </c>
      <c r="M51" s="94" t="s">
        <v>8946</v>
      </c>
      <c r="N51" s="13" t="s">
        <v>8942</v>
      </c>
    </row>
    <row r="52" spans="1:15" ht="40">
      <c r="A52" s="20">
        <v>48</v>
      </c>
      <c r="B52" s="31" t="s">
        <v>102</v>
      </c>
      <c r="C52" s="31" t="s">
        <v>103</v>
      </c>
      <c r="D52" s="33">
        <v>2.4</v>
      </c>
      <c r="E52" s="20" t="s">
        <v>104</v>
      </c>
      <c r="F52" s="20" t="s">
        <v>105</v>
      </c>
      <c r="G52" s="20" t="s">
        <v>31</v>
      </c>
      <c r="H52" s="30"/>
      <c r="I52" s="31" t="s">
        <v>8866</v>
      </c>
      <c r="J52" s="31" t="s">
        <v>8945</v>
      </c>
      <c r="K52" s="32" t="s">
        <v>9167</v>
      </c>
      <c r="L52" s="13"/>
      <c r="M52" s="13" t="s">
        <v>8946</v>
      </c>
      <c r="N52" s="13" t="s">
        <v>8943</v>
      </c>
    </row>
    <row r="53" spans="1:15" ht="40">
      <c r="A53" s="28">
        <v>49</v>
      </c>
      <c r="B53" s="20" t="s">
        <v>102</v>
      </c>
      <c r="C53" s="20" t="s">
        <v>103</v>
      </c>
      <c r="D53" s="34">
        <v>2.4</v>
      </c>
      <c r="E53" s="24" t="s">
        <v>104</v>
      </c>
      <c r="F53" s="35" t="s">
        <v>106</v>
      </c>
      <c r="G53" s="20" t="s">
        <v>31</v>
      </c>
      <c r="H53" s="22"/>
      <c r="I53" s="31" t="s">
        <v>8866</v>
      </c>
      <c r="J53" s="20" t="s">
        <v>8953</v>
      </c>
      <c r="K53" s="23" t="s">
        <v>9167</v>
      </c>
      <c r="L53" s="13"/>
      <c r="M53" s="13" t="s">
        <v>8951</v>
      </c>
      <c r="N53" s="13" t="s">
        <v>8943</v>
      </c>
    </row>
    <row r="54" spans="1:15" ht="60">
      <c r="A54" s="20">
        <v>50</v>
      </c>
      <c r="B54" s="20" t="s">
        <v>102</v>
      </c>
      <c r="C54" s="20" t="s">
        <v>103</v>
      </c>
      <c r="D54" s="34">
        <v>2.4</v>
      </c>
      <c r="E54" s="24" t="s">
        <v>104</v>
      </c>
      <c r="F54" s="35" t="s">
        <v>8952</v>
      </c>
      <c r="G54" s="20" t="s">
        <v>31</v>
      </c>
      <c r="H54" s="22"/>
      <c r="I54" s="31" t="s">
        <v>8866</v>
      </c>
      <c r="J54" s="20" t="s">
        <v>8954</v>
      </c>
      <c r="K54" s="23" t="s">
        <v>9167</v>
      </c>
      <c r="L54" s="13"/>
      <c r="M54" s="13" t="s">
        <v>8946</v>
      </c>
      <c r="N54" s="13" t="s">
        <v>8943</v>
      </c>
    </row>
    <row r="55" spans="1:15" ht="80">
      <c r="A55" s="28">
        <v>51</v>
      </c>
      <c r="B55" s="20" t="s">
        <v>102</v>
      </c>
      <c r="C55" s="20" t="s">
        <v>103</v>
      </c>
      <c r="D55" s="34">
        <v>2.4</v>
      </c>
      <c r="E55" s="24" t="s">
        <v>104</v>
      </c>
      <c r="F55" s="35" t="s">
        <v>107</v>
      </c>
      <c r="G55" s="20" t="s">
        <v>31</v>
      </c>
      <c r="H55" s="22"/>
      <c r="I55" s="31" t="s">
        <v>8866</v>
      </c>
      <c r="J55" s="20" t="s">
        <v>8955</v>
      </c>
      <c r="K55" s="23" t="s">
        <v>9167</v>
      </c>
      <c r="L55" s="13"/>
      <c r="M55" s="13" t="s">
        <v>8946</v>
      </c>
      <c r="N55" s="13" t="s">
        <v>8943</v>
      </c>
    </row>
    <row r="56" spans="1:15" ht="60">
      <c r="A56" s="20">
        <v>52</v>
      </c>
      <c r="B56" s="20" t="s">
        <v>102</v>
      </c>
      <c r="C56" s="20" t="s">
        <v>103</v>
      </c>
      <c r="D56" s="34">
        <v>2.4</v>
      </c>
      <c r="E56" s="24" t="s">
        <v>104</v>
      </c>
      <c r="F56" s="35" t="s">
        <v>108</v>
      </c>
      <c r="G56" s="20" t="s">
        <v>31</v>
      </c>
      <c r="H56" s="22"/>
      <c r="I56" s="31" t="s">
        <v>8866</v>
      </c>
      <c r="J56" s="20" t="s">
        <v>8929</v>
      </c>
      <c r="K56" s="23" t="s">
        <v>9167</v>
      </c>
      <c r="L56" s="13"/>
      <c r="M56" s="13" t="s">
        <v>8946</v>
      </c>
      <c r="N56" s="13" t="s">
        <v>8943</v>
      </c>
    </row>
    <row r="57" spans="1:15" ht="80">
      <c r="A57" s="28">
        <v>53</v>
      </c>
      <c r="B57" s="20" t="s">
        <v>102</v>
      </c>
      <c r="C57" s="20" t="s">
        <v>103</v>
      </c>
      <c r="D57" s="34">
        <v>2.4</v>
      </c>
      <c r="E57" s="20" t="s">
        <v>104</v>
      </c>
      <c r="F57" s="20" t="s">
        <v>109</v>
      </c>
      <c r="G57" s="20" t="s">
        <v>31</v>
      </c>
      <c r="H57" s="22"/>
      <c r="I57" s="31" t="s">
        <v>8866</v>
      </c>
      <c r="J57" s="20" t="s">
        <v>8956</v>
      </c>
      <c r="K57" s="23" t="s">
        <v>9167</v>
      </c>
      <c r="L57" s="13"/>
      <c r="M57" s="13" t="s">
        <v>8946</v>
      </c>
      <c r="N57" s="13" t="s">
        <v>8943</v>
      </c>
    </row>
    <row r="58" spans="1:15" ht="40">
      <c r="A58" s="20">
        <v>54</v>
      </c>
      <c r="B58" s="20" t="s">
        <v>102</v>
      </c>
      <c r="C58" s="20" t="s">
        <v>103</v>
      </c>
      <c r="D58" s="21">
        <v>2.4</v>
      </c>
      <c r="E58" s="20" t="s">
        <v>104</v>
      </c>
      <c r="F58" s="20" t="s">
        <v>110</v>
      </c>
      <c r="G58" s="20" t="s">
        <v>31</v>
      </c>
      <c r="H58" s="22"/>
      <c r="I58" s="31" t="s">
        <v>8866</v>
      </c>
      <c r="J58" s="20" t="s">
        <v>8957</v>
      </c>
      <c r="K58" s="23" t="s">
        <v>9167</v>
      </c>
      <c r="L58" s="13"/>
      <c r="M58" s="13" t="s">
        <v>8946</v>
      </c>
      <c r="N58" s="13" t="s">
        <v>8943</v>
      </c>
    </row>
    <row r="59" spans="1:15" ht="80">
      <c r="A59" s="28">
        <v>55</v>
      </c>
      <c r="B59" s="20" t="s">
        <v>102</v>
      </c>
      <c r="C59" s="20" t="s">
        <v>103</v>
      </c>
      <c r="D59" s="21">
        <v>2.4</v>
      </c>
      <c r="E59" s="20" t="s">
        <v>104</v>
      </c>
      <c r="F59" s="20" t="s">
        <v>111</v>
      </c>
      <c r="G59" s="20" t="s">
        <v>31</v>
      </c>
      <c r="H59" s="22"/>
      <c r="I59" s="31" t="s">
        <v>8866</v>
      </c>
      <c r="J59" s="20" t="s">
        <v>8931</v>
      </c>
      <c r="K59" s="23" t="s">
        <v>9167</v>
      </c>
      <c r="L59" s="13"/>
      <c r="M59" s="13" t="s">
        <v>8969</v>
      </c>
      <c r="N59" s="13" t="s">
        <v>8943</v>
      </c>
    </row>
    <row r="60" spans="1:15" ht="80">
      <c r="A60" s="20">
        <v>56</v>
      </c>
      <c r="B60" s="20" t="s">
        <v>102</v>
      </c>
      <c r="C60" s="20" t="s">
        <v>103</v>
      </c>
      <c r="D60" s="21">
        <v>2.4</v>
      </c>
      <c r="E60" s="20" t="s">
        <v>104</v>
      </c>
      <c r="F60" s="20" t="s">
        <v>112</v>
      </c>
      <c r="G60" s="20" t="s">
        <v>31</v>
      </c>
      <c r="H60" s="22"/>
      <c r="I60" s="31" t="s">
        <v>8866</v>
      </c>
      <c r="J60" s="20" t="s">
        <v>8958</v>
      </c>
      <c r="K60" s="23" t="s">
        <v>9167</v>
      </c>
      <c r="L60" s="13"/>
      <c r="M60" s="13" t="s">
        <v>8951</v>
      </c>
      <c r="N60" s="13" t="s">
        <v>8943</v>
      </c>
    </row>
    <row r="61" spans="1:15" ht="60">
      <c r="A61" s="28">
        <v>57</v>
      </c>
      <c r="B61" s="20" t="s">
        <v>102</v>
      </c>
      <c r="C61" s="20" t="s">
        <v>103</v>
      </c>
      <c r="D61" s="21">
        <v>2.4</v>
      </c>
      <c r="E61" s="20" t="s">
        <v>104</v>
      </c>
      <c r="F61" s="20" t="s">
        <v>113</v>
      </c>
      <c r="G61" s="20" t="s">
        <v>31</v>
      </c>
      <c r="H61" s="22"/>
      <c r="I61" s="31" t="s">
        <v>8866</v>
      </c>
      <c r="J61" s="20" t="s">
        <v>8959</v>
      </c>
      <c r="K61" s="23" t="s">
        <v>9167</v>
      </c>
      <c r="L61" s="13"/>
      <c r="M61" s="13" t="s">
        <v>8946</v>
      </c>
      <c r="N61" s="13" t="s">
        <v>8943</v>
      </c>
    </row>
    <row r="62" spans="1:15" ht="60">
      <c r="A62" s="20">
        <v>58</v>
      </c>
      <c r="B62" s="20" t="s">
        <v>102</v>
      </c>
      <c r="C62" s="20" t="s">
        <v>103</v>
      </c>
      <c r="D62" s="21">
        <v>2.6</v>
      </c>
      <c r="E62" s="20" t="s">
        <v>114</v>
      </c>
      <c r="F62" s="20" t="s">
        <v>115</v>
      </c>
      <c r="G62" s="20" t="s">
        <v>31</v>
      </c>
      <c r="H62" s="22" t="s">
        <v>35</v>
      </c>
      <c r="I62" s="20" t="s">
        <v>8868</v>
      </c>
      <c r="J62" s="20" t="s">
        <v>9191</v>
      </c>
      <c r="K62" s="121">
        <v>800000</v>
      </c>
      <c r="L62" s="13"/>
      <c r="M62" s="13"/>
      <c r="N62" s="13" t="s">
        <v>8943</v>
      </c>
      <c r="O62" s="112" t="s">
        <v>9175</v>
      </c>
    </row>
    <row r="63" spans="1:15" ht="40">
      <c r="A63" s="28">
        <v>59</v>
      </c>
      <c r="B63" s="20" t="s">
        <v>102</v>
      </c>
      <c r="C63" s="20" t="s">
        <v>103</v>
      </c>
      <c r="D63" s="21" t="s">
        <v>116</v>
      </c>
      <c r="E63" s="20" t="s">
        <v>117</v>
      </c>
      <c r="F63" s="20" t="s">
        <v>118</v>
      </c>
      <c r="G63" s="20" t="s">
        <v>47</v>
      </c>
      <c r="H63" s="22"/>
      <c r="I63" s="20" t="s">
        <v>8866</v>
      </c>
      <c r="J63" s="20" t="s">
        <v>8937</v>
      </c>
      <c r="K63" s="23" t="s">
        <v>9167</v>
      </c>
      <c r="L63" s="6" t="s">
        <v>8936</v>
      </c>
      <c r="M63" s="13" t="s">
        <v>8946</v>
      </c>
      <c r="N63" s="13" t="s">
        <v>8943</v>
      </c>
    </row>
    <row r="64" spans="1:15" ht="100">
      <c r="A64" s="20">
        <v>60</v>
      </c>
      <c r="B64" s="20" t="s">
        <v>102</v>
      </c>
      <c r="C64" s="20" t="s">
        <v>103</v>
      </c>
      <c r="D64" s="21" t="s">
        <v>116</v>
      </c>
      <c r="E64" s="20" t="s">
        <v>117</v>
      </c>
      <c r="F64" s="20" t="s">
        <v>119</v>
      </c>
      <c r="G64" s="20" t="s">
        <v>47</v>
      </c>
      <c r="H64" s="22"/>
      <c r="I64" s="20" t="s">
        <v>8866</v>
      </c>
      <c r="J64" s="20" t="s">
        <v>8960</v>
      </c>
      <c r="K64" s="23" t="s">
        <v>9167</v>
      </c>
      <c r="L64" s="6" t="s">
        <v>8936</v>
      </c>
      <c r="M64" s="13" t="s">
        <v>8946</v>
      </c>
      <c r="N64" s="13" t="s">
        <v>8943</v>
      </c>
    </row>
    <row r="65" spans="1:15" ht="40">
      <c r="A65" s="28">
        <v>61</v>
      </c>
      <c r="B65" s="20" t="s">
        <v>102</v>
      </c>
      <c r="C65" s="20" t="s">
        <v>103</v>
      </c>
      <c r="D65" s="21" t="s">
        <v>116</v>
      </c>
      <c r="E65" s="20" t="s">
        <v>117</v>
      </c>
      <c r="F65" s="20" t="s">
        <v>120</v>
      </c>
      <c r="G65" s="20" t="s">
        <v>47</v>
      </c>
      <c r="H65" s="22"/>
      <c r="I65" s="20" t="s">
        <v>8866</v>
      </c>
      <c r="J65" s="20" t="s">
        <v>8961</v>
      </c>
      <c r="K65" s="23" t="s">
        <v>9167</v>
      </c>
      <c r="L65" s="6" t="s">
        <v>8936</v>
      </c>
      <c r="M65" s="13" t="s">
        <v>8946</v>
      </c>
      <c r="N65" s="13" t="s">
        <v>8943</v>
      </c>
    </row>
    <row r="66" spans="1:15" ht="60">
      <c r="A66" s="20">
        <v>62</v>
      </c>
      <c r="B66" s="20" t="s">
        <v>102</v>
      </c>
      <c r="C66" s="20" t="s">
        <v>103</v>
      </c>
      <c r="D66" s="21" t="s">
        <v>116</v>
      </c>
      <c r="E66" s="20" t="s">
        <v>117</v>
      </c>
      <c r="F66" s="20" t="s">
        <v>121</v>
      </c>
      <c r="G66" s="20" t="s">
        <v>47</v>
      </c>
      <c r="H66" s="22"/>
      <c r="I66" s="20" t="s">
        <v>8866</v>
      </c>
      <c r="J66" s="20" t="s">
        <v>8962</v>
      </c>
      <c r="K66" s="23" t="s">
        <v>9167</v>
      </c>
      <c r="L66" s="6" t="s">
        <v>8936</v>
      </c>
      <c r="M66" s="13" t="s">
        <v>8946</v>
      </c>
      <c r="N66" s="13" t="s">
        <v>8943</v>
      </c>
    </row>
    <row r="67" spans="1:15" ht="60">
      <c r="A67" s="28">
        <v>63</v>
      </c>
      <c r="B67" s="20" t="s">
        <v>102</v>
      </c>
      <c r="C67" s="20" t="s">
        <v>103</v>
      </c>
      <c r="D67" s="21" t="s">
        <v>116</v>
      </c>
      <c r="E67" s="20" t="s">
        <v>117</v>
      </c>
      <c r="F67" s="20" t="s">
        <v>122</v>
      </c>
      <c r="G67" s="20" t="s">
        <v>47</v>
      </c>
      <c r="H67" s="22"/>
      <c r="I67" s="20" t="s">
        <v>8866</v>
      </c>
      <c r="J67" s="20" t="s">
        <v>8964</v>
      </c>
      <c r="K67" s="23" t="s">
        <v>9167</v>
      </c>
      <c r="L67" s="6" t="s">
        <v>8936</v>
      </c>
      <c r="M67" s="13" t="s">
        <v>8946</v>
      </c>
      <c r="N67" s="13" t="s">
        <v>8943</v>
      </c>
    </row>
    <row r="68" spans="1:15" ht="60">
      <c r="A68" s="20">
        <v>64</v>
      </c>
      <c r="B68" s="20" t="s">
        <v>102</v>
      </c>
      <c r="C68" s="20" t="s">
        <v>103</v>
      </c>
      <c r="D68" s="21" t="s">
        <v>116</v>
      </c>
      <c r="E68" s="20" t="s">
        <v>117</v>
      </c>
      <c r="F68" s="20" t="s">
        <v>123</v>
      </c>
      <c r="G68" s="20" t="s">
        <v>47</v>
      </c>
      <c r="H68" s="22"/>
      <c r="I68" s="20" t="s">
        <v>8866</v>
      </c>
      <c r="J68" s="20" t="s">
        <v>8965</v>
      </c>
      <c r="K68" s="23" t="s">
        <v>9167</v>
      </c>
      <c r="L68" s="6" t="s">
        <v>8936</v>
      </c>
      <c r="M68" s="13" t="s">
        <v>8946</v>
      </c>
      <c r="N68" s="13" t="s">
        <v>8943</v>
      </c>
    </row>
    <row r="69" spans="1:15" ht="80">
      <c r="A69" s="28">
        <v>65</v>
      </c>
      <c r="B69" s="20" t="s">
        <v>102</v>
      </c>
      <c r="C69" s="20" t="s">
        <v>124</v>
      </c>
      <c r="D69" s="21">
        <v>3.3</v>
      </c>
      <c r="E69" s="20" t="s">
        <v>125</v>
      </c>
      <c r="F69" s="20" t="s">
        <v>8915</v>
      </c>
      <c r="G69" s="20" t="s">
        <v>31</v>
      </c>
      <c r="H69" s="22" t="s">
        <v>35</v>
      </c>
      <c r="I69" s="20" t="s">
        <v>8866</v>
      </c>
      <c r="J69" s="20" t="s">
        <v>9117</v>
      </c>
      <c r="K69" s="23" t="s">
        <v>9167</v>
      </c>
      <c r="L69" s="6" t="s">
        <v>8972</v>
      </c>
      <c r="M69" s="13" t="s">
        <v>8977</v>
      </c>
      <c r="N69" s="13" t="s">
        <v>8943</v>
      </c>
    </row>
    <row r="70" spans="1:15" ht="155.25" customHeight="1">
      <c r="A70" s="20">
        <v>66</v>
      </c>
      <c r="B70" s="20" t="s">
        <v>102</v>
      </c>
      <c r="C70" s="20" t="s">
        <v>124</v>
      </c>
      <c r="D70" s="21">
        <v>3.4</v>
      </c>
      <c r="E70" s="20" t="s">
        <v>125</v>
      </c>
      <c r="F70" s="20" t="s">
        <v>9118</v>
      </c>
      <c r="G70" s="20" t="s">
        <v>31</v>
      </c>
      <c r="H70" s="22" t="s">
        <v>35</v>
      </c>
      <c r="I70" s="20" t="s">
        <v>8868</v>
      </c>
      <c r="J70" s="20" t="s">
        <v>9119</v>
      </c>
      <c r="K70" s="121">
        <v>800000</v>
      </c>
      <c r="L70" s="6"/>
      <c r="M70" s="13" t="s">
        <v>8946</v>
      </c>
      <c r="N70" s="13" t="s">
        <v>8943</v>
      </c>
      <c r="O70" s="111" t="s">
        <v>9174</v>
      </c>
    </row>
    <row r="71" spans="1:15" ht="40">
      <c r="A71" s="28">
        <v>67</v>
      </c>
      <c r="B71" s="20" t="s">
        <v>102</v>
      </c>
      <c r="C71" s="20" t="s">
        <v>124</v>
      </c>
      <c r="D71" s="21">
        <v>3.4</v>
      </c>
      <c r="E71" s="20" t="s">
        <v>126</v>
      </c>
      <c r="F71" s="20" t="s">
        <v>127</v>
      </c>
      <c r="G71" s="20" t="s">
        <v>31</v>
      </c>
      <c r="H71" s="22"/>
      <c r="I71" s="20" t="s">
        <v>8866</v>
      </c>
      <c r="J71" s="20" t="s">
        <v>8966</v>
      </c>
      <c r="K71" s="23" t="s">
        <v>9167</v>
      </c>
      <c r="L71" s="13"/>
      <c r="M71" s="13" t="s">
        <v>8946</v>
      </c>
      <c r="N71" s="13" t="s">
        <v>8943</v>
      </c>
    </row>
    <row r="72" spans="1:15" ht="40">
      <c r="A72" s="20">
        <v>68</v>
      </c>
      <c r="B72" s="20" t="s">
        <v>102</v>
      </c>
      <c r="C72" s="20" t="s">
        <v>124</v>
      </c>
      <c r="D72" s="21">
        <v>3.4</v>
      </c>
      <c r="E72" s="20" t="s">
        <v>126</v>
      </c>
      <c r="F72" s="20" t="s">
        <v>128</v>
      </c>
      <c r="G72" s="20" t="s">
        <v>31</v>
      </c>
      <c r="H72" s="22"/>
      <c r="I72" s="20" t="s">
        <v>8866</v>
      </c>
      <c r="J72" s="20" t="s">
        <v>9010</v>
      </c>
      <c r="K72" s="23" t="s">
        <v>9167</v>
      </c>
      <c r="L72" s="6"/>
      <c r="M72" s="13" t="s">
        <v>8946</v>
      </c>
      <c r="N72" s="13" t="s">
        <v>8943</v>
      </c>
    </row>
    <row r="73" spans="1:15" ht="100">
      <c r="A73" s="28">
        <v>69</v>
      </c>
      <c r="B73" s="20" t="s">
        <v>102</v>
      </c>
      <c r="C73" s="20" t="s">
        <v>124</v>
      </c>
      <c r="D73" s="21">
        <v>3.4</v>
      </c>
      <c r="E73" s="20" t="s">
        <v>126</v>
      </c>
      <c r="F73" s="20" t="s">
        <v>8917</v>
      </c>
      <c r="G73" s="20" t="s">
        <v>31</v>
      </c>
      <c r="H73" s="22"/>
      <c r="I73" s="20" t="s">
        <v>8866</v>
      </c>
      <c r="J73" s="20" t="s">
        <v>9180</v>
      </c>
      <c r="K73" s="23" t="s">
        <v>9167</v>
      </c>
      <c r="L73" s="13"/>
      <c r="M73" s="13" t="s">
        <v>8951</v>
      </c>
      <c r="N73" s="13" t="s">
        <v>8943</v>
      </c>
    </row>
    <row r="74" spans="1:15" ht="40">
      <c r="A74" s="20">
        <v>70</v>
      </c>
      <c r="B74" s="20" t="s">
        <v>102</v>
      </c>
      <c r="C74" s="20" t="s">
        <v>8913</v>
      </c>
      <c r="D74" s="21">
        <v>4.3</v>
      </c>
      <c r="E74" s="20" t="s">
        <v>130</v>
      </c>
      <c r="F74" s="20" t="s">
        <v>8924</v>
      </c>
      <c r="G74" s="20" t="s">
        <v>31</v>
      </c>
      <c r="H74" s="22"/>
      <c r="I74" s="20" t="s">
        <v>8866</v>
      </c>
      <c r="J74" s="20" t="s">
        <v>8933</v>
      </c>
      <c r="K74" s="23" t="s">
        <v>9167</v>
      </c>
      <c r="L74" s="6" t="s">
        <v>8963</v>
      </c>
      <c r="M74" s="13" t="s">
        <v>8946</v>
      </c>
      <c r="N74" s="13" t="s">
        <v>8942</v>
      </c>
    </row>
    <row r="75" spans="1:15" ht="60">
      <c r="A75" s="28">
        <v>71</v>
      </c>
      <c r="B75" s="20" t="s">
        <v>102</v>
      </c>
      <c r="C75" s="20" t="s">
        <v>129</v>
      </c>
      <c r="D75" s="21">
        <v>4.3</v>
      </c>
      <c r="E75" s="20" t="s">
        <v>130</v>
      </c>
      <c r="F75" s="20" t="s">
        <v>8934</v>
      </c>
      <c r="G75" s="20" t="s">
        <v>31</v>
      </c>
      <c r="H75" s="22"/>
      <c r="I75" s="20" t="s">
        <v>8866</v>
      </c>
      <c r="J75" s="20" t="s">
        <v>9181</v>
      </c>
      <c r="K75" s="23" t="s">
        <v>9167</v>
      </c>
      <c r="L75" s="6" t="s">
        <v>8963</v>
      </c>
      <c r="M75" s="94" t="s">
        <v>8946</v>
      </c>
      <c r="N75" s="13" t="s">
        <v>8942</v>
      </c>
    </row>
    <row r="76" spans="1:15" ht="60">
      <c r="A76" s="20">
        <v>72</v>
      </c>
      <c r="B76" s="20" t="s">
        <v>102</v>
      </c>
      <c r="C76" s="20" t="s">
        <v>129</v>
      </c>
      <c r="D76" s="21">
        <v>4.3</v>
      </c>
      <c r="E76" s="20" t="s">
        <v>130</v>
      </c>
      <c r="F76" s="20" t="s">
        <v>8935</v>
      </c>
      <c r="G76" s="20" t="s">
        <v>31</v>
      </c>
      <c r="H76" s="22"/>
      <c r="I76" s="20" t="s">
        <v>8866</v>
      </c>
      <c r="J76" s="20" t="s">
        <v>9179</v>
      </c>
      <c r="K76" s="23" t="s">
        <v>9167</v>
      </c>
      <c r="L76" s="6" t="s">
        <v>8963</v>
      </c>
      <c r="M76" s="13" t="s">
        <v>8946</v>
      </c>
      <c r="N76" s="13" t="s">
        <v>8942</v>
      </c>
    </row>
    <row r="77" spans="1:15" ht="40">
      <c r="A77" s="28">
        <v>73</v>
      </c>
      <c r="B77" s="20" t="s">
        <v>102</v>
      </c>
      <c r="C77" s="20" t="s">
        <v>129</v>
      </c>
      <c r="D77" s="21">
        <v>4.4000000000000004</v>
      </c>
      <c r="E77" s="20" t="s">
        <v>131</v>
      </c>
      <c r="F77" s="20" t="s">
        <v>8930</v>
      </c>
      <c r="G77" s="20" t="s">
        <v>31</v>
      </c>
      <c r="H77" s="22"/>
      <c r="I77" s="20" t="s">
        <v>8866</v>
      </c>
      <c r="J77" s="20" t="s">
        <v>9178</v>
      </c>
      <c r="K77" s="23" t="s">
        <v>9167</v>
      </c>
      <c r="L77" s="6" t="s">
        <v>9038</v>
      </c>
      <c r="M77" s="94" t="s">
        <v>8946</v>
      </c>
      <c r="N77" s="13" t="s">
        <v>8942</v>
      </c>
    </row>
    <row r="78" spans="1:15" ht="40">
      <c r="A78" s="20">
        <v>74</v>
      </c>
      <c r="B78" s="20" t="s">
        <v>102</v>
      </c>
      <c r="C78" s="20" t="s">
        <v>129</v>
      </c>
      <c r="D78" s="21">
        <v>4.4000000000000004</v>
      </c>
      <c r="E78" s="20" t="s">
        <v>131</v>
      </c>
      <c r="F78" s="20" t="s">
        <v>8928</v>
      </c>
      <c r="G78" s="20" t="s">
        <v>31</v>
      </c>
      <c r="H78" s="22" t="s">
        <v>35</v>
      </c>
      <c r="I78" s="20" t="s">
        <v>8866</v>
      </c>
      <c r="J78" s="20" t="s">
        <v>9182</v>
      </c>
      <c r="K78" s="23" t="s">
        <v>9167</v>
      </c>
      <c r="L78" s="6"/>
      <c r="M78" s="94" t="s">
        <v>8946</v>
      </c>
      <c r="N78" s="13" t="s">
        <v>8942</v>
      </c>
    </row>
    <row r="79" spans="1:15" ht="60">
      <c r="A79" s="28">
        <v>75</v>
      </c>
      <c r="B79" s="20" t="s">
        <v>102</v>
      </c>
      <c r="C79" s="20" t="s">
        <v>129</v>
      </c>
      <c r="D79" s="21">
        <v>4.5</v>
      </c>
      <c r="E79" s="20" t="s">
        <v>132</v>
      </c>
      <c r="F79" s="20" t="s">
        <v>9039</v>
      </c>
      <c r="G79" s="20" t="s">
        <v>31</v>
      </c>
      <c r="H79" s="22" t="s">
        <v>35</v>
      </c>
      <c r="I79" s="20" t="s">
        <v>8866</v>
      </c>
      <c r="J79" s="20" t="s">
        <v>9186</v>
      </c>
      <c r="K79" s="23" t="s">
        <v>9167</v>
      </c>
      <c r="L79" s="6"/>
      <c r="M79" s="94"/>
      <c r="N79" s="13" t="s">
        <v>8942</v>
      </c>
    </row>
    <row r="80" spans="1:15" ht="60">
      <c r="A80" s="20">
        <v>76</v>
      </c>
      <c r="B80" s="20" t="s">
        <v>102</v>
      </c>
      <c r="C80" s="20" t="s">
        <v>129</v>
      </c>
      <c r="D80" s="21">
        <v>4.5</v>
      </c>
      <c r="E80" s="20" t="s">
        <v>132</v>
      </c>
      <c r="F80" s="20" t="s">
        <v>9040</v>
      </c>
      <c r="G80" s="20" t="s">
        <v>31</v>
      </c>
      <c r="H80" s="22" t="s">
        <v>35</v>
      </c>
      <c r="I80" s="20" t="s">
        <v>8866</v>
      </c>
      <c r="J80" s="20" t="s">
        <v>9041</v>
      </c>
      <c r="K80" s="23" t="s">
        <v>9167</v>
      </c>
      <c r="L80" s="6"/>
      <c r="M80" s="13" t="s">
        <v>8951</v>
      </c>
      <c r="N80" s="13" t="s">
        <v>8942</v>
      </c>
    </row>
    <row r="81" spans="1:15" ht="20">
      <c r="A81" s="28">
        <v>77</v>
      </c>
      <c r="B81" s="20" t="s">
        <v>102</v>
      </c>
      <c r="C81" s="20" t="s">
        <v>129</v>
      </c>
      <c r="D81" s="21">
        <v>4.13</v>
      </c>
      <c r="E81" s="20" t="s">
        <v>133</v>
      </c>
      <c r="F81" s="20" t="s">
        <v>8916</v>
      </c>
      <c r="G81" s="20" t="s">
        <v>31</v>
      </c>
      <c r="H81" s="22"/>
      <c r="I81" s="20" t="s">
        <v>8866</v>
      </c>
      <c r="J81" s="20" t="s">
        <v>9045</v>
      </c>
      <c r="K81" s="23" t="s">
        <v>9167</v>
      </c>
      <c r="L81" s="6" t="s">
        <v>9044</v>
      </c>
      <c r="M81" s="94" t="s">
        <v>8946</v>
      </c>
      <c r="N81" s="13" t="s">
        <v>8942</v>
      </c>
    </row>
    <row r="82" spans="1:15" ht="40">
      <c r="A82" s="20">
        <v>78</v>
      </c>
      <c r="B82" s="20" t="s">
        <v>102</v>
      </c>
      <c r="C82" s="20" t="s">
        <v>129</v>
      </c>
      <c r="D82" s="21">
        <v>4.13</v>
      </c>
      <c r="E82" s="20" t="s">
        <v>133</v>
      </c>
      <c r="F82" s="20" t="s">
        <v>9046</v>
      </c>
      <c r="G82" s="20" t="s">
        <v>31</v>
      </c>
      <c r="H82" s="22"/>
      <c r="I82" s="20" t="s">
        <v>8866</v>
      </c>
      <c r="J82" s="20" t="s">
        <v>9047</v>
      </c>
      <c r="K82" s="23" t="s">
        <v>9167</v>
      </c>
      <c r="L82" s="6" t="s">
        <v>9044</v>
      </c>
      <c r="M82" s="94" t="s">
        <v>8946</v>
      </c>
      <c r="N82" s="13" t="s">
        <v>8942</v>
      </c>
    </row>
    <row r="83" spans="1:15" ht="40">
      <c r="A83" s="28">
        <v>79</v>
      </c>
      <c r="B83" s="20" t="s">
        <v>102</v>
      </c>
      <c r="C83" s="20" t="s">
        <v>129</v>
      </c>
      <c r="D83" s="21">
        <v>4.13</v>
      </c>
      <c r="E83" s="20" t="s">
        <v>133</v>
      </c>
      <c r="F83" s="20" t="s">
        <v>9042</v>
      </c>
      <c r="G83" s="20" t="s">
        <v>31</v>
      </c>
      <c r="H83" s="22"/>
      <c r="I83" s="20" t="s">
        <v>8866</v>
      </c>
      <c r="J83" s="20" t="s">
        <v>9183</v>
      </c>
      <c r="K83" s="23" t="s">
        <v>9167</v>
      </c>
      <c r="L83" s="6" t="s">
        <v>9044</v>
      </c>
      <c r="M83" s="94" t="s">
        <v>8946</v>
      </c>
      <c r="N83" s="13" t="s">
        <v>8942</v>
      </c>
    </row>
    <row r="84" spans="1:15" ht="80">
      <c r="A84" s="20">
        <v>80</v>
      </c>
      <c r="B84" s="20" t="s">
        <v>102</v>
      </c>
      <c r="C84" s="20" t="s">
        <v>129</v>
      </c>
      <c r="D84" s="21">
        <v>4.1399999999999997</v>
      </c>
      <c r="E84" s="20" t="s">
        <v>134</v>
      </c>
      <c r="F84" s="20" t="s">
        <v>135</v>
      </c>
      <c r="G84" s="20"/>
      <c r="H84" s="22"/>
      <c r="I84" s="20" t="s">
        <v>8866</v>
      </c>
      <c r="J84" s="20" t="s">
        <v>9184</v>
      </c>
      <c r="K84" s="23" t="s">
        <v>9167</v>
      </c>
      <c r="L84" s="6" t="s">
        <v>9044</v>
      </c>
      <c r="M84" s="94" t="s">
        <v>8946</v>
      </c>
      <c r="N84" s="13" t="s">
        <v>8942</v>
      </c>
    </row>
    <row r="85" spans="1:15" ht="20">
      <c r="A85" s="28">
        <v>81</v>
      </c>
      <c r="B85" s="20" t="s">
        <v>102</v>
      </c>
      <c r="C85" s="20" t="s">
        <v>129</v>
      </c>
      <c r="D85" s="21">
        <v>4.16</v>
      </c>
      <c r="E85" s="20" t="s">
        <v>136</v>
      </c>
      <c r="F85" s="20" t="s">
        <v>137</v>
      </c>
      <c r="G85" s="20" t="s">
        <v>31</v>
      </c>
      <c r="H85" s="22"/>
      <c r="I85" s="20" t="s">
        <v>8866</v>
      </c>
      <c r="J85" s="20" t="s">
        <v>9185</v>
      </c>
      <c r="K85" s="23" t="s">
        <v>9167</v>
      </c>
      <c r="L85" s="6" t="s">
        <v>9044</v>
      </c>
      <c r="M85" s="94" t="s">
        <v>8946</v>
      </c>
      <c r="N85" s="13" t="s">
        <v>8942</v>
      </c>
    </row>
    <row r="86" spans="1:15" ht="60">
      <c r="A86" s="20">
        <v>82</v>
      </c>
      <c r="B86" s="20" t="s">
        <v>102</v>
      </c>
      <c r="C86" s="20" t="s">
        <v>129</v>
      </c>
      <c r="D86" s="21">
        <v>4.16</v>
      </c>
      <c r="E86" s="20" t="s">
        <v>136</v>
      </c>
      <c r="F86" s="20" t="s">
        <v>9050</v>
      </c>
      <c r="G86" s="20" t="s">
        <v>31</v>
      </c>
      <c r="H86" s="22"/>
      <c r="I86" s="20" t="s">
        <v>8866</v>
      </c>
      <c r="J86" s="20" t="s">
        <v>9052</v>
      </c>
      <c r="K86" s="23" t="s">
        <v>9167</v>
      </c>
      <c r="L86" s="104"/>
      <c r="M86" s="94" t="s">
        <v>8946</v>
      </c>
      <c r="N86" s="13" t="s">
        <v>8942</v>
      </c>
    </row>
    <row r="87" spans="1:15" ht="40">
      <c r="A87" s="28">
        <v>83</v>
      </c>
      <c r="B87" s="20" t="s">
        <v>102</v>
      </c>
      <c r="C87" s="20" t="s">
        <v>129</v>
      </c>
      <c r="D87" s="21">
        <v>4.16</v>
      </c>
      <c r="E87" s="20" t="s">
        <v>136</v>
      </c>
      <c r="F87" s="20" t="s">
        <v>8920</v>
      </c>
      <c r="G87" s="20" t="s">
        <v>31</v>
      </c>
      <c r="H87" s="22"/>
      <c r="I87" s="20" t="s">
        <v>8866</v>
      </c>
      <c r="J87" s="20" t="s">
        <v>9051</v>
      </c>
      <c r="K87" s="23" t="s">
        <v>9167</v>
      </c>
      <c r="M87" s="94" t="s">
        <v>8946</v>
      </c>
      <c r="N87" s="13" t="s">
        <v>8942</v>
      </c>
    </row>
    <row r="88" spans="1:15" ht="72">
      <c r="A88" s="20">
        <v>84</v>
      </c>
      <c r="B88" s="20" t="s">
        <v>102</v>
      </c>
      <c r="C88" s="20" t="s">
        <v>138</v>
      </c>
      <c r="D88" s="21">
        <v>5.4</v>
      </c>
      <c r="E88" s="20" t="s">
        <v>139</v>
      </c>
      <c r="F88" s="20" t="s">
        <v>8922</v>
      </c>
      <c r="G88" s="20" t="s">
        <v>31</v>
      </c>
      <c r="H88" s="22" t="s">
        <v>35</v>
      </c>
      <c r="I88" s="20" t="s">
        <v>8868</v>
      </c>
      <c r="J88" s="20" t="s">
        <v>9191</v>
      </c>
      <c r="K88" s="121">
        <v>800000</v>
      </c>
      <c r="L88" s="13" t="s">
        <v>9098</v>
      </c>
      <c r="M88" s="13"/>
      <c r="N88" s="13" t="s">
        <v>8942</v>
      </c>
      <c r="O88" t="s">
        <v>9187</v>
      </c>
    </row>
    <row r="89" spans="1:15" ht="72">
      <c r="A89" s="28">
        <v>85</v>
      </c>
      <c r="B89" s="20" t="s">
        <v>102</v>
      </c>
      <c r="C89" s="20" t="s">
        <v>138</v>
      </c>
      <c r="D89" s="21">
        <v>5.4</v>
      </c>
      <c r="E89" s="20" t="s">
        <v>139</v>
      </c>
      <c r="F89" s="20" t="s">
        <v>8938</v>
      </c>
      <c r="G89" s="20" t="s">
        <v>31</v>
      </c>
      <c r="H89" s="22" t="s">
        <v>35</v>
      </c>
      <c r="I89" s="20" t="s">
        <v>8868</v>
      </c>
      <c r="J89" s="20" t="s">
        <v>9192</v>
      </c>
      <c r="K89" s="121">
        <v>800000</v>
      </c>
      <c r="L89" s="13" t="s">
        <v>9098</v>
      </c>
      <c r="M89" s="13"/>
      <c r="N89" s="13" t="s">
        <v>8942</v>
      </c>
      <c r="O89" s="112" t="s">
        <v>9188</v>
      </c>
    </row>
    <row r="90" spans="1:15" ht="72">
      <c r="A90" s="20">
        <v>86</v>
      </c>
      <c r="B90" s="20" t="s">
        <v>102</v>
      </c>
      <c r="C90" s="20" t="s">
        <v>138</v>
      </c>
      <c r="D90" s="21">
        <v>5.7</v>
      </c>
      <c r="E90" s="20" t="s">
        <v>9107</v>
      </c>
      <c r="F90" s="20" t="s">
        <v>9106</v>
      </c>
      <c r="G90" s="20" t="s">
        <v>31</v>
      </c>
      <c r="H90" s="22" t="s">
        <v>35</v>
      </c>
      <c r="I90" s="20" t="s">
        <v>8868</v>
      </c>
      <c r="J90" s="20" t="s">
        <v>9193</v>
      </c>
      <c r="K90" s="121">
        <v>800000</v>
      </c>
      <c r="L90" s="13" t="s">
        <v>9098</v>
      </c>
      <c r="M90" s="13"/>
      <c r="N90" s="13" t="s">
        <v>8942</v>
      </c>
      <c r="O90" s="112" t="s">
        <v>9189</v>
      </c>
    </row>
    <row r="91" spans="1:15" ht="40">
      <c r="A91" s="28">
        <v>87</v>
      </c>
      <c r="B91" s="20" t="s">
        <v>102</v>
      </c>
      <c r="C91" s="20" t="s">
        <v>138</v>
      </c>
      <c r="D91" s="21">
        <v>5.4</v>
      </c>
      <c r="E91" s="20" t="s">
        <v>139</v>
      </c>
      <c r="F91" s="20" t="s">
        <v>9053</v>
      </c>
      <c r="G91" s="20" t="s">
        <v>31</v>
      </c>
      <c r="H91" s="20"/>
      <c r="I91" s="20" t="s">
        <v>8866</v>
      </c>
      <c r="J91" s="20" t="s">
        <v>9054</v>
      </c>
      <c r="K91" s="23" t="s">
        <v>9167</v>
      </c>
      <c r="L91" s="6"/>
      <c r="M91" s="94" t="s">
        <v>8946</v>
      </c>
      <c r="N91" s="13" t="s">
        <v>8942</v>
      </c>
    </row>
    <row r="92" spans="1:15" ht="20">
      <c r="A92" s="20">
        <v>88</v>
      </c>
      <c r="B92" s="20" t="s">
        <v>102</v>
      </c>
      <c r="C92" s="20" t="s">
        <v>138</v>
      </c>
      <c r="D92" s="21">
        <v>5.4</v>
      </c>
      <c r="E92" s="20" t="s">
        <v>139</v>
      </c>
      <c r="F92" s="20" t="s">
        <v>140</v>
      </c>
      <c r="G92" s="20" t="s">
        <v>31</v>
      </c>
      <c r="H92" s="22"/>
      <c r="I92" s="20" t="s">
        <v>8866</v>
      </c>
      <c r="J92" s="20" t="s">
        <v>9055</v>
      </c>
      <c r="K92" s="23" t="s">
        <v>9167</v>
      </c>
      <c r="L92" s="6"/>
      <c r="M92" s="94" t="s">
        <v>8946</v>
      </c>
      <c r="N92" s="13" t="s">
        <v>8942</v>
      </c>
    </row>
    <row r="93" spans="1:15" ht="40">
      <c r="A93" s="28">
        <v>89</v>
      </c>
      <c r="B93" s="20" t="s">
        <v>102</v>
      </c>
      <c r="C93" s="20" t="s">
        <v>138</v>
      </c>
      <c r="D93" s="21">
        <v>5.0999999999999996</v>
      </c>
      <c r="E93" s="20" t="s">
        <v>141</v>
      </c>
      <c r="F93" s="20" t="s">
        <v>9056</v>
      </c>
      <c r="G93" s="20" t="s">
        <v>47</v>
      </c>
      <c r="H93" s="22"/>
      <c r="I93" s="20" t="s">
        <v>8868</v>
      </c>
      <c r="J93" s="20" t="s">
        <v>9190</v>
      </c>
      <c r="K93" s="121">
        <v>1600000</v>
      </c>
      <c r="L93" s="6"/>
      <c r="M93" s="94"/>
      <c r="N93" s="13" t="s">
        <v>8942</v>
      </c>
      <c r="O93" s="116" t="s">
        <v>9194</v>
      </c>
    </row>
    <row r="94" spans="1:15" ht="20">
      <c r="A94" s="20">
        <v>90</v>
      </c>
      <c r="B94" s="20" t="s">
        <v>102</v>
      </c>
      <c r="C94" s="20" t="s">
        <v>138</v>
      </c>
      <c r="D94" s="21">
        <v>5.4</v>
      </c>
      <c r="E94" s="20" t="s">
        <v>139</v>
      </c>
      <c r="F94" s="20" t="s">
        <v>9057</v>
      </c>
      <c r="G94" s="20" t="s">
        <v>31</v>
      </c>
      <c r="H94" s="22" t="s">
        <v>35</v>
      </c>
      <c r="I94" s="20" t="s">
        <v>8866</v>
      </c>
      <c r="J94" s="20" t="s">
        <v>9063</v>
      </c>
      <c r="K94" s="23" t="s">
        <v>9167</v>
      </c>
      <c r="L94" s="105"/>
      <c r="M94" s="94" t="s">
        <v>8946</v>
      </c>
      <c r="N94" s="13" t="s">
        <v>8942</v>
      </c>
    </row>
    <row r="95" spans="1:15" ht="80">
      <c r="A95" s="28">
        <v>91</v>
      </c>
      <c r="B95" s="20" t="s">
        <v>102</v>
      </c>
      <c r="C95" s="20" t="s">
        <v>138</v>
      </c>
      <c r="D95" s="21">
        <v>5.4</v>
      </c>
      <c r="E95" s="20" t="s">
        <v>139</v>
      </c>
      <c r="F95" s="20" t="s">
        <v>8923</v>
      </c>
      <c r="G95" s="20" t="s">
        <v>31</v>
      </c>
      <c r="H95" s="22" t="s">
        <v>35</v>
      </c>
      <c r="I95" s="20" t="s">
        <v>8866</v>
      </c>
      <c r="J95" s="20" t="s">
        <v>9195</v>
      </c>
      <c r="K95" s="23" t="s">
        <v>9167</v>
      </c>
      <c r="L95" s="13"/>
      <c r="M95" s="94" t="s">
        <v>8951</v>
      </c>
      <c r="N95" s="13" t="s">
        <v>8942</v>
      </c>
    </row>
    <row r="96" spans="1:15" ht="20">
      <c r="A96" s="20">
        <v>92</v>
      </c>
      <c r="B96" s="20" t="s">
        <v>102</v>
      </c>
      <c r="C96" s="20" t="s">
        <v>138</v>
      </c>
      <c r="D96" s="21" t="s">
        <v>116</v>
      </c>
      <c r="E96" s="20" t="s">
        <v>139</v>
      </c>
      <c r="F96" s="20" t="s">
        <v>9058</v>
      </c>
      <c r="G96" s="20" t="s">
        <v>31</v>
      </c>
      <c r="H96" s="22" t="s">
        <v>35</v>
      </c>
      <c r="I96" s="20" t="s">
        <v>8866</v>
      </c>
      <c r="J96" s="20" t="s">
        <v>9059</v>
      </c>
      <c r="K96" s="23" t="s">
        <v>9167</v>
      </c>
      <c r="L96" s="6"/>
      <c r="M96" s="94" t="s">
        <v>8946</v>
      </c>
      <c r="N96" s="13" t="s">
        <v>8942</v>
      </c>
    </row>
    <row r="97" spans="1:15" ht="20">
      <c r="A97" s="28">
        <v>93</v>
      </c>
      <c r="B97" s="20" t="s">
        <v>102</v>
      </c>
      <c r="C97" s="20" t="s">
        <v>138</v>
      </c>
      <c r="D97" s="21" t="s">
        <v>116</v>
      </c>
      <c r="E97" s="20" t="s">
        <v>139</v>
      </c>
      <c r="F97" s="20" t="s">
        <v>9060</v>
      </c>
      <c r="G97" s="20" t="s">
        <v>31</v>
      </c>
      <c r="H97" s="22" t="s">
        <v>35</v>
      </c>
      <c r="I97" s="20" t="s">
        <v>8866</v>
      </c>
      <c r="J97" s="20" t="s">
        <v>9061</v>
      </c>
      <c r="K97" s="23" t="s">
        <v>9167</v>
      </c>
      <c r="L97" s="6"/>
      <c r="M97" s="94" t="s">
        <v>8946</v>
      </c>
      <c r="N97" s="13" t="s">
        <v>8942</v>
      </c>
    </row>
    <row r="98" spans="1:15" ht="20">
      <c r="A98" s="20">
        <v>94</v>
      </c>
      <c r="B98" s="20" t="s">
        <v>102</v>
      </c>
      <c r="C98" s="20" t="s">
        <v>138</v>
      </c>
      <c r="D98" s="21" t="s">
        <v>116</v>
      </c>
      <c r="E98" s="20" t="s">
        <v>139</v>
      </c>
      <c r="F98" s="20" t="s">
        <v>9062</v>
      </c>
      <c r="G98" s="20" t="s">
        <v>31</v>
      </c>
      <c r="H98" s="22" t="s">
        <v>35</v>
      </c>
      <c r="I98" s="20" t="s">
        <v>8866</v>
      </c>
      <c r="J98" s="20" t="s">
        <v>9196</v>
      </c>
      <c r="K98" s="23" t="s">
        <v>9167</v>
      </c>
      <c r="L98" s="6"/>
      <c r="M98" s="94" t="s">
        <v>8946</v>
      </c>
      <c r="N98" s="13" t="s">
        <v>8942</v>
      </c>
    </row>
    <row r="99" spans="1:15" ht="40">
      <c r="A99" s="28">
        <v>95</v>
      </c>
      <c r="B99" s="20" t="s">
        <v>102</v>
      </c>
      <c r="C99" s="20" t="s">
        <v>142</v>
      </c>
      <c r="D99" s="21">
        <v>6.1</v>
      </c>
      <c r="E99" s="20" t="s">
        <v>143</v>
      </c>
      <c r="F99" s="20" t="s">
        <v>9069</v>
      </c>
      <c r="G99" s="20" t="s">
        <v>31</v>
      </c>
      <c r="H99" s="22"/>
      <c r="I99" s="20" t="s">
        <v>8866</v>
      </c>
      <c r="J99" s="109" t="s">
        <v>9070</v>
      </c>
      <c r="K99" s="23" t="s">
        <v>9167</v>
      </c>
      <c r="L99" s="6" t="s">
        <v>9122</v>
      </c>
      <c r="M99" s="94" t="s">
        <v>8946</v>
      </c>
      <c r="N99" s="13" t="s">
        <v>8942</v>
      </c>
    </row>
    <row r="100" spans="1:15" ht="409.6">
      <c r="A100" s="20">
        <v>96</v>
      </c>
      <c r="B100" s="20" t="s">
        <v>102</v>
      </c>
      <c r="C100" s="20" t="s">
        <v>142</v>
      </c>
      <c r="D100" s="21">
        <v>6.1</v>
      </c>
      <c r="E100" s="20" t="s">
        <v>143</v>
      </c>
      <c r="F100" s="21" t="s">
        <v>9071</v>
      </c>
      <c r="G100" s="20" t="s">
        <v>31</v>
      </c>
      <c r="H100" s="20"/>
      <c r="I100" s="20" t="s">
        <v>8866</v>
      </c>
      <c r="J100" s="20" t="s">
        <v>9072</v>
      </c>
      <c r="K100" s="23" t="s">
        <v>9167</v>
      </c>
      <c r="L100" s="13" t="s">
        <v>9123</v>
      </c>
      <c r="M100" s="94" t="s">
        <v>8946</v>
      </c>
      <c r="N100" s="13" t="s">
        <v>8942</v>
      </c>
    </row>
    <row r="101" spans="1:15" ht="60">
      <c r="A101" s="28">
        <v>97</v>
      </c>
      <c r="B101" s="20" t="s">
        <v>102</v>
      </c>
      <c r="C101" s="20" t="s">
        <v>142</v>
      </c>
      <c r="D101" s="21">
        <v>6.5</v>
      </c>
      <c r="E101" s="20" t="s">
        <v>144</v>
      </c>
      <c r="F101" s="20" t="s">
        <v>9068</v>
      </c>
      <c r="G101" s="20" t="s">
        <v>31</v>
      </c>
      <c r="H101" s="22"/>
      <c r="I101" s="20" t="s">
        <v>8866</v>
      </c>
      <c r="J101" s="20" t="s">
        <v>9073</v>
      </c>
      <c r="K101" s="23" t="s">
        <v>9167</v>
      </c>
      <c r="L101" s="6" t="s">
        <v>9124</v>
      </c>
      <c r="M101" s="94" t="s">
        <v>8946</v>
      </c>
      <c r="N101" s="13" t="s">
        <v>8942</v>
      </c>
    </row>
    <row r="102" spans="1:15" ht="409.6">
      <c r="A102" s="20">
        <v>98</v>
      </c>
      <c r="B102" s="20" t="s">
        <v>102</v>
      </c>
      <c r="C102" s="20" t="s">
        <v>142</v>
      </c>
      <c r="D102" s="21">
        <v>6.5</v>
      </c>
      <c r="E102" s="20" t="s">
        <v>144</v>
      </c>
      <c r="F102" s="20" t="s">
        <v>8925</v>
      </c>
      <c r="G102" s="20" t="s">
        <v>31</v>
      </c>
      <c r="H102" s="22"/>
      <c r="I102" s="20" t="s">
        <v>8866</v>
      </c>
      <c r="J102" s="20" t="s">
        <v>9074</v>
      </c>
      <c r="K102" s="23" t="s">
        <v>9167</v>
      </c>
      <c r="L102" s="113" t="s">
        <v>9126</v>
      </c>
      <c r="M102" s="94" t="s">
        <v>8946</v>
      </c>
      <c r="N102" s="13" t="s">
        <v>8942</v>
      </c>
    </row>
    <row r="103" spans="1:15" ht="60">
      <c r="A103" s="28">
        <v>99</v>
      </c>
      <c r="B103" s="20" t="s">
        <v>102</v>
      </c>
      <c r="C103" s="20" t="s">
        <v>145</v>
      </c>
      <c r="D103" s="21">
        <v>7.1</v>
      </c>
      <c r="E103" s="20" t="s">
        <v>146</v>
      </c>
      <c r="F103" s="20" t="s">
        <v>8926</v>
      </c>
      <c r="G103" s="20" t="s">
        <v>31</v>
      </c>
      <c r="H103" s="22"/>
      <c r="I103" s="20" t="s">
        <v>8866</v>
      </c>
      <c r="J103" s="20" t="s">
        <v>9075</v>
      </c>
      <c r="K103" s="23" t="s">
        <v>9167</v>
      </c>
      <c r="L103" s="13" t="s">
        <v>9103</v>
      </c>
      <c r="M103" s="94" t="s">
        <v>8946</v>
      </c>
      <c r="N103" s="13" t="s">
        <v>8942</v>
      </c>
    </row>
    <row r="104" spans="1:15" ht="60">
      <c r="A104" s="20">
        <v>100</v>
      </c>
      <c r="B104" s="20" t="s">
        <v>102</v>
      </c>
      <c r="C104" s="20" t="s">
        <v>145</v>
      </c>
      <c r="D104" s="21">
        <v>7.1</v>
      </c>
      <c r="E104" s="20" t="s">
        <v>146</v>
      </c>
      <c r="F104" s="20" t="s">
        <v>8927</v>
      </c>
      <c r="G104" s="20" t="s">
        <v>31</v>
      </c>
      <c r="H104" s="22"/>
      <c r="I104" s="20" t="s">
        <v>8866</v>
      </c>
      <c r="J104" s="20" t="s">
        <v>9076</v>
      </c>
      <c r="K104" s="23" t="s">
        <v>9167</v>
      </c>
      <c r="L104" s="13" t="s">
        <v>9103</v>
      </c>
      <c r="M104" s="94" t="s">
        <v>8946</v>
      </c>
      <c r="N104" s="13" t="s">
        <v>8942</v>
      </c>
    </row>
    <row r="105" spans="1:15" ht="198">
      <c r="A105" s="28">
        <v>101</v>
      </c>
      <c r="B105" s="20" t="s">
        <v>102</v>
      </c>
      <c r="C105" s="20" t="s">
        <v>145</v>
      </c>
      <c r="D105" s="21">
        <v>7.1</v>
      </c>
      <c r="E105" s="20" t="s">
        <v>147</v>
      </c>
      <c r="F105" s="20" t="s">
        <v>9077</v>
      </c>
      <c r="G105" s="20" t="s">
        <v>31</v>
      </c>
      <c r="H105" s="22"/>
      <c r="I105" s="20" t="s">
        <v>8866</v>
      </c>
      <c r="J105" s="20" t="s">
        <v>9078</v>
      </c>
      <c r="K105" s="23" t="s">
        <v>9167</v>
      </c>
      <c r="L105" s="13" t="s">
        <v>9079</v>
      </c>
      <c r="M105" s="94" t="s">
        <v>8946</v>
      </c>
      <c r="N105" s="13" t="s">
        <v>8942</v>
      </c>
    </row>
    <row r="106" spans="1:15" ht="40">
      <c r="A106" s="20">
        <v>102</v>
      </c>
      <c r="B106" s="20" t="s">
        <v>102</v>
      </c>
      <c r="C106" s="20" t="s">
        <v>148</v>
      </c>
      <c r="D106" s="21">
        <v>2.5</v>
      </c>
      <c r="E106" s="20" t="s">
        <v>149</v>
      </c>
      <c r="F106" s="20" t="s">
        <v>150</v>
      </c>
      <c r="G106" s="20" t="s">
        <v>31</v>
      </c>
      <c r="H106" s="22"/>
      <c r="I106" s="20" t="s">
        <v>8869</v>
      </c>
      <c r="J106" s="20" t="s">
        <v>9011</v>
      </c>
      <c r="K106" s="23" t="s">
        <v>9167</v>
      </c>
      <c r="L106" s="13"/>
      <c r="M106" s="13" t="s">
        <v>8946</v>
      </c>
      <c r="N106" s="13" t="s">
        <v>8943</v>
      </c>
    </row>
    <row r="107" spans="1:15" ht="40">
      <c r="A107" s="28">
        <v>103</v>
      </c>
      <c r="B107" s="20" t="s">
        <v>102</v>
      </c>
      <c r="C107" s="20" t="s">
        <v>148</v>
      </c>
      <c r="D107" s="21">
        <v>2.5</v>
      </c>
      <c r="E107" s="20" t="s">
        <v>149</v>
      </c>
      <c r="F107" s="20" t="s">
        <v>151</v>
      </c>
      <c r="G107" s="20" t="s">
        <v>47</v>
      </c>
      <c r="H107" s="22"/>
      <c r="I107" s="20" t="s">
        <v>8869</v>
      </c>
      <c r="J107" s="20" t="s">
        <v>9012</v>
      </c>
      <c r="K107" s="23" t="s">
        <v>9167</v>
      </c>
      <c r="L107" s="13"/>
      <c r="M107" s="13" t="s">
        <v>8946</v>
      </c>
      <c r="N107" s="13" t="s">
        <v>8943</v>
      </c>
    </row>
    <row r="108" spans="1:15" ht="40">
      <c r="A108" s="20">
        <v>104</v>
      </c>
      <c r="B108" s="20" t="s">
        <v>102</v>
      </c>
      <c r="C108" s="20" t="s">
        <v>148</v>
      </c>
      <c r="D108" s="21">
        <v>2.5</v>
      </c>
      <c r="E108" s="20" t="s">
        <v>149</v>
      </c>
      <c r="F108" s="20" t="s">
        <v>152</v>
      </c>
      <c r="G108" s="20" t="s">
        <v>31</v>
      </c>
      <c r="H108" s="22"/>
      <c r="I108" s="20" t="s">
        <v>8869</v>
      </c>
      <c r="J108" s="20" t="s">
        <v>9080</v>
      </c>
      <c r="K108" s="23" t="s">
        <v>9167</v>
      </c>
      <c r="L108" s="6"/>
      <c r="M108" s="13" t="s">
        <v>9113</v>
      </c>
      <c r="N108" s="13" t="s">
        <v>8943</v>
      </c>
    </row>
    <row r="109" spans="1:15" ht="60">
      <c r="A109" s="28">
        <v>105</v>
      </c>
      <c r="B109" s="20" t="s">
        <v>102</v>
      </c>
      <c r="C109" s="20" t="s">
        <v>148</v>
      </c>
      <c r="D109" s="21">
        <v>2.5</v>
      </c>
      <c r="E109" s="20" t="s">
        <v>149</v>
      </c>
      <c r="F109" s="20" t="s">
        <v>8918</v>
      </c>
      <c r="G109" s="20" t="s">
        <v>31</v>
      </c>
      <c r="H109" s="22"/>
      <c r="I109" s="107" t="s">
        <v>8869</v>
      </c>
      <c r="J109" s="20" t="s">
        <v>9197</v>
      </c>
      <c r="K109" s="23" t="s">
        <v>9167</v>
      </c>
      <c r="L109" s="6" t="s">
        <v>8919</v>
      </c>
      <c r="M109" s="13" t="s">
        <v>8946</v>
      </c>
      <c r="N109" s="13" t="s">
        <v>8943</v>
      </c>
      <c r="O109" s="112" t="s">
        <v>9128</v>
      </c>
    </row>
    <row r="110" spans="1:15" ht="140">
      <c r="A110" s="20">
        <v>106</v>
      </c>
      <c r="B110" s="20" t="s">
        <v>102</v>
      </c>
      <c r="C110" s="20" t="s">
        <v>148</v>
      </c>
      <c r="D110" s="21">
        <v>2.5</v>
      </c>
      <c r="E110" s="20" t="s">
        <v>149</v>
      </c>
      <c r="F110" s="20" t="s">
        <v>153</v>
      </c>
      <c r="G110" s="20" t="s">
        <v>47</v>
      </c>
      <c r="H110" s="22"/>
      <c r="I110" s="20" t="s">
        <v>8866</v>
      </c>
      <c r="J110" s="20" t="s">
        <v>9130</v>
      </c>
      <c r="K110" s="23" t="s">
        <v>9167</v>
      </c>
      <c r="L110" s="13"/>
      <c r="M110" s="13"/>
      <c r="N110" s="13" t="s">
        <v>8943</v>
      </c>
      <c r="O110" s="112"/>
    </row>
    <row r="111" spans="1:15" ht="80">
      <c r="A111" s="28">
        <v>107</v>
      </c>
      <c r="B111" s="20" t="s">
        <v>102</v>
      </c>
      <c r="C111" s="20" t="s">
        <v>148</v>
      </c>
      <c r="D111" s="21">
        <v>2.5</v>
      </c>
      <c r="E111" s="20" t="s">
        <v>149</v>
      </c>
      <c r="F111" s="20" t="s">
        <v>154</v>
      </c>
      <c r="G111" s="20" t="s">
        <v>47</v>
      </c>
      <c r="H111" s="22"/>
      <c r="I111" s="20" t="s">
        <v>8869</v>
      </c>
      <c r="J111" s="20" t="s">
        <v>9198</v>
      </c>
      <c r="K111" s="23" t="s">
        <v>9167</v>
      </c>
      <c r="L111" s="6" t="s">
        <v>8921</v>
      </c>
      <c r="M111" s="13" t="s">
        <v>8951</v>
      </c>
      <c r="N111" s="13" t="s">
        <v>8943</v>
      </c>
    </row>
    <row r="112" spans="1:15" ht="40">
      <c r="A112" s="20">
        <v>108</v>
      </c>
      <c r="B112" s="20" t="s">
        <v>102</v>
      </c>
      <c r="C112" s="20" t="s">
        <v>148</v>
      </c>
      <c r="D112" s="21">
        <v>2.5</v>
      </c>
      <c r="E112" s="20" t="s">
        <v>149</v>
      </c>
      <c r="F112" s="20" t="s">
        <v>155</v>
      </c>
      <c r="G112" s="20" t="s">
        <v>31</v>
      </c>
      <c r="H112" s="22"/>
      <c r="I112" s="20" t="s">
        <v>8869</v>
      </c>
      <c r="J112" s="20" t="s">
        <v>9037</v>
      </c>
      <c r="K112" s="23" t="s">
        <v>9167</v>
      </c>
      <c r="L112" s="13"/>
      <c r="M112" s="13" t="s">
        <v>8969</v>
      </c>
      <c r="N112" s="13" t="s">
        <v>8943</v>
      </c>
    </row>
    <row r="113" spans="1:15" ht="60">
      <c r="A113" s="28">
        <v>109</v>
      </c>
      <c r="B113" s="20" t="s">
        <v>102</v>
      </c>
      <c r="C113" s="20" t="s">
        <v>148</v>
      </c>
      <c r="D113" s="21">
        <v>2.5</v>
      </c>
      <c r="E113" s="20" t="s">
        <v>149</v>
      </c>
      <c r="F113" s="20" t="s">
        <v>156</v>
      </c>
      <c r="G113" s="20" t="s">
        <v>31</v>
      </c>
      <c r="H113" s="22"/>
      <c r="I113" s="20" t="s">
        <v>8869</v>
      </c>
      <c r="J113" s="20" t="s">
        <v>9008</v>
      </c>
      <c r="K113" s="23" t="s">
        <v>9167</v>
      </c>
      <c r="L113" s="13"/>
      <c r="M113" s="13" t="s">
        <v>8969</v>
      </c>
      <c r="N113" s="13" t="s">
        <v>8943</v>
      </c>
    </row>
    <row r="114" spans="1:15" ht="20">
      <c r="A114" s="20">
        <v>110</v>
      </c>
      <c r="B114" s="20" t="s">
        <v>102</v>
      </c>
      <c r="C114" s="20" t="s">
        <v>148</v>
      </c>
      <c r="D114" s="21">
        <v>2.5</v>
      </c>
      <c r="E114" s="20" t="s">
        <v>149</v>
      </c>
      <c r="F114" s="20" t="s">
        <v>157</v>
      </c>
      <c r="G114" s="20" t="s">
        <v>47</v>
      </c>
      <c r="H114" s="22"/>
      <c r="I114" s="20" t="s">
        <v>8866</v>
      </c>
      <c r="J114" s="20" t="s">
        <v>9131</v>
      </c>
      <c r="K114" s="23" t="s">
        <v>9167</v>
      </c>
      <c r="L114" s="13"/>
      <c r="M114" s="13"/>
      <c r="N114" s="13" t="s">
        <v>8943</v>
      </c>
      <c r="O114" s="112"/>
    </row>
    <row r="115" spans="1:15" ht="40">
      <c r="A115" s="28">
        <v>111</v>
      </c>
      <c r="B115" s="20" t="s">
        <v>102</v>
      </c>
      <c r="C115" s="20" t="s">
        <v>148</v>
      </c>
      <c r="D115" s="21">
        <v>2.5</v>
      </c>
      <c r="E115" s="20" t="s">
        <v>149</v>
      </c>
      <c r="F115" s="20" t="s">
        <v>158</v>
      </c>
      <c r="G115" s="20" t="s">
        <v>8944</v>
      </c>
      <c r="H115" s="22"/>
      <c r="I115" s="20" t="s">
        <v>8869</v>
      </c>
      <c r="J115" s="20" t="s">
        <v>9120</v>
      </c>
      <c r="K115" s="23" t="s">
        <v>9167</v>
      </c>
      <c r="L115" s="13"/>
      <c r="M115" s="13" t="s">
        <v>8951</v>
      </c>
      <c r="N115" s="13" t="s">
        <v>8943</v>
      </c>
    </row>
    <row r="116" spans="1:15" ht="40">
      <c r="A116" s="20">
        <v>112</v>
      </c>
      <c r="B116" s="20" t="s">
        <v>159</v>
      </c>
      <c r="C116" s="20" t="s">
        <v>160</v>
      </c>
      <c r="D116" s="21" t="s">
        <v>161</v>
      </c>
      <c r="E116" s="90" t="s">
        <v>162</v>
      </c>
      <c r="F116" s="90" t="s">
        <v>163</v>
      </c>
      <c r="G116" s="90" t="s">
        <v>47</v>
      </c>
      <c r="H116" s="22"/>
      <c r="I116" s="20" t="s">
        <v>8868</v>
      </c>
      <c r="J116" s="20" t="s">
        <v>9201</v>
      </c>
      <c r="K116" s="121">
        <v>1500000</v>
      </c>
      <c r="L116" s="6"/>
      <c r="M116" s="13"/>
      <c r="N116" s="13" t="s">
        <v>8943</v>
      </c>
      <c r="O116" s="112" t="s">
        <v>9199</v>
      </c>
    </row>
    <row r="117" spans="1:15" ht="140">
      <c r="A117" s="28">
        <v>113</v>
      </c>
      <c r="B117" s="20" t="s">
        <v>159</v>
      </c>
      <c r="C117" s="20" t="s">
        <v>160</v>
      </c>
      <c r="D117" s="21">
        <v>1.1000000000000001</v>
      </c>
      <c r="E117" s="20" t="s">
        <v>164</v>
      </c>
      <c r="F117" s="20" t="s">
        <v>8865</v>
      </c>
      <c r="G117" s="20" t="s">
        <v>31</v>
      </c>
      <c r="H117" s="22"/>
      <c r="I117" s="20" t="s">
        <v>8869</v>
      </c>
      <c r="J117" s="20" t="s">
        <v>8877</v>
      </c>
      <c r="K117" s="23" t="s">
        <v>9167</v>
      </c>
      <c r="L117" s="6"/>
      <c r="M117" s="13" t="s">
        <v>8946</v>
      </c>
      <c r="N117" s="13" t="s">
        <v>8943</v>
      </c>
    </row>
    <row r="118" spans="1:15" ht="80">
      <c r="A118" s="20">
        <v>114</v>
      </c>
      <c r="B118" s="20" t="s">
        <v>159</v>
      </c>
      <c r="C118" s="20" t="s">
        <v>160</v>
      </c>
      <c r="D118" s="21">
        <v>1.2</v>
      </c>
      <c r="E118" s="20" t="s">
        <v>165</v>
      </c>
      <c r="F118" s="20" t="s">
        <v>166</v>
      </c>
      <c r="G118" s="20" t="s">
        <v>31</v>
      </c>
      <c r="H118" s="22" t="s">
        <v>35</v>
      </c>
      <c r="I118" s="20" t="s">
        <v>8869</v>
      </c>
      <c r="J118" s="20" t="s">
        <v>9013</v>
      </c>
      <c r="K118" s="23" t="s">
        <v>9167</v>
      </c>
      <c r="L118" s="6"/>
      <c r="M118" s="13" t="s">
        <v>8946</v>
      </c>
      <c r="N118" s="13" t="s">
        <v>8943</v>
      </c>
    </row>
    <row r="119" spans="1:15" ht="60">
      <c r="A119" s="28">
        <v>115</v>
      </c>
      <c r="B119" s="20" t="s">
        <v>159</v>
      </c>
      <c r="C119" s="20" t="s">
        <v>160</v>
      </c>
      <c r="D119" s="21">
        <v>1.3</v>
      </c>
      <c r="E119" s="20" t="s">
        <v>167</v>
      </c>
      <c r="F119" s="20" t="s">
        <v>168</v>
      </c>
      <c r="G119" s="20" t="s">
        <v>31</v>
      </c>
      <c r="H119" s="22" t="s">
        <v>35</v>
      </c>
      <c r="I119" s="20" t="s">
        <v>8869</v>
      </c>
      <c r="J119" s="20" t="s">
        <v>9014</v>
      </c>
      <c r="K119" s="23" t="s">
        <v>9167</v>
      </c>
      <c r="L119" s="6" t="s">
        <v>9015</v>
      </c>
      <c r="M119" s="13" t="s">
        <v>8996</v>
      </c>
      <c r="N119" s="13" t="s">
        <v>8943</v>
      </c>
    </row>
    <row r="120" spans="1:15" ht="40">
      <c r="A120" s="20">
        <v>116</v>
      </c>
      <c r="B120" s="20" t="s">
        <v>159</v>
      </c>
      <c r="C120" s="20" t="s">
        <v>160</v>
      </c>
      <c r="D120" s="21">
        <v>1.4</v>
      </c>
      <c r="E120" s="13" t="s">
        <v>169</v>
      </c>
      <c r="F120" s="20" t="s">
        <v>170</v>
      </c>
      <c r="G120" s="20" t="s">
        <v>31</v>
      </c>
      <c r="H120" s="22"/>
      <c r="I120" s="20" t="s">
        <v>8869</v>
      </c>
      <c r="J120" s="20" t="s">
        <v>9016</v>
      </c>
      <c r="K120" s="23" t="s">
        <v>9167</v>
      </c>
      <c r="L120" s="6"/>
      <c r="M120" s="13" t="s">
        <v>8946</v>
      </c>
      <c r="N120" s="13" t="s">
        <v>8943</v>
      </c>
    </row>
    <row r="121" spans="1:15" ht="40">
      <c r="A121" s="28">
        <v>117</v>
      </c>
      <c r="B121" s="20" t="s">
        <v>159</v>
      </c>
      <c r="C121" s="20" t="s">
        <v>160</v>
      </c>
      <c r="D121" s="21">
        <v>1.4</v>
      </c>
      <c r="E121" s="20" t="s">
        <v>171</v>
      </c>
      <c r="F121" s="20" t="s">
        <v>172</v>
      </c>
      <c r="G121" s="20" t="s">
        <v>31</v>
      </c>
      <c r="H121" s="22"/>
      <c r="I121" s="20" t="s">
        <v>8869</v>
      </c>
      <c r="J121" s="20" t="s">
        <v>9016</v>
      </c>
      <c r="K121" s="23" t="s">
        <v>9167</v>
      </c>
      <c r="L121" s="6"/>
      <c r="M121" s="13" t="s">
        <v>8946</v>
      </c>
      <c r="N121" s="13" t="s">
        <v>8943</v>
      </c>
    </row>
    <row r="122" spans="1:15" ht="60">
      <c r="A122" s="20">
        <v>118</v>
      </c>
      <c r="B122" s="20" t="s">
        <v>159</v>
      </c>
      <c r="C122" s="20" t="s">
        <v>160</v>
      </c>
      <c r="D122" s="21">
        <v>1.5</v>
      </c>
      <c r="E122" s="20" t="s">
        <v>173</v>
      </c>
      <c r="F122" s="20" t="s">
        <v>174</v>
      </c>
      <c r="G122" s="20" t="s">
        <v>31</v>
      </c>
      <c r="H122" s="22" t="s">
        <v>35</v>
      </c>
      <c r="I122" s="20" t="s">
        <v>8866</v>
      </c>
      <c r="J122" s="117" t="s">
        <v>9138</v>
      </c>
      <c r="K122" s="23" t="s">
        <v>9167</v>
      </c>
      <c r="L122" s="6" t="s">
        <v>9017</v>
      </c>
      <c r="M122" s="13" t="s">
        <v>8951</v>
      </c>
      <c r="N122" s="13" t="s">
        <v>8943</v>
      </c>
    </row>
    <row r="123" spans="1:15" ht="120">
      <c r="A123" s="28">
        <v>119</v>
      </c>
      <c r="B123" s="20" t="s">
        <v>159</v>
      </c>
      <c r="C123" s="20" t="s">
        <v>160</v>
      </c>
      <c r="D123" s="21">
        <v>1.5</v>
      </c>
      <c r="E123" s="20" t="s">
        <v>173</v>
      </c>
      <c r="F123" s="20" t="s">
        <v>9064</v>
      </c>
      <c r="G123" s="20" t="s">
        <v>31</v>
      </c>
      <c r="H123" s="22" t="s">
        <v>35</v>
      </c>
      <c r="I123" s="20" t="s">
        <v>8868</v>
      </c>
      <c r="J123" s="20" t="s">
        <v>9137</v>
      </c>
      <c r="K123" s="121">
        <v>1600000</v>
      </c>
      <c r="L123" s="6" t="s">
        <v>9112</v>
      </c>
      <c r="M123" s="13"/>
      <c r="N123" s="13" t="s">
        <v>8943</v>
      </c>
      <c r="O123" s="110" t="s">
        <v>9202</v>
      </c>
    </row>
    <row r="124" spans="1:15" ht="40">
      <c r="A124" s="20">
        <v>120</v>
      </c>
      <c r="B124" s="20" t="s">
        <v>159</v>
      </c>
      <c r="C124" s="20" t="s">
        <v>160</v>
      </c>
      <c r="D124" s="21">
        <v>1.5</v>
      </c>
      <c r="E124" s="20" t="s">
        <v>173</v>
      </c>
      <c r="F124" s="20" t="s">
        <v>9108</v>
      </c>
      <c r="G124" s="20"/>
      <c r="H124" s="22"/>
      <c r="I124" s="20" t="s">
        <v>8868</v>
      </c>
      <c r="J124" s="20" t="s">
        <v>9121</v>
      </c>
      <c r="K124" s="121" t="s">
        <v>9167</v>
      </c>
      <c r="L124" s="6" t="s">
        <v>9112</v>
      </c>
      <c r="M124" s="13"/>
      <c r="N124" s="13" t="s">
        <v>8943</v>
      </c>
      <c r="O124" s="105" t="s">
        <v>9167</v>
      </c>
    </row>
    <row r="125" spans="1:15" ht="40">
      <c r="A125" s="28">
        <v>121</v>
      </c>
      <c r="B125" s="20" t="s">
        <v>159</v>
      </c>
      <c r="C125" s="20" t="s">
        <v>160</v>
      </c>
      <c r="D125" s="21">
        <v>1.5</v>
      </c>
      <c r="E125" s="20" t="s">
        <v>173</v>
      </c>
      <c r="F125" s="20" t="s">
        <v>9109</v>
      </c>
      <c r="G125" s="20" t="s">
        <v>31</v>
      </c>
      <c r="H125" s="22" t="s">
        <v>35</v>
      </c>
      <c r="I125" s="20" t="s">
        <v>8868</v>
      </c>
      <c r="J125" s="20" t="s">
        <v>9121</v>
      </c>
      <c r="K125" s="121" t="s">
        <v>9167</v>
      </c>
      <c r="L125" s="6" t="s">
        <v>9112</v>
      </c>
      <c r="M125" s="13"/>
      <c r="N125" s="13" t="s">
        <v>8943</v>
      </c>
      <c r="O125" s="105" t="s">
        <v>9167</v>
      </c>
    </row>
    <row r="126" spans="1:15" ht="140">
      <c r="A126" s="20">
        <v>122</v>
      </c>
      <c r="B126" s="20" t="s">
        <v>159</v>
      </c>
      <c r="C126" s="20" t="s">
        <v>160</v>
      </c>
      <c r="D126" s="21">
        <v>1.5</v>
      </c>
      <c r="E126" s="20" t="s">
        <v>173</v>
      </c>
      <c r="F126" s="20" t="s">
        <v>9110</v>
      </c>
      <c r="G126" s="20" t="s">
        <v>31</v>
      </c>
      <c r="H126" s="22" t="s">
        <v>35</v>
      </c>
      <c r="I126" s="20" t="s">
        <v>8866</v>
      </c>
      <c r="J126" s="20" t="s">
        <v>9125</v>
      </c>
      <c r="K126" s="23" t="s">
        <v>9167</v>
      </c>
      <c r="L126" s="6" t="s">
        <v>9112</v>
      </c>
      <c r="M126" s="13"/>
      <c r="N126" s="13" t="s">
        <v>8943</v>
      </c>
      <c r="O126" s="111"/>
    </row>
    <row r="127" spans="1:15" ht="40">
      <c r="A127" s="28">
        <v>123</v>
      </c>
      <c r="B127" s="20" t="s">
        <v>159</v>
      </c>
      <c r="C127" s="20" t="s">
        <v>160</v>
      </c>
      <c r="D127" s="21">
        <v>1.5</v>
      </c>
      <c r="E127" s="20" t="s">
        <v>173</v>
      </c>
      <c r="F127" s="20" t="s">
        <v>9111</v>
      </c>
      <c r="G127" s="20" t="s">
        <v>31</v>
      </c>
      <c r="H127" s="22" t="s">
        <v>35</v>
      </c>
      <c r="I127" s="20" t="s">
        <v>8868</v>
      </c>
      <c r="J127" s="20" t="s">
        <v>9203</v>
      </c>
      <c r="K127" s="121" t="s">
        <v>9167</v>
      </c>
      <c r="L127" s="6"/>
      <c r="M127" s="13"/>
      <c r="N127" s="13" t="s">
        <v>8943</v>
      </c>
      <c r="O127" s="112" t="s">
        <v>9167</v>
      </c>
    </row>
    <row r="128" spans="1:15" ht="60">
      <c r="A128" s="20">
        <v>124</v>
      </c>
      <c r="B128" s="20" t="s">
        <v>159</v>
      </c>
      <c r="C128" s="20" t="s">
        <v>160</v>
      </c>
      <c r="D128" s="21">
        <v>1.5</v>
      </c>
      <c r="E128" s="20" t="s">
        <v>173</v>
      </c>
      <c r="F128" s="20" t="s">
        <v>175</v>
      </c>
      <c r="G128" s="20" t="s">
        <v>31</v>
      </c>
      <c r="H128" s="22" t="s">
        <v>35</v>
      </c>
      <c r="I128" s="20" t="s">
        <v>8869</v>
      </c>
      <c r="J128" s="20" t="s">
        <v>9018</v>
      </c>
      <c r="K128" s="23" t="s">
        <v>9167</v>
      </c>
      <c r="L128" s="6"/>
      <c r="M128" s="13" t="s">
        <v>8946</v>
      </c>
      <c r="N128" s="13" t="s">
        <v>8943</v>
      </c>
    </row>
    <row r="129" spans="1:15" ht="40">
      <c r="A129" s="28">
        <v>125</v>
      </c>
      <c r="B129" s="20" t="s">
        <v>159</v>
      </c>
      <c r="C129" s="20" t="s">
        <v>160</v>
      </c>
      <c r="D129" s="21">
        <v>1.5</v>
      </c>
      <c r="E129" s="20" t="s">
        <v>173</v>
      </c>
      <c r="F129" s="20" t="s">
        <v>176</v>
      </c>
      <c r="G129" s="20" t="s">
        <v>31</v>
      </c>
      <c r="H129" s="22" t="s">
        <v>35</v>
      </c>
      <c r="I129" s="20" t="s">
        <v>8869</v>
      </c>
      <c r="J129" s="20" t="s">
        <v>9204</v>
      </c>
      <c r="K129" s="23" t="s">
        <v>9167</v>
      </c>
      <c r="L129" s="6"/>
      <c r="M129" s="13" t="s">
        <v>8946</v>
      </c>
      <c r="N129" s="13" t="s">
        <v>8943</v>
      </c>
    </row>
    <row r="130" spans="1:15" ht="40">
      <c r="A130" s="20">
        <v>126</v>
      </c>
      <c r="B130" s="20" t="s">
        <v>159</v>
      </c>
      <c r="C130" s="20" t="s">
        <v>160</v>
      </c>
      <c r="D130" s="21">
        <v>1.8</v>
      </c>
      <c r="E130" s="20" t="s">
        <v>41</v>
      </c>
      <c r="F130" s="20" t="s">
        <v>177</v>
      </c>
      <c r="G130" s="20" t="s">
        <v>31</v>
      </c>
      <c r="H130" s="22"/>
      <c r="I130" s="20" t="s">
        <v>8868</v>
      </c>
      <c r="J130" s="20" t="s">
        <v>9139</v>
      </c>
      <c r="K130" s="121">
        <v>1800000</v>
      </c>
      <c r="L130" s="6"/>
      <c r="M130" s="13"/>
      <c r="N130" s="13" t="s">
        <v>8943</v>
      </c>
      <c r="O130" s="111" t="s">
        <v>9133</v>
      </c>
    </row>
    <row r="131" spans="1:15" ht="40">
      <c r="A131" s="28">
        <v>127</v>
      </c>
      <c r="B131" s="20" t="s">
        <v>159</v>
      </c>
      <c r="C131" s="20" t="s">
        <v>178</v>
      </c>
      <c r="D131" s="21">
        <v>3.1</v>
      </c>
      <c r="E131" s="20" t="s">
        <v>179</v>
      </c>
      <c r="F131" s="20" t="s">
        <v>180</v>
      </c>
      <c r="G131" s="20" t="s">
        <v>31</v>
      </c>
      <c r="H131" s="22" t="s">
        <v>35</v>
      </c>
      <c r="I131" s="20" t="s">
        <v>8869</v>
      </c>
      <c r="J131" s="20" t="s">
        <v>9019</v>
      </c>
      <c r="K131" s="23" t="s">
        <v>9167</v>
      </c>
      <c r="L131" s="6"/>
      <c r="M131" s="13" t="s">
        <v>8946</v>
      </c>
      <c r="N131" s="13" t="s">
        <v>8943</v>
      </c>
    </row>
    <row r="132" spans="1:15" ht="40">
      <c r="A132" s="20">
        <v>128</v>
      </c>
      <c r="B132" s="20" t="s">
        <v>159</v>
      </c>
      <c r="C132" s="20" t="s">
        <v>178</v>
      </c>
      <c r="D132" s="21">
        <v>3.2</v>
      </c>
      <c r="E132" s="20" t="s">
        <v>181</v>
      </c>
      <c r="F132" s="20" t="s">
        <v>182</v>
      </c>
      <c r="G132" s="20" t="s">
        <v>31</v>
      </c>
      <c r="H132" s="22"/>
      <c r="I132" s="20" t="s">
        <v>8869</v>
      </c>
      <c r="J132" s="20" t="s">
        <v>9020</v>
      </c>
      <c r="K132" s="23" t="s">
        <v>9167</v>
      </c>
      <c r="L132" s="6"/>
      <c r="M132" s="13" t="s">
        <v>8946</v>
      </c>
      <c r="N132" s="13" t="s">
        <v>8943</v>
      </c>
    </row>
    <row r="133" spans="1:15" ht="220">
      <c r="A133" s="28">
        <v>129</v>
      </c>
      <c r="B133" s="20" t="s">
        <v>159</v>
      </c>
      <c r="C133" s="20" t="s">
        <v>178</v>
      </c>
      <c r="D133" s="21">
        <v>3.3</v>
      </c>
      <c r="E133" s="20" t="s">
        <v>183</v>
      </c>
      <c r="F133" s="20" t="s">
        <v>184</v>
      </c>
      <c r="G133" s="20" t="s">
        <v>31</v>
      </c>
      <c r="H133" s="22"/>
      <c r="I133" s="20" t="s">
        <v>8866</v>
      </c>
      <c r="J133" s="20" t="s">
        <v>9127</v>
      </c>
      <c r="K133" s="23" t="s">
        <v>9167</v>
      </c>
      <c r="L133" s="6" t="s">
        <v>8880</v>
      </c>
      <c r="M133" s="13"/>
      <c r="N133" s="13" t="s">
        <v>8943</v>
      </c>
      <c r="O133" s="111"/>
    </row>
    <row r="134" spans="1:15" ht="120">
      <c r="A134" s="20">
        <v>130</v>
      </c>
      <c r="B134" s="20" t="s">
        <v>159</v>
      </c>
      <c r="C134" s="20" t="s">
        <v>178</v>
      </c>
      <c r="D134" s="21">
        <v>3.4</v>
      </c>
      <c r="E134" s="20" t="s">
        <v>185</v>
      </c>
      <c r="F134" s="20" t="s">
        <v>8881</v>
      </c>
      <c r="G134" s="20" t="s">
        <v>31</v>
      </c>
      <c r="H134" s="22"/>
      <c r="I134" s="20" t="s">
        <v>8869</v>
      </c>
      <c r="J134" s="20" t="s">
        <v>9021</v>
      </c>
      <c r="K134" s="23" t="s">
        <v>9167</v>
      </c>
      <c r="L134" s="6"/>
      <c r="M134" s="13" t="s">
        <v>8946</v>
      </c>
      <c r="N134" s="13" t="s">
        <v>8943</v>
      </c>
    </row>
    <row r="135" spans="1:15" ht="40">
      <c r="A135" s="28">
        <v>131</v>
      </c>
      <c r="B135" s="20" t="s">
        <v>159</v>
      </c>
      <c r="C135" s="20" t="s">
        <v>186</v>
      </c>
      <c r="D135" s="21">
        <v>4.0999999999999996</v>
      </c>
      <c r="E135" s="20" t="s">
        <v>187</v>
      </c>
      <c r="F135" s="20" t="s">
        <v>188</v>
      </c>
      <c r="G135" s="20" t="s">
        <v>31</v>
      </c>
      <c r="H135" s="22"/>
      <c r="I135" s="20" t="s">
        <v>8869</v>
      </c>
      <c r="J135" s="20" t="s">
        <v>9022</v>
      </c>
      <c r="K135" s="23" t="s">
        <v>9167</v>
      </c>
      <c r="L135" s="6"/>
      <c r="M135" s="13" t="s">
        <v>8946</v>
      </c>
      <c r="N135" s="13" t="s">
        <v>8943</v>
      </c>
    </row>
    <row r="136" spans="1:15" ht="60">
      <c r="A136" s="20">
        <v>132</v>
      </c>
      <c r="B136" s="20" t="s">
        <v>159</v>
      </c>
      <c r="C136" s="20" t="s">
        <v>186</v>
      </c>
      <c r="D136" s="21">
        <v>4.2</v>
      </c>
      <c r="E136" s="90" t="s">
        <v>8980</v>
      </c>
      <c r="F136" s="90" t="s">
        <v>8979</v>
      </c>
      <c r="G136" s="20" t="s">
        <v>31</v>
      </c>
      <c r="H136" s="22" t="s">
        <v>35</v>
      </c>
      <c r="I136" s="20" t="s">
        <v>8868</v>
      </c>
      <c r="J136" s="20" t="s">
        <v>9205</v>
      </c>
      <c r="K136" s="121">
        <v>800000</v>
      </c>
      <c r="L136" s="6"/>
      <c r="M136" s="13"/>
      <c r="N136" s="13" t="s">
        <v>8943</v>
      </c>
      <c r="O136" s="111" t="s">
        <v>9206</v>
      </c>
    </row>
    <row r="137" spans="1:15" ht="40">
      <c r="A137" s="28">
        <v>133</v>
      </c>
      <c r="B137" s="20" t="s">
        <v>159</v>
      </c>
      <c r="C137" s="20" t="s">
        <v>186</v>
      </c>
      <c r="D137" s="21">
        <v>4.4000000000000004</v>
      </c>
      <c r="E137" s="90" t="s">
        <v>41</v>
      </c>
      <c r="F137" s="90" t="s">
        <v>189</v>
      </c>
      <c r="G137" s="20" t="s">
        <v>31</v>
      </c>
      <c r="H137" s="22"/>
      <c r="I137" s="20" t="s">
        <v>8868</v>
      </c>
      <c r="J137" s="20" t="s">
        <v>9139</v>
      </c>
      <c r="K137" s="121">
        <v>1800000</v>
      </c>
      <c r="L137" s="6"/>
      <c r="M137" s="13" t="s">
        <v>8946</v>
      </c>
      <c r="N137" s="13" t="s">
        <v>8943</v>
      </c>
      <c r="O137" s="111" t="s">
        <v>9132</v>
      </c>
    </row>
    <row r="138" spans="1:15" ht="40">
      <c r="A138" s="20">
        <v>134</v>
      </c>
      <c r="B138" s="20" t="s">
        <v>159</v>
      </c>
      <c r="C138" s="20" t="s">
        <v>190</v>
      </c>
      <c r="D138" s="21">
        <v>5.0999999999999996</v>
      </c>
      <c r="E138" s="90" t="s">
        <v>191</v>
      </c>
      <c r="F138" s="90" t="s">
        <v>192</v>
      </c>
      <c r="G138" s="20" t="s">
        <v>31</v>
      </c>
      <c r="H138" s="22" t="s">
        <v>35</v>
      </c>
      <c r="I138" s="20" t="s">
        <v>8869</v>
      </c>
      <c r="J138" s="20" t="s">
        <v>8886</v>
      </c>
      <c r="K138" s="23" t="s">
        <v>9167</v>
      </c>
      <c r="L138" s="6"/>
      <c r="M138" s="13" t="s">
        <v>8946</v>
      </c>
      <c r="N138" s="13" t="s">
        <v>8943</v>
      </c>
    </row>
    <row r="139" spans="1:15" ht="60">
      <c r="A139" s="28">
        <v>135</v>
      </c>
      <c r="B139" s="20" t="s">
        <v>159</v>
      </c>
      <c r="C139" s="20" t="s">
        <v>190</v>
      </c>
      <c r="D139" s="21">
        <v>5.2</v>
      </c>
      <c r="E139" s="20" t="s">
        <v>193</v>
      </c>
      <c r="F139" s="20" t="s">
        <v>194</v>
      </c>
      <c r="G139" s="20" t="s">
        <v>31</v>
      </c>
      <c r="H139" s="22" t="s">
        <v>35</v>
      </c>
      <c r="I139" s="20" t="s">
        <v>8869</v>
      </c>
      <c r="J139" s="20" t="s">
        <v>9207</v>
      </c>
      <c r="K139" s="23" t="s">
        <v>9167</v>
      </c>
      <c r="L139" s="6"/>
      <c r="M139" s="13" t="s">
        <v>9113</v>
      </c>
      <c r="N139" s="13" t="s">
        <v>8943</v>
      </c>
    </row>
    <row r="140" spans="1:15" ht="40">
      <c r="A140" s="20">
        <v>136</v>
      </c>
      <c r="B140" s="20" t="s">
        <v>159</v>
      </c>
      <c r="C140" s="20" t="s">
        <v>190</v>
      </c>
      <c r="D140" s="21">
        <v>5.2</v>
      </c>
      <c r="E140" s="20" t="s">
        <v>195</v>
      </c>
      <c r="F140" s="20" t="s">
        <v>196</v>
      </c>
      <c r="G140" s="20" t="s">
        <v>31</v>
      </c>
      <c r="H140" s="22" t="s">
        <v>35</v>
      </c>
      <c r="I140" s="20" t="s">
        <v>8869</v>
      </c>
      <c r="J140" s="20" t="s">
        <v>9023</v>
      </c>
      <c r="K140" s="23" t="s">
        <v>9167</v>
      </c>
      <c r="L140" s="6"/>
      <c r="M140" s="13" t="s">
        <v>8946</v>
      </c>
      <c r="N140" s="13" t="s">
        <v>8943</v>
      </c>
    </row>
    <row r="141" spans="1:15" ht="40">
      <c r="A141" s="28">
        <v>137</v>
      </c>
      <c r="B141" s="20" t="s">
        <v>159</v>
      </c>
      <c r="C141" s="20" t="s">
        <v>190</v>
      </c>
      <c r="D141" s="21">
        <v>5.3</v>
      </c>
      <c r="E141" s="20" t="s">
        <v>197</v>
      </c>
      <c r="F141" s="20" t="s">
        <v>198</v>
      </c>
      <c r="G141" s="20" t="s">
        <v>31</v>
      </c>
      <c r="H141" s="22" t="s">
        <v>35</v>
      </c>
      <c r="I141" s="20" t="s">
        <v>8869</v>
      </c>
      <c r="J141" s="20" t="s">
        <v>9024</v>
      </c>
      <c r="K141" s="23" t="s">
        <v>9167</v>
      </c>
      <c r="L141" s="6"/>
      <c r="M141" s="13" t="s">
        <v>8946</v>
      </c>
      <c r="N141" s="13" t="s">
        <v>8943</v>
      </c>
    </row>
    <row r="142" spans="1:15" ht="40">
      <c r="A142" s="20">
        <v>138</v>
      </c>
      <c r="B142" s="20" t="s">
        <v>159</v>
      </c>
      <c r="C142" s="20" t="s">
        <v>190</v>
      </c>
      <c r="D142" s="21">
        <v>5.3</v>
      </c>
      <c r="E142" s="20" t="s">
        <v>199</v>
      </c>
      <c r="F142" s="20" t="s">
        <v>200</v>
      </c>
      <c r="G142" s="20" t="s">
        <v>31</v>
      </c>
      <c r="H142" s="22"/>
      <c r="I142" s="20" t="s">
        <v>8869</v>
      </c>
      <c r="J142" s="20" t="s">
        <v>8986</v>
      </c>
      <c r="K142" s="23" t="s">
        <v>9167</v>
      </c>
      <c r="L142" s="6"/>
      <c r="M142" s="13" t="s">
        <v>8946</v>
      </c>
      <c r="N142" s="13" t="s">
        <v>8943</v>
      </c>
    </row>
    <row r="143" spans="1:15" ht="40">
      <c r="A143" s="28">
        <v>139</v>
      </c>
      <c r="B143" s="20" t="s">
        <v>159</v>
      </c>
      <c r="C143" s="20" t="s">
        <v>190</v>
      </c>
      <c r="D143" s="21">
        <v>5.4</v>
      </c>
      <c r="E143" s="20" t="s">
        <v>201</v>
      </c>
      <c r="F143" s="20" t="s">
        <v>202</v>
      </c>
      <c r="G143" s="20" t="s">
        <v>31</v>
      </c>
      <c r="H143" s="22"/>
      <c r="I143" s="20" t="s">
        <v>8869</v>
      </c>
      <c r="J143" s="20" t="s">
        <v>9025</v>
      </c>
      <c r="K143" s="23" t="s">
        <v>9167</v>
      </c>
      <c r="L143" s="6"/>
      <c r="M143" s="13" t="s">
        <v>8946</v>
      </c>
      <c r="N143" s="13" t="s">
        <v>8943</v>
      </c>
    </row>
    <row r="144" spans="1:15" ht="40">
      <c r="A144" s="20">
        <v>140</v>
      </c>
      <c r="B144" s="20" t="s">
        <v>159</v>
      </c>
      <c r="C144" s="20" t="s">
        <v>190</v>
      </c>
      <c r="D144" s="21">
        <v>5.4</v>
      </c>
      <c r="E144" s="20" t="s">
        <v>203</v>
      </c>
      <c r="F144" s="20" t="s">
        <v>204</v>
      </c>
      <c r="G144" s="20" t="s">
        <v>31</v>
      </c>
      <c r="H144" s="22"/>
      <c r="I144" s="20" t="s">
        <v>8869</v>
      </c>
      <c r="J144" s="20" t="s">
        <v>9026</v>
      </c>
      <c r="K144" s="23" t="s">
        <v>9167</v>
      </c>
      <c r="L144" s="6"/>
      <c r="M144" s="13" t="s">
        <v>8946</v>
      </c>
      <c r="N144" s="13" t="s">
        <v>8943</v>
      </c>
    </row>
    <row r="145" spans="1:15" ht="40">
      <c r="A145" s="28">
        <v>141</v>
      </c>
      <c r="B145" s="20" t="s">
        <v>159</v>
      </c>
      <c r="C145" s="20" t="s">
        <v>190</v>
      </c>
      <c r="D145" s="21">
        <v>5.6</v>
      </c>
      <c r="E145" s="20" t="s">
        <v>199</v>
      </c>
      <c r="F145" s="20" t="s">
        <v>205</v>
      </c>
      <c r="G145" s="20" t="s">
        <v>31</v>
      </c>
      <c r="H145" s="22"/>
      <c r="I145" s="20" t="s">
        <v>8869</v>
      </c>
      <c r="J145" s="20" t="s">
        <v>8891</v>
      </c>
      <c r="K145" s="23" t="s">
        <v>9167</v>
      </c>
      <c r="L145" s="6"/>
      <c r="M145" s="13" t="s">
        <v>8946</v>
      </c>
      <c r="N145" s="13" t="s">
        <v>8943</v>
      </c>
    </row>
    <row r="146" spans="1:15" ht="40">
      <c r="A146" s="20">
        <v>142</v>
      </c>
      <c r="B146" s="20" t="s">
        <v>159</v>
      </c>
      <c r="C146" s="20" t="s">
        <v>190</v>
      </c>
      <c r="D146" s="21">
        <v>5.7</v>
      </c>
      <c r="E146" s="20" t="s">
        <v>206</v>
      </c>
      <c r="F146" s="20" t="s">
        <v>207</v>
      </c>
      <c r="G146" s="20" t="s">
        <v>31</v>
      </c>
      <c r="H146" s="22" t="s">
        <v>35</v>
      </c>
      <c r="I146" s="20" t="s">
        <v>8866</v>
      </c>
      <c r="J146" s="20" t="s">
        <v>9093</v>
      </c>
      <c r="K146" s="23" t="s">
        <v>9167</v>
      </c>
      <c r="L146" s="6"/>
      <c r="M146" s="13" t="s">
        <v>9113</v>
      </c>
      <c r="N146" s="13" t="s">
        <v>8943</v>
      </c>
    </row>
    <row r="147" spans="1:15" ht="80">
      <c r="A147" s="28">
        <v>143</v>
      </c>
      <c r="B147" s="20" t="s">
        <v>159</v>
      </c>
      <c r="C147" s="20" t="s">
        <v>190</v>
      </c>
      <c r="D147" s="21">
        <v>5.7</v>
      </c>
      <c r="E147" s="20" t="s">
        <v>208</v>
      </c>
      <c r="F147" s="20" t="s">
        <v>9092</v>
      </c>
      <c r="G147" s="20" t="s">
        <v>31</v>
      </c>
      <c r="H147" s="22"/>
      <c r="I147" s="20" t="s">
        <v>8866</v>
      </c>
      <c r="J147" s="20" t="s">
        <v>9094</v>
      </c>
      <c r="K147" s="23" t="s">
        <v>9167</v>
      </c>
      <c r="L147" s="6"/>
      <c r="M147" s="13" t="s">
        <v>9114</v>
      </c>
      <c r="N147" s="13" t="s">
        <v>8943</v>
      </c>
    </row>
    <row r="148" spans="1:15" ht="40">
      <c r="A148" s="20">
        <v>144</v>
      </c>
      <c r="B148" s="20" t="s">
        <v>159</v>
      </c>
      <c r="C148" s="20" t="s">
        <v>190</v>
      </c>
      <c r="D148" s="21">
        <v>5.7</v>
      </c>
      <c r="E148" s="20" t="s">
        <v>209</v>
      </c>
      <c r="F148" s="20" t="s">
        <v>210</v>
      </c>
      <c r="G148" s="20" t="s">
        <v>31</v>
      </c>
      <c r="H148" s="22" t="s">
        <v>35</v>
      </c>
      <c r="I148" s="20" t="s">
        <v>9049</v>
      </c>
      <c r="J148" s="20" t="s">
        <v>9048</v>
      </c>
      <c r="K148" s="23" t="s">
        <v>9167</v>
      </c>
      <c r="L148" s="6"/>
      <c r="M148" s="13" t="s">
        <v>9113</v>
      </c>
      <c r="N148" s="13" t="s">
        <v>8943</v>
      </c>
    </row>
    <row r="149" spans="1:15" ht="40">
      <c r="A149" s="28">
        <v>145</v>
      </c>
      <c r="B149" s="20" t="s">
        <v>159</v>
      </c>
      <c r="C149" s="20" t="s">
        <v>190</v>
      </c>
      <c r="D149" s="21">
        <v>5.8</v>
      </c>
      <c r="E149" s="20" t="s">
        <v>211</v>
      </c>
      <c r="F149" s="20" t="s">
        <v>212</v>
      </c>
      <c r="G149" s="20" t="s">
        <v>31</v>
      </c>
      <c r="H149" s="22" t="s">
        <v>35</v>
      </c>
      <c r="I149" s="20" t="s">
        <v>9049</v>
      </c>
      <c r="J149" s="20" t="s">
        <v>9048</v>
      </c>
      <c r="K149" s="23" t="s">
        <v>9167</v>
      </c>
      <c r="L149" s="6"/>
      <c r="M149" s="13" t="s">
        <v>9113</v>
      </c>
      <c r="N149" s="13" t="s">
        <v>8943</v>
      </c>
    </row>
    <row r="150" spans="1:15" ht="40">
      <c r="A150" s="20">
        <v>146</v>
      </c>
      <c r="B150" s="20" t="s">
        <v>159</v>
      </c>
      <c r="C150" s="20" t="s">
        <v>213</v>
      </c>
      <c r="D150" s="21">
        <v>6.1</v>
      </c>
      <c r="E150" s="20" t="s">
        <v>214</v>
      </c>
      <c r="F150" s="20" t="s">
        <v>215</v>
      </c>
      <c r="G150" s="20" t="s">
        <v>31</v>
      </c>
      <c r="H150" s="22" t="s">
        <v>35</v>
      </c>
      <c r="I150" s="20" t="s">
        <v>8869</v>
      </c>
      <c r="J150" s="20" t="s">
        <v>9027</v>
      </c>
      <c r="K150" s="23" t="s">
        <v>9167</v>
      </c>
      <c r="L150" s="6"/>
      <c r="M150" s="13" t="s">
        <v>8946</v>
      </c>
      <c r="N150" s="13" t="s">
        <v>8943</v>
      </c>
    </row>
    <row r="151" spans="1:15" ht="60">
      <c r="A151" s="28">
        <v>147</v>
      </c>
      <c r="B151" s="20" t="s">
        <v>159</v>
      </c>
      <c r="C151" s="20" t="s">
        <v>213</v>
      </c>
      <c r="D151" s="21">
        <v>6.3</v>
      </c>
      <c r="E151" s="20" t="s">
        <v>216</v>
      </c>
      <c r="F151" s="20" t="s">
        <v>9208</v>
      </c>
      <c r="G151" s="20" t="s">
        <v>31</v>
      </c>
      <c r="H151" s="22"/>
      <c r="I151" s="20" t="s">
        <v>8869</v>
      </c>
      <c r="J151" s="20" t="s">
        <v>9209</v>
      </c>
      <c r="K151" s="23" t="s">
        <v>9167</v>
      </c>
      <c r="L151" s="6"/>
      <c r="M151" s="13" t="s">
        <v>8946</v>
      </c>
      <c r="N151" s="13" t="s">
        <v>8943</v>
      </c>
    </row>
    <row r="152" spans="1:15" ht="60">
      <c r="A152" s="20">
        <v>148</v>
      </c>
      <c r="B152" s="20" t="s">
        <v>159</v>
      </c>
      <c r="C152" s="20" t="s">
        <v>213</v>
      </c>
      <c r="D152" s="21">
        <v>6.4</v>
      </c>
      <c r="E152" s="20" t="s">
        <v>217</v>
      </c>
      <c r="F152" s="20" t="s">
        <v>8987</v>
      </c>
      <c r="G152" s="20" t="s">
        <v>31</v>
      </c>
      <c r="H152" s="22"/>
      <c r="I152" s="20" t="s">
        <v>8869</v>
      </c>
      <c r="J152" s="20" t="s">
        <v>9209</v>
      </c>
      <c r="K152" s="23" t="s">
        <v>9167</v>
      </c>
      <c r="L152" s="6"/>
      <c r="M152" s="13" t="s">
        <v>8946</v>
      </c>
      <c r="N152" s="13" t="s">
        <v>8943</v>
      </c>
    </row>
    <row r="153" spans="1:15" ht="40">
      <c r="A153" s="28">
        <v>149</v>
      </c>
      <c r="B153" s="20" t="s">
        <v>159</v>
      </c>
      <c r="C153" s="20" t="s">
        <v>218</v>
      </c>
      <c r="D153" s="21">
        <v>7.1</v>
      </c>
      <c r="E153" s="20" t="s">
        <v>219</v>
      </c>
      <c r="F153" s="20" t="s">
        <v>9210</v>
      </c>
      <c r="G153" s="20" t="s">
        <v>31</v>
      </c>
      <c r="H153" s="22"/>
      <c r="I153" s="20" t="s">
        <v>8868</v>
      </c>
      <c r="J153" s="20" t="s">
        <v>9211</v>
      </c>
      <c r="K153" s="121">
        <v>1500000</v>
      </c>
      <c r="L153" s="6"/>
      <c r="M153" s="13" t="s">
        <v>8946</v>
      </c>
      <c r="N153" s="13" t="s">
        <v>8943</v>
      </c>
      <c r="O153" s="111" t="s">
        <v>9212</v>
      </c>
    </row>
    <row r="154" spans="1:15" ht="100">
      <c r="A154" s="20">
        <v>150</v>
      </c>
      <c r="B154" s="20" t="s">
        <v>159</v>
      </c>
      <c r="C154" s="20" t="s">
        <v>218</v>
      </c>
      <c r="D154" s="21">
        <v>7.2</v>
      </c>
      <c r="E154" s="20" t="s">
        <v>220</v>
      </c>
      <c r="F154" s="20" t="s">
        <v>9213</v>
      </c>
      <c r="G154" s="20" t="s">
        <v>31</v>
      </c>
      <c r="H154" s="22"/>
      <c r="I154" s="20" t="s">
        <v>9102</v>
      </c>
      <c r="J154" s="20" t="s">
        <v>9214</v>
      </c>
      <c r="K154" s="23" t="s">
        <v>9167</v>
      </c>
      <c r="L154" s="6"/>
      <c r="M154" s="13" t="s">
        <v>8977</v>
      </c>
      <c r="N154" s="13" t="s">
        <v>8943</v>
      </c>
    </row>
    <row r="155" spans="1:15" ht="40">
      <c r="A155" s="28">
        <v>151</v>
      </c>
      <c r="B155" s="20" t="s">
        <v>159</v>
      </c>
      <c r="C155" s="20" t="s">
        <v>218</v>
      </c>
      <c r="D155" s="21">
        <v>7.3</v>
      </c>
      <c r="E155" s="20" t="s">
        <v>221</v>
      </c>
      <c r="F155" s="20" t="s">
        <v>222</v>
      </c>
      <c r="G155" s="20" t="s">
        <v>31</v>
      </c>
      <c r="H155" s="22"/>
      <c r="I155" s="20" t="s">
        <v>8869</v>
      </c>
      <c r="J155" s="20" t="s">
        <v>9028</v>
      </c>
      <c r="K155" s="23" t="s">
        <v>9167</v>
      </c>
      <c r="L155" s="6"/>
      <c r="M155" s="13" t="s">
        <v>8946</v>
      </c>
      <c r="N155" s="13" t="s">
        <v>8943</v>
      </c>
    </row>
    <row r="156" spans="1:15" ht="40">
      <c r="A156" s="20">
        <v>152</v>
      </c>
      <c r="B156" s="20" t="s">
        <v>159</v>
      </c>
      <c r="C156" s="20" t="s">
        <v>218</v>
      </c>
      <c r="D156" s="21">
        <v>7.4</v>
      </c>
      <c r="E156" s="20" t="s">
        <v>223</v>
      </c>
      <c r="F156" s="20" t="s">
        <v>224</v>
      </c>
      <c r="G156" s="20" t="s">
        <v>31</v>
      </c>
      <c r="H156" s="22"/>
      <c r="I156" s="20" t="s">
        <v>8869</v>
      </c>
      <c r="J156" s="21" t="s">
        <v>9029</v>
      </c>
      <c r="K156" s="23" t="s">
        <v>9167</v>
      </c>
      <c r="L156" s="6"/>
      <c r="M156" s="13" t="s">
        <v>8946</v>
      </c>
      <c r="N156" s="13" t="s">
        <v>8943</v>
      </c>
    </row>
    <row r="157" spans="1:15" ht="60">
      <c r="A157" s="28">
        <v>153</v>
      </c>
      <c r="B157" s="20" t="s">
        <v>159</v>
      </c>
      <c r="C157" s="20" t="s">
        <v>218</v>
      </c>
      <c r="D157" s="21">
        <v>7.5</v>
      </c>
      <c r="E157" s="20" t="s">
        <v>225</v>
      </c>
      <c r="F157" s="20" t="s">
        <v>226</v>
      </c>
      <c r="G157" s="20" t="s">
        <v>31</v>
      </c>
      <c r="H157" s="22"/>
      <c r="I157" s="20" t="s">
        <v>8869</v>
      </c>
      <c r="J157" s="20" t="s">
        <v>9215</v>
      </c>
      <c r="K157" s="23" t="s">
        <v>9167</v>
      </c>
      <c r="L157" s="6"/>
      <c r="M157" s="13" t="s">
        <v>8946</v>
      </c>
      <c r="N157" s="13" t="s">
        <v>8943</v>
      </c>
    </row>
    <row r="158" spans="1:15" ht="40">
      <c r="A158" s="20">
        <v>154</v>
      </c>
      <c r="B158" s="20" t="s">
        <v>159</v>
      </c>
      <c r="C158" s="20" t="s">
        <v>218</v>
      </c>
      <c r="D158" s="21">
        <v>7.6</v>
      </c>
      <c r="E158" s="20" t="s">
        <v>227</v>
      </c>
      <c r="F158" s="20" t="s">
        <v>9216</v>
      </c>
      <c r="G158" s="20" t="s">
        <v>31</v>
      </c>
      <c r="H158" s="22"/>
      <c r="I158" s="20" t="s">
        <v>8868</v>
      </c>
      <c r="J158" s="20" t="s">
        <v>9217</v>
      </c>
      <c r="K158" s="121" t="s">
        <v>9167</v>
      </c>
      <c r="L158" s="6"/>
      <c r="M158" s="13" t="s">
        <v>8946</v>
      </c>
      <c r="N158" s="13" t="s">
        <v>8943</v>
      </c>
      <c r="O158" s="112" t="s">
        <v>9167</v>
      </c>
    </row>
    <row r="159" spans="1:15" ht="40">
      <c r="A159" s="28">
        <v>155</v>
      </c>
      <c r="B159" s="20" t="s">
        <v>159</v>
      </c>
      <c r="C159" s="20" t="s">
        <v>218</v>
      </c>
      <c r="D159" s="21">
        <v>7.7</v>
      </c>
      <c r="E159" s="20" t="s">
        <v>228</v>
      </c>
      <c r="F159" s="20" t="s">
        <v>229</v>
      </c>
      <c r="G159" s="20" t="s">
        <v>31</v>
      </c>
      <c r="H159" s="22"/>
      <c r="I159" s="20" t="s">
        <v>8868</v>
      </c>
      <c r="J159" s="20" t="s">
        <v>9139</v>
      </c>
      <c r="K159" s="121">
        <v>1500000</v>
      </c>
      <c r="L159" s="6"/>
      <c r="M159" s="13"/>
      <c r="N159" s="13" t="s">
        <v>8943</v>
      </c>
      <c r="O159" s="111" t="s">
        <v>9218</v>
      </c>
    </row>
    <row r="160" spans="1:15" ht="60">
      <c r="A160" s="20">
        <v>156</v>
      </c>
      <c r="B160" s="20" t="s">
        <v>230</v>
      </c>
      <c r="C160" s="20" t="s">
        <v>231</v>
      </c>
      <c r="D160" s="21" t="s">
        <v>116</v>
      </c>
      <c r="E160" s="20" t="s">
        <v>232</v>
      </c>
      <c r="F160" s="20" t="s">
        <v>233</v>
      </c>
      <c r="G160" s="20" t="s">
        <v>31</v>
      </c>
      <c r="H160" s="22"/>
      <c r="I160" s="20" t="s">
        <v>8869</v>
      </c>
      <c r="J160" s="20" t="s">
        <v>9030</v>
      </c>
      <c r="K160" s="23" t="s">
        <v>9167</v>
      </c>
      <c r="L160" s="6"/>
      <c r="M160" s="13" t="s">
        <v>8946</v>
      </c>
      <c r="N160" s="13" t="s">
        <v>8943</v>
      </c>
    </row>
    <row r="161" spans="1:14" ht="60">
      <c r="A161" s="28">
        <v>157</v>
      </c>
      <c r="B161" s="20" t="s">
        <v>230</v>
      </c>
      <c r="C161" s="20" t="s">
        <v>231</v>
      </c>
      <c r="D161" s="21" t="s">
        <v>116</v>
      </c>
      <c r="E161" s="20" t="s">
        <v>232</v>
      </c>
      <c r="F161" s="20" t="s">
        <v>234</v>
      </c>
      <c r="G161" s="20" t="s">
        <v>31</v>
      </c>
      <c r="H161" s="22"/>
      <c r="I161" s="20" t="s">
        <v>8869</v>
      </c>
      <c r="J161" s="20" t="s">
        <v>9031</v>
      </c>
      <c r="K161" s="23" t="s">
        <v>9167</v>
      </c>
      <c r="L161" s="6"/>
      <c r="M161" s="13" t="s">
        <v>8946</v>
      </c>
      <c r="N161" s="13" t="s">
        <v>8943</v>
      </c>
    </row>
    <row r="162" spans="1:14" ht="100">
      <c r="A162" s="20">
        <v>158</v>
      </c>
      <c r="B162" s="20" t="s">
        <v>230</v>
      </c>
      <c r="C162" s="20" t="s">
        <v>231</v>
      </c>
      <c r="D162" s="21" t="s">
        <v>116</v>
      </c>
      <c r="E162" s="20" t="s">
        <v>232</v>
      </c>
      <c r="F162" s="20" t="s">
        <v>235</v>
      </c>
      <c r="G162" s="20" t="s">
        <v>31</v>
      </c>
      <c r="H162" s="22"/>
      <c r="I162" s="20" t="s">
        <v>8869</v>
      </c>
      <c r="J162" s="20" t="s">
        <v>8990</v>
      </c>
      <c r="K162" s="23" t="s">
        <v>9167</v>
      </c>
      <c r="L162" s="6"/>
      <c r="M162" s="13" t="s">
        <v>8946</v>
      </c>
      <c r="N162" s="13" t="s">
        <v>8943</v>
      </c>
    </row>
    <row r="163" spans="1:14" ht="40">
      <c r="A163" s="28">
        <v>159</v>
      </c>
      <c r="B163" s="20" t="s">
        <v>230</v>
      </c>
      <c r="C163" s="20" t="s">
        <v>236</v>
      </c>
      <c r="D163" s="21" t="s">
        <v>116</v>
      </c>
      <c r="E163" s="20" t="s">
        <v>237</v>
      </c>
      <c r="F163" s="20" t="s">
        <v>238</v>
      </c>
      <c r="G163" s="20" t="s">
        <v>31</v>
      </c>
      <c r="H163" s="22"/>
      <c r="I163" s="20" t="s">
        <v>8869</v>
      </c>
      <c r="J163" s="20" t="s">
        <v>9032</v>
      </c>
      <c r="K163" s="23" t="s">
        <v>9167</v>
      </c>
      <c r="L163" s="6"/>
      <c r="M163" s="13" t="s">
        <v>8946</v>
      </c>
      <c r="N163" s="13" t="s">
        <v>8943</v>
      </c>
    </row>
    <row r="164" spans="1:14" ht="60">
      <c r="A164" s="20">
        <v>160</v>
      </c>
      <c r="B164" s="20" t="s">
        <v>230</v>
      </c>
      <c r="C164" s="20" t="s">
        <v>236</v>
      </c>
      <c r="D164" s="21" t="s">
        <v>116</v>
      </c>
      <c r="E164" s="20" t="s">
        <v>237</v>
      </c>
      <c r="F164" s="20" t="s">
        <v>239</v>
      </c>
      <c r="G164" s="20" t="s">
        <v>31</v>
      </c>
      <c r="H164" s="22"/>
      <c r="I164" s="20" t="s">
        <v>8869</v>
      </c>
      <c r="J164" s="20" t="s">
        <v>9033</v>
      </c>
      <c r="K164" s="23" t="s">
        <v>9167</v>
      </c>
      <c r="L164" s="6"/>
      <c r="M164" s="13" t="s">
        <v>8946</v>
      </c>
      <c r="N164" s="13" t="s">
        <v>8943</v>
      </c>
    </row>
    <row r="165" spans="1:14" ht="80">
      <c r="A165" s="28">
        <v>161</v>
      </c>
      <c r="B165" s="20" t="s">
        <v>230</v>
      </c>
      <c r="C165" s="20" t="s">
        <v>236</v>
      </c>
      <c r="D165" s="21" t="s">
        <v>116</v>
      </c>
      <c r="E165" s="20" t="s">
        <v>237</v>
      </c>
      <c r="F165" s="20" t="s">
        <v>240</v>
      </c>
      <c r="G165" s="20" t="s">
        <v>31</v>
      </c>
      <c r="H165" s="22"/>
      <c r="I165" s="20" t="s">
        <v>8869</v>
      </c>
      <c r="J165" s="20" t="s">
        <v>9034</v>
      </c>
      <c r="K165" s="23" t="s">
        <v>9167</v>
      </c>
      <c r="L165" s="6"/>
      <c r="M165" s="13" t="s">
        <v>8946</v>
      </c>
      <c r="N165" s="13" t="s">
        <v>8943</v>
      </c>
    </row>
    <row r="166" spans="1:14" ht="80">
      <c r="A166" s="20">
        <v>162</v>
      </c>
      <c r="B166" s="20" t="s">
        <v>230</v>
      </c>
      <c r="C166" s="20" t="s">
        <v>236</v>
      </c>
      <c r="D166" s="21" t="s">
        <v>116</v>
      </c>
      <c r="E166" s="20" t="s">
        <v>237</v>
      </c>
      <c r="F166" s="20" t="s">
        <v>241</v>
      </c>
      <c r="G166" s="20" t="s">
        <v>31</v>
      </c>
      <c r="H166" s="22"/>
      <c r="I166" s="20" t="s">
        <v>8869</v>
      </c>
      <c r="J166" s="20" t="s">
        <v>8999</v>
      </c>
      <c r="K166" s="23" t="s">
        <v>9167</v>
      </c>
      <c r="L166" s="6"/>
      <c r="M166" s="13" t="s">
        <v>8946</v>
      </c>
      <c r="N166" s="13" t="s">
        <v>8943</v>
      </c>
    </row>
    <row r="167" spans="1:14" ht="80">
      <c r="A167" s="28">
        <v>163</v>
      </c>
      <c r="B167" s="20" t="s">
        <v>230</v>
      </c>
      <c r="C167" s="20" t="s">
        <v>236</v>
      </c>
      <c r="D167" s="21" t="s">
        <v>116</v>
      </c>
      <c r="E167" s="20" t="s">
        <v>237</v>
      </c>
      <c r="F167" s="20" t="s">
        <v>242</v>
      </c>
      <c r="G167" s="20" t="s">
        <v>31</v>
      </c>
      <c r="H167" s="22"/>
      <c r="I167" s="20" t="s">
        <v>8869</v>
      </c>
      <c r="J167" s="20" t="s">
        <v>8999</v>
      </c>
      <c r="K167" s="23" t="s">
        <v>9167</v>
      </c>
      <c r="L167" s="6"/>
      <c r="M167" s="13" t="s">
        <v>8946</v>
      </c>
      <c r="N167" s="13" t="s">
        <v>8943</v>
      </c>
    </row>
    <row r="168" spans="1:14" ht="60">
      <c r="A168" s="20">
        <v>164</v>
      </c>
      <c r="B168" s="20" t="s">
        <v>230</v>
      </c>
      <c r="C168" s="20" t="s">
        <v>236</v>
      </c>
      <c r="D168" s="21" t="s">
        <v>116</v>
      </c>
      <c r="E168" s="28" t="s">
        <v>237</v>
      </c>
      <c r="F168" s="100" t="s">
        <v>243</v>
      </c>
      <c r="G168" s="20" t="s">
        <v>31</v>
      </c>
      <c r="H168" s="22"/>
      <c r="I168" s="20" t="s">
        <v>8869</v>
      </c>
      <c r="J168" s="20" t="s">
        <v>9002</v>
      </c>
      <c r="K168" s="23" t="s">
        <v>9167</v>
      </c>
      <c r="L168" s="6"/>
      <c r="M168" s="13" t="s">
        <v>8969</v>
      </c>
      <c r="N168" s="13" t="s">
        <v>8943</v>
      </c>
    </row>
    <row r="169" spans="1:14" ht="60">
      <c r="A169" s="28">
        <v>165</v>
      </c>
      <c r="B169" s="20" t="s">
        <v>230</v>
      </c>
      <c r="C169" s="20" t="s">
        <v>236</v>
      </c>
      <c r="D169" s="21" t="s">
        <v>116</v>
      </c>
      <c r="E169" s="20" t="s">
        <v>237</v>
      </c>
      <c r="F169" s="37" t="s">
        <v>244</v>
      </c>
      <c r="G169" s="20" t="s">
        <v>31</v>
      </c>
      <c r="H169" s="22"/>
      <c r="I169" s="20" t="s">
        <v>8869</v>
      </c>
      <c r="J169" s="20" t="s">
        <v>9002</v>
      </c>
      <c r="K169" s="23" t="s">
        <v>9167</v>
      </c>
      <c r="L169" s="6"/>
      <c r="M169" s="13" t="s">
        <v>8969</v>
      </c>
      <c r="N169" s="13" t="s">
        <v>8943</v>
      </c>
    </row>
    <row r="170" spans="1:14" ht="40">
      <c r="A170" s="20">
        <v>166</v>
      </c>
      <c r="B170" s="20" t="s">
        <v>230</v>
      </c>
      <c r="C170" s="20" t="s">
        <v>245</v>
      </c>
      <c r="D170" s="21" t="s">
        <v>116</v>
      </c>
      <c r="E170" s="20" t="s">
        <v>246</v>
      </c>
      <c r="F170" s="20" t="s">
        <v>8909</v>
      </c>
      <c r="G170" s="20" t="s">
        <v>31</v>
      </c>
      <c r="H170" s="22"/>
      <c r="I170" s="20" t="s">
        <v>8869</v>
      </c>
      <c r="J170" s="20" t="s">
        <v>9003</v>
      </c>
      <c r="K170" s="23" t="s">
        <v>9167</v>
      </c>
      <c r="L170" s="6"/>
      <c r="M170" s="13" t="s">
        <v>8969</v>
      </c>
      <c r="N170" s="13" t="s">
        <v>8943</v>
      </c>
    </row>
    <row r="171" spans="1:14" ht="60">
      <c r="A171" s="28">
        <v>167</v>
      </c>
      <c r="B171" s="20" t="s">
        <v>230</v>
      </c>
      <c r="C171" s="20" t="s">
        <v>245</v>
      </c>
      <c r="D171" s="21" t="s">
        <v>116</v>
      </c>
      <c r="E171" s="20" t="s">
        <v>246</v>
      </c>
      <c r="F171" s="20" t="s">
        <v>247</v>
      </c>
      <c r="G171" s="20" t="s">
        <v>31</v>
      </c>
      <c r="H171" s="22"/>
      <c r="I171" s="20" t="s">
        <v>8869</v>
      </c>
      <c r="J171" s="20" t="s">
        <v>8908</v>
      </c>
      <c r="K171" s="23" t="s">
        <v>9167</v>
      </c>
      <c r="L171" s="6"/>
      <c r="M171" s="13" t="s">
        <v>8969</v>
      </c>
      <c r="N171" s="13" t="s">
        <v>8943</v>
      </c>
    </row>
    <row r="172" spans="1:14" ht="40">
      <c r="A172" s="20">
        <v>168</v>
      </c>
      <c r="B172" s="20" t="s">
        <v>230</v>
      </c>
      <c r="C172" s="20" t="s">
        <v>245</v>
      </c>
      <c r="D172" s="21" t="s">
        <v>116</v>
      </c>
      <c r="E172" s="20" t="s">
        <v>246</v>
      </c>
      <c r="F172" s="20" t="s">
        <v>248</v>
      </c>
      <c r="G172" s="20" t="s">
        <v>31</v>
      </c>
      <c r="H172" s="22"/>
      <c r="I172" s="20" t="s">
        <v>8869</v>
      </c>
      <c r="J172" s="20" t="s">
        <v>9004</v>
      </c>
      <c r="K172" s="23" t="s">
        <v>9167</v>
      </c>
      <c r="L172" s="6"/>
      <c r="M172" s="13" t="s">
        <v>8969</v>
      </c>
      <c r="N172" s="13" t="s">
        <v>8943</v>
      </c>
    </row>
    <row r="173" spans="1:14" ht="40">
      <c r="A173" s="28">
        <v>169</v>
      </c>
      <c r="B173" s="20" t="s">
        <v>230</v>
      </c>
      <c r="C173" s="20" t="s">
        <v>245</v>
      </c>
      <c r="D173" s="21" t="s">
        <v>116</v>
      </c>
      <c r="E173" s="20" t="s">
        <v>246</v>
      </c>
      <c r="F173" s="20" t="s">
        <v>9005</v>
      </c>
      <c r="G173" s="20" t="s">
        <v>31</v>
      </c>
      <c r="H173" s="22"/>
      <c r="I173" s="20" t="s">
        <v>8869</v>
      </c>
      <c r="J173" s="20" t="s">
        <v>9220</v>
      </c>
      <c r="K173" s="23" t="s">
        <v>9167</v>
      </c>
      <c r="L173" s="6" t="s">
        <v>9006</v>
      </c>
      <c r="M173" s="13" t="s">
        <v>8969</v>
      </c>
      <c r="N173" s="13" t="s">
        <v>8943</v>
      </c>
    </row>
    <row r="174" spans="1:14" ht="40">
      <c r="A174" s="20">
        <v>170</v>
      </c>
      <c r="B174" s="20" t="s">
        <v>230</v>
      </c>
      <c r="C174" s="20" t="s">
        <v>249</v>
      </c>
      <c r="D174" s="21" t="s">
        <v>116</v>
      </c>
      <c r="E174" s="20" t="s">
        <v>250</v>
      </c>
      <c r="F174" s="20" t="s">
        <v>251</v>
      </c>
      <c r="G174" s="20" t="s">
        <v>31</v>
      </c>
      <c r="H174" s="22"/>
      <c r="I174" s="20" t="s">
        <v>8869</v>
      </c>
      <c r="J174" s="20" t="s">
        <v>9082</v>
      </c>
      <c r="K174" s="23" t="s">
        <v>9167</v>
      </c>
      <c r="L174" s="6"/>
      <c r="M174" s="13" t="s">
        <v>9113</v>
      </c>
      <c r="N174" s="13" t="s">
        <v>8943</v>
      </c>
    </row>
    <row r="175" spans="1:14" ht="40">
      <c r="A175" s="28">
        <v>171</v>
      </c>
      <c r="B175" s="20" t="s">
        <v>230</v>
      </c>
      <c r="C175" s="20" t="s">
        <v>249</v>
      </c>
      <c r="D175" s="21" t="s">
        <v>116</v>
      </c>
      <c r="E175" s="20" t="s">
        <v>250</v>
      </c>
      <c r="F175" s="20" t="s">
        <v>8910</v>
      </c>
      <c r="G175" s="20" t="s">
        <v>31</v>
      </c>
      <c r="H175" s="22"/>
      <c r="I175" s="20" t="s">
        <v>8869</v>
      </c>
      <c r="J175" s="20" t="s">
        <v>9221</v>
      </c>
      <c r="K175" s="23" t="s">
        <v>9167</v>
      </c>
      <c r="L175" s="6"/>
      <c r="M175" s="13" t="s">
        <v>8971</v>
      </c>
      <c r="N175" s="13" t="s">
        <v>8943</v>
      </c>
    </row>
    <row r="176" spans="1:14" ht="60">
      <c r="A176" s="20">
        <v>172</v>
      </c>
      <c r="B176" s="20" t="s">
        <v>230</v>
      </c>
      <c r="C176" s="20" t="s">
        <v>249</v>
      </c>
      <c r="D176" s="21" t="s">
        <v>116</v>
      </c>
      <c r="E176" s="20" t="s">
        <v>250</v>
      </c>
      <c r="F176" s="20" t="s">
        <v>252</v>
      </c>
      <c r="G176" s="20" t="s">
        <v>31</v>
      </c>
      <c r="H176" s="22"/>
      <c r="I176" s="20" t="s">
        <v>8869</v>
      </c>
      <c r="J176" s="20" t="s">
        <v>9008</v>
      </c>
      <c r="K176" s="23" t="s">
        <v>9167</v>
      </c>
      <c r="L176" s="6"/>
      <c r="M176" s="13" t="s">
        <v>8969</v>
      </c>
      <c r="N176" s="13" t="s">
        <v>8943</v>
      </c>
    </row>
    <row r="177" spans="1:14" ht="200">
      <c r="A177" s="28">
        <v>173</v>
      </c>
      <c r="B177" s="20" t="s">
        <v>230</v>
      </c>
      <c r="C177" s="20" t="s">
        <v>253</v>
      </c>
      <c r="D177" s="21" t="s">
        <v>116</v>
      </c>
      <c r="E177" s="20" t="s">
        <v>9043</v>
      </c>
      <c r="F177" s="103" t="s">
        <v>8911</v>
      </c>
      <c r="G177" s="20" t="s">
        <v>31</v>
      </c>
      <c r="H177" s="22"/>
      <c r="I177" s="20" t="s">
        <v>8869</v>
      </c>
      <c r="J177" s="20" t="s">
        <v>9097</v>
      </c>
      <c r="K177" s="23" t="s">
        <v>9167</v>
      </c>
      <c r="L177" s="6" t="s">
        <v>9065</v>
      </c>
      <c r="M177" s="13" t="s">
        <v>8951</v>
      </c>
      <c r="N177" s="13" t="s">
        <v>8943</v>
      </c>
    </row>
    <row r="178" spans="1:14" ht="100">
      <c r="A178" s="20">
        <v>174</v>
      </c>
      <c r="B178" s="20" t="s">
        <v>230</v>
      </c>
      <c r="C178" s="20" t="s">
        <v>253</v>
      </c>
      <c r="D178" s="21" t="s">
        <v>116</v>
      </c>
      <c r="E178" s="20" t="s">
        <v>254</v>
      </c>
      <c r="F178" s="103" t="s">
        <v>8912</v>
      </c>
      <c r="G178" s="20" t="s">
        <v>31</v>
      </c>
      <c r="H178" s="22"/>
      <c r="I178" s="20" t="s">
        <v>8869</v>
      </c>
      <c r="J178" s="20" t="s">
        <v>9087</v>
      </c>
      <c r="K178" s="23" t="s">
        <v>9167</v>
      </c>
      <c r="L178" s="6"/>
      <c r="M178" s="13" t="s">
        <v>8951</v>
      </c>
      <c r="N178" s="13" t="s">
        <v>8943</v>
      </c>
    </row>
    <row r="179" spans="1:14" ht="60">
      <c r="A179" s="28">
        <v>175</v>
      </c>
      <c r="B179" s="20" t="s">
        <v>230</v>
      </c>
      <c r="C179" s="20" t="s">
        <v>253</v>
      </c>
      <c r="D179" s="21" t="s">
        <v>116</v>
      </c>
      <c r="E179" s="20" t="s">
        <v>254</v>
      </c>
      <c r="F179" s="103" t="s">
        <v>255</v>
      </c>
      <c r="G179" s="20" t="s">
        <v>31</v>
      </c>
      <c r="H179" s="22"/>
      <c r="I179" s="20" t="s">
        <v>8869</v>
      </c>
      <c r="J179" s="20" t="s">
        <v>9088</v>
      </c>
      <c r="K179" s="23" t="s">
        <v>9167</v>
      </c>
      <c r="L179" s="6"/>
      <c r="M179" s="13" t="s">
        <v>8946</v>
      </c>
      <c r="N179" s="13" t="s">
        <v>8943</v>
      </c>
    </row>
    <row r="180" spans="1:14" ht="200">
      <c r="A180" s="20">
        <v>176</v>
      </c>
      <c r="B180" s="20" t="s">
        <v>230</v>
      </c>
      <c r="C180" s="20" t="s">
        <v>253</v>
      </c>
      <c r="D180" s="21" t="s">
        <v>116</v>
      </c>
      <c r="E180" s="20" t="s">
        <v>254</v>
      </c>
      <c r="F180" s="103" t="s">
        <v>9095</v>
      </c>
      <c r="G180" s="20" t="s">
        <v>31</v>
      </c>
      <c r="H180" s="22"/>
      <c r="I180" s="20" t="s">
        <v>8866</v>
      </c>
      <c r="J180" s="20" t="s">
        <v>9096</v>
      </c>
      <c r="K180" s="23" t="s">
        <v>9167</v>
      </c>
      <c r="L180" s="6"/>
      <c r="M180" s="13" t="s">
        <v>9114</v>
      </c>
      <c r="N180" s="13" t="s">
        <v>8943</v>
      </c>
    </row>
    <row r="181" spans="1:14" ht="40">
      <c r="A181" s="28">
        <v>177</v>
      </c>
      <c r="B181" s="20" t="s">
        <v>230</v>
      </c>
      <c r="C181" s="20" t="s">
        <v>253</v>
      </c>
      <c r="D181" s="21" t="s">
        <v>116</v>
      </c>
      <c r="E181" s="20" t="s">
        <v>254</v>
      </c>
      <c r="F181" s="103" t="s">
        <v>256</v>
      </c>
      <c r="G181" s="20" t="s">
        <v>31</v>
      </c>
      <c r="H181" s="22"/>
      <c r="I181" s="20" t="s">
        <v>8866</v>
      </c>
      <c r="J181" s="20" t="s">
        <v>9090</v>
      </c>
      <c r="K181" s="23" t="s">
        <v>9167</v>
      </c>
      <c r="L181" s="6"/>
      <c r="M181" s="13" t="s">
        <v>9114</v>
      </c>
      <c r="N181" s="13" t="s">
        <v>8943</v>
      </c>
    </row>
    <row r="182" spans="1:14" s="95" customFormat="1" ht="60">
      <c r="A182" s="92">
        <v>178</v>
      </c>
      <c r="B182" s="90" t="s">
        <v>8816</v>
      </c>
      <c r="C182" s="90" t="s">
        <v>8817</v>
      </c>
      <c r="D182" s="93" t="s">
        <v>116</v>
      </c>
      <c r="E182" s="90" t="s">
        <v>8832</v>
      </c>
      <c r="F182" s="90" t="s">
        <v>8844</v>
      </c>
      <c r="G182" s="90" t="s">
        <v>31</v>
      </c>
      <c r="H182" s="91"/>
      <c r="I182" s="90" t="s">
        <v>8905</v>
      </c>
      <c r="J182" s="90" t="s">
        <v>9081</v>
      </c>
      <c r="K182" s="23" t="s">
        <v>9167</v>
      </c>
      <c r="L182" s="94"/>
      <c r="M182" s="94" t="s">
        <v>8946</v>
      </c>
      <c r="N182" s="13" t="s">
        <v>8942</v>
      </c>
    </row>
    <row r="183" spans="1:14" s="95" customFormat="1" ht="60">
      <c r="A183" s="90">
        <v>179</v>
      </c>
      <c r="B183" s="90" t="s">
        <v>8816</v>
      </c>
      <c r="C183" s="90" t="s">
        <v>8817</v>
      </c>
      <c r="D183" s="93" t="s">
        <v>116</v>
      </c>
      <c r="E183" s="90" t="s">
        <v>8833</v>
      </c>
      <c r="F183" s="90" t="s">
        <v>8845</v>
      </c>
      <c r="G183" s="90" t="s">
        <v>8846</v>
      </c>
      <c r="H183" s="91"/>
      <c r="I183" s="90" t="s">
        <v>8866</v>
      </c>
      <c r="J183" s="90" t="s">
        <v>9083</v>
      </c>
      <c r="K183" s="23" t="s">
        <v>9167</v>
      </c>
      <c r="L183" s="94"/>
      <c r="M183" s="94" t="s">
        <v>8946</v>
      </c>
      <c r="N183" s="13" t="s">
        <v>8942</v>
      </c>
    </row>
    <row r="184" spans="1:14" s="95" customFormat="1" ht="180">
      <c r="A184" s="92">
        <v>180</v>
      </c>
      <c r="B184" s="90" t="s">
        <v>8816</v>
      </c>
      <c r="C184" s="90" t="s">
        <v>8818</v>
      </c>
      <c r="D184" s="93" t="s">
        <v>116</v>
      </c>
      <c r="E184" s="90" t="s">
        <v>8835</v>
      </c>
      <c r="F184" s="90" t="s">
        <v>8849</v>
      </c>
      <c r="G184" s="90" t="s">
        <v>8831</v>
      </c>
      <c r="H184" s="91"/>
      <c r="I184" s="90" t="s">
        <v>8866</v>
      </c>
      <c r="J184" s="90" t="s">
        <v>9222</v>
      </c>
      <c r="K184" s="23" t="s">
        <v>9167</v>
      </c>
      <c r="L184" s="13" t="s">
        <v>9098</v>
      </c>
      <c r="M184" s="94" t="s">
        <v>8947</v>
      </c>
      <c r="N184" s="13" t="s">
        <v>8942</v>
      </c>
    </row>
    <row r="185" spans="1:14" s="95" customFormat="1" ht="20">
      <c r="A185" s="92">
        <v>181</v>
      </c>
      <c r="B185" s="90" t="s">
        <v>8816</v>
      </c>
      <c r="C185" s="90" t="s">
        <v>8819</v>
      </c>
      <c r="D185" s="93" t="s">
        <v>116</v>
      </c>
      <c r="E185" s="90" t="s">
        <v>8838</v>
      </c>
      <c r="F185" s="133" t="s">
        <v>8848</v>
      </c>
      <c r="G185" s="135" t="s">
        <v>8831</v>
      </c>
      <c r="H185" s="91"/>
      <c r="I185" s="90" t="s">
        <v>8866</v>
      </c>
      <c r="J185" s="90" t="s">
        <v>9084</v>
      </c>
      <c r="K185" s="23" t="s">
        <v>9167</v>
      </c>
      <c r="L185" s="94"/>
      <c r="M185" s="94" t="s">
        <v>8946</v>
      </c>
      <c r="N185" s="13" t="s">
        <v>8942</v>
      </c>
    </row>
    <row r="186" spans="1:14" s="95" customFormat="1" ht="20">
      <c r="A186" s="90">
        <v>182</v>
      </c>
      <c r="B186" s="90" t="s">
        <v>8816</v>
      </c>
      <c r="C186" s="90" t="s">
        <v>8820</v>
      </c>
      <c r="D186" s="93" t="s">
        <v>116</v>
      </c>
      <c r="E186" s="90" t="s">
        <v>8839</v>
      </c>
      <c r="F186" s="134"/>
      <c r="G186" s="136"/>
      <c r="H186" s="91"/>
      <c r="I186" s="90" t="s">
        <v>8866</v>
      </c>
      <c r="J186" s="90" t="s">
        <v>9223</v>
      </c>
      <c r="K186" s="23" t="s">
        <v>9167</v>
      </c>
      <c r="L186" s="94"/>
      <c r="M186" s="94" t="s">
        <v>8946</v>
      </c>
      <c r="N186" s="13" t="s">
        <v>8942</v>
      </c>
    </row>
    <row r="187" spans="1:14" s="95" customFormat="1" ht="60">
      <c r="A187" s="92">
        <v>183</v>
      </c>
      <c r="B187" s="90" t="s">
        <v>8816</v>
      </c>
      <c r="C187" s="90" t="s">
        <v>8821</v>
      </c>
      <c r="D187" s="93" t="s">
        <v>116</v>
      </c>
      <c r="E187" s="90" t="s">
        <v>8836</v>
      </c>
      <c r="F187" s="90" t="s">
        <v>8850</v>
      </c>
      <c r="G187" s="90" t="s">
        <v>8831</v>
      </c>
      <c r="H187" s="91"/>
      <c r="I187" s="90" t="s">
        <v>8866</v>
      </c>
      <c r="J187" s="90" t="s">
        <v>8997</v>
      </c>
      <c r="K187" s="23" t="s">
        <v>9167</v>
      </c>
      <c r="L187" s="94" t="s">
        <v>8993</v>
      </c>
      <c r="M187" s="94" t="s">
        <v>8946</v>
      </c>
      <c r="N187" s="13" t="s">
        <v>8942</v>
      </c>
    </row>
    <row r="188" spans="1:14" s="95" customFormat="1" ht="60">
      <c r="A188" s="92">
        <v>184</v>
      </c>
      <c r="B188" s="90" t="s">
        <v>8816</v>
      </c>
      <c r="C188" s="96" t="s">
        <v>8840</v>
      </c>
      <c r="D188" s="93" t="s">
        <v>116</v>
      </c>
      <c r="E188" s="90" t="s">
        <v>8837</v>
      </c>
      <c r="F188" s="90" t="s">
        <v>8851</v>
      </c>
      <c r="G188" s="90" t="s">
        <v>8831</v>
      </c>
      <c r="H188" s="91"/>
      <c r="I188" s="90" t="s">
        <v>8866</v>
      </c>
      <c r="J188" s="90" t="s">
        <v>8998</v>
      </c>
      <c r="K188" s="23" t="s">
        <v>9167</v>
      </c>
      <c r="L188" s="94"/>
      <c r="M188" s="94" t="s">
        <v>8946</v>
      </c>
      <c r="N188" s="13" t="s">
        <v>8942</v>
      </c>
    </row>
    <row r="189" spans="1:14" s="95" customFormat="1" ht="60">
      <c r="A189" s="90">
        <v>185</v>
      </c>
      <c r="B189" s="90" t="s">
        <v>8816</v>
      </c>
      <c r="C189" s="96" t="s">
        <v>8840</v>
      </c>
      <c r="D189" s="93" t="s">
        <v>116</v>
      </c>
      <c r="E189" s="90" t="s">
        <v>8834</v>
      </c>
      <c r="F189" s="90" t="s">
        <v>8847</v>
      </c>
      <c r="G189" s="90" t="s">
        <v>8831</v>
      </c>
      <c r="H189" s="91"/>
      <c r="I189" s="90" t="s">
        <v>8866</v>
      </c>
      <c r="J189" s="90" t="s">
        <v>8906</v>
      </c>
      <c r="K189" s="23" t="s">
        <v>9167</v>
      </c>
      <c r="L189" s="94"/>
      <c r="M189" s="94" t="s">
        <v>8946</v>
      </c>
      <c r="N189" s="13" t="s">
        <v>8942</v>
      </c>
    </row>
    <row r="190" spans="1:14" s="95" customFormat="1" ht="40">
      <c r="A190" s="92">
        <v>186</v>
      </c>
      <c r="B190" s="90" t="s">
        <v>8816</v>
      </c>
      <c r="C190" s="90" t="s">
        <v>8822</v>
      </c>
      <c r="D190" s="93" t="s">
        <v>116</v>
      </c>
      <c r="E190" s="90" t="s">
        <v>8841</v>
      </c>
      <c r="F190" s="90" t="s">
        <v>8852</v>
      </c>
      <c r="G190" s="90" t="s">
        <v>8831</v>
      </c>
      <c r="H190" s="91"/>
      <c r="I190" s="90" t="s">
        <v>8866</v>
      </c>
      <c r="J190" s="90" t="s">
        <v>8907</v>
      </c>
      <c r="K190" s="23" t="s">
        <v>9167</v>
      </c>
      <c r="L190" s="94"/>
      <c r="M190" s="94" t="s">
        <v>8946</v>
      </c>
      <c r="N190" s="13" t="s">
        <v>8942</v>
      </c>
    </row>
    <row r="191" spans="1:14" s="95" customFormat="1" ht="72">
      <c r="A191" s="92">
        <v>187</v>
      </c>
      <c r="B191" s="90" t="s">
        <v>8816</v>
      </c>
      <c r="C191" s="90" t="s">
        <v>8822</v>
      </c>
      <c r="D191" s="93" t="s">
        <v>116</v>
      </c>
      <c r="E191" s="90" t="s">
        <v>8842</v>
      </c>
      <c r="F191" s="90" t="s">
        <v>8853</v>
      </c>
      <c r="G191" s="90" t="s">
        <v>8846</v>
      </c>
      <c r="H191" s="91"/>
      <c r="I191" s="90" t="s">
        <v>8866</v>
      </c>
      <c r="J191" s="90" t="s">
        <v>9085</v>
      </c>
      <c r="K191" s="23" t="s">
        <v>9167</v>
      </c>
      <c r="L191" s="94" t="s">
        <v>9086</v>
      </c>
      <c r="M191" s="94" t="s">
        <v>8946</v>
      </c>
      <c r="N191" s="13" t="s">
        <v>8942</v>
      </c>
    </row>
    <row r="192" spans="1:14" s="95" customFormat="1" ht="80">
      <c r="A192" s="90">
        <v>188</v>
      </c>
      <c r="B192" s="90" t="s">
        <v>8816</v>
      </c>
      <c r="C192" s="90" t="s">
        <v>8822</v>
      </c>
      <c r="D192" s="93" t="s">
        <v>116</v>
      </c>
      <c r="E192" s="90" t="s">
        <v>8843</v>
      </c>
      <c r="F192" s="90" t="s">
        <v>8854</v>
      </c>
      <c r="G192" s="90" t="s">
        <v>8831</v>
      </c>
      <c r="H192" s="91"/>
      <c r="I192" s="90" t="s">
        <v>8866</v>
      </c>
      <c r="J192" s="90" t="s">
        <v>9224</v>
      </c>
      <c r="K192" s="23" t="s">
        <v>9167</v>
      </c>
      <c r="L192" s="94"/>
      <c r="M192" s="94" t="s">
        <v>8951</v>
      </c>
      <c r="N192" s="13" t="s">
        <v>8942</v>
      </c>
    </row>
    <row r="193" spans="1:15" s="95" customFormat="1" ht="120">
      <c r="A193" s="92">
        <v>189</v>
      </c>
      <c r="B193" s="90" t="s">
        <v>8816</v>
      </c>
      <c r="C193" s="90" t="s">
        <v>8823</v>
      </c>
      <c r="D193" s="93" t="s">
        <v>116</v>
      </c>
      <c r="E193" s="90" t="s">
        <v>8855</v>
      </c>
      <c r="F193" s="90" t="s">
        <v>8857</v>
      </c>
      <c r="G193" s="90" t="s">
        <v>8831</v>
      </c>
      <c r="H193" s="91"/>
      <c r="I193" s="90" t="s">
        <v>8866</v>
      </c>
      <c r="J193" s="90" t="s">
        <v>9225</v>
      </c>
      <c r="K193" s="23" t="s">
        <v>9167</v>
      </c>
      <c r="L193" s="94" t="s">
        <v>9105</v>
      </c>
      <c r="M193" s="94" t="s">
        <v>8996</v>
      </c>
      <c r="N193" s="13" t="s">
        <v>8942</v>
      </c>
    </row>
    <row r="194" spans="1:15" s="95" customFormat="1" ht="60">
      <c r="A194" s="92">
        <v>190</v>
      </c>
      <c r="B194" s="90" t="s">
        <v>8816</v>
      </c>
      <c r="C194" s="90" t="s">
        <v>8823</v>
      </c>
      <c r="D194" s="93" t="s">
        <v>116</v>
      </c>
      <c r="E194" s="90" t="s">
        <v>8856</v>
      </c>
      <c r="F194" s="90" t="s">
        <v>8858</v>
      </c>
      <c r="G194" s="90" t="s">
        <v>8831</v>
      </c>
      <c r="H194" s="91"/>
      <c r="I194" s="90" t="s">
        <v>8866</v>
      </c>
      <c r="J194" s="90" t="s">
        <v>9089</v>
      </c>
      <c r="K194" s="23" t="s">
        <v>9167</v>
      </c>
      <c r="L194" s="94"/>
      <c r="M194" s="94" t="s">
        <v>8946</v>
      </c>
      <c r="N194" s="13" t="s">
        <v>8942</v>
      </c>
    </row>
    <row r="195" spans="1:15" s="95" customFormat="1" ht="60">
      <c r="A195" s="90">
        <v>191</v>
      </c>
      <c r="B195" s="90" t="s">
        <v>8816</v>
      </c>
      <c r="C195" s="96" t="s">
        <v>8859</v>
      </c>
      <c r="D195" s="93" t="s">
        <v>116</v>
      </c>
      <c r="E195" s="90" t="s">
        <v>8860</v>
      </c>
      <c r="F195" s="90" t="s">
        <v>8862</v>
      </c>
      <c r="G195" s="90" t="s">
        <v>8831</v>
      </c>
      <c r="H195" s="91"/>
      <c r="I195" s="90" t="s">
        <v>8868</v>
      </c>
      <c r="J195" s="90" t="s">
        <v>9226</v>
      </c>
      <c r="K195" s="122" t="s">
        <v>9167</v>
      </c>
      <c r="L195" s="94"/>
      <c r="M195" s="94"/>
      <c r="N195" s="13" t="s">
        <v>8942</v>
      </c>
      <c r="O195" s="95" t="s">
        <v>9167</v>
      </c>
    </row>
    <row r="196" spans="1:15" s="95" customFormat="1" ht="60">
      <c r="A196" s="92">
        <v>192</v>
      </c>
      <c r="B196" s="90" t="s">
        <v>8816</v>
      </c>
      <c r="C196" s="96" t="s">
        <v>8859</v>
      </c>
      <c r="D196" s="93" t="s">
        <v>116</v>
      </c>
      <c r="E196" s="90" t="s">
        <v>8861</v>
      </c>
      <c r="F196" s="90" t="s">
        <v>8863</v>
      </c>
      <c r="G196" s="90" t="s">
        <v>8831</v>
      </c>
      <c r="H196" s="91"/>
      <c r="I196" s="90" t="s">
        <v>8866</v>
      </c>
      <c r="J196" s="90" t="s">
        <v>8994</v>
      </c>
      <c r="K196" s="23" t="s">
        <v>9167</v>
      </c>
      <c r="L196" s="94"/>
      <c r="M196" s="94" t="s">
        <v>8946</v>
      </c>
      <c r="N196" s="13" t="s">
        <v>8942</v>
      </c>
    </row>
    <row r="197" spans="1:15" s="95" customFormat="1" ht="60">
      <c r="A197" s="92">
        <v>193</v>
      </c>
      <c r="B197" s="90" t="s">
        <v>8816</v>
      </c>
      <c r="C197" s="96" t="s">
        <v>8824</v>
      </c>
      <c r="D197" s="93" t="s">
        <v>116</v>
      </c>
      <c r="E197" s="90" t="s">
        <v>8825</v>
      </c>
      <c r="F197" s="90" t="s">
        <v>8828</v>
      </c>
      <c r="G197" s="90" t="s">
        <v>8831</v>
      </c>
      <c r="H197" s="91"/>
      <c r="I197" s="90" t="s">
        <v>8866</v>
      </c>
      <c r="J197" s="90" t="s">
        <v>8995</v>
      </c>
      <c r="K197" s="23" t="s">
        <v>9167</v>
      </c>
      <c r="L197" s="94"/>
      <c r="M197" s="94" t="s">
        <v>8946</v>
      </c>
      <c r="N197" s="13" t="s">
        <v>8942</v>
      </c>
    </row>
    <row r="198" spans="1:15" s="95" customFormat="1" ht="60">
      <c r="A198" s="90">
        <v>194</v>
      </c>
      <c r="B198" s="90" t="s">
        <v>8816</v>
      </c>
      <c r="C198" s="96" t="s">
        <v>8824</v>
      </c>
      <c r="D198" s="93" t="s">
        <v>116</v>
      </c>
      <c r="E198" s="90" t="s">
        <v>8826</v>
      </c>
      <c r="F198" s="90" t="s">
        <v>8829</v>
      </c>
      <c r="G198" s="90" t="s">
        <v>8831</v>
      </c>
      <c r="H198" s="91"/>
      <c r="I198" s="90" t="s">
        <v>8866</v>
      </c>
      <c r="J198" s="90" t="s">
        <v>8989</v>
      </c>
      <c r="K198" s="23" t="s">
        <v>9167</v>
      </c>
      <c r="L198" s="94" t="s">
        <v>8993</v>
      </c>
      <c r="M198" s="94" t="s">
        <v>8946</v>
      </c>
      <c r="N198" s="13" t="s">
        <v>8942</v>
      </c>
    </row>
    <row r="199" spans="1:15" s="95" customFormat="1" ht="60">
      <c r="A199" s="92">
        <v>195</v>
      </c>
      <c r="B199" s="90" t="s">
        <v>8816</v>
      </c>
      <c r="C199" s="96" t="s">
        <v>8824</v>
      </c>
      <c r="D199" s="93" t="s">
        <v>116</v>
      </c>
      <c r="E199" s="90" t="s">
        <v>8827</v>
      </c>
      <c r="F199" s="90" t="s">
        <v>8830</v>
      </c>
      <c r="G199" s="90" t="s">
        <v>8831</v>
      </c>
      <c r="H199" s="91"/>
      <c r="I199" s="90" t="s">
        <v>8866</v>
      </c>
      <c r="J199" s="90" t="s">
        <v>8991</v>
      </c>
      <c r="K199" s="23" t="s">
        <v>9167</v>
      </c>
      <c r="L199" s="94" t="s">
        <v>8992</v>
      </c>
      <c r="M199" s="94" t="s">
        <v>8946</v>
      </c>
      <c r="N199" s="13" t="s">
        <v>8942</v>
      </c>
    </row>
    <row r="200" spans="1:15" s="95" customFormat="1" ht="19">
      <c r="A200" s="94"/>
      <c r="B200" s="94"/>
      <c r="C200" s="94"/>
      <c r="D200" s="97"/>
      <c r="E200" s="98"/>
      <c r="F200" s="98"/>
      <c r="G200" s="94"/>
      <c r="H200" s="99"/>
      <c r="I200" s="94"/>
      <c r="J200" s="94"/>
      <c r="K200" s="123"/>
      <c r="L200" s="106"/>
      <c r="M200" s="94"/>
      <c r="N200" s="94"/>
    </row>
  </sheetData>
  <autoFilter ref="A4:O199" xr:uid="{00000000-0001-0000-0100-000000000000}"/>
  <mergeCells count="4">
    <mergeCell ref="A3:H3"/>
    <mergeCell ref="I3:K3"/>
    <mergeCell ref="F185:F186"/>
    <mergeCell ref="G185:G186"/>
  </mergeCells>
  <phoneticPr fontId="31"/>
  <dataValidations count="1">
    <dataValidation type="list" allowBlank="1" showErrorMessage="1" sqref="I5:I199" xr:uid="{00000000-0002-0000-0100-000000000000}">
      <formula1>"標準,アドオン・カスタマイズ,不可"</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V1158"/>
  <sheetViews>
    <sheetView workbookViewId="0">
      <pane xSplit="7" ySplit="2" topLeftCell="H3" activePane="bottomRight" state="frozen"/>
      <selection pane="topRight" activeCell="H1" sqref="H1"/>
      <selection pane="bottomLeft" activeCell="A3" sqref="A3"/>
      <selection pane="bottomRight" activeCell="H3" sqref="H3"/>
    </sheetView>
  </sheetViews>
  <sheetFormatPr baseColWidth="10" defaultColWidth="14.5" defaultRowHeight="15" customHeight="1"/>
  <cols>
    <col min="1" max="1" width="7.1640625" customWidth="1"/>
    <col min="2" max="3" width="20.6640625" customWidth="1"/>
    <col min="4" max="4" width="29.5" customWidth="1"/>
    <col min="5" max="5" width="15.83203125" customWidth="1"/>
    <col min="6" max="6" width="41" customWidth="1"/>
    <col min="7" max="7" width="50.5" customWidth="1"/>
    <col min="8" max="9" width="11.83203125" customWidth="1"/>
    <col min="10" max="14" width="11.5" customWidth="1"/>
    <col min="15" max="15" width="9.1640625" customWidth="1"/>
    <col min="16" max="16" width="11.83203125" customWidth="1"/>
    <col min="17" max="17" width="10.33203125" customWidth="1"/>
    <col min="18" max="18" width="17.83203125" customWidth="1"/>
    <col min="19" max="19" width="13.33203125" customWidth="1"/>
    <col min="20" max="24" width="16.1640625" customWidth="1"/>
    <col min="25" max="27" width="13.5" customWidth="1"/>
    <col min="28" max="28" width="17.5" customWidth="1"/>
    <col min="29" max="29" width="9.6640625" customWidth="1"/>
    <col min="30" max="30" width="62.83203125" hidden="1" customWidth="1"/>
    <col min="31" max="31" width="13.83203125" hidden="1" customWidth="1"/>
    <col min="32" max="32" width="39" hidden="1" customWidth="1"/>
    <col min="33" max="33" width="14" hidden="1" customWidth="1"/>
    <col min="34" max="34" width="41" hidden="1" customWidth="1"/>
    <col min="35" max="36" width="9" hidden="1" customWidth="1"/>
    <col min="37" max="37" width="9" customWidth="1"/>
    <col min="38" max="38" width="17.1640625" hidden="1" customWidth="1"/>
    <col min="39" max="39" width="9" hidden="1" customWidth="1"/>
    <col min="40" max="40" width="19.1640625" hidden="1" customWidth="1"/>
    <col min="41" max="41" width="35.83203125" hidden="1" customWidth="1"/>
    <col min="42" max="42" width="9.83203125" hidden="1" customWidth="1"/>
    <col min="43" max="43" width="40.5" hidden="1" customWidth="1"/>
    <col min="44" max="44" width="13" hidden="1" customWidth="1"/>
    <col min="45" max="45" width="30.5" hidden="1" customWidth="1"/>
    <col min="46" max="46" width="11.83203125" hidden="1" customWidth="1"/>
    <col min="47" max="47" width="40.5" hidden="1" customWidth="1"/>
    <col min="48" max="48" width="10.5" hidden="1" customWidth="1"/>
  </cols>
  <sheetData>
    <row r="1" spans="1:48" ht="16.5" customHeight="1">
      <c r="A1" s="38" t="s">
        <v>257</v>
      </c>
      <c r="B1" s="137" t="s">
        <v>258</v>
      </c>
      <c r="C1" s="128"/>
      <c r="D1" s="129"/>
      <c r="E1" s="38" t="s">
        <v>259</v>
      </c>
      <c r="F1" s="38" t="s">
        <v>260</v>
      </c>
      <c r="G1" s="38" t="s">
        <v>261</v>
      </c>
      <c r="H1" s="38" t="s">
        <v>262</v>
      </c>
      <c r="I1" s="38" t="s">
        <v>263</v>
      </c>
      <c r="J1" s="137" t="s">
        <v>264</v>
      </c>
      <c r="K1" s="128"/>
      <c r="L1" s="128"/>
      <c r="M1" s="128"/>
      <c r="N1" s="129"/>
      <c r="O1" s="38" t="s">
        <v>265</v>
      </c>
      <c r="P1" s="38" t="s">
        <v>266</v>
      </c>
      <c r="Q1" s="39" t="s">
        <v>267</v>
      </c>
      <c r="R1" s="137" t="s">
        <v>268</v>
      </c>
      <c r="S1" s="128"/>
      <c r="T1" s="128"/>
      <c r="U1" s="128"/>
      <c r="V1" s="128"/>
      <c r="W1" s="128"/>
      <c r="X1" s="128"/>
      <c r="Y1" s="128"/>
      <c r="Z1" s="128"/>
      <c r="AA1" s="129"/>
      <c r="AB1" s="38" t="s">
        <v>269</v>
      </c>
      <c r="AC1" s="38" t="s">
        <v>270</v>
      </c>
      <c r="AD1" s="40"/>
      <c r="AE1" s="41" t="s">
        <v>271</v>
      </c>
      <c r="AF1" s="42"/>
      <c r="AG1" s="42"/>
      <c r="AH1" s="42"/>
      <c r="AI1" s="42"/>
      <c r="AJ1" s="42"/>
      <c r="AK1" s="42"/>
      <c r="AL1" s="42"/>
      <c r="AM1" s="42"/>
      <c r="AN1" s="42"/>
      <c r="AO1" s="42"/>
      <c r="AP1" s="42"/>
      <c r="AQ1" s="42"/>
      <c r="AR1" s="42"/>
      <c r="AS1" s="42"/>
      <c r="AT1" s="42"/>
      <c r="AU1" s="42"/>
      <c r="AV1" s="42"/>
    </row>
    <row r="2" spans="1:48" ht="16.5" customHeight="1">
      <c r="A2" s="38"/>
      <c r="B2" s="38" t="s">
        <v>272</v>
      </c>
      <c r="C2" s="38" t="s">
        <v>273</v>
      </c>
      <c r="D2" s="38" t="s">
        <v>274</v>
      </c>
      <c r="E2" s="43"/>
      <c r="F2" s="43"/>
      <c r="G2" s="43"/>
      <c r="H2" s="43"/>
      <c r="I2" s="43"/>
      <c r="J2" s="43" t="s">
        <v>275</v>
      </c>
      <c r="K2" s="43" t="s">
        <v>276</v>
      </c>
      <c r="L2" s="43" t="s">
        <v>277</v>
      </c>
      <c r="M2" s="43" t="s">
        <v>278</v>
      </c>
      <c r="N2" s="43" t="s">
        <v>279</v>
      </c>
      <c r="O2" s="43"/>
      <c r="P2" s="43"/>
      <c r="Q2" s="39"/>
      <c r="R2" s="38" t="s">
        <v>280</v>
      </c>
      <c r="S2" s="38" t="s">
        <v>281</v>
      </c>
      <c r="T2" s="38" t="s">
        <v>282</v>
      </c>
      <c r="U2" s="38" t="s">
        <v>283</v>
      </c>
      <c r="V2" s="38" t="s">
        <v>284</v>
      </c>
      <c r="W2" s="38" t="s">
        <v>285</v>
      </c>
      <c r="X2" s="38" t="s">
        <v>286</v>
      </c>
      <c r="Y2" s="38" t="s">
        <v>287</v>
      </c>
      <c r="Z2" s="38" t="s">
        <v>288</v>
      </c>
      <c r="AA2" s="38" t="s">
        <v>289</v>
      </c>
      <c r="AB2" s="38"/>
      <c r="AC2" s="38"/>
      <c r="AD2" s="40" t="s">
        <v>290</v>
      </c>
      <c r="AE2" s="41"/>
      <c r="AF2" s="42"/>
      <c r="AG2" s="42"/>
      <c r="AH2" s="42"/>
      <c r="AI2" s="42"/>
      <c r="AJ2" s="42"/>
      <c r="AK2" s="42"/>
      <c r="AL2" s="42" t="s">
        <v>291</v>
      </c>
      <c r="AM2" s="42"/>
      <c r="AN2" s="42"/>
      <c r="AO2" s="42" t="s">
        <v>281</v>
      </c>
      <c r="AP2" s="42"/>
      <c r="AQ2" s="42"/>
      <c r="AR2" s="42"/>
      <c r="AS2" s="42" t="s">
        <v>283</v>
      </c>
      <c r="AT2" s="42"/>
      <c r="AU2" s="42"/>
      <c r="AV2" s="42"/>
    </row>
    <row r="3" spans="1:48" ht="18" customHeight="1">
      <c r="A3" s="44">
        <v>1</v>
      </c>
      <c r="B3" s="45" t="s">
        <v>292</v>
      </c>
      <c r="C3" s="45" t="s">
        <v>293</v>
      </c>
      <c r="D3" s="46" t="s">
        <v>116</v>
      </c>
      <c r="E3" s="44" t="s">
        <v>294</v>
      </c>
      <c r="F3" s="44" t="s">
        <v>295</v>
      </c>
      <c r="G3" s="44"/>
      <c r="H3" s="44"/>
      <c r="I3" s="44"/>
      <c r="J3" s="47" t="s">
        <v>35</v>
      </c>
      <c r="K3" s="47"/>
      <c r="L3" s="47"/>
      <c r="M3" s="47"/>
      <c r="N3" s="47"/>
      <c r="O3" s="44"/>
      <c r="P3" s="44"/>
      <c r="Q3" s="48">
        <f>VLOOKUP(E3,sheet1!$B$2:$D$3209,3,FALSE)</f>
        <v>1808</v>
      </c>
      <c r="R3" s="47" t="s">
        <v>35</v>
      </c>
      <c r="S3" s="47" t="s">
        <v>35</v>
      </c>
      <c r="T3" s="47" t="s">
        <v>35</v>
      </c>
      <c r="U3" s="47" t="s">
        <v>35</v>
      </c>
      <c r="V3" s="47" t="s">
        <v>35</v>
      </c>
      <c r="W3" s="47" t="s">
        <v>296</v>
      </c>
      <c r="X3" s="47" t="s">
        <v>296</v>
      </c>
      <c r="Y3" s="47" t="s">
        <v>296</v>
      </c>
      <c r="Z3" s="47"/>
      <c r="AA3" s="47" t="s">
        <v>296</v>
      </c>
      <c r="AB3" s="47" t="s">
        <v>35</v>
      </c>
      <c r="AC3" s="47" t="s">
        <v>35</v>
      </c>
      <c r="AD3" s="49" t="str">
        <f>VLOOKUP(E3,sheet1!$B$2:$C$3209,2,FALSE)</f>
        <v>与信マスターメンテナンス</v>
      </c>
      <c r="AE3" s="44" t="s">
        <v>35</v>
      </c>
      <c r="AF3" s="50" t="s">
        <v>297</v>
      </c>
      <c r="AG3" s="50" t="s">
        <v>294</v>
      </c>
      <c r="AH3" s="49" t="str">
        <f t="shared" ref="AH3:AH213" si="0">MID(AF3,4,100)</f>
        <v>与信マスター</v>
      </c>
      <c r="AI3" s="49"/>
      <c r="AJ3" s="49"/>
      <c r="AK3" s="49"/>
      <c r="AL3" s="49"/>
      <c r="AM3" s="49"/>
      <c r="AN3" s="49"/>
      <c r="AO3" s="51" t="str">
        <f t="shared" ref="AO3:AO257" si="1">TRIM(MIDB(AQ3,4,99))</f>
        <v>与信マスター</v>
      </c>
      <c r="AP3" s="51" t="str">
        <f t="shared" ref="AP3:AP215" si="2">TRIM(AR3)</f>
        <v>SA0050</v>
      </c>
      <c r="AQ3" s="51" t="s">
        <v>297</v>
      </c>
      <c r="AR3" s="51" t="s">
        <v>294</v>
      </c>
      <c r="AS3" s="49" t="str">
        <f t="shared" ref="AS3:AS257" si="3">TRIM(MID(AU3,4,99))</f>
        <v>与信マスター</v>
      </c>
      <c r="AT3" s="49" t="str">
        <f t="shared" ref="AT3:AT257" si="4">TRIM(AV3)</f>
        <v>SA0050</v>
      </c>
      <c r="AU3" s="51" t="s">
        <v>297</v>
      </c>
      <c r="AV3" s="51" t="s">
        <v>294</v>
      </c>
    </row>
    <row r="4" spans="1:48" ht="18" customHeight="1">
      <c r="A4" s="44">
        <v>2</v>
      </c>
      <c r="B4" s="52" t="s">
        <v>292</v>
      </c>
      <c r="C4" s="52" t="s">
        <v>293</v>
      </c>
      <c r="D4" s="46" t="s">
        <v>116</v>
      </c>
      <c r="E4" s="44" t="s">
        <v>298</v>
      </c>
      <c r="F4" s="44" t="s">
        <v>299</v>
      </c>
      <c r="G4" s="44"/>
      <c r="H4" s="44"/>
      <c r="I4" s="44"/>
      <c r="J4" s="47" t="s">
        <v>35</v>
      </c>
      <c r="K4" s="47"/>
      <c r="L4" s="47"/>
      <c r="M4" s="47"/>
      <c r="N4" s="47"/>
      <c r="O4" s="44"/>
      <c r="P4" s="44"/>
      <c r="Q4" s="48">
        <f>VLOOKUP(E4,sheet1!$B$2:$D$3209,3,FALSE)</f>
        <v>1222</v>
      </c>
      <c r="R4" s="47" t="s">
        <v>35</v>
      </c>
      <c r="S4" s="47" t="s">
        <v>35</v>
      </c>
      <c r="T4" s="47" t="s">
        <v>35</v>
      </c>
      <c r="U4" s="47" t="s">
        <v>35</v>
      </c>
      <c r="V4" s="47" t="s">
        <v>35</v>
      </c>
      <c r="W4" s="47" t="s">
        <v>296</v>
      </c>
      <c r="X4" s="47" t="s">
        <v>296</v>
      </c>
      <c r="Y4" s="47" t="s">
        <v>296</v>
      </c>
      <c r="Z4" s="47" t="s">
        <v>35</v>
      </c>
      <c r="AA4" s="47" t="s">
        <v>296</v>
      </c>
      <c r="AB4" s="47" t="s">
        <v>35</v>
      </c>
      <c r="AC4" s="47" t="s">
        <v>35</v>
      </c>
      <c r="AD4" s="49" t="str">
        <f>VLOOKUP(E4,sheet1!$B$2:$C$3209,2,FALSE)</f>
        <v>販売価格マスターメンテナンス</v>
      </c>
      <c r="AE4" s="44" t="s">
        <v>35</v>
      </c>
      <c r="AF4" s="50" t="s">
        <v>300</v>
      </c>
      <c r="AG4" s="50" t="s">
        <v>298</v>
      </c>
      <c r="AH4" s="49" t="str">
        <f t="shared" si="0"/>
        <v>販売価格マスター</v>
      </c>
      <c r="AI4" s="49"/>
      <c r="AJ4" s="49"/>
      <c r="AK4" s="49"/>
      <c r="AL4" s="49"/>
      <c r="AM4" s="49"/>
      <c r="AN4" s="49"/>
      <c r="AO4" s="51" t="str">
        <f t="shared" si="1"/>
        <v>販売価格マスター</v>
      </c>
      <c r="AP4" s="51" t="str">
        <f t="shared" si="2"/>
        <v>SA0060</v>
      </c>
      <c r="AQ4" s="51" t="s">
        <v>300</v>
      </c>
      <c r="AR4" s="51" t="s">
        <v>298</v>
      </c>
      <c r="AS4" s="49" t="str">
        <f t="shared" si="3"/>
        <v>販売価格マスター</v>
      </c>
      <c r="AT4" s="49" t="str">
        <f t="shared" si="4"/>
        <v>SA0060</v>
      </c>
      <c r="AU4" s="51" t="s">
        <v>300</v>
      </c>
      <c r="AV4" s="51" t="s">
        <v>298</v>
      </c>
    </row>
    <row r="5" spans="1:48" ht="18" customHeight="1">
      <c r="A5" s="44">
        <v>3</v>
      </c>
      <c r="B5" s="52" t="s">
        <v>292</v>
      </c>
      <c r="C5" s="52" t="s">
        <v>293</v>
      </c>
      <c r="D5" s="46" t="s">
        <v>116</v>
      </c>
      <c r="E5" s="44" t="s">
        <v>301</v>
      </c>
      <c r="F5" s="44" t="s">
        <v>302</v>
      </c>
      <c r="G5" s="44"/>
      <c r="H5" s="44"/>
      <c r="I5" s="44"/>
      <c r="J5" s="47" t="s">
        <v>35</v>
      </c>
      <c r="K5" s="47"/>
      <c r="L5" s="47"/>
      <c r="M5" s="47"/>
      <c r="N5" s="47"/>
      <c r="O5" s="44"/>
      <c r="P5" s="44"/>
      <c r="Q5" s="48">
        <f>VLOOKUP(E5,sheet1!$B$2:$D$3209,3,FALSE)</f>
        <v>872</v>
      </c>
      <c r="R5" s="47" t="s">
        <v>35</v>
      </c>
      <c r="S5" s="47" t="s">
        <v>35</v>
      </c>
      <c r="T5" s="47" t="s">
        <v>35</v>
      </c>
      <c r="U5" s="47" t="s">
        <v>35</v>
      </c>
      <c r="V5" s="47" t="s">
        <v>35</v>
      </c>
      <c r="W5" s="47" t="s">
        <v>296</v>
      </c>
      <c r="X5" s="47" t="s">
        <v>296</v>
      </c>
      <c r="Y5" s="47" t="s">
        <v>296</v>
      </c>
      <c r="Z5" s="47"/>
      <c r="AA5" s="47" t="s">
        <v>296</v>
      </c>
      <c r="AB5" s="47" t="s">
        <v>35</v>
      </c>
      <c r="AC5" s="47" t="s">
        <v>35</v>
      </c>
      <c r="AD5" s="49" t="str">
        <f>VLOOKUP(E5,sheet1!$B$2:$C$3209,2,FALSE)</f>
        <v>値引限度額・率マスターメンテナンス</v>
      </c>
      <c r="AE5" s="49"/>
      <c r="AF5" s="50" t="s">
        <v>303</v>
      </c>
      <c r="AG5" s="50" t="s">
        <v>301</v>
      </c>
      <c r="AH5" s="49" t="str">
        <f t="shared" si="0"/>
        <v>値引限度率マスター</v>
      </c>
      <c r="AI5" s="49"/>
      <c r="AJ5" s="49"/>
      <c r="AK5" s="49"/>
      <c r="AL5" s="49"/>
      <c r="AM5" s="49"/>
      <c r="AN5" s="49"/>
      <c r="AO5" s="51" t="str">
        <f t="shared" si="1"/>
        <v>値引限度率マスター</v>
      </c>
      <c r="AP5" s="51" t="str">
        <f t="shared" si="2"/>
        <v>SA0120</v>
      </c>
      <c r="AQ5" s="51" t="s">
        <v>303</v>
      </c>
      <c r="AR5" s="51" t="s">
        <v>301</v>
      </c>
      <c r="AS5" s="49" t="str">
        <f t="shared" si="3"/>
        <v>値引限度率マスター</v>
      </c>
      <c r="AT5" s="49" t="str">
        <f t="shared" si="4"/>
        <v>SA0120</v>
      </c>
      <c r="AU5" s="51" t="s">
        <v>303</v>
      </c>
      <c r="AV5" s="51" t="s">
        <v>301</v>
      </c>
    </row>
    <row r="6" spans="1:48" ht="18" customHeight="1">
      <c r="A6" s="44">
        <v>4</v>
      </c>
      <c r="B6" s="52" t="s">
        <v>292</v>
      </c>
      <c r="C6" s="52" t="s">
        <v>293</v>
      </c>
      <c r="D6" s="46" t="s">
        <v>116</v>
      </c>
      <c r="E6" s="44" t="s">
        <v>304</v>
      </c>
      <c r="F6" s="44" t="s">
        <v>305</v>
      </c>
      <c r="G6" s="44"/>
      <c r="H6" s="44"/>
      <c r="I6" s="44"/>
      <c r="J6" s="47" t="s">
        <v>35</v>
      </c>
      <c r="K6" s="47"/>
      <c r="L6" s="47"/>
      <c r="M6" s="47"/>
      <c r="N6" s="47"/>
      <c r="O6" s="44"/>
      <c r="P6" s="44"/>
      <c r="Q6" s="48">
        <f>VLOOKUP(E6,sheet1!$B$2:$D$3209,3,FALSE)</f>
        <v>471</v>
      </c>
      <c r="R6" s="47" t="s">
        <v>35</v>
      </c>
      <c r="S6" s="47" t="s">
        <v>35</v>
      </c>
      <c r="T6" s="47" t="s">
        <v>35</v>
      </c>
      <c r="U6" s="47" t="s">
        <v>35</v>
      </c>
      <c r="V6" s="47" t="s">
        <v>35</v>
      </c>
      <c r="W6" s="47" t="s">
        <v>296</v>
      </c>
      <c r="X6" s="47" t="s">
        <v>296</v>
      </c>
      <c r="Y6" s="47" t="s">
        <v>296</v>
      </c>
      <c r="Z6" s="47"/>
      <c r="AA6" s="47" t="s">
        <v>296</v>
      </c>
      <c r="AB6" s="47" t="s">
        <v>35</v>
      </c>
      <c r="AC6" s="47" t="s">
        <v>35</v>
      </c>
      <c r="AD6" s="49" t="str">
        <f>VLOOKUP(E6,sheet1!$B$2:$C$3209,2,FALSE)</f>
        <v>修理作業費マスターメンテ</v>
      </c>
      <c r="AE6" s="49"/>
      <c r="AF6" s="50" t="s">
        <v>306</v>
      </c>
      <c r="AG6" s="50" t="s">
        <v>304</v>
      </c>
      <c r="AH6" s="49" t="str">
        <f t="shared" si="0"/>
        <v>修理作業費マスター</v>
      </c>
      <c r="AI6" s="49"/>
      <c r="AJ6" s="49"/>
      <c r="AK6" s="49"/>
      <c r="AL6" s="49"/>
      <c r="AM6" s="49"/>
      <c r="AN6" s="49"/>
      <c r="AO6" s="51" t="str">
        <f t="shared" si="1"/>
        <v>修理作業費マスター</v>
      </c>
      <c r="AP6" s="51" t="str">
        <f t="shared" si="2"/>
        <v>SA0080</v>
      </c>
      <c r="AQ6" s="51" t="s">
        <v>306</v>
      </c>
      <c r="AR6" s="51" t="s">
        <v>304</v>
      </c>
      <c r="AS6" s="49" t="str">
        <f t="shared" si="3"/>
        <v>修理作業費マスター</v>
      </c>
      <c r="AT6" s="49" t="str">
        <f t="shared" si="4"/>
        <v>SA0080</v>
      </c>
      <c r="AU6" s="51" t="s">
        <v>306</v>
      </c>
      <c r="AV6" s="51" t="s">
        <v>304</v>
      </c>
    </row>
    <row r="7" spans="1:48" ht="18" customHeight="1">
      <c r="A7" s="44">
        <v>5</v>
      </c>
      <c r="B7" s="52" t="s">
        <v>292</v>
      </c>
      <c r="C7" s="52" t="s">
        <v>293</v>
      </c>
      <c r="D7" s="46" t="s">
        <v>116</v>
      </c>
      <c r="E7" s="44" t="s">
        <v>307</v>
      </c>
      <c r="F7" s="44" t="s">
        <v>308</v>
      </c>
      <c r="G7" s="44"/>
      <c r="H7" s="44"/>
      <c r="I7" s="44"/>
      <c r="J7" s="47" t="s">
        <v>35</v>
      </c>
      <c r="K7" s="47"/>
      <c r="L7" s="47"/>
      <c r="M7" s="47"/>
      <c r="N7" s="47"/>
      <c r="O7" s="44"/>
      <c r="P7" s="44"/>
      <c r="Q7" s="48">
        <f>VLOOKUP(E7,sheet1!$B$2:$D$3209,3,FALSE)</f>
        <v>631</v>
      </c>
      <c r="R7" s="47" t="s">
        <v>35</v>
      </c>
      <c r="S7" s="47" t="s">
        <v>35</v>
      </c>
      <c r="T7" s="47" t="s">
        <v>35</v>
      </c>
      <c r="U7" s="47" t="s">
        <v>35</v>
      </c>
      <c r="V7" s="47" t="s">
        <v>35</v>
      </c>
      <c r="W7" s="47" t="s">
        <v>296</v>
      </c>
      <c r="X7" s="47" t="s">
        <v>296</v>
      </c>
      <c r="Y7" s="47" t="s">
        <v>296</v>
      </c>
      <c r="Z7" s="47"/>
      <c r="AA7" s="47" t="s">
        <v>296</v>
      </c>
      <c r="AB7" s="47" t="s">
        <v>35</v>
      </c>
      <c r="AC7" s="47" t="s">
        <v>35</v>
      </c>
      <c r="AD7" s="49" t="str">
        <f>VLOOKUP(E7,sheet1!$B$2:$C$3209,2,FALSE)</f>
        <v>無償保証期間マスターメンテ</v>
      </c>
      <c r="AE7" s="49"/>
      <c r="AF7" s="50" t="s">
        <v>309</v>
      </c>
      <c r="AG7" s="50" t="s">
        <v>307</v>
      </c>
      <c r="AH7" s="49" t="str">
        <f t="shared" si="0"/>
        <v>無償保証期間マスターメンテ</v>
      </c>
      <c r="AI7" s="49"/>
      <c r="AJ7" s="49"/>
      <c r="AK7" s="49"/>
      <c r="AL7" s="49"/>
      <c r="AM7" s="49"/>
      <c r="AN7" s="49"/>
      <c r="AO7" s="51" t="str">
        <f t="shared" si="1"/>
        <v>無償保証期間マスターメンテ</v>
      </c>
      <c r="AP7" s="51" t="str">
        <f t="shared" si="2"/>
        <v>SA0210</v>
      </c>
      <c r="AQ7" s="51" t="s">
        <v>309</v>
      </c>
      <c r="AR7" s="51" t="s">
        <v>307</v>
      </c>
      <c r="AS7" s="49" t="str">
        <f t="shared" si="3"/>
        <v>無償保証期間マスターメンテ</v>
      </c>
      <c r="AT7" s="49" t="str">
        <f t="shared" si="4"/>
        <v>SA0210</v>
      </c>
      <c r="AU7" s="51" t="s">
        <v>309</v>
      </c>
      <c r="AV7" s="51" t="s">
        <v>307</v>
      </c>
    </row>
    <row r="8" spans="1:48" ht="18" customHeight="1">
      <c r="A8" s="44">
        <v>6</v>
      </c>
      <c r="B8" s="52" t="s">
        <v>292</v>
      </c>
      <c r="C8" s="52" t="s">
        <v>293</v>
      </c>
      <c r="D8" s="46" t="s">
        <v>116</v>
      </c>
      <c r="E8" s="44" t="s">
        <v>310</v>
      </c>
      <c r="F8" s="44" t="s">
        <v>311</v>
      </c>
      <c r="G8" s="44"/>
      <c r="H8" s="44"/>
      <c r="I8" s="44"/>
      <c r="J8" s="47" t="s">
        <v>35</v>
      </c>
      <c r="K8" s="47"/>
      <c r="L8" s="47"/>
      <c r="M8" s="47"/>
      <c r="N8" s="47"/>
      <c r="O8" s="44"/>
      <c r="P8" s="44"/>
      <c r="Q8" s="48">
        <f>VLOOKUP(E8,sheet1!$B$2:$D$3209,3,FALSE)</f>
        <v>391</v>
      </c>
      <c r="R8" s="47" t="s">
        <v>35</v>
      </c>
      <c r="S8" s="47" t="s">
        <v>35</v>
      </c>
      <c r="T8" s="47" t="s">
        <v>35</v>
      </c>
      <c r="U8" s="47" t="s">
        <v>35</v>
      </c>
      <c r="V8" s="47" t="s">
        <v>35</v>
      </c>
      <c r="W8" s="47" t="s">
        <v>296</v>
      </c>
      <c r="X8" s="47" t="s">
        <v>296</v>
      </c>
      <c r="Y8" s="47" t="s">
        <v>296</v>
      </c>
      <c r="Z8" s="47"/>
      <c r="AA8" s="47" t="s">
        <v>296</v>
      </c>
      <c r="AB8" s="47" t="s">
        <v>35</v>
      </c>
      <c r="AC8" s="47" t="s">
        <v>35</v>
      </c>
      <c r="AD8" s="49" t="str">
        <f>VLOOKUP(E8,sheet1!$B$2:$C$3209,2,FALSE)</f>
        <v>銀行マスタメンテナンス</v>
      </c>
      <c r="AE8" s="49"/>
      <c r="AF8" s="50" t="s">
        <v>312</v>
      </c>
      <c r="AG8" s="50" t="s">
        <v>310</v>
      </c>
      <c r="AH8" s="49" t="str">
        <f t="shared" si="0"/>
        <v>銀行マスタメンテナンス</v>
      </c>
      <c r="AI8" s="49"/>
      <c r="AJ8" s="49"/>
      <c r="AK8" s="49"/>
      <c r="AL8" s="49"/>
      <c r="AM8" s="49"/>
      <c r="AN8" s="49"/>
      <c r="AO8" s="51" t="str">
        <f t="shared" si="1"/>
        <v>銀行マスタメンテナンス</v>
      </c>
      <c r="AP8" s="51" t="str">
        <f t="shared" si="2"/>
        <v>MM0020</v>
      </c>
      <c r="AQ8" s="51" t="s">
        <v>312</v>
      </c>
      <c r="AR8" s="51" t="s">
        <v>310</v>
      </c>
      <c r="AS8" s="49" t="str">
        <f t="shared" si="3"/>
        <v>銀行マスタメンテナンス</v>
      </c>
      <c r="AT8" s="49" t="str">
        <f t="shared" si="4"/>
        <v>MM0020</v>
      </c>
      <c r="AU8" s="51" t="s">
        <v>312</v>
      </c>
      <c r="AV8" s="51" t="s">
        <v>310</v>
      </c>
    </row>
    <row r="9" spans="1:48" ht="18" customHeight="1">
      <c r="A9" s="44">
        <v>7</v>
      </c>
      <c r="B9" s="52" t="s">
        <v>292</v>
      </c>
      <c r="C9" s="52" t="s">
        <v>293</v>
      </c>
      <c r="D9" s="53" t="s">
        <v>116</v>
      </c>
      <c r="E9" s="44" t="s">
        <v>313</v>
      </c>
      <c r="F9" s="44" t="s">
        <v>314</v>
      </c>
      <c r="G9" s="44"/>
      <c r="H9" s="44"/>
      <c r="I9" s="44"/>
      <c r="J9" s="47" t="s">
        <v>35</v>
      </c>
      <c r="K9" s="47"/>
      <c r="L9" s="47"/>
      <c r="M9" s="47"/>
      <c r="N9" s="47"/>
      <c r="O9" s="44"/>
      <c r="P9" s="44"/>
      <c r="Q9" s="48">
        <f>VLOOKUP(E9,sheet1!$B$2:$D$3209,3,FALSE)</f>
        <v>535</v>
      </c>
      <c r="R9" s="47" t="s">
        <v>35</v>
      </c>
      <c r="S9" s="47" t="s">
        <v>35</v>
      </c>
      <c r="T9" s="47" t="s">
        <v>35</v>
      </c>
      <c r="U9" s="47" t="s">
        <v>35</v>
      </c>
      <c r="V9" s="47" t="s">
        <v>35</v>
      </c>
      <c r="W9" s="47" t="s">
        <v>296</v>
      </c>
      <c r="X9" s="47" t="s">
        <v>296</v>
      </c>
      <c r="Y9" s="47" t="s">
        <v>296</v>
      </c>
      <c r="Z9" s="47"/>
      <c r="AA9" s="47" t="s">
        <v>296</v>
      </c>
      <c r="AB9" s="47" t="s">
        <v>35</v>
      </c>
      <c r="AC9" s="47" t="s">
        <v>35</v>
      </c>
      <c r="AD9" s="49" t="str">
        <f>VLOOKUP(E9,sheet1!$B$2:$C$3209,2,FALSE)</f>
        <v>銀行振込口座マスターメンテ</v>
      </c>
      <c r="AE9" s="49"/>
      <c r="AF9" s="50" t="s">
        <v>315</v>
      </c>
      <c r="AG9" s="50" t="s">
        <v>313</v>
      </c>
      <c r="AH9" s="49" t="str">
        <f t="shared" si="0"/>
        <v>銀行振込口座マスター</v>
      </c>
      <c r="AI9" s="49"/>
      <c r="AJ9" s="49"/>
      <c r="AK9" s="49"/>
      <c r="AL9" s="49"/>
      <c r="AM9" s="49"/>
      <c r="AN9" s="49"/>
      <c r="AO9" s="51" t="str">
        <f t="shared" si="1"/>
        <v>銀行振込口座マスター</v>
      </c>
      <c r="AP9" s="51" t="str">
        <f t="shared" si="2"/>
        <v>SA0220</v>
      </c>
      <c r="AQ9" s="51" t="s">
        <v>315</v>
      </c>
      <c r="AR9" s="51" t="s">
        <v>313</v>
      </c>
      <c r="AS9" s="49" t="str">
        <f t="shared" si="3"/>
        <v>銀行振込口座マスター</v>
      </c>
      <c r="AT9" s="49" t="str">
        <f t="shared" si="4"/>
        <v>SA0220</v>
      </c>
      <c r="AU9" s="51" t="s">
        <v>315</v>
      </c>
      <c r="AV9" s="51" t="s">
        <v>313</v>
      </c>
    </row>
    <row r="10" spans="1:48" ht="18" customHeight="1">
      <c r="A10" s="44">
        <v>8</v>
      </c>
      <c r="B10" s="52" t="s">
        <v>292</v>
      </c>
      <c r="C10" s="52" t="s">
        <v>293</v>
      </c>
      <c r="D10" s="53" t="s">
        <v>316</v>
      </c>
      <c r="E10" s="44" t="s">
        <v>317</v>
      </c>
      <c r="F10" s="44" t="s">
        <v>318</v>
      </c>
      <c r="G10" s="44"/>
      <c r="H10" s="44"/>
      <c r="I10" s="44"/>
      <c r="J10" s="47" t="s">
        <v>35</v>
      </c>
      <c r="K10" s="47"/>
      <c r="L10" s="47"/>
      <c r="M10" s="47"/>
      <c r="N10" s="47"/>
      <c r="O10" s="44"/>
      <c r="P10" s="44"/>
      <c r="Q10" s="48">
        <f>VLOOKUP(E10,sheet1!$B$2:$D$3209,3,FALSE)</f>
        <v>1116</v>
      </c>
      <c r="R10" s="47" t="s">
        <v>35</v>
      </c>
      <c r="S10" s="47" t="s">
        <v>35</v>
      </c>
      <c r="T10" s="47" t="s">
        <v>35</v>
      </c>
      <c r="U10" s="47" t="s">
        <v>35</v>
      </c>
      <c r="V10" s="47" t="s">
        <v>35</v>
      </c>
      <c r="W10" s="47" t="s">
        <v>296</v>
      </c>
      <c r="X10" s="47"/>
      <c r="Y10" s="47" t="s">
        <v>296</v>
      </c>
      <c r="Z10" s="47"/>
      <c r="AA10" s="47" t="s">
        <v>296</v>
      </c>
      <c r="AB10" s="47"/>
      <c r="AC10" s="47" t="s">
        <v>35</v>
      </c>
      <c r="AD10" s="49" t="str">
        <f>VLOOKUP(E10,sheet1!$B$2:$C$3209,2,FALSE)</f>
        <v>与信決裁内容登録</v>
      </c>
      <c r="AE10" s="49" t="s">
        <v>35</v>
      </c>
      <c r="AF10" s="50" t="s">
        <v>319</v>
      </c>
      <c r="AG10" s="50" t="s">
        <v>317</v>
      </c>
      <c r="AH10" s="49" t="str">
        <f t="shared" si="0"/>
        <v>与信決裁内容登録</v>
      </c>
      <c r="AI10" s="49"/>
      <c r="AJ10" s="49"/>
      <c r="AK10" s="49"/>
      <c r="AL10" s="49"/>
      <c r="AM10" s="49"/>
      <c r="AN10" s="49"/>
      <c r="AO10" s="51" t="str">
        <f t="shared" si="1"/>
        <v>与信決裁内容登録</v>
      </c>
      <c r="AP10" s="51" t="str">
        <f t="shared" si="2"/>
        <v>SA0170</v>
      </c>
      <c r="AQ10" s="51" t="s">
        <v>319</v>
      </c>
      <c r="AR10" s="51" t="s">
        <v>317</v>
      </c>
      <c r="AS10" s="49" t="str">
        <f t="shared" si="3"/>
        <v>与信決裁内容登録</v>
      </c>
      <c r="AT10" s="49" t="str">
        <f t="shared" si="4"/>
        <v>SA0170</v>
      </c>
      <c r="AU10" s="51" t="s">
        <v>319</v>
      </c>
      <c r="AV10" s="51" t="s">
        <v>317</v>
      </c>
    </row>
    <row r="11" spans="1:48" ht="18" customHeight="1">
      <c r="A11" s="44">
        <v>9</v>
      </c>
      <c r="B11" s="52" t="s">
        <v>292</v>
      </c>
      <c r="C11" s="52" t="s">
        <v>293</v>
      </c>
      <c r="D11" s="54" t="s">
        <v>316</v>
      </c>
      <c r="E11" s="44" t="s">
        <v>320</v>
      </c>
      <c r="F11" s="44" t="s">
        <v>321</v>
      </c>
      <c r="G11" s="44"/>
      <c r="H11" s="44"/>
      <c r="I11" s="44"/>
      <c r="J11" s="47" t="s">
        <v>35</v>
      </c>
      <c r="K11" s="47"/>
      <c r="L11" s="47"/>
      <c r="M11" s="47"/>
      <c r="N11" s="47"/>
      <c r="O11" s="44"/>
      <c r="P11" s="44"/>
      <c r="Q11" s="48">
        <f>VLOOKUP(E11,sheet1!$B$2:$D$3209,3,FALSE)</f>
        <v>210</v>
      </c>
      <c r="R11" s="47" t="s">
        <v>35</v>
      </c>
      <c r="S11" s="47" t="s">
        <v>35</v>
      </c>
      <c r="T11" s="47" t="s">
        <v>35</v>
      </c>
      <c r="U11" s="47" t="s">
        <v>35</v>
      </c>
      <c r="V11" s="47" t="s">
        <v>35</v>
      </c>
      <c r="W11" s="47" t="s">
        <v>296</v>
      </c>
      <c r="X11" s="47" t="s">
        <v>296</v>
      </c>
      <c r="Y11" s="47" t="s">
        <v>296</v>
      </c>
      <c r="Z11" s="47"/>
      <c r="AA11" s="47" t="s">
        <v>296</v>
      </c>
      <c r="AB11" s="47"/>
      <c r="AC11" s="47" t="s">
        <v>35</v>
      </c>
      <c r="AD11" s="49" t="str">
        <f>VLOOKUP(E11,sheet1!$B$2:$C$3209,2,FALSE)</f>
        <v>月末与信残高集計指示画面</v>
      </c>
      <c r="AE11" s="49" t="s">
        <v>35</v>
      </c>
      <c r="AF11" s="50" t="s">
        <v>322</v>
      </c>
      <c r="AG11" s="50" t="s">
        <v>320</v>
      </c>
      <c r="AH11" s="49" t="str">
        <f t="shared" si="0"/>
        <v>月末与信残高集計　更新系</v>
      </c>
      <c r="AI11" s="49"/>
      <c r="AJ11" s="49"/>
      <c r="AK11" s="49"/>
      <c r="AL11" s="49"/>
      <c r="AM11" s="49"/>
      <c r="AN11" s="49"/>
      <c r="AO11" s="51" t="str">
        <f t="shared" si="1"/>
        <v>月末与信残高集計　更新系</v>
      </c>
      <c r="AP11" s="51" t="str">
        <f t="shared" si="2"/>
        <v>SA2435</v>
      </c>
      <c r="AQ11" s="51" t="s">
        <v>322</v>
      </c>
      <c r="AR11" s="51" t="s">
        <v>320</v>
      </c>
      <c r="AS11" s="49" t="str">
        <f t="shared" si="3"/>
        <v>月末与信残高集計　更新系</v>
      </c>
      <c r="AT11" s="49" t="str">
        <f t="shared" si="4"/>
        <v>SA2435</v>
      </c>
      <c r="AU11" s="51" t="s">
        <v>322</v>
      </c>
      <c r="AV11" s="51" t="s">
        <v>320</v>
      </c>
    </row>
    <row r="12" spans="1:48" ht="18" customHeight="1">
      <c r="A12" s="44">
        <v>10</v>
      </c>
      <c r="B12" s="52" t="s">
        <v>292</v>
      </c>
      <c r="C12" s="52" t="s">
        <v>293</v>
      </c>
      <c r="D12" s="54" t="s">
        <v>316</v>
      </c>
      <c r="E12" s="44" t="s">
        <v>323</v>
      </c>
      <c r="F12" s="44" t="s">
        <v>324</v>
      </c>
      <c r="G12" s="44"/>
      <c r="H12" s="44"/>
      <c r="I12" s="44"/>
      <c r="J12" s="47" t="s">
        <v>35</v>
      </c>
      <c r="K12" s="47"/>
      <c r="L12" s="47"/>
      <c r="M12" s="47"/>
      <c r="N12" s="47"/>
      <c r="O12" s="44"/>
      <c r="P12" s="44"/>
      <c r="Q12" s="48">
        <f>VLOOKUP(E12,sheet1!$B$2:$D$3209,3,FALSE)</f>
        <v>408</v>
      </c>
      <c r="R12" s="47" t="s">
        <v>35</v>
      </c>
      <c r="S12" s="47" t="s">
        <v>35</v>
      </c>
      <c r="T12" s="47" t="s">
        <v>35</v>
      </c>
      <c r="U12" s="47" t="s">
        <v>35</v>
      </c>
      <c r="V12" s="47" t="s">
        <v>35</v>
      </c>
      <c r="W12" s="47" t="s">
        <v>296</v>
      </c>
      <c r="X12" s="47" t="s">
        <v>296</v>
      </c>
      <c r="Y12" s="47" t="s">
        <v>296</v>
      </c>
      <c r="Z12" s="47"/>
      <c r="AA12" s="47" t="s">
        <v>296</v>
      </c>
      <c r="AB12" s="47"/>
      <c r="AC12" s="47" t="s">
        <v>35</v>
      </c>
      <c r="AD12" s="49" t="str">
        <f>VLOOKUP(E12,sheet1!$B$2:$C$3209,2,FALSE)</f>
        <v>与信再更新対象データ作成</v>
      </c>
      <c r="AE12" s="49"/>
      <c r="AF12" s="50" t="s">
        <v>325</v>
      </c>
      <c r="AG12" s="50" t="s">
        <v>323</v>
      </c>
      <c r="AH12" s="49" t="str">
        <f t="shared" si="0"/>
        <v>与信再更新対象データ作成</v>
      </c>
      <c r="AI12" s="49"/>
      <c r="AJ12" s="49"/>
      <c r="AK12" s="49"/>
      <c r="AL12" s="49"/>
      <c r="AM12" s="49"/>
      <c r="AN12" s="49"/>
      <c r="AO12" s="51" t="str">
        <f t="shared" si="1"/>
        <v>与信再更新対象データ作成</v>
      </c>
      <c r="AP12" s="51" t="str">
        <f t="shared" si="2"/>
        <v>SA0280</v>
      </c>
      <c r="AQ12" s="51" t="s">
        <v>325</v>
      </c>
      <c r="AR12" s="51" t="s">
        <v>323</v>
      </c>
      <c r="AS12" s="49" t="str">
        <f t="shared" si="3"/>
        <v>与信再更新対象データ作成</v>
      </c>
      <c r="AT12" s="49" t="str">
        <f t="shared" si="4"/>
        <v>SA0280</v>
      </c>
      <c r="AU12" s="51" t="s">
        <v>325</v>
      </c>
      <c r="AV12" s="51" t="s">
        <v>323</v>
      </c>
    </row>
    <row r="13" spans="1:48" ht="18" customHeight="1">
      <c r="A13" s="44">
        <v>11</v>
      </c>
      <c r="B13" s="52" t="s">
        <v>292</v>
      </c>
      <c r="C13" s="52" t="s">
        <v>293</v>
      </c>
      <c r="D13" s="54" t="s">
        <v>316</v>
      </c>
      <c r="E13" s="44" t="s">
        <v>326</v>
      </c>
      <c r="F13" s="44" t="s">
        <v>327</v>
      </c>
      <c r="G13" s="44"/>
      <c r="H13" s="44"/>
      <c r="I13" s="44"/>
      <c r="J13" s="47" t="s">
        <v>35</v>
      </c>
      <c r="K13" s="47"/>
      <c r="L13" s="47"/>
      <c r="M13" s="47"/>
      <c r="N13" s="47"/>
      <c r="O13" s="44"/>
      <c r="P13" s="44"/>
      <c r="Q13" s="48">
        <f>VLOOKUP(E13,sheet1!$B$2:$D$3209,3,FALSE)</f>
        <v>528</v>
      </c>
      <c r="R13" s="47" t="s">
        <v>35</v>
      </c>
      <c r="S13" s="47" t="s">
        <v>35</v>
      </c>
      <c r="T13" s="47" t="s">
        <v>35</v>
      </c>
      <c r="U13" s="47" t="s">
        <v>35</v>
      </c>
      <c r="V13" s="47" t="s">
        <v>35</v>
      </c>
      <c r="W13" s="47" t="s">
        <v>296</v>
      </c>
      <c r="X13" s="47" t="s">
        <v>296</v>
      </c>
      <c r="Y13" s="47" t="s">
        <v>296</v>
      </c>
      <c r="Z13" s="47"/>
      <c r="AA13" s="47" t="s">
        <v>296</v>
      </c>
      <c r="AB13" s="47"/>
      <c r="AC13" s="47" t="s">
        <v>35</v>
      </c>
      <c r="AD13" s="49" t="str">
        <f>VLOOKUP(E13,sheet1!$B$2:$C$3209,2,FALSE)</f>
        <v>外部評価登録</v>
      </c>
      <c r="AE13" s="49"/>
      <c r="AF13" s="50" t="s">
        <v>328</v>
      </c>
      <c r="AG13" s="50" t="s">
        <v>326</v>
      </c>
      <c r="AH13" s="49" t="str">
        <f t="shared" si="0"/>
        <v>外部評価登録</v>
      </c>
      <c r="AI13" s="49"/>
      <c r="AJ13" s="49"/>
      <c r="AK13" s="49"/>
      <c r="AL13" s="49"/>
      <c r="AM13" s="49"/>
      <c r="AN13" s="49"/>
      <c r="AO13" s="51" t="str">
        <f t="shared" si="1"/>
        <v>外部評価登録</v>
      </c>
      <c r="AP13" s="51" t="str">
        <f t="shared" si="2"/>
        <v>SA0180</v>
      </c>
      <c r="AQ13" s="51" t="s">
        <v>328</v>
      </c>
      <c r="AR13" s="51" t="s">
        <v>326</v>
      </c>
      <c r="AS13" s="49" t="str">
        <f t="shared" si="3"/>
        <v>外部評価登録</v>
      </c>
      <c r="AT13" s="49" t="str">
        <f t="shared" si="4"/>
        <v>SA0180</v>
      </c>
      <c r="AU13" s="51" t="s">
        <v>328</v>
      </c>
      <c r="AV13" s="51" t="s">
        <v>326</v>
      </c>
    </row>
    <row r="14" spans="1:48" ht="18" customHeight="1">
      <c r="A14" s="44">
        <v>12</v>
      </c>
      <c r="B14" s="52" t="s">
        <v>292</v>
      </c>
      <c r="C14" s="52" t="s">
        <v>293</v>
      </c>
      <c r="D14" s="54" t="s">
        <v>316</v>
      </c>
      <c r="E14" s="44" t="s">
        <v>329</v>
      </c>
      <c r="F14" s="44" t="s">
        <v>330</v>
      </c>
      <c r="G14" s="44"/>
      <c r="H14" s="44"/>
      <c r="I14" s="44"/>
      <c r="J14" s="47" t="s">
        <v>35</v>
      </c>
      <c r="K14" s="47"/>
      <c r="L14" s="47"/>
      <c r="M14" s="47"/>
      <c r="N14" s="47"/>
      <c r="O14" s="44"/>
      <c r="P14" s="44"/>
      <c r="Q14" s="48">
        <f>VLOOKUP(E14,sheet1!$B$2:$D$3209,3,FALSE)</f>
        <v>513</v>
      </c>
      <c r="R14" s="47" t="s">
        <v>35</v>
      </c>
      <c r="S14" s="47" t="s">
        <v>35</v>
      </c>
      <c r="T14" s="47" t="s">
        <v>35</v>
      </c>
      <c r="U14" s="47" t="s">
        <v>35</v>
      </c>
      <c r="V14" s="47" t="s">
        <v>35</v>
      </c>
      <c r="W14" s="47" t="s">
        <v>296</v>
      </c>
      <c r="X14" s="47" t="s">
        <v>296</v>
      </c>
      <c r="Y14" s="47" t="s">
        <v>296</v>
      </c>
      <c r="Z14" s="47"/>
      <c r="AA14" s="47" t="s">
        <v>296</v>
      </c>
      <c r="AB14" s="47"/>
      <c r="AC14" s="47" t="s">
        <v>35</v>
      </c>
      <c r="AD14" s="49" t="str">
        <f>VLOOKUP(E14,sheet1!$B$2:$C$3209,2,FALSE)</f>
        <v>与信限度額申請客先リスト印刷</v>
      </c>
      <c r="AE14" s="49"/>
      <c r="AF14" s="50" t="s">
        <v>331</v>
      </c>
      <c r="AG14" s="50" t="s">
        <v>329</v>
      </c>
      <c r="AH14" s="49" t="str">
        <f t="shared" si="0"/>
        <v>与信再更新申請書印刷</v>
      </c>
      <c r="AI14" s="49"/>
      <c r="AJ14" s="49"/>
      <c r="AK14" s="49"/>
      <c r="AL14" s="49"/>
      <c r="AM14" s="49"/>
      <c r="AN14" s="49"/>
      <c r="AO14" s="51" t="str">
        <f t="shared" si="1"/>
        <v>与信再更新申請書印刷</v>
      </c>
      <c r="AP14" s="51" t="str">
        <f t="shared" si="2"/>
        <v>SA2440</v>
      </c>
      <c r="AQ14" s="51" t="s">
        <v>331</v>
      </c>
      <c r="AR14" s="51" t="s">
        <v>329</v>
      </c>
      <c r="AS14" s="49" t="str">
        <f t="shared" si="3"/>
        <v>与信再更新申請書印刷</v>
      </c>
      <c r="AT14" s="49" t="str">
        <f t="shared" si="4"/>
        <v>SA2440</v>
      </c>
      <c r="AU14" s="51" t="s">
        <v>331</v>
      </c>
      <c r="AV14" s="51" t="s">
        <v>329</v>
      </c>
    </row>
    <row r="15" spans="1:48" ht="18" customHeight="1">
      <c r="A15" s="44">
        <v>13</v>
      </c>
      <c r="B15" s="52" t="s">
        <v>292</v>
      </c>
      <c r="C15" s="52" t="s">
        <v>293</v>
      </c>
      <c r="D15" s="54" t="s">
        <v>316</v>
      </c>
      <c r="E15" s="44" t="s">
        <v>332</v>
      </c>
      <c r="F15" s="44" t="s">
        <v>333</v>
      </c>
      <c r="G15" s="44"/>
      <c r="H15" s="44"/>
      <c r="I15" s="44"/>
      <c r="J15" s="47" t="s">
        <v>35</v>
      </c>
      <c r="K15" s="47"/>
      <c r="L15" s="47"/>
      <c r="M15" s="47"/>
      <c r="N15" s="47"/>
      <c r="O15" s="44"/>
      <c r="P15" s="44"/>
      <c r="Q15" s="48">
        <f>VLOOKUP(E15,sheet1!$B$2:$D$3209,3,FALSE)</f>
        <v>819</v>
      </c>
      <c r="R15" s="47" t="s">
        <v>35</v>
      </c>
      <c r="S15" s="47" t="s">
        <v>35</v>
      </c>
      <c r="T15" s="47" t="s">
        <v>35</v>
      </c>
      <c r="U15" s="47" t="s">
        <v>35</v>
      </c>
      <c r="V15" s="47" t="s">
        <v>35</v>
      </c>
      <c r="W15" s="47" t="s">
        <v>296</v>
      </c>
      <c r="X15" s="47" t="s">
        <v>296</v>
      </c>
      <c r="Y15" s="47" t="s">
        <v>296</v>
      </c>
      <c r="Z15" s="47"/>
      <c r="AA15" s="47" t="s">
        <v>296</v>
      </c>
      <c r="AB15" s="47"/>
      <c r="AC15" s="47" t="s">
        <v>35</v>
      </c>
      <c r="AD15" s="49" t="str">
        <f>VLOOKUP(E15,sheet1!$B$2:$C$3209,2,FALSE)</f>
        <v>与信再申請更新</v>
      </c>
      <c r="AE15" s="49"/>
      <c r="AF15" s="50" t="s">
        <v>334</v>
      </c>
      <c r="AG15" s="50" t="s">
        <v>332</v>
      </c>
      <c r="AH15" s="49" t="str">
        <f t="shared" si="0"/>
        <v>与信再更新処理</v>
      </c>
      <c r="AI15" s="49"/>
      <c r="AJ15" s="49"/>
      <c r="AK15" s="49"/>
      <c r="AL15" s="49"/>
      <c r="AM15" s="49"/>
      <c r="AN15" s="49"/>
      <c r="AO15" s="51" t="str">
        <f t="shared" si="1"/>
        <v>与信再更新処理</v>
      </c>
      <c r="AP15" s="51" t="str">
        <f t="shared" si="2"/>
        <v>SA0200</v>
      </c>
      <c r="AQ15" s="51" t="s">
        <v>334</v>
      </c>
      <c r="AR15" s="51" t="s">
        <v>332</v>
      </c>
      <c r="AS15" s="49" t="str">
        <f t="shared" si="3"/>
        <v>与信再更新処理</v>
      </c>
      <c r="AT15" s="49" t="str">
        <f t="shared" si="4"/>
        <v>SA0200</v>
      </c>
      <c r="AU15" s="51" t="s">
        <v>334</v>
      </c>
      <c r="AV15" s="51" t="s">
        <v>332</v>
      </c>
    </row>
    <row r="16" spans="1:48" ht="18" customHeight="1">
      <c r="A16" s="44">
        <v>14</v>
      </c>
      <c r="B16" s="52" t="s">
        <v>292</v>
      </c>
      <c r="C16" s="52" t="s">
        <v>293</v>
      </c>
      <c r="D16" s="54" t="s">
        <v>316</v>
      </c>
      <c r="E16" s="44" t="s">
        <v>335</v>
      </c>
      <c r="F16" s="44" t="s">
        <v>336</v>
      </c>
      <c r="G16" s="44"/>
      <c r="H16" s="44"/>
      <c r="I16" s="44"/>
      <c r="J16" s="47" t="s">
        <v>35</v>
      </c>
      <c r="K16" s="47"/>
      <c r="L16" s="47"/>
      <c r="M16" s="47"/>
      <c r="N16" s="47"/>
      <c r="O16" s="44"/>
      <c r="P16" s="44"/>
      <c r="Q16" s="48">
        <f>VLOOKUP(E16,sheet1!$B$2:$D$3209,3,FALSE)</f>
        <v>351</v>
      </c>
      <c r="R16" s="47" t="s">
        <v>35</v>
      </c>
      <c r="S16" s="47" t="s">
        <v>35</v>
      </c>
      <c r="T16" s="47" t="s">
        <v>35</v>
      </c>
      <c r="U16" s="47" t="s">
        <v>35</v>
      </c>
      <c r="V16" s="47" t="s">
        <v>35</v>
      </c>
      <c r="W16" s="47" t="s">
        <v>296</v>
      </c>
      <c r="X16" s="47" t="s">
        <v>296</v>
      </c>
      <c r="Y16" s="47" t="s">
        <v>296</v>
      </c>
      <c r="Z16" s="47"/>
      <c r="AA16" s="47" t="s">
        <v>296</v>
      </c>
      <c r="AB16" s="47"/>
      <c r="AC16" s="47" t="s">
        <v>35</v>
      </c>
      <c r="AD16" s="49" t="str">
        <f>VLOOKUP(E16,sheet1!$B$2:$C$3209,2,FALSE)</f>
        <v>期間限定与信限度登録</v>
      </c>
      <c r="AE16" s="49"/>
      <c r="AF16" s="50" t="s">
        <v>337</v>
      </c>
      <c r="AG16" s="50" t="s">
        <v>335</v>
      </c>
      <c r="AH16" s="49" t="str">
        <f t="shared" si="0"/>
        <v>期間限定与信限度額登録</v>
      </c>
      <c r="AI16" s="49"/>
      <c r="AJ16" s="49"/>
      <c r="AK16" s="49"/>
      <c r="AL16" s="49"/>
      <c r="AM16" s="49"/>
      <c r="AN16" s="49"/>
      <c r="AO16" s="51" t="str">
        <f t="shared" si="1"/>
        <v>期間限定与信限度額登録</v>
      </c>
      <c r="AP16" s="51" t="str">
        <f t="shared" si="2"/>
        <v>SA0190</v>
      </c>
      <c r="AQ16" s="51" t="s">
        <v>337</v>
      </c>
      <c r="AR16" s="51" t="s">
        <v>335</v>
      </c>
      <c r="AS16" s="49" t="str">
        <f t="shared" si="3"/>
        <v>期間限定与信限度額登録</v>
      </c>
      <c r="AT16" s="49" t="str">
        <f t="shared" si="4"/>
        <v>SA0190</v>
      </c>
      <c r="AU16" s="51" t="s">
        <v>337</v>
      </c>
      <c r="AV16" s="51" t="s">
        <v>335</v>
      </c>
    </row>
    <row r="17" spans="1:48" ht="18" customHeight="1">
      <c r="A17" s="44">
        <v>15</v>
      </c>
      <c r="B17" s="52" t="s">
        <v>292</v>
      </c>
      <c r="C17" s="52" t="s">
        <v>293</v>
      </c>
      <c r="D17" s="54" t="s">
        <v>316</v>
      </c>
      <c r="E17" s="44" t="s">
        <v>338</v>
      </c>
      <c r="F17" s="44" t="s">
        <v>339</v>
      </c>
      <c r="G17" s="44"/>
      <c r="H17" s="44"/>
      <c r="I17" s="44"/>
      <c r="J17" s="47" t="s">
        <v>35</v>
      </c>
      <c r="K17" s="47"/>
      <c r="L17" s="47"/>
      <c r="M17" s="47"/>
      <c r="N17" s="47"/>
      <c r="O17" s="44"/>
      <c r="P17" s="44"/>
      <c r="Q17" s="48">
        <f>VLOOKUP(E17,sheet1!$B$2:$D$3209,3,FALSE)</f>
        <v>327</v>
      </c>
      <c r="R17" s="47" t="s">
        <v>35</v>
      </c>
      <c r="S17" s="47" t="s">
        <v>35</v>
      </c>
      <c r="T17" s="47" t="s">
        <v>35</v>
      </c>
      <c r="U17" s="47" t="s">
        <v>35</v>
      </c>
      <c r="V17" s="47" t="s">
        <v>35</v>
      </c>
      <c r="W17" s="47" t="s">
        <v>296</v>
      </c>
      <c r="X17" s="47" t="s">
        <v>296</v>
      </c>
      <c r="Y17" s="47" t="s">
        <v>296</v>
      </c>
      <c r="Z17" s="47"/>
      <c r="AA17" s="47" t="s">
        <v>296</v>
      </c>
      <c r="AB17" s="47"/>
      <c r="AC17" s="47" t="s">
        <v>35</v>
      </c>
      <c r="AD17" s="49" t="str">
        <f>VLOOKUP(E17,sheet1!$B$2:$C$3209,2,FALSE)</f>
        <v>期間限定与信限度客先印刷</v>
      </c>
      <c r="AE17" s="49"/>
      <c r="AF17" s="50" t="s">
        <v>340</v>
      </c>
      <c r="AG17" s="50" t="s">
        <v>338</v>
      </c>
      <c r="AH17" s="49" t="str">
        <f t="shared" si="0"/>
        <v>期間限定与信登録中客先印刷</v>
      </c>
      <c r="AI17" s="49"/>
      <c r="AJ17" s="49"/>
      <c r="AK17" s="49"/>
      <c r="AL17" s="49"/>
      <c r="AM17" s="49"/>
      <c r="AN17" s="49"/>
      <c r="AO17" s="51" t="str">
        <f t="shared" si="1"/>
        <v>期間限定与信登録中客先印刷</v>
      </c>
      <c r="AP17" s="51" t="str">
        <f t="shared" si="2"/>
        <v>SA2450</v>
      </c>
      <c r="AQ17" s="51" t="s">
        <v>340</v>
      </c>
      <c r="AR17" s="51" t="s">
        <v>338</v>
      </c>
      <c r="AS17" s="49" t="str">
        <f t="shared" si="3"/>
        <v>期間限定与信登録中客先印刷</v>
      </c>
      <c r="AT17" s="49" t="str">
        <f t="shared" si="4"/>
        <v>SA2450</v>
      </c>
      <c r="AU17" s="51" t="s">
        <v>340</v>
      </c>
      <c r="AV17" s="51" t="s">
        <v>338</v>
      </c>
    </row>
    <row r="18" spans="1:48" ht="18" customHeight="1">
      <c r="A18" s="44">
        <v>16</v>
      </c>
      <c r="B18" s="52" t="s">
        <v>292</v>
      </c>
      <c r="C18" s="52" t="s">
        <v>293</v>
      </c>
      <c r="D18" s="54" t="s">
        <v>316</v>
      </c>
      <c r="E18" s="44" t="s">
        <v>341</v>
      </c>
      <c r="F18" s="44" t="s">
        <v>342</v>
      </c>
      <c r="G18" s="44"/>
      <c r="H18" s="44"/>
      <c r="I18" s="44"/>
      <c r="J18" s="47" t="s">
        <v>35</v>
      </c>
      <c r="K18" s="47"/>
      <c r="L18" s="47"/>
      <c r="M18" s="47"/>
      <c r="N18" s="47"/>
      <c r="O18" s="44"/>
      <c r="P18" s="44"/>
      <c r="Q18" s="48">
        <f>VLOOKUP(E18,sheet1!$B$2:$D$3209,3,FALSE)</f>
        <v>576</v>
      </c>
      <c r="R18" s="47" t="s">
        <v>35</v>
      </c>
      <c r="S18" s="47" t="s">
        <v>35</v>
      </c>
      <c r="T18" s="47" t="s">
        <v>35</v>
      </c>
      <c r="U18" s="47" t="s">
        <v>35</v>
      </c>
      <c r="V18" s="47" t="s">
        <v>35</v>
      </c>
      <c r="W18" s="47" t="s">
        <v>296</v>
      </c>
      <c r="X18" s="47" t="s">
        <v>296</v>
      </c>
      <c r="Y18" s="47" t="s">
        <v>296</v>
      </c>
      <c r="Z18" s="47"/>
      <c r="AA18" s="47" t="s">
        <v>296</v>
      </c>
      <c r="AB18" s="47"/>
      <c r="AC18" s="47" t="s">
        <v>35</v>
      </c>
      <c r="AD18" s="49" t="str">
        <f>VLOOKUP(E18,sheet1!$B$2:$C$3209,2,FALSE)</f>
        <v>与信決裁内容照会</v>
      </c>
      <c r="AE18" s="49"/>
      <c r="AF18" s="50" t="s">
        <v>343</v>
      </c>
      <c r="AG18" s="50" t="s">
        <v>341</v>
      </c>
      <c r="AH18" s="49" t="str">
        <f t="shared" si="0"/>
        <v>与信申請データ照会</v>
      </c>
      <c r="AI18" s="49"/>
      <c r="AJ18" s="49"/>
      <c r="AK18" s="49"/>
      <c r="AL18" s="49"/>
      <c r="AM18" s="49"/>
      <c r="AN18" s="49"/>
      <c r="AO18" s="51" t="str">
        <f t="shared" si="1"/>
        <v>与信申請データ照会</v>
      </c>
      <c r="AP18" s="51" t="str">
        <f t="shared" si="2"/>
        <v>SA5180</v>
      </c>
      <c r="AQ18" s="51" t="s">
        <v>343</v>
      </c>
      <c r="AR18" s="51" t="s">
        <v>341</v>
      </c>
      <c r="AS18" s="49" t="str">
        <f t="shared" si="3"/>
        <v>与信申請データ照会</v>
      </c>
      <c r="AT18" s="49" t="str">
        <f t="shared" si="4"/>
        <v>SA5180</v>
      </c>
      <c r="AU18" s="51" t="s">
        <v>343</v>
      </c>
      <c r="AV18" s="51" t="s">
        <v>341</v>
      </c>
    </row>
    <row r="19" spans="1:48" ht="18" customHeight="1">
      <c r="A19" s="44">
        <v>17</v>
      </c>
      <c r="B19" s="52" t="s">
        <v>292</v>
      </c>
      <c r="C19" s="52" t="s">
        <v>293</v>
      </c>
      <c r="D19" s="54" t="s">
        <v>316</v>
      </c>
      <c r="E19" s="55" t="s">
        <v>344</v>
      </c>
      <c r="F19" s="44" t="s">
        <v>345</v>
      </c>
      <c r="G19" s="44"/>
      <c r="H19" s="44"/>
      <c r="I19" s="44"/>
      <c r="J19" s="47"/>
      <c r="K19" s="47" t="s">
        <v>35</v>
      </c>
      <c r="L19" s="47"/>
      <c r="M19" s="47"/>
      <c r="N19" s="47" t="s">
        <v>35</v>
      </c>
      <c r="O19" s="44"/>
      <c r="P19" s="44"/>
      <c r="Q19" s="48" t="e">
        <f>VLOOKUP(E19,sheet1!$B$2:$D$3209,3,FALSE)</f>
        <v>#N/A</v>
      </c>
      <c r="R19" s="47" t="s">
        <v>35</v>
      </c>
      <c r="S19" s="47" t="s">
        <v>35</v>
      </c>
      <c r="T19" s="47" t="s">
        <v>35</v>
      </c>
      <c r="U19" s="47" t="s">
        <v>35</v>
      </c>
      <c r="V19" s="47" t="s">
        <v>35</v>
      </c>
      <c r="W19" s="47" t="s">
        <v>296</v>
      </c>
      <c r="X19" s="47" t="s">
        <v>296</v>
      </c>
      <c r="Y19" s="47" t="s">
        <v>296</v>
      </c>
      <c r="Z19" s="47"/>
      <c r="AA19" s="47" t="s">
        <v>296</v>
      </c>
      <c r="AB19" s="47"/>
      <c r="AC19" s="47" t="s">
        <v>35</v>
      </c>
      <c r="AD19" s="49" t="e">
        <f>VLOOKUP(E19,sheet1!$B$2:$C$3209,2,FALSE)</f>
        <v>#N/A</v>
      </c>
      <c r="AE19" s="49"/>
      <c r="AF19" s="50" t="s">
        <v>346</v>
      </c>
      <c r="AG19" s="50" t="s">
        <v>344</v>
      </c>
      <c r="AH19" s="49" t="str">
        <f t="shared" si="0"/>
        <v>与信再更新申請書データ抽出</v>
      </c>
      <c r="AI19" s="49"/>
      <c r="AJ19" s="49"/>
      <c r="AK19" s="49"/>
      <c r="AL19" s="49"/>
      <c r="AM19" s="49"/>
      <c r="AN19" s="49"/>
      <c r="AO19" s="51" t="str">
        <f t="shared" si="1"/>
        <v>与信再更新申請書データ抽出</v>
      </c>
      <c r="AP19" s="51" t="str">
        <f t="shared" si="2"/>
        <v>Query</v>
      </c>
      <c r="AQ19" s="51" t="s">
        <v>346</v>
      </c>
      <c r="AR19" s="51" t="s">
        <v>344</v>
      </c>
      <c r="AS19" s="49" t="str">
        <f t="shared" si="3"/>
        <v>与信再更新申請書データ抽出</v>
      </c>
      <c r="AT19" s="49" t="str">
        <f t="shared" si="4"/>
        <v>Query</v>
      </c>
      <c r="AU19" s="51" t="s">
        <v>346</v>
      </c>
      <c r="AV19" s="51" t="s">
        <v>344</v>
      </c>
    </row>
    <row r="20" spans="1:48" ht="18" customHeight="1">
      <c r="A20" s="44">
        <v>18</v>
      </c>
      <c r="B20" s="52" t="s">
        <v>292</v>
      </c>
      <c r="C20" s="52" t="s">
        <v>293</v>
      </c>
      <c r="D20" s="54" t="s">
        <v>316</v>
      </c>
      <c r="E20" s="55" t="s">
        <v>344</v>
      </c>
      <c r="F20" s="44" t="s">
        <v>347</v>
      </c>
      <c r="G20" s="44"/>
      <c r="H20" s="44"/>
      <c r="I20" s="44"/>
      <c r="J20" s="47"/>
      <c r="K20" s="47" t="s">
        <v>35</v>
      </c>
      <c r="L20" s="47"/>
      <c r="M20" s="47"/>
      <c r="N20" s="47" t="s">
        <v>35</v>
      </c>
      <c r="O20" s="44"/>
      <c r="P20" s="44"/>
      <c r="Q20" s="48" t="e">
        <f>VLOOKUP(E20,sheet1!$B$2:$D$3209,3,FALSE)</f>
        <v>#N/A</v>
      </c>
      <c r="R20" s="47" t="s">
        <v>35</v>
      </c>
      <c r="S20" s="47" t="s">
        <v>35</v>
      </c>
      <c r="T20" s="47" t="s">
        <v>35</v>
      </c>
      <c r="U20" s="47" t="s">
        <v>35</v>
      </c>
      <c r="V20" s="47" t="s">
        <v>35</v>
      </c>
      <c r="W20" s="47" t="s">
        <v>296</v>
      </c>
      <c r="X20" s="47" t="s">
        <v>296</v>
      </c>
      <c r="Y20" s="47" t="s">
        <v>296</v>
      </c>
      <c r="Z20" s="47"/>
      <c r="AA20" s="47" t="s">
        <v>296</v>
      </c>
      <c r="AB20" s="47"/>
      <c r="AC20" s="47" t="s">
        <v>35</v>
      </c>
      <c r="AD20" s="49" t="e">
        <f>VLOOKUP(E20,sheet1!$B$2:$C$3209,2,FALSE)</f>
        <v>#N/A</v>
      </c>
      <c r="AE20" s="49"/>
      <c r="AF20" s="50" t="s">
        <v>348</v>
      </c>
      <c r="AG20" s="50" t="s">
        <v>344</v>
      </c>
      <c r="AH20" s="49" t="str">
        <f t="shared" si="0"/>
        <v>与信決裁内容ＤＬ　日付指定JCM</v>
      </c>
      <c r="AI20" s="49"/>
      <c r="AJ20" s="49"/>
      <c r="AK20" s="49"/>
      <c r="AL20" s="49"/>
      <c r="AM20" s="49"/>
      <c r="AN20" s="49"/>
      <c r="AO20" s="51" t="str">
        <f t="shared" si="1"/>
        <v>与信決裁内容ＤＬ　日付指定JCM</v>
      </c>
      <c r="AP20" s="51" t="str">
        <f t="shared" si="2"/>
        <v>Query</v>
      </c>
      <c r="AQ20" s="51" t="s">
        <v>348</v>
      </c>
      <c r="AR20" s="51" t="s">
        <v>344</v>
      </c>
      <c r="AS20" s="49" t="str">
        <f t="shared" si="3"/>
        <v>与信決裁内容ＤＬ　日付指定JCM</v>
      </c>
      <c r="AT20" s="49" t="str">
        <f t="shared" si="4"/>
        <v>Query</v>
      </c>
      <c r="AU20" s="51" t="s">
        <v>348</v>
      </c>
      <c r="AV20" s="51" t="s">
        <v>344</v>
      </c>
    </row>
    <row r="21" spans="1:48" ht="18" customHeight="1">
      <c r="A21" s="44">
        <v>19</v>
      </c>
      <c r="B21" s="52" t="s">
        <v>292</v>
      </c>
      <c r="C21" s="52" t="s">
        <v>293</v>
      </c>
      <c r="D21" s="54" t="s">
        <v>316</v>
      </c>
      <c r="E21" s="55" t="s">
        <v>344</v>
      </c>
      <c r="F21" s="44" t="s">
        <v>349</v>
      </c>
      <c r="G21" s="44"/>
      <c r="H21" s="44"/>
      <c r="I21" s="44"/>
      <c r="J21" s="47"/>
      <c r="K21" s="47" t="s">
        <v>35</v>
      </c>
      <c r="L21" s="47"/>
      <c r="M21" s="47"/>
      <c r="N21" s="47" t="s">
        <v>35</v>
      </c>
      <c r="O21" s="44"/>
      <c r="P21" s="44"/>
      <c r="Q21" s="48" t="e">
        <f>VLOOKUP(E21,sheet1!$B$2:$D$3209,3,FALSE)</f>
        <v>#N/A</v>
      </c>
      <c r="R21" s="47" t="s">
        <v>35</v>
      </c>
      <c r="S21" s="47" t="s">
        <v>35</v>
      </c>
      <c r="T21" s="47" t="s">
        <v>35</v>
      </c>
      <c r="U21" s="47" t="s">
        <v>35</v>
      </c>
      <c r="V21" s="47" t="s">
        <v>35</v>
      </c>
      <c r="W21" s="47" t="s">
        <v>296</v>
      </c>
      <c r="X21" s="47" t="s">
        <v>296</v>
      </c>
      <c r="Y21" s="47" t="s">
        <v>296</v>
      </c>
      <c r="Z21" s="47"/>
      <c r="AA21" s="47" t="s">
        <v>296</v>
      </c>
      <c r="AB21" s="47"/>
      <c r="AC21" s="47" t="s">
        <v>35</v>
      </c>
      <c r="AD21" s="49" t="e">
        <f>VLOOKUP(E21,sheet1!$B$2:$C$3209,2,FALSE)</f>
        <v>#N/A</v>
      </c>
      <c r="AE21" s="49"/>
      <c r="AF21" s="50" t="s">
        <v>350</v>
      </c>
      <c r="AG21" s="50" t="s">
        <v>344</v>
      </c>
      <c r="AH21" s="49" t="str">
        <f t="shared" si="0"/>
        <v>与信決裁内容ＤＬ　日付指定JS</v>
      </c>
      <c r="AI21" s="49"/>
      <c r="AJ21" s="49"/>
      <c r="AK21" s="49"/>
      <c r="AL21" s="49"/>
      <c r="AM21" s="49"/>
      <c r="AN21" s="49"/>
      <c r="AO21" s="51" t="str">
        <f t="shared" si="1"/>
        <v>与信決裁内容ＤＬ　日付指定JS</v>
      </c>
      <c r="AP21" s="51" t="str">
        <f t="shared" si="2"/>
        <v>Query</v>
      </c>
      <c r="AQ21" s="51" t="s">
        <v>350</v>
      </c>
      <c r="AR21" s="51" t="s">
        <v>344</v>
      </c>
      <c r="AS21" s="49" t="str">
        <f t="shared" si="3"/>
        <v>与信決裁内容ＤＬ　日付指定JS</v>
      </c>
      <c r="AT21" s="49" t="str">
        <f t="shared" si="4"/>
        <v>Query</v>
      </c>
      <c r="AU21" s="51" t="s">
        <v>350</v>
      </c>
      <c r="AV21" s="51" t="s">
        <v>344</v>
      </c>
    </row>
    <row r="22" spans="1:48" ht="18" customHeight="1">
      <c r="A22" s="44">
        <v>20</v>
      </c>
      <c r="B22" s="52" t="s">
        <v>292</v>
      </c>
      <c r="C22" s="52" t="s">
        <v>293</v>
      </c>
      <c r="D22" s="44" t="s">
        <v>116</v>
      </c>
      <c r="E22" s="44" t="s">
        <v>351</v>
      </c>
      <c r="F22" s="44" t="s">
        <v>352</v>
      </c>
      <c r="G22" s="44"/>
      <c r="H22" s="44"/>
      <c r="I22" s="44"/>
      <c r="J22" s="47" t="s">
        <v>35</v>
      </c>
      <c r="K22" s="47"/>
      <c r="L22" s="47"/>
      <c r="M22" s="47"/>
      <c r="N22" s="47"/>
      <c r="O22" s="44"/>
      <c r="P22" s="44"/>
      <c r="Q22" s="48">
        <f>VLOOKUP(E22,sheet1!$B$2:$D$3209,3,FALSE)</f>
        <v>1485</v>
      </c>
      <c r="R22" s="47" t="s">
        <v>35</v>
      </c>
      <c r="S22" s="47" t="s">
        <v>35</v>
      </c>
      <c r="T22" s="47" t="s">
        <v>35</v>
      </c>
      <c r="U22" s="47" t="s">
        <v>35</v>
      </c>
      <c r="V22" s="47" t="s">
        <v>35</v>
      </c>
      <c r="W22" s="47" t="s">
        <v>296</v>
      </c>
      <c r="X22" s="47" t="s">
        <v>296</v>
      </c>
      <c r="Y22" s="47" t="s">
        <v>296</v>
      </c>
      <c r="Z22" s="47"/>
      <c r="AA22" s="47" t="s">
        <v>296</v>
      </c>
      <c r="AB22" s="47"/>
      <c r="AC22" s="47" t="s">
        <v>35</v>
      </c>
      <c r="AD22" s="49" t="str">
        <f>VLOOKUP(E22,sheet1!$B$2:$C$3209,2,FALSE)</f>
        <v>得意先マスターメンテナンス</v>
      </c>
      <c r="AE22" s="49"/>
      <c r="AF22" s="50" t="s">
        <v>353</v>
      </c>
      <c r="AG22" s="50" t="s">
        <v>351</v>
      </c>
      <c r="AH22" s="49" t="str">
        <f t="shared" si="0"/>
        <v>得意先マスタ保守</v>
      </c>
      <c r="AI22" s="49"/>
      <c r="AJ22" s="49"/>
      <c r="AK22" s="49"/>
      <c r="AL22" s="49"/>
      <c r="AM22" s="49"/>
      <c r="AN22" s="49"/>
      <c r="AO22" s="51" t="str">
        <f t="shared" si="1"/>
        <v>得意先マスタ保守</v>
      </c>
      <c r="AP22" s="51" t="str">
        <f t="shared" si="2"/>
        <v>PD0132</v>
      </c>
      <c r="AQ22" s="51" t="s">
        <v>353</v>
      </c>
      <c r="AR22" s="51" t="s">
        <v>351</v>
      </c>
      <c r="AS22" s="49" t="str">
        <f t="shared" si="3"/>
        <v>得意先マスタ保守</v>
      </c>
      <c r="AT22" s="49" t="str">
        <f t="shared" si="4"/>
        <v>PD0132</v>
      </c>
      <c r="AU22" s="51" t="s">
        <v>353</v>
      </c>
      <c r="AV22" s="51" t="s">
        <v>351</v>
      </c>
    </row>
    <row r="23" spans="1:48" ht="18" customHeight="1">
      <c r="A23" s="44">
        <v>21</v>
      </c>
      <c r="B23" s="52" t="s">
        <v>292</v>
      </c>
      <c r="C23" s="52" t="s">
        <v>293</v>
      </c>
      <c r="D23" s="46" t="s">
        <v>116</v>
      </c>
      <c r="E23" s="44" t="s">
        <v>354</v>
      </c>
      <c r="F23" s="44" t="s">
        <v>355</v>
      </c>
      <c r="G23" s="44"/>
      <c r="H23" s="44"/>
      <c r="I23" s="44"/>
      <c r="J23" s="47" t="s">
        <v>35</v>
      </c>
      <c r="K23" s="47"/>
      <c r="L23" s="47"/>
      <c r="M23" s="47"/>
      <c r="N23" s="47"/>
      <c r="O23" s="44"/>
      <c r="P23" s="44"/>
      <c r="Q23" s="48">
        <f>VLOOKUP(E23,sheet1!$B$2:$D$3209,3,FALSE)</f>
        <v>688</v>
      </c>
      <c r="R23" s="47" t="s">
        <v>35</v>
      </c>
      <c r="S23" s="47" t="s">
        <v>296</v>
      </c>
      <c r="T23" s="47" t="s">
        <v>35</v>
      </c>
      <c r="U23" s="47" t="s">
        <v>296</v>
      </c>
      <c r="V23" s="47" t="s">
        <v>35</v>
      </c>
      <c r="W23" s="47" t="s">
        <v>296</v>
      </c>
      <c r="X23" s="47" t="s">
        <v>296</v>
      </c>
      <c r="Y23" s="47" t="s">
        <v>296</v>
      </c>
      <c r="Z23" s="47"/>
      <c r="AA23" s="47" t="s">
        <v>296</v>
      </c>
      <c r="AB23" s="47" t="s">
        <v>35</v>
      </c>
      <c r="AC23" s="47" t="s">
        <v>35</v>
      </c>
      <c r="AD23" s="49" t="str">
        <f>VLOOKUP(E23,sheet1!$B$2:$C$3209,2,FALSE)</f>
        <v>品目・販売課関連マスターメンテナンス</v>
      </c>
      <c r="AE23" s="49"/>
      <c r="AF23" s="50" t="s">
        <v>356</v>
      </c>
      <c r="AG23" s="50" t="s">
        <v>354</v>
      </c>
      <c r="AH23" s="49" t="str">
        <f t="shared" si="0"/>
        <v>品目・販売課関連ﾏｽﾀｰ</v>
      </c>
      <c r="AI23" s="49"/>
      <c r="AJ23" s="49"/>
      <c r="AK23" s="49"/>
      <c r="AL23" s="49"/>
      <c r="AM23" s="49"/>
      <c r="AN23" s="49"/>
      <c r="AO23" s="51" t="str">
        <f t="shared" si="1"/>
        <v/>
      </c>
      <c r="AP23" s="51" t="str">
        <f t="shared" si="2"/>
        <v/>
      </c>
      <c r="AQ23" s="51"/>
      <c r="AR23" s="51"/>
      <c r="AS23" s="49" t="str">
        <f t="shared" si="3"/>
        <v/>
      </c>
      <c r="AT23" s="49" t="str">
        <f t="shared" si="4"/>
        <v/>
      </c>
      <c r="AU23" s="51"/>
      <c r="AV23" s="51"/>
    </row>
    <row r="24" spans="1:48" ht="18" customHeight="1">
      <c r="A24" s="44">
        <v>22</v>
      </c>
      <c r="B24" s="52" t="s">
        <v>292</v>
      </c>
      <c r="C24" s="52" t="s">
        <v>293</v>
      </c>
      <c r="D24" s="46" t="s">
        <v>116</v>
      </c>
      <c r="E24" s="44" t="s">
        <v>357</v>
      </c>
      <c r="F24" s="44" t="s">
        <v>358</v>
      </c>
      <c r="G24" s="44"/>
      <c r="H24" s="44"/>
      <c r="I24" s="44"/>
      <c r="J24" s="47" t="s">
        <v>35</v>
      </c>
      <c r="K24" s="47"/>
      <c r="L24" s="47"/>
      <c r="M24" s="47"/>
      <c r="N24" s="47"/>
      <c r="O24" s="44"/>
      <c r="P24" s="44"/>
      <c r="Q24" s="48">
        <f>VLOOKUP(E24,sheet1!$B$2:$D$3209,3,FALSE)</f>
        <v>673</v>
      </c>
      <c r="R24" s="47" t="s">
        <v>35</v>
      </c>
      <c r="S24" s="47" t="s">
        <v>296</v>
      </c>
      <c r="T24" s="47" t="s">
        <v>35</v>
      </c>
      <c r="U24" s="47" t="s">
        <v>296</v>
      </c>
      <c r="V24" s="47" t="s">
        <v>35</v>
      </c>
      <c r="W24" s="47" t="s">
        <v>296</v>
      </c>
      <c r="X24" s="47" t="s">
        <v>296</v>
      </c>
      <c r="Y24" s="47" t="s">
        <v>296</v>
      </c>
      <c r="Z24" s="47"/>
      <c r="AA24" s="47" t="s">
        <v>296</v>
      </c>
      <c r="AB24" s="47" t="s">
        <v>35</v>
      </c>
      <c r="AC24" s="47" t="s">
        <v>35</v>
      </c>
      <c r="AD24" s="49" t="str">
        <f>VLOOKUP(E24,sheet1!$B$2:$C$3209,2,FALSE)</f>
        <v>シリアルＮＯ付加情報マスターメンテナンス</v>
      </c>
      <c r="AE24" s="49"/>
      <c r="AF24" s="50" t="s">
        <v>359</v>
      </c>
      <c r="AG24" s="50" t="s">
        <v>357</v>
      </c>
      <c r="AH24" s="49" t="str">
        <f t="shared" si="0"/>
        <v>ｼﾘｱﾙ NO付加情報ﾏｽﾀｰ</v>
      </c>
      <c r="AI24" s="49"/>
      <c r="AJ24" s="49"/>
      <c r="AK24" s="49"/>
      <c r="AL24" s="49"/>
      <c r="AM24" s="49"/>
      <c r="AN24" s="49"/>
      <c r="AO24" s="51" t="str">
        <f t="shared" si="1"/>
        <v/>
      </c>
      <c r="AP24" s="51" t="str">
        <f t="shared" si="2"/>
        <v/>
      </c>
      <c r="AQ24" s="51"/>
      <c r="AR24" s="51"/>
      <c r="AS24" s="49" t="str">
        <f t="shared" si="3"/>
        <v/>
      </c>
      <c r="AT24" s="49" t="str">
        <f t="shared" si="4"/>
        <v/>
      </c>
      <c r="AU24" s="51"/>
      <c r="AV24" s="51"/>
    </row>
    <row r="25" spans="1:48" ht="18" customHeight="1">
      <c r="A25" s="44">
        <v>23</v>
      </c>
      <c r="B25" s="52" t="s">
        <v>292</v>
      </c>
      <c r="C25" s="52" t="s">
        <v>293</v>
      </c>
      <c r="D25" s="46" t="s">
        <v>116</v>
      </c>
      <c r="E25" s="44" t="s">
        <v>360</v>
      </c>
      <c r="F25" s="44" t="s">
        <v>361</v>
      </c>
      <c r="G25" s="44"/>
      <c r="H25" s="44"/>
      <c r="I25" s="44"/>
      <c r="J25" s="47" t="s">
        <v>35</v>
      </c>
      <c r="K25" s="47"/>
      <c r="L25" s="47"/>
      <c r="M25" s="47"/>
      <c r="N25" s="47"/>
      <c r="O25" s="44"/>
      <c r="P25" s="44"/>
      <c r="Q25" s="48">
        <f>VLOOKUP(E25,sheet1!$B$2:$D$3209,3,FALSE)</f>
        <v>666</v>
      </c>
      <c r="R25" s="47" t="s">
        <v>35</v>
      </c>
      <c r="S25" s="47" t="s">
        <v>296</v>
      </c>
      <c r="T25" s="47" t="s">
        <v>35</v>
      </c>
      <c r="U25" s="47" t="s">
        <v>296</v>
      </c>
      <c r="V25" s="47" t="s">
        <v>35</v>
      </c>
      <c r="W25" s="47" t="s">
        <v>296</v>
      </c>
      <c r="X25" s="47" t="s">
        <v>296</v>
      </c>
      <c r="Y25" s="47" t="s">
        <v>296</v>
      </c>
      <c r="Z25" s="47"/>
      <c r="AA25" s="47" t="s">
        <v>296</v>
      </c>
      <c r="AB25" s="47" t="s">
        <v>35</v>
      </c>
      <c r="AC25" s="47" t="s">
        <v>35</v>
      </c>
      <c r="AD25" s="49" t="str">
        <f>VLOOKUP(E25,sheet1!$B$2:$C$3209,2,FALSE)</f>
        <v>荷姿マスターメンテナンス</v>
      </c>
      <c r="AE25" s="49"/>
      <c r="AF25" s="50" t="s">
        <v>362</v>
      </c>
      <c r="AG25" s="50" t="s">
        <v>360</v>
      </c>
      <c r="AH25" s="49" t="str">
        <f t="shared" si="0"/>
        <v>荷姿マスター</v>
      </c>
      <c r="AI25" s="49"/>
      <c r="AJ25" s="49"/>
      <c r="AK25" s="49"/>
      <c r="AL25" s="49"/>
      <c r="AM25" s="49"/>
      <c r="AN25" s="49"/>
      <c r="AO25" s="51" t="str">
        <f t="shared" si="1"/>
        <v/>
      </c>
      <c r="AP25" s="51" t="str">
        <f t="shared" si="2"/>
        <v/>
      </c>
      <c r="AQ25" s="51"/>
      <c r="AR25" s="51"/>
      <c r="AS25" s="49" t="str">
        <f t="shared" si="3"/>
        <v/>
      </c>
      <c r="AT25" s="49" t="str">
        <f t="shared" si="4"/>
        <v/>
      </c>
      <c r="AU25" s="51"/>
      <c r="AV25" s="51"/>
    </row>
    <row r="26" spans="1:48" ht="18" customHeight="1">
      <c r="A26" s="44">
        <v>24</v>
      </c>
      <c r="B26" s="52" t="s">
        <v>292</v>
      </c>
      <c r="C26" s="52" t="s">
        <v>293</v>
      </c>
      <c r="D26" s="46" t="s">
        <v>116</v>
      </c>
      <c r="E26" s="44" t="s">
        <v>363</v>
      </c>
      <c r="F26" s="44" t="s">
        <v>364</v>
      </c>
      <c r="G26" s="44"/>
      <c r="H26" s="44"/>
      <c r="I26" s="44"/>
      <c r="J26" s="47" t="s">
        <v>35</v>
      </c>
      <c r="K26" s="47"/>
      <c r="L26" s="47"/>
      <c r="M26" s="47"/>
      <c r="N26" s="47"/>
      <c r="O26" s="44"/>
      <c r="P26" s="44"/>
      <c r="Q26" s="48">
        <f>VLOOKUP(E26,sheet1!$B$2:$D$3209,3,FALSE)</f>
        <v>613</v>
      </c>
      <c r="R26" s="47" t="s">
        <v>35</v>
      </c>
      <c r="S26" s="47" t="s">
        <v>296</v>
      </c>
      <c r="T26" s="47" t="s">
        <v>35</v>
      </c>
      <c r="U26" s="47" t="s">
        <v>296</v>
      </c>
      <c r="V26" s="47" t="s">
        <v>35</v>
      </c>
      <c r="W26" s="47" t="s">
        <v>296</v>
      </c>
      <c r="X26" s="47" t="s">
        <v>296</v>
      </c>
      <c r="Y26" s="47" t="s">
        <v>296</v>
      </c>
      <c r="Z26" s="47"/>
      <c r="AA26" s="47" t="s">
        <v>296</v>
      </c>
      <c r="AB26" s="47" t="s">
        <v>35</v>
      </c>
      <c r="AC26" s="47" t="s">
        <v>35</v>
      </c>
      <c r="AD26" s="49" t="str">
        <f>VLOOKUP(E26,sheet1!$B$2:$C$3209,2,FALSE)</f>
        <v>自動引当可能課マスターメンテナンス</v>
      </c>
      <c r="AE26" s="49"/>
      <c r="AF26" s="50" t="s">
        <v>365</v>
      </c>
      <c r="AG26" s="50" t="s">
        <v>363</v>
      </c>
      <c r="AH26" s="49" t="str">
        <f t="shared" si="0"/>
        <v>自動引当可能課マスター</v>
      </c>
      <c r="AI26" s="49"/>
      <c r="AJ26" s="49"/>
      <c r="AK26" s="49"/>
      <c r="AL26" s="49"/>
      <c r="AM26" s="49"/>
      <c r="AN26" s="49"/>
      <c r="AO26" s="51" t="str">
        <f t="shared" si="1"/>
        <v/>
      </c>
      <c r="AP26" s="51" t="str">
        <f t="shared" si="2"/>
        <v/>
      </c>
      <c r="AQ26" s="51"/>
      <c r="AR26" s="51"/>
      <c r="AS26" s="49" t="str">
        <f t="shared" si="3"/>
        <v/>
      </c>
      <c r="AT26" s="49" t="str">
        <f t="shared" si="4"/>
        <v/>
      </c>
      <c r="AU26" s="51"/>
      <c r="AV26" s="51"/>
    </row>
    <row r="27" spans="1:48" ht="18" customHeight="1">
      <c r="A27" s="44">
        <v>25</v>
      </c>
      <c r="B27" s="52" t="s">
        <v>292</v>
      </c>
      <c r="C27" s="52" t="s">
        <v>293</v>
      </c>
      <c r="D27" s="46" t="s">
        <v>116</v>
      </c>
      <c r="E27" s="44" t="s">
        <v>366</v>
      </c>
      <c r="F27" s="44" t="s">
        <v>367</v>
      </c>
      <c r="G27" s="44"/>
      <c r="H27" s="44"/>
      <c r="I27" s="44"/>
      <c r="J27" s="47" t="s">
        <v>35</v>
      </c>
      <c r="K27" s="47"/>
      <c r="L27" s="47"/>
      <c r="M27" s="47"/>
      <c r="N27" s="47"/>
      <c r="O27" s="44"/>
      <c r="P27" s="44"/>
      <c r="Q27" s="48">
        <f>VLOOKUP(E27,sheet1!$B$2:$D$3209,3,FALSE)</f>
        <v>243</v>
      </c>
      <c r="R27" s="47" t="s">
        <v>35</v>
      </c>
      <c r="S27" s="47" t="s">
        <v>35</v>
      </c>
      <c r="T27" s="47" t="s">
        <v>35</v>
      </c>
      <c r="U27" s="47" t="s">
        <v>35</v>
      </c>
      <c r="V27" s="47" t="s">
        <v>35</v>
      </c>
      <c r="W27" s="47" t="s">
        <v>296</v>
      </c>
      <c r="X27" s="47" t="s">
        <v>296</v>
      </c>
      <c r="Y27" s="47" t="s">
        <v>296</v>
      </c>
      <c r="Z27" s="47"/>
      <c r="AA27" s="47" t="s">
        <v>296</v>
      </c>
      <c r="AB27" s="47" t="s">
        <v>35</v>
      </c>
      <c r="AC27" s="47" t="s">
        <v>35</v>
      </c>
      <c r="AD27" s="49" t="str">
        <f>VLOOKUP(E27,sheet1!$B$2:$C$3209,2,FALSE)</f>
        <v>不具合内容マスターメンテ</v>
      </c>
      <c r="AE27" s="49"/>
      <c r="AF27" s="50" t="s">
        <v>368</v>
      </c>
      <c r="AG27" s="50" t="s">
        <v>366</v>
      </c>
      <c r="AH27" s="49" t="str">
        <f t="shared" si="0"/>
        <v>不具合内容マスター</v>
      </c>
      <c r="AI27" s="49"/>
      <c r="AJ27" s="49"/>
      <c r="AK27" s="49"/>
      <c r="AL27" s="49"/>
      <c r="AM27" s="49"/>
      <c r="AN27" s="49"/>
      <c r="AO27" s="51" t="str">
        <f t="shared" si="1"/>
        <v>不具合内容マスター</v>
      </c>
      <c r="AP27" s="51" t="str">
        <f t="shared" si="2"/>
        <v>SA0010</v>
      </c>
      <c r="AQ27" s="51" t="s">
        <v>368</v>
      </c>
      <c r="AR27" s="51" t="s">
        <v>366</v>
      </c>
      <c r="AS27" s="49" t="str">
        <f t="shared" si="3"/>
        <v>不具合内容マスター</v>
      </c>
      <c r="AT27" s="49" t="str">
        <f t="shared" si="4"/>
        <v>SA0010</v>
      </c>
      <c r="AU27" s="51" t="s">
        <v>368</v>
      </c>
      <c r="AV27" s="51" t="s">
        <v>366</v>
      </c>
    </row>
    <row r="28" spans="1:48" ht="18" customHeight="1">
      <c r="A28" s="44">
        <v>26</v>
      </c>
      <c r="B28" s="52" t="s">
        <v>292</v>
      </c>
      <c r="C28" s="52" t="s">
        <v>293</v>
      </c>
      <c r="D28" s="46" t="s">
        <v>116</v>
      </c>
      <c r="E28" s="44" t="s">
        <v>369</v>
      </c>
      <c r="F28" s="44" t="s">
        <v>370</v>
      </c>
      <c r="G28" s="44"/>
      <c r="H28" s="44"/>
      <c r="I28" s="44"/>
      <c r="J28" s="47" t="s">
        <v>35</v>
      </c>
      <c r="K28" s="47"/>
      <c r="L28" s="47"/>
      <c r="M28" s="47"/>
      <c r="N28" s="47"/>
      <c r="O28" s="44"/>
      <c r="P28" s="44"/>
      <c r="Q28" s="48">
        <f>VLOOKUP(E28,sheet1!$B$2:$D$3209,3,FALSE)</f>
        <v>242</v>
      </c>
      <c r="R28" s="47" t="s">
        <v>35</v>
      </c>
      <c r="S28" s="47" t="s">
        <v>35</v>
      </c>
      <c r="T28" s="47" t="s">
        <v>35</v>
      </c>
      <c r="U28" s="47" t="s">
        <v>35</v>
      </c>
      <c r="V28" s="47" t="s">
        <v>35</v>
      </c>
      <c r="W28" s="47" t="s">
        <v>296</v>
      </c>
      <c r="X28" s="47" t="s">
        <v>296</v>
      </c>
      <c r="Y28" s="47" t="s">
        <v>296</v>
      </c>
      <c r="Z28" s="47"/>
      <c r="AA28" s="47" t="s">
        <v>296</v>
      </c>
      <c r="AB28" s="47" t="s">
        <v>35</v>
      </c>
      <c r="AC28" s="47" t="s">
        <v>35</v>
      </c>
      <c r="AD28" s="49" t="str">
        <f>VLOOKUP(E28,sheet1!$B$2:$C$3209,2,FALSE)</f>
        <v>不具合原因マスターメンテ</v>
      </c>
      <c r="AE28" s="49"/>
      <c r="AF28" s="50" t="s">
        <v>371</v>
      </c>
      <c r="AG28" s="50" t="s">
        <v>369</v>
      </c>
      <c r="AH28" s="49" t="str">
        <f t="shared" si="0"/>
        <v>不具合原因マスター</v>
      </c>
      <c r="AI28" s="49"/>
      <c r="AJ28" s="49"/>
      <c r="AK28" s="49"/>
      <c r="AL28" s="49"/>
      <c r="AM28" s="49"/>
      <c r="AN28" s="49"/>
      <c r="AO28" s="51" t="str">
        <f t="shared" si="1"/>
        <v>不具合原因マスター</v>
      </c>
      <c r="AP28" s="51" t="str">
        <f t="shared" si="2"/>
        <v>SA0020</v>
      </c>
      <c r="AQ28" s="51" t="s">
        <v>371</v>
      </c>
      <c r="AR28" s="51" t="s">
        <v>369</v>
      </c>
      <c r="AS28" s="49" t="str">
        <f t="shared" si="3"/>
        <v>不具合原因マスター</v>
      </c>
      <c r="AT28" s="49" t="str">
        <f t="shared" si="4"/>
        <v>SA0020</v>
      </c>
      <c r="AU28" s="51" t="s">
        <v>371</v>
      </c>
      <c r="AV28" s="51" t="s">
        <v>369</v>
      </c>
    </row>
    <row r="29" spans="1:48" ht="18" customHeight="1">
      <c r="A29" s="44">
        <v>27</v>
      </c>
      <c r="B29" s="52" t="s">
        <v>292</v>
      </c>
      <c r="C29" s="52" t="s">
        <v>293</v>
      </c>
      <c r="D29" s="46" t="s">
        <v>116</v>
      </c>
      <c r="E29" s="44" t="s">
        <v>372</v>
      </c>
      <c r="F29" s="44" t="s">
        <v>373</v>
      </c>
      <c r="G29" s="44"/>
      <c r="H29" s="44"/>
      <c r="I29" s="44"/>
      <c r="J29" s="47" t="s">
        <v>35</v>
      </c>
      <c r="K29" s="47"/>
      <c r="L29" s="47"/>
      <c r="M29" s="47"/>
      <c r="N29" s="47"/>
      <c r="O29" s="44"/>
      <c r="P29" s="44"/>
      <c r="Q29" s="48">
        <f>VLOOKUP(E29,sheet1!$B$2:$D$3209,3,FALSE)</f>
        <v>243</v>
      </c>
      <c r="R29" s="47" t="s">
        <v>35</v>
      </c>
      <c r="S29" s="47" t="s">
        <v>35</v>
      </c>
      <c r="T29" s="47" t="s">
        <v>35</v>
      </c>
      <c r="U29" s="47" t="s">
        <v>35</v>
      </c>
      <c r="V29" s="47" t="s">
        <v>35</v>
      </c>
      <c r="W29" s="47" t="s">
        <v>296</v>
      </c>
      <c r="X29" s="47" t="s">
        <v>296</v>
      </c>
      <c r="Y29" s="47" t="s">
        <v>296</v>
      </c>
      <c r="Z29" s="47"/>
      <c r="AA29" s="47" t="s">
        <v>296</v>
      </c>
      <c r="AB29" s="47" t="s">
        <v>35</v>
      </c>
      <c r="AC29" s="47" t="s">
        <v>35</v>
      </c>
      <c r="AD29" s="49" t="str">
        <f>VLOOKUP(E29,sheet1!$B$2:$C$3209,2,FALSE)</f>
        <v>処置内容マスターメンテ</v>
      </c>
      <c r="AE29" s="49"/>
      <c r="AF29" s="50" t="s">
        <v>374</v>
      </c>
      <c r="AG29" s="50" t="s">
        <v>372</v>
      </c>
      <c r="AH29" s="49" t="str">
        <f t="shared" si="0"/>
        <v>処置内容マスター</v>
      </c>
      <c r="AI29" s="49"/>
      <c r="AJ29" s="49"/>
      <c r="AK29" s="49"/>
      <c r="AL29" s="49"/>
      <c r="AM29" s="49"/>
      <c r="AN29" s="49"/>
      <c r="AO29" s="51" t="str">
        <f t="shared" si="1"/>
        <v>処置内容マスター</v>
      </c>
      <c r="AP29" s="51" t="str">
        <f t="shared" si="2"/>
        <v>SA0030</v>
      </c>
      <c r="AQ29" s="51" t="s">
        <v>374</v>
      </c>
      <c r="AR29" s="51" t="s">
        <v>372</v>
      </c>
      <c r="AS29" s="49" t="str">
        <f t="shared" si="3"/>
        <v>処置内容マスター</v>
      </c>
      <c r="AT29" s="49" t="str">
        <f t="shared" si="4"/>
        <v>SA0030</v>
      </c>
      <c r="AU29" s="51" t="s">
        <v>374</v>
      </c>
      <c r="AV29" s="51" t="s">
        <v>372</v>
      </c>
    </row>
    <row r="30" spans="1:48" ht="18" customHeight="1">
      <c r="A30" s="44">
        <v>28</v>
      </c>
      <c r="B30" s="52" t="s">
        <v>292</v>
      </c>
      <c r="C30" s="52" t="s">
        <v>293</v>
      </c>
      <c r="D30" s="46" t="s">
        <v>116</v>
      </c>
      <c r="E30" s="44" t="s">
        <v>375</v>
      </c>
      <c r="F30" s="44" t="s">
        <v>376</v>
      </c>
      <c r="G30" s="44"/>
      <c r="H30" s="44"/>
      <c r="I30" s="44"/>
      <c r="J30" s="47" t="s">
        <v>35</v>
      </c>
      <c r="K30" s="47"/>
      <c r="L30" s="47"/>
      <c r="M30" s="47"/>
      <c r="N30" s="47"/>
      <c r="O30" s="44"/>
      <c r="P30" s="44"/>
      <c r="Q30" s="48">
        <f>VLOOKUP(E30,sheet1!$B$2:$D$3209,3,FALSE)</f>
        <v>1867</v>
      </c>
      <c r="R30" s="47" t="s">
        <v>35</v>
      </c>
      <c r="S30" s="47" t="s">
        <v>35</v>
      </c>
      <c r="T30" s="47" t="s">
        <v>35</v>
      </c>
      <c r="U30" s="47" t="s">
        <v>35</v>
      </c>
      <c r="V30" s="47" t="s">
        <v>35</v>
      </c>
      <c r="W30" s="47" t="s">
        <v>296</v>
      </c>
      <c r="X30" s="47" t="s">
        <v>296</v>
      </c>
      <c r="Y30" s="47" t="s">
        <v>296</v>
      </c>
      <c r="Z30" s="47"/>
      <c r="AA30" s="47" t="s">
        <v>296</v>
      </c>
      <c r="AB30" s="47" t="s">
        <v>35</v>
      </c>
      <c r="AC30" s="47" t="s">
        <v>35</v>
      </c>
      <c r="AD30" s="49" t="str">
        <f>VLOOKUP(E30,sheet1!$B$2:$C$3209,2,FALSE)</f>
        <v>保守契約マスターメンテ</v>
      </c>
      <c r="AE30" s="49"/>
      <c r="AF30" s="50" t="s">
        <v>377</v>
      </c>
      <c r="AG30" s="50" t="s">
        <v>375</v>
      </c>
      <c r="AH30" s="49" t="str">
        <f t="shared" si="0"/>
        <v>保守契約マスター</v>
      </c>
      <c r="AI30" s="49"/>
      <c r="AJ30" s="49"/>
      <c r="AK30" s="49"/>
      <c r="AL30" s="49"/>
      <c r="AM30" s="49"/>
      <c r="AN30" s="49"/>
      <c r="AO30" s="51" t="str">
        <f t="shared" si="1"/>
        <v>保守契約マスター</v>
      </c>
      <c r="AP30" s="51" t="str">
        <f t="shared" si="2"/>
        <v>SA0030</v>
      </c>
      <c r="AQ30" s="51" t="s">
        <v>377</v>
      </c>
      <c r="AR30" s="51" t="s">
        <v>372</v>
      </c>
      <c r="AS30" s="49" t="str">
        <f t="shared" si="3"/>
        <v>保守契約マスター</v>
      </c>
      <c r="AT30" s="49" t="str">
        <f t="shared" si="4"/>
        <v>SA0030</v>
      </c>
      <c r="AU30" s="51" t="s">
        <v>377</v>
      </c>
      <c r="AV30" s="51" t="s">
        <v>372</v>
      </c>
    </row>
    <row r="31" spans="1:48" ht="18" customHeight="1">
      <c r="A31" s="44">
        <v>29</v>
      </c>
      <c r="B31" s="52" t="s">
        <v>292</v>
      </c>
      <c r="C31" s="52" t="s">
        <v>293</v>
      </c>
      <c r="D31" s="46" t="s">
        <v>116</v>
      </c>
      <c r="E31" s="44" t="s">
        <v>378</v>
      </c>
      <c r="F31" s="44" t="s">
        <v>379</v>
      </c>
      <c r="G31" s="44"/>
      <c r="H31" s="44"/>
      <c r="I31" s="44"/>
      <c r="J31" s="47" t="s">
        <v>35</v>
      </c>
      <c r="K31" s="47"/>
      <c r="L31" s="47"/>
      <c r="M31" s="47"/>
      <c r="N31" s="47"/>
      <c r="O31" s="44"/>
      <c r="P31" s="44"/>
      <c r="Q31" s="48">
        <f>VLOOKUP(E31,sheet1!$B$2:$D$3209,3,FALSE)</f>
        <v>563</v>
      </c>
      <c r="R31" s="47" t="s">
        <v>35</v>
      </c>
      <c r="S31" s="47" t="s">
        <v>35</v>
      </c>
      <c r="T31" s="47" t="s">
        <v>35</v>
      </c>
      <c r="U31" s="47" t="s">
        <v>35</v>
      </c>
      <c r="V31" s="47" t="s">
        <v>35</v>
      </c>
      <c r="W31" s="47" t="s">
        <v>296</v>
      </c>
      <c r="X31" s="47" t="s">
        <v>296</v>
      </c>
      <c r="Y31" s="47" t="s">
        <v>296</v>
      </c>
      <c r="Z31" s="47" t="s">
        <v>35</v>
      </c>
      <c r="AA31" s="47" t="s">
        <v>296</v>
      </c>
      <c r="AB31" s="47" t="s">
        <v>35</v>
      </c>
      <c r="AC31" s="47" t="s">
        <v>35</v>
      </c>
      <c r="AD31" s="49" t="str">
        <f>VLOOKUP(E31,sheet1!$B$2:$C$3209,2,FALSE)</f>
        <v>ｼｽﾃﾑ式・単能式品目ﾌｧｲﾙﾒﾝﾃﾅﾝｽ</v>
      </c>
      <c r="AE31" s="49"/>
      <c r="AF31" s="50" t="s">
        <v>380</v>
      </c>
      <c r="AG31" s="50" t="s">
        <v>378</v>
      </c>
      <c r="AH31" s="49" t="str">
        <f t="shared" si="0"/>
        <v>ｼｽﾃﾑ式・単能式品目F</v>
      </c>
      <c r="AI31" s="49"/>
      <c r="AJ31" s="49"/>
      <c r="AK31" s="49"/>
      <c r="AL31" s="49"/>
      <c r="AM31" s="49"/>
      <c r="AN31" s="49"/>
      <c r="AO31" s="51" t="str">
        <f t="shared" si="1"/>
        <v>ｼｽﾃﾑ式・単能式品目F</v>
      </c>
      <c r="AP31" s="51" t="str">
        <f t="shared" si="2"/>
        <v>AC0032</v>
      </c>
      <c r="AQ31" s="51" t="s">
        <v>381</v>
      </c>
      <c r="AR31" s="51" t="s">
        <v>378</v>
      </c>
      <c r="AS31" s="49" t="str">
        <f t="shared" si="3"/>
        <v>ｼｽﾃﾑ式・単能式品目F</v>
      </c>
      <c r="AT31" s="49" t="str">
        <f t="shared" si="4"/>
        <v>AC0032</v>
      </c>
      <c r="AU31" s="51" t="s">
        <v>381</v>
      </c>
      <c r="AV31" s="51" t="s">
        <v>378</v>
      </c>
    </row>
    <row r="32" spans="1:48" ht="18" customHeight="1">
      <c r="A32" s="44">
        <v>30</v>
      </c>
      <c r="B32" s="52" t="s">
        <v>292</v>
      </c>
      <c r="C32" s="45" t="s">
        <v>382</v>
      </c>
      <c r="D32" s="46" t="s">
        <v>116</v>
      </c>
      <c r="E32" s="44" t="s">
        <v>383</v>
      </c>
      <c r="F32" s="44" t="s">
        <v>384</v>
      </c>
      <c r="G32" s="44"/>
      <c r="H32" s="44"/>
      <c r="I32" s="44"/>
      <c r="J32" s="47" t="s">
        <v>35</v>
      </c>
      <c r="K32" s="47"/>
      <c r="L32" s="47"/>
      <c r="M32" s="47"/>
      <c r="N32" s="47"/>
      <c r="O32" s="44"/>
      <c r="P32" s="44"/>
      <c r="Q32" s="48">
        <f>VLOOKUP(E32,sheet1!$B$2:$D$3209,3,FALSE)</f>
        <v>387</v>
      </c>
      <c r="R32" s="47" t="s">
        <v>35</v>
      </c>
      <c r="S32" s="47" t="s">
        <v>35</v>
      </c>
      <c r="T32" s="47" t="s">
        <v>35</v>
      </c>
      <c r="U32" s="47" t="s">
        <v>35</v>
      </c>
      <c r="V32" s="47" t="s">
        <v>35</v>
      </c>
      <c r="W32" s="47" t="s">
        <v>296</v>
      </c>
      <c r="X32" s="47" t="s">
        <v>296</v>
      </c>
      <c r="Y32" s="47" t="s">
        <v>296</v>
      </c>
      <c r="Z32" s="47" t="s">
        <v>35</v>
      </c>
      <c r="AA32" s="47" t="s">
        <v>296</v>
      </c>
      <c r="AB32" s="47" t="s">
        <v>35</v>
      </c>
      <c r="AC32" s="47" t="s">
        <v>35</v>
      </c>
      <c r="AD32" s="49" t="str">
        <f>VLOOKUP(E32,sheet1!$B$2:$C$3209,2,FALSE)</f>
        <v>与信マスター照会（１）</v>
      </c>
      <c r="AE32" s="49"/>
      <c r="AF32" s="56" t="s">
        <v>385</v>
      </c>
      <c r="AG32" s="56" t="s">
        <v>383</v>
      </c>
      <c r="AH32" s="49" t="str">
        <f t="shared" si="0"/>
        <v>与信マスター・親得意</v>
      </c>
      <c r="AI32" s="49"/>
      <c r="AJ32" s="49"/>
      <c r="AK32" s="49"/>
      <c r="AL32" s="49" t="str">
        <f t="shared" ref="AL32:AL151" si="5">TRIM(AN32)</f>
        <v>与信マスター・親得意</v>
      </c>
      <c r="AM32" s="49" t="s">
        <v>35</v>
      </c>
      <c r="AN32" s="49" t="s">
        <v>386</v>
      </c>
      <c r="AO32" s="51" t="str">
        <f t="shared" si="1"/>
        <v>与信マスター・親得意</v>
      </c>
      <c r="AP32" s="51" t="str">
        <f t="shared" si="2"/>
        <v>SA1540</v>
      </c>
      <c r="AQ32" s="36" t="s">
        <v>385</v>
      </c>
      <c r="AR32" s="51" t="s">
        <v>383</v>
      </c>
      <c r="AS32" s="49" t="str">
        <f t="shared" si="3"/>
        <v>与信マスター・親得意</v>
      </c>
      <c r="AT32" s="49" t="str">
        <f t="shared" si="4"/>
        <v>SA1540</v>
      </c>
      <c r="AU32" s="51" t="s">
        <v>385</v>
      </c>
      <c r="AV32" s="51" t="s">
        <v>383</v>
      </c>
    </row>
    <row r="33" spans="1:48" ht="18" customHeight="1">
      <c r="A33" s="44">
        <v>31</v>
      </c>
      <c r="B33" s="52" t="s">
        <v>292</v>
      </c>
      <c r="C33" s="52" t="s">
        <v>382</v>
      </c>
      <c r="D33" s="46" t="s">
        <v>116</v>
      </c>
      <c r="E33" s="44" t="s">
        <v>387</v>
      </c>
      <c r="F33" s="44" t="s">
        <v>388</v>
      </c>
      <c r="G33" s="44"/>
      <c r="H33" s="44"/>
      <c r="I33" s="44"/>
      <c r="J33" s="47" t="s">
        <v>35</v>
      </c>
      <c r="K33" s="47"/>
      <c r="L33" s="47"/>
      <c r="M33" s="47"/>
      <c r="N33" s="47"/>
      <c r="O33" s="44"/>
      <c r="P33" s="44"/>
      <c r="Q33" s="48">
        <f>VLOOKUP(E33,sheet1!$B$2:$D$3209,3,FALSE)</f>
        <v>429</v>
      </c>
      <c r="R33" s="47" t="s">
        <v>35</v>
      </c>
      <c r="S33" s="47" t="s">
        <v>35</v>
      </c>
      <c r="T33" s="47" t="s">
        <v>35</v>
      </c>
      <c r="U33" s="47" t="s">
        <v>35</v>
      </c>
      <c r="V33" s="47" t="s">
        <v>35</v>
      </c>
      <c r="W33" s="47" t="s">
        <v>296</v>
      </c>
      <c r="X33" s="47" t="s">
        <v>296</v>
      </c>
      <c r="Y33" s="47" t="s">
        <v>296</v>
      </c>
      <c r="Z33" s="47" t="s">
        <v>35</v>
      </c>
      <c r="AA33" s="47" t="s">
        <v>296</v>
      </c>
      <c r="AB33" s="47" t="s">
        <v>35</v>
      </c>
      <c r="AC33" s="47" t="s">
        <v>35</v>
      </c>
      <c r="AD33" s="49" t="str">
        <f>VLOOKUP(E33,sheet1!$B$2:$C$3209,2,FALSE)</f>
        <v>与信マスター照会（２）</v>
      </c>
      <c r="AE33" s="49"/>
      <c r="AF33" s="56" t="s">
        <v>389</v>
      </c>
      <c r="AG33" s="56" t="s">
        <v>387</v>
      </c>
      <c r="AH33" s="49" t="str">
        <f t="shared" si="0"/>
        <v>与信マスター・得意先</v>
      </c>
      <c r="AI33" s="49"/>
      <c r="AJ33" s="49"/>
      <c r="AK33" s="49"/>
      <c r="AL33" s="49" t="str">
        <f t="shared" si="5"/>
        <v>与信マスター・得意先</v>
      </c>
      <c r="AM33" s="49" t="s">
        <v>35</v>
      </c>
      <c r="AN33" s="49" t="s">
        <v>390</v>
      </c>
      <c r="AO33" s="51" t="str">
        <f t="shared" si="1"/>
        <v>与信マスター・得意先</v>
      </c>
      <c r="AP33" s="51" t="str">
        <f t="shared" si="2"/>
        <v>SA1550</v>
      </c>
      <c r="AQ33" s="51" t="s">
        <v>391</v>
      </c>
      <c r="AR33" s="51" t="s">
        <v>387</v>
      </c>
      <c r="AS33" s="49" t="str">
        <f t="shared" si="3"/>
        <v>与信マスター・得意先</v>
      </c>
      <c r="AT33" s="49" t="str">
        <f t="shared" si="4"/>
        <v>SA1550</v>
      </c>
      <c r="AU33" s="51" t="s">
        <v>389</v>
      </c>
      <c r="AV33" s="51" t="s">
        <v>387</v>
      </c>
    </row>
    <row r="34" spans="1:48" ht="18" customHeight="1">
      <c r="A34" s="44">
        <v>32</v>
      </c>
      <c r="B34" s="52" t="s">
        <v>292</v>
      </c>
      <c r="C34" s="52" t="s">
        <v>382</v>
      </c>
      <c r="D34" s="46" t="s">
        <v>116</v>
      </c>
      <c r="E34" s="44" t="s">
        <v>392</v>
      </c>
      <c r="F34" s="44" t="s">
        <v>299</v>
      </c>
      <c r="G34" s="44"/>
      <c r="H34" s="44"/>
      <c r="I34" s="44"/>
      <c r="J34" s="47" t="s">
        <v>35</v>
      </c>
      <c r="K34" s="47"/>
      <c r="L34" s="47"/>
      <c r="M34" s="47"/>
      <c r="N34" s="47"/>
      <c r="O34" s="44"/>
      <c r="P34" s="44"/>
      <c r="Q34" s="48">
        <f>VLOOKUP(E34,sheet1!$B$2:$D$3209,3,FALSE)</f>
        <v>500</v>
      </c>
      <c r="R34" s="47" t="s">
        <v>35</v>
      </c>
      <c r="S34" s="47" t="s">
        <v>35</v>
      </c>
      <c r="T34" s="47" t="s">
        <v>35</v>
      </c>
      <c r="U34" s="47" t="s">
        <v>35</v>
      </c>
      <c r="V34" s="47" t="s">
        <v>35</v>
      </c>
      <c r="W34" s="47" t="s">
        <v>296</v>
      </c>
      <c r="X34" s="47" t="s">
        <v>296</v>
      </c>
      <c r="Y34" s="47" t="s">
        <v>296</v>
      </c>
      <c r="Z34" s="47" t="s">
        <v>35</v>
      </c>
      <c r="AA34" s="47" t="s">
        <v>296</v>
      </c>
      <c r="AB34" s="47" t="s">
        <v>35</v>
      </c>
      <c r="AC34" s="47" t="s">
        <v>35</v>
      </c>
      <c r="AD34" s="49" t="str">
        <f>VLOOKUP(E34,sheet1!$B$2:$C$3209,2,FALSE)</f>
        <v>販売価格マスター照会</v>
      </c>
      <c r="AE34" s="49"/>
      <c r="AF34" s="56" t="s">
        <v>393</v>
      </c>
      <c r="AG34" s="56" t="s">
        <v>392</v>
      </c>
      <c r="AH34" s="49" t="str">
        <f t="shared" si="0"/>
        <v>販売価格マスター</v>
      </c>
      <c r="AI34" s="49"/>
      <c r="AJ34" s="49"/>
      <c r="AK34" s="49"/>
      <c r="AL34" s="49" t="str">
        <f t="shared" si="5"/>
        <v>販売価格マスター</v>
      </c>
      <c r="AM34" s="49" t="s">
        <v>35</v>
      </c>
      <c r="AN34" s="49" t="s">
        <v>394</v>
      </c>
      <c r="AO34" s="51" t="str">
        <f t="shared" si="1"/>
        <v>販売価格マスター</v>
      </c>
      <c r="AP34" s="51" t="str">
        <f t="shared" si="2"/>
        <v>SA1570</v>
      </c>
      <c r="AQ34" s="51" t="s">
        <v>395</v>
      </c>
      <c r="AR34" s="51" t="s">
        <v>392</v>
      </c>
      <c r="AS34" s="49" t="str">
        <f t="shared" si="3"/>
        <v>販売価格マスター</v>
      </c>
      <c r="AT34" s="49" t="str">
        <f t="shared" si="4"/>
        <v>SA1570</v>
      </c>
      <c r="AU34" s="51" t="s">
        <v>393</v>
      </c>
      <c r="AV34" s="51" t="s">
        <v>392</v>
      </c>
    </row>
    <row r="35" spans="1:48" ht="18" customHeight="1">
      <c r="A35" s="44">
        <v>33</v>
      </c>
      <c r="B35" s="52" t="s">
        <v>292</v>
      </c>
      <c r="C35" s="52" t="s">
        <v>382</v>
      </c>
      <c r="D35" s="46" t="s">
        <v>116</v>
      </c>
      <c r="E35" s="44" t="s">
        <v>396</v>
      </c>
      <c r="F35" s="44" t="s">
        <v>302</v>
      </c>
      <c r="G35" s="44"/>
      <c r="H35" s="44"/>
      <c r="I35" s="44"/>
      <c r="J35" s="47" t="s">
        <v>35</v>
      </c>
      <c r="K35" s="47"/>
      <c r="L35" s="47"/>
      <c r="M35" s="47"/>
      <c r="N35" s="47"/>
      <c r="O35" s="44"/>
      <c r="P35" s="44"/>
      <c r="Q35" s="48">
        <f>VLOOKUP(E35,sheet1!$B$2:$D$3209,3,FALSE)</f>
        <v>340</v>
      </c>
      <c r="R35" s="47" t="s">
        <v>35</v>
      </c>
      <c r="S35" s="47" t="s">
        <v>35</v>
      </c>
      <c r="T35" s="47" t="s">
        <v>35</v>
      </c>
      <c r="U35" s="47" t="s">
        <v>35</v>
      </c>
      <c r="V35" s="47" t="s">
        <v>35</v>
      </c>
      <c r="W35" s="47" t="s">
        <v>296</v>
      </c>
      <c r="X35" s="47" t="s">
        <v>296</v>
      </c>
      <c r="Y35" s="47" t="s">
        <v>296</v>
      </c>
      <c r="Z35" s="47" t="s">
        <v>35</v>
      </c>
      <c r="AA35" s="47" t="s">
        <v>296</v>
      </c>
      <c r="AB35" s="47" t="s">
        <v>35</v>
      </c>
      <c r="AC35" s="47" t="s">
        <v>35</v>
      </c>
      <c r="AD35" s="49" t="str">
        <f>VLOOKUP(E35,sheet1!$B$2:$C$3209,2,FALSE)</f>
        <v>値引限度額・率マスター照会</v>
      </c>
      <c r="AE35" s="49"/>
      <c r="AF35" s="56" t="s">
        <v>397</v>
      </c>
      <c r="AG35" s="56" t="s">
        <v>396</v>
      </c>
      <c r="AH35" s="49" t="str">
        <f t="shared" si="0"/>
        <v>値引限度率マスター</v>
      </c>
      <c r="AI35" s="49"/>
      <c r="AJ35" s="49"/>
      <c r="AK35" s="49"/>
      <c r="AL35" s="49" t="str">
        <f t="shared" si="5"/>
        <v>値引限度率マスター</v>
      </c>
      <c r="AM35" s="49" t="s">
        <v>35</v>
      </c>
      <c r="AN35" s="49" t="s">
        <v>398</v>
      </c>
      <c r="AO35" s="51" t="str">
        <f t="shared" si="1"/>
        <v>値引限度率マスター</v>
      </c>
      <c r="AP35" s="51" t="str">
        <f t="shared" si="2"/>
        <v>SA1630</v>
      </c>
      <c r="AQ35" s="51" t="s">
        <v>399</v>
      </c>
      <c r="AR35" s="51" t="s">
        <v>396</v>
      </c>
      <c r="AS35" s="49" t="str">
        <f t="shared" si="3"/>
        <v>値引限度率マスター</v>
      </c>
      <c r="AT35" s="49" t="str">
        <f t="shared" si="4"/>
        <v>SA1630</v>
      </c>
      <c r="AU35" s="51" t="s">
        <v>397</v>
      </c>
      <c r="AV35" s="51" t="s">
        <v>396</v>
      </c>
    </row>
    <row r="36" spans="1:48" ht="18" customHeight="1">
      <c r="A36" s="44">
        <v>34</v>
      </c>
      <c r="B36" s="52" t="s">
        <v>292</v>
      </c>
      <c r="C36" s="52" t="s">
        <v>382</v>
      </c>
      <c r="D36" s="46" t="s">
        <v>116</v>
      </c>
      <c r="E36" s="44" t="s">
        <v>400</v>
      </c>
      <c r="F36" s="44" t="s">
        <v>305</v>
      </c>
      <c r="G36" s="44"/>
      <c r="H36" s="44"/>
      <c r="I36" s="44"/>
      <c r="J36" s="47" t="s">
        <v>35</v>
      </c>
      <c r="K36" s="47"/>
      <c r="L36" s="47"/>
      <c r="M36" s="47"/>
      <c r="N36" s="47"/>
      <c r="O36" s="44"/>
      <c r="P36" s="44"/>
      <c r="Q36" s="48">
        <f>VLOOKUP(E36,sheet1!$B$2:$D$3209,3,FALSE)</f>
        <v>281</v>
      </c>
      <c r="R36" s="47" t="s">
        <v>35</v>
      </c>
      <c r="S36" s="47" t="s">
        <v>35</v>
      </c>
      <c r="T36" s="47" t="s">
        <v>35</v>
      </c>
      <c r="U36" s="47" t="s">
        <v>35</v>
      </c>
      <c r="V36" s="47" t="s">
        <v>35</v>
      </c>
      <c r="W36" s="47" t="s">
        <v>296</v>
      </c>
      <c r="X36" s="47" t="s">
        <v>296</v>
      </c>
      <c r="Y36" s="47" t="s">
        <v>296</v>
      </c>
      <c r="Z36" s="47" t="s">
        <v>35</v>
      </c>
      <c r="AA36" s="47" t="s">
        <v>296</v>
      </c>
      <c r="AB36" s="47" t="s">
        <v>35</v>
      </c>
      <c r="AC36" s="47" t="s">
        <v>35</v>
      </c>
      <c r="AD36" s="49" t="str">
        <f>VLOOKUP(E36,sheet1!$B$2:$C$3209,2,FALSE)</f>
        <v>修理作業費マスター照会</v>
      </c>
      <c r="AE36" s="49"/>
      <c r="AF36" s="56" t="s">
        <v>401</v>
      </c>
      <c r="AG36" s="56" t="s">
        <v>400</v>
      </c>
      <c r="AH36" s="49" t="str">
        <f t="shared" si="0"/>
        <v>修理作業費マスター</v>
      </c>
      <c r="AI36" s="49"/>
      <c r="AJ36" s="49"/>
      <c r="AK36" s="49"/>
      <c r="AL36" s="49" t="str">
        <f t="shared" si="5"/>
        <v>修理作業費マスター</v>
      </c>
      <c r="AM36" s="49" t="s">
        <v>35</v>
      </c>
      <c r="AN36" s="49" t="s">
        <v>402</v>
      </c>
      <c r="AO36" s="51" t="str">
        <f t="shared" si="1"/>
        <v>修理作業費マスター</v>
      </c>
      <c r="AP36" s="51" t="str">
        <f t="shared" si="2"/>
        <v>SA1590</v>
      </c>
      <c r="AQ36" s="51" t="s">
        <v>403</v>
      </c>
      <c r="AR36" s="51" t="s">
        <v>400</v>
      </c>
      <c r="AS36" s="49" t="str">
        <f t="shared" si="3"/>
        <v>修理作業費マスター</v>
      </c>
      <c r="AT36" s="49" t="str">
        <f t="shared" si="4"/>
        <v>SA1590</v>
      </c>
      <c r="AU36" s="51" t="s">
        <v>401</v>
      </c>
      <c r="AV36" s="51" t="s">
        <v>400</v>
      </c>
    </row>
    <row r="37" spans="1:48" ht="18" customHeight="1">
      <c r="A37" s="44">
        <v>35</v>
      </c>
      <c r="B37" s="52" t="s">
        <v>292</v>
      </c>
      <c r="C37" s="52" t="s">
        <v>382</v>
      </c>
      <c r="D37" s="46" t="s">
        <v>116</v>
      </c>
      <c r="E37" s="44" t="s">
        <v>404</v>
      </c>
      <c r="F37" s="44" t="s">
        <v>405</v>
      </c>
      <c r="G37" s="44"/>
      <c r="H37" s="44"/>
      <c r="I37" s="44"/>
      <c r="J37" s="47" t="s">
        <v>35</v>
      </c>
      <c r="K37" s="47"/>
      <c r="L37" s="47"/>
      <c r="M37" s="47"/>
      <c r="N37" s="47"/>
      <c r="O37" s="44"/>
      <c r="P37" s="44"/>
      <c r="Q37" s="48">
        <f>VLOOKUP(E37,sheet1!$B$2:$D$3209,3,FALSE)</f>
        <v>353</v>
      </c>
      <c r="R37" s="47" t="s">
        <v>35</v>
      </c>
      <c r="S37" s="47" t="s">
        <v>35</v>
      </c>
      <c r="T37" s="47" t="s">
        <v>35</v>
      </c>
      <c r="U37" s="47" t="s">
        <v>35</v>
      </c>
      <c r="V37" s="47" t="s">
        <v>35</v>
      </c>
      <c r="W37" s="47" t="s">
        <v>296</v>
      </c>
      <c r="X37" s="47" t="s">
        <v>296</v>
      </c>
      <c r="Y37" s="47" t="s">
        <v>296</v>
      </c>
      <c r="Z37" s="47" t="s">
        <v>35</v>
      </c>
      <c r="AA37" s="47" t="s">
        <v>296</v>
      </c>
      <c r="AB37" s="47" t="s">
        <v>35</v>
      </c>
      <c r="AC37" s="47" t="s">
        <v>35</v>
      </c>
      <c r="AD37" s="49" t="str">
        <f>VLOOKUP(E37,sheet1!$B$2:$C$3209,2,FALSE)</f>
        <v>販売引当優先順位マスター照会</v>
      </c>
      <c r="AE37" s="49"/>
      <c r="AF37" s="56" t="s">
        <v>406</v>
      </c>
      <c r="AG37" s="56" t="s">
        <v>404</v>
      </c>
      <c r="AH37" s="49" t="str">
        <f t="shared" si="0"/>
        <v>販売引当優先順位Ｍ</v>
      </c>
      <c r="AI37" s="49"/>
      <c r="AJ37" s="49"/>
      <c r="AK37" s="49"/>
      <c r="AL37" s="49" t="str">
        <f t="shared" si="5"/>
        <v>販売引当優先順位Ｍ</v>
      </c>
      <c r="AM37" s="49" t="s">
        <v>35</v>
      </c>
      <c r="AN37" s="49" t="s">
        <v>407</v>
      </c>
      <c r="AO37" s="51" t="str">
        <f t="shared" si="1"/>
        <v>販売引当優先順位Ｍ</v>
      </c>
      <c r="AP37" s="51" t="str">
        <f t="shared" si="2"/>
        <v>SA1660</v>
      </c>
      <c r="AQ37" s="51" t="s">
        <v>408</v>
      </c>
      <c r="AR37" s="51" t="s">
        <v>404</v>
      </c>
      <c r="AS37" s="49" t="str">
        <f t="shared" si="3"/>
        <v>販売引当優先順位Ｍ</v>
      </c>
      <c r="AT37" s="49" t="str">
        <f t="shared" si="4"/>
        <v>SA1660</v>
      </c>
      <c r="AU37" s="51" t="s">
        <v>406</v>
      </c>
      <c r="AV37" s="51" t="s">
        <v>404</v>
      </c>
    </row>
    <row r="38" spans="1:48" ht="18" customHeight="1">
      <c r="A38" s="44">
        <v>36</v>
      </c>
      <c r="B38" s="52" t="s">
        <v>292</v>
      </c>
      <c r="C38" s="52" t="s">
        <v>382</v>
      </c>
      <c r="D38" s="46" t="s">
        <v>116</v>
      </c>
      <c r="E38" s="44" t="s">
        <v>409</v>
      </c>
      <c r="F38" s="44" t="s">
        <v>364</v>
      </c>
      <c r="G38" s="44"/>
      <c r="H38" s="44"/>
      <c r="I38" s="44"/>
      <c r="J38" s="47" t="s">
        <v>35</v>
      </c>
      <c r="K38" s="47"/>
      <c r="L38" s="47"/>
      <c r="M38" s="47"/>
      <c r="N38" s="47"/>
      <c r="O38" s="44"/>
      <c r="P38" s="44"/>
      <c r="Q38" s="48">
        <f>VLOOKUP(E38,sheet1!$B$2:$D$3209,3,FALSE)</f>
        <v>352</v>
      </c>
      <c r="R38" s="47" t="s">
        <v>35</v>
      </c>
      <c r="S38" s="47" t="s">
        <v>35</v>
      </c>
      <c r="T38" s="47" t="s">
        <v>35</v>
      </c>
      <c r="U38" s="47" t="s">
        <v>35</v>
      </c>
      <c r="V38" s="47" t="s">
        <v>35</v>
      </c>
      <c r="W38" s="47" t="s">
        <v>296</v>
      </c>
      <c r="X38" s="47" t="s">
        <v>296</v>
      </c>
      <c r="Y38" s="47" t="s">
        <v>296</v>
      </c>
      <c r="Z38" s="47" t="s">
        <v>35</v>
      </c>
      <c r="AA38" s="47" t="s">
        <v>296</v>
      </c>
      <c r="AB38" s="47" t="s">
        <v>35</v>
      </c>
      <c r="AC38" s="47" t="s">
        <v>35</v>
      </c>
      <c r="AD38" s="49" t="str">
        <f>VLOOKUP(E38,sheet1!$B$2:$C$3209,2,FALSE)</f>
        <v>自動引当可能課マスター照会</v>
      </c>
      <c r="AE38" s="49"/>
      <c r="AF38" s="56" t="s">
        <v>410</v>
      </c>
      <c r="AG38" s="56" t="s">
        <v>409</v>
      </c>
      <c r="AH38" s="49" t="str">
        <f t="shared" si="0"/>
        <v>自動引当可能課マスター</v>
      </c>
      <c r="AI38" s="49"/>
      <c r="AJ38" s="49"/>
      <c r="AK38" s="49"/>
      <c r="AL38" s="49" t="str">
        <f t="shared" si="5"/>
        <v>自動引当可能課マスター</v>
      </c>
      <c r="AM38" s="49" t="s">
        <v>35</v>
      </c>
      <c r="AN38" s="49" t="s">
        <v>364</v>
      </c>
      <c r="AO38" s="51" t="str">
        <f t="shared" si="1"/>
        <v>自動引当可能課マスター</v>
      </c>
      <c r="AP38" s="51" t="str">
        <f t="shared" si="2"/>
        <v>SA1650</v>
      </c>
      <c r="AQ38" s="51" t="s">
        <v>411</v>
      </c>
      <c r="AR38" s="51" t="s">
        <v>409</v>
      </c>
      <c r="AS38" s="49" t="str">
        <f t="shared" si="3"/>
        <v>自動引当可能課マスター</v>
      </c>
      <c r="AT38" s="49" t="str">
        <f t="shared" si="4"/>
        <v>SA1650</v>
      </c>
      <c r="AU38" s="51" t="s">
        <v>410</v>
      </c>
      <c r="AV38" s="51" t="s">
        <v>409</v>
      </c>
    </row>
    <row r="39" spans="1:48" ht="18" customHeight="1">
      <c r="A39" s="44">
        <v>37</v>
      </c>
      <c r="B39" s="52" t="s">
        <v>292</v>
      </c>
      <c r="C39" s="52" t="s">
        <v>382</v>
      </c>
      <c r="D39" s="46" t="s">
        <v>116</v>
      </c>
      <c r="E39" s="44" t="s">
        <v>412</v>
      </c>
      <c r="F39" s="44" t="s">
        <v>413</v>
      </c>
      <c r="G39" s="44"/>
      <c r="H39" s="44"/>
      <c r="I39" s="44"/>
      <c r="J39" s="47" t="s">
        <v>35</v>
      </c>
      <c r="K39" s="47"/>
      <c r="L39" s="47"/>
      <c r="M39" s="47"/>
      <c r="N39" s="47"/>
      <c r="O39" s="44"/>
      <c r="P39" s="44"/>
      <c r="Q39" s="48">
        <f>VLOOKUP(E39,sheet1!$B$2:$D$3209,3,FALSE)</f>
        <v>308</v>
      </c>
      <c r="R39" s="47" t="s">
        <v>35</v>
      </c>
      <c r="S39" s="47" t="s">
        <v>35</v>
      </c>
      <c r="T39" s="47" t="s">
        <v>35</v>
      </c>
      <c r="U39" s="47" t="s">
        <v>35</v>
      </c>
      <c r="V39" s="47" t="s">
        <v>35</v>
      </c>
      <c r="W39" s="47" t="s">
        <v>296</v>
      </c>
      <c r="X39" s="47" t="s">
        <v>296</v>
      </c>
      <c r="Y39" s="47" t="s">
        <v>296</v>
      </c>
      <c r="Z39" s="47" t="s">
        <v>35</v>
      </c>
      <c r="AA39" s="47" t="s">
        <v>296</v>
      </c>
      <c r="AB39" s="47" t="s">
        <v>35</v>
      </c>
      <c r="AC39" s="47" t="s">
        <v>35</v>
      </c>
      <c r="AD39" s="49" t="str">
        <f>VLOOKUP(E39,sheet1!$B$2:$C$3209,2,FALSE)</f>
        <v>発送先固有情報マスター照会</v>
      </c>
      <c r="AE39" s="49"/>
      <c r="AF39" s="56" t="s">
        <v>414</v>
      </c>
      <c r="AG39" s="56" t="s">
        <v>412</v>
      </c>
      <c r="AH39" s="49" t="str">
        <f t="shared" si="0"/>
        <v>発送先固有情報マスター</v>
      </c>
      <c r="AI39" s="49"/>
      <c r="AJ39" s="49"/>
      <c r="AK39" s="49"/>
      <c r="AL39" s="49" t="str">
        <f t="shared" si="5"/>
        <v>発送先固有情報マスター</v>
      </c>
      <c r="AM39" s="49" t="s">
        <v>35</v>
      </c>
      <c r="AN39" s="49" t="s">
        <v>413</v>
      </c>
      <c r="AO39" s="51" t="str">
        <f t="shared" si="1"/>
        <v>発送先固有情報マスター</v>
      </c>
      <c r="AP39" s="51" t="str">
        <f t="shared" si="2"/>
        <v>SA1640</v>
      </c>
      <c r="AQ39" s="51" t="s">
        <v>415</v>
      </c>
      <c r="AR39" s="51" t="s">
        <v>412</v>
      </c>
      <c r="AS39" s="49" t="str">
        <f t="shared" si="3"/>
        <v>発送先固有情報マスター</v>
      </c>
      <c r="AT39" s="49" t="str">
        <f t="shared" si="4"/>
        <v>SA1640</v>
      </c>
      <c r="AU39" s="51" t="s">
        <v>414</v>
      </c>
      <c r="AV39" s="51" t="s">
        <v>412</v>
      </c>
    </row>
    <row r="40" spans="1:48" ht="18" customHeight="1">
      <c r="A40" s="44">
        <v>38</v>
      </c>
      <c r="B40" s="52" t="s">
        <v>292</v>
      </c>
      <c r="C40" s="52" t="s">
        <v>382</v>
      </c>
      <c r="D40" s="46" t="s">
        <v>116</v>
      </c>
      <c r="E40" s="44" t="s">
        <v>416</v>
      </c>
      <c r="F40" s="44" t="s">
        <v>361</v>
      </c>
      <c r="G40" s="44"/>
      <c r="H40" s="44"/>
      <c r="I40" s="44"/>
      <c r="J40" s="47" t="s">
        <v>35</v>
      </c>
      <c r="K40" s="47"/>
      <c r="L40" s="47"/>
      <c r="M40" s="47"/>
      <c r="N40" s="47"/>
      <c r="O40" s="44"/>
      <c r="P40" s="44"/>
      <c r="Q40" s="48">
        <f>VLOOKUP(E40,sheet1!$B$2:$D$3209,3,FALSE)</f>
        <v>284</v>
      </c>
      <c r="R40" s="47" t="s">
        <v>35</v>
      </c>
      <c r="S40" s="47" t="s">
        <v>35</v>
      </c>
      <c r="T40" s="47" t="s">
        <v>35</v>
      </c>
      <c r="U40" s="47" t="s">
        <v>35</v>
      </c>
      <c r="V40" s="47" t="s">
        <v>35</v>
      </c>
      <c r="W40" s="47" t="s">
        <v>296</v>
      </c>
      <c r="X40" s="47" t="s">
        <v>296</v>
      </c>
      <c r="Y40" s="47" t="s">
        <v>296</v>
      </c>
      <c r="Z40" s="47" t="s">
        <v>35</v>
      </c>
      <c r="AA40" s="47" t="s">
        <v>296</v>
      </c>
      <c r="AB40" s="47" t="s">
        <v>35</v>
      </c>
      <c r="AC40" s="47" t="s">
        <v>35</v>
      </c>
      <c r="AD40" s="49" t="str">
        <f>VLOOKUP(E40,sheet1!$B$2:$C$3209,2,FALSE)</f>
        <v>荷姿マスター照会</v>
      </c>
      <c r="AE40" s="49"/>
      <c r="AF40" s="56" t="s">
        <v>417</v>
      </c>
      <c r="AG40" s="56" t="s">
        <v>416</v>
      </c>
      <c r="AH40" s="49" t="str">
        <f t="shared" si="0"/>
        <v>荷姿マスター</v>
      </c>
      <c r="AI40" s="49"/>
      <c r="AJ40" s="49"/>
      <c r="AK40" s="49"/>
      <c r="AL40" s="49" t="str">
        <f t="shared" si="5"/>
        <v>荷姿マスター</v>
      </c>
      <c r="AM40" s="49" t="s">
        <v>35</v>
      </c>
      <c r="AN40" s="49" t="s">
        <v>418</v>
      </c>
      <c r="AO40" s="51" t="str">
        <f t="shared" si="1"/>
        <v>荷姿マスター</v>
      </c>
      <c r="AP40" s="51" t="str">
        <f t="shared" si="2"/>
        <v>SA1620</v>
      </c>
      <c r="AQ40" s="51" t="s">
        <v>419</v>
      </c>
      <c r="AR40" s="51" t="s">
        <v>416</v>
      </c>
      <c r="AS40" s="49" t="str">
        <f t="shared" si="3"/>
        <v>荷姿マスター</v>
      </c>
      <c r="AT40" s="49" t="str">
        <f t="shared" si="4"/>
        <v>SA1620</v>
      </c>
      <c r="AU40" s="51" t="s">
        <v>417</v>
      </c>
      <c r="AV40" s="51" t="s">
        <v>416</v>
      </c>
    </row>
    <row r="41" spans="1:48" ht="18" customHeight="1">
      <c r="A41" s="44">
        <v>39</v>
      </c>
      <c r="B41" s="52" t="s">
        <v>292</v>
      </c>
      <c r="C41" s="52" t="s">
        <v>382</v>
      </c>
      <c r="D41" s="46" t="s">
        <v>116</v>
      </c>
      <c r="E41" s="44" t="s">
        <v>420</v>
      </c>
      <c r="F41" s="44" t="s">
        <v>421</v>
      </c>
      <c r="G41" s="44"/>
      <c r="H41" s="44"/>
      <c r="I41" s="44"/>
      <c r="J41" s="47" t="s">
        <v>35</v>
      </c>
      <c r="K41" s="47"/>
      <c r="L41" s="47"/>
      <c r="M41" s="47"/>
      <c r="N41" s="47"/>
      <c r="O41" s="44"/>
      <c r="P41" s="44"/>
      <c r="Q41" s="48">
        <f>VLOOKUP(E41,sheet1!$B$2:$D$3209,3,FALSE)</f>
        <v>382</v>
      </c>
      <c r="R41" s="47" t="s">
        <v>35</v>
      </c>
      <c r="S41" s="47" t="s">
        <v>35</v>
      </c>
      <c r="T41" s="47" t="s">
        <v>35</v>
      </c>
      <c r="U41" s="47" t="s">
        <v>35</v>
      </c>
      <c r="V41" s="47" t="s">
        <v>35</v>
      </c>
      <c r="W41" s="47" t="s">
        <v>296</v>
      </c>
      <c r="X41" s="47" t="s">
        <v>296</v>
      </c>
      <c r="Y41" s="47" t="s">
        <v>296</v>
      </c>
      <c r="Z41" s="47" t="s">
        <v>35</v>
      </c>
      <c r="AA41" s="47" t="s">
        <v>296</v>
      </c>
      <c r="AB41" s="47" t="s">
        <v>35</v>
      </c>
      <c r="AC41" s="47" t="s">
        <v>35</v>
      </c>
      <c r="AD41" s="49" t="str">
        <f>VLOOKUP(E41,sheet1!$B$2:$C$3209,2,FALSE)</f>
        <v>シリアルＮＯ付加情報マスター照会</v>
      </c>
      <c r="AE41" s="49"/>
      <c r="AF41" s="56" t="s">
        <v>422</v>
      </c>
      <c r="AG41" s="56" t="s">
        <v>420</v>
      </c>
      <c r="AH41" s="49" t="str">
        <f t="shared" si="0"/>
        <v>シリアルＮＯ付加情報Ｍ</v>
      </c>
      <c r="AI41" s="49"/>
      <c r="AJ41" s="49"/>
      <c r="AK41" s="49"/>
      <c r="AL41" s="49" t="str">
        <f t="shared" si="5"/>
        <v>シリアルＮＯ付加情報Ｍ</v>
      </c>
      <c r="AM41" s="49" t="s">
        <v>35</v>
      </c>
      <c r="AN41" s="49" t="s">
        <v>421</v>
      </c>
      <c r="AO41" s="51" t="str">
        <f t="shared" si="1"/>
        <v>シリアルＮＯ付加情報Ｍ</v>
      </c>
      <c r="AP41" s="51" t="str">
        <f t="shared" si="2"/>
        <v>SA1600</v>
      </c>
      <c r="AQ41" s="51" t="s">
        <v>423</v>
      </c>
      <c r="AR41" s="51" t="s">
        <v>420</v>
      </c>
      <c r="AS41" s="49" t="str">
        <f t="shared" si="3"/>
        <v>シリアルＮＯ付加情報Ｍ</v>
      </c>
      <c r="AT41" s="49" t="str">
        <f t="shared" si="4"/>
        <v>SA1600</v>
      </c>
      <c r="AU41" s="51" t="s">
        <v>422</v>
      </c>
      <c r="AV41" s="51" t="s">
        <v>420</v>
      </c>
    </row>
    <row r="42" spans="1:48" ht="18" customHeight="1">
      <c r="A42" s="44">
        <v>40</v>
      </c>
      <c r="B42" s="52" t="s">
        <v>292</v>
      </c>
      <c r="C42" s="52" t="s">
        <v>382</v>
      </c>
      <c r="D42" s="46" t="s">
        <v>116</v>
      </c>
      <c r="E42" s="44" t="s">
        <v>424</v>
      </c>
      <c r="F42" s="44" t="s">
        <v>425</v>
      </c>
      <c r="G42" s="44"/>
      <c r="H42" s="44"/>
      <c r="I42" s="44"/>
      <c r="J42" s="47" t="s">
        <v>35</v>
      </c>
      <c r="K42" s="47"/>
      <c r="L42" s="47"/>
      <c r="M42" s="47"/>
      <c r="N42" s="47"/>
      <c r="O42" s="44"/>
      <c r="P42" s="44"/>
      <c r="Q42" s="48">
        <f>VLOOKUP(E42,sheet1!$B$2:$D$3209,3,FALSE)</f>
        <v>89</v>
      </c>
      <c r="R42" s="47" t="s">
        <v>35</v>
      </c>
      <c r="S42" s="47" t="s">
        <v>35</v>
      </c>
      <c r="T42" s="47" t="s">
        <v>35</v>
      </c>
      <c r="U42" s="47" t="s">
        <v>35</v>
      </c>
      <c r="V42" s="47" t="s">
        <v>35</v>
      </c>
      <c r="W42" s="47" t="s">
        <v>296</v>
      </c>
      <c r="X42" s="47" t="s">
        <v>296</v>
      </c>
      <c r="Y42" s="47" t="s">
        <v>296</v>
      </c>
      <c r="Z42" s="47" t="s">
        <v>35</v>
      </c>
      <c r="AA42" s="47" t="s">
        <v>296</v>
      </c>
      <c r="AB42" s="47" t="s">
        <v>35</v>
      </c>
      <c r="AC42" s="47" t="s">
        <v>35</v>
      </c>
      <c r="AD42" s="49" t="str">
        <f>VLOOKUP(E42,sheet1!$B$2:$C$3209,2,FALSE)</f>
        <v>端末名称照会</v>
      </c>
      <c r="AE42" s="49"/>
      <c r="AF42" s="56" t="s">
        <v>426</v>
      </c>
      <c r="AG42" s="56" t="s">
        <v>424</v>
      </c>
      <c r="AH42" s="49" t="str">
        <f t="shared" si="0"/>
        <v>端末名称照会</v>
      </c>
      <c r="AI42" s="49"/>
      <c r="AJ42" s="49"/>
      <c r="AK42" s="49"/>
      <c r="AL42" s="49" t="str">
        <f t="shared" si="5"/>
        <v>端末名称照会</v>
      </c>
      <c r="AM42" s="49" t="s">
        <v>35</v>
      </c>
      <c r="AN42" s="49" t="s">
        <v>427</v>
      </c>
      <c r="AO42" s="51" t="str">
        <f t="shared" si="1"/>
        <v>端末名称照会</v>
      </c>
      <c r="AP42" s="51" t="str">
        <f t="shared" si="2"/>
        <v>SA5080</v>
      </c>
      <c r="AQ42" s="51" t="s">
        <v>428</v>
      </c>
      <c r="AR42" s="51" t="s">
        <v>424</v>
      </c>
      <c r="AS42" s="49" t="str">
        <f t="shared" si="3"/>
        <v>端末名称照会</v>
      </c>
      <c r="AT42" s="49" t="str">
        <f t="shared" si="4"/>
        <v>SA5080</v>
      </c>
      <c r="AU42" s="51" t="s">
        <v>426</v>
      </c>
      <c r="AV42" s="51" t="s">
        <v>424</v>
      </c>
    </row>
    <row r="43" spans="1:48" ht="18" customHeight="1">
      <c r="A43" s="44">
        <v>41</v>
      </c>
      <c r="B43" s="52" t="s">
        <v>292</v>
      </c>
      <c r="C43" s="52" t="s">
        <v>382</v>
      </c>
      <c r="D43" s="46" t="s">
        <v>116</v>
      </c>
      <c r="E43" s="44" t="s">
        <v>429</v>
      </c>
      <c r="F43" s="44" t="s">
        <v>430</v>
      </c>
      <c r="G43" s="44"/>
      <c r="H43" s="44"/>
      <c r="I43" s="44"/>
      <c r="J43" s="47" t="s">
        <v>35</v>
      </c>
      <c r="K43" s="47"/>
      <c r="L43" s="47"/>
      <c r="M43" s="47"/>
      <c r="N43" s="47"/>
      <c r="O43" s="44"/>
      <c r="P43" s="44"/>
      <c r="Q43" s="48">
        <f>VLOOKUP(E43,sheet1!$B$2:$D$3209,3,FALSE)</f>
        <v>662</v>
      </c>
      <c r="R43" s="47" t="s">
        <v>35</v>
      </c>
      <c r="S43" s="47" t="s">
        <v>35</v>
      </c>
      <c r="T43" s="47" t="s">
        <v>35</v>
      </c>
      <c r="U43" s="47" t="s">
        <v>35</v>
      </c>
      <c r="V43" s="47" t="s">
        <v>35</v>
      </c>
      <c r="W43" s="47" t="s">
        <v>296</v>
      </c>
      <c r="X43" s="47" t="s">
        <v>296</v>
      </c>
      <c r="Y43" s="47" t="s">
        <v>296</v>
      </c>
      <c r="Z43" s="47" t="s">
        <v>35</v>
      </c>
      <c r="AA43" s="47" t="s">
        <v>296</v>
      </c>
      <c r="AB43" s="47" t="s">
        <v>35</v>
      </c>
      <c r="AC43" s="47" t="s">
        <v>35</v>
      </c>
      <c r="AD43" s="49" t="str">
        <f>VLOOKUP(E43,sheet1!$B$2:$C$3209,2,FALSE)</f>
        <v>得意先マスター照会</v>
      </c>
      <c r="AE43" s="49"/>
      <c r="AF43" s="56" t="s">
        <v>431</v>
      </c>
      <c r="AG43" s="56" t="s">
        <v>429</v>
      </c>
      <c r="AH43" s="49" t="str">
        <f t="shared" si="0"/>
        <v>得意先マスタ照会</v>
      </c>
      <c r="AI43" s="49"/>
      <c r="AJ43" s="49"/>
      <c r="AK43" s="49"/>
      <c r="AL43" s="49" t="str">
        <f t="shared" si="5"/>
        <v>得意先マスタ照会</v>
      </c>
      <c r="AM43" s="49" t="s">
        <v>35</v>
      </c>
      <c r="AN43" s="49" t="s">
        <v>432</v>
      </c>
      <c r="AO43" s="51" t="str">
        <f t="shared" si="1"/>
        <v>得意先マスタ照会</v>
      </c>
      <c r="AP43" s="51" t="str">
        <f t="shared" si="2"/>
        <v>PD2220</v>
      </c>
      <c r="AQ43" s="51" t="s">
        <v>433</v>
      </c>
      <c r="AR43" s="51" t="s">
        <v>429</v>
      </c>
      <c r="AS43" s="49" t="str">
        <f t="shared" si="3"/>
        <v>得意先マスタ照会</v>
      </c>
      <c r="AT43" s="49" t="str">
        <f t="shared" si="4"/>
        <v>PD2220</v>
      </c>
      <c r="AU43" s="51" t="s">
        <v>431</v>
      </c>
      <c r="AV43" s="51" t="s">
        <v>429</v>
      </c>
    </row>
    <row r="44" spans="1:48" ht="18" customHeight="1">
      <c r="A44" s="44">
        <v>42</v>
      </c>
      <c r="B44" s="52" t="s">
        <v>292</v>
      </c>
      <c r="C44" s="52" t="s">
        <v>382</v>
      </c>
      <c r="D44" s="46" t="s">
        <v>116</v>
      </c>
      <c r="E44" s="44" t="s">
        <v>434</v>
      </c>
      <c r="F44" s="44" t="s">
        <v>435</v>
      </c>
      <c r="G44" s="44"/>
      <c r="H44" s="44"/>
      <c r="I44" s="44"/>
      <c r="J44" s="47" t="s">
        <v>35</v>
      </c>
      <c r="K44" s="47"/>
      <c r="L44" s="47"/>
      <c r="M44" s="47"/>
      <c r="N44" s="47"/>
      <c r="O44" s="44"/>
      <c r="P44" s="44"/>
      <c r="Q44" s="48">
        <f>VLOOKUP(E44,sheet1!$B$2:$D$3209,3,FALSE)</f>
        <v>895</v>
      </c>
      <c r="R44" s="47" t="s">
        <v>35</v>
      </c>
      <c r="S44" s="47" t="s">
        <v>35</v>
      </c>
      <c r="T44" s="47" t="s">
        <v>35</v>
      </c>
      <c r="U44" s="47" t="s">
        <v>35</v>
      </c>
      <c r="V44" s="47" t="s">
        <v>35</v>
      </c>
      <c r="W44" s="47" t="s">
        <v>296</v>
      </c>
      <c r="X44" s="47" t="s">
        <v>296</v>
      </c>
      <c r="Y44" s="47" t="s">
        <v>296</v>
      </c>
      <c r="Z44" s="47" t="s">
        <v>35</v>
      </c>
      <c r="AA44" s="47" t="s">
        <v>296</v>
      </c>
      <c r="AB44" s="47" t="s">
        <v>35</v>
      </c>
      <c r="AC44" s="47" t="s">
        <v>35</v>
      </c>
      <c r="AD44" s="49" t="str">
        <f>VLOOKUP(E44,sheet1!$B$2:$C$3209,2,FALSE)</f>
        <v>取引先マスター照会</v>
      </c>
      <c r="AE44" s="49"/>
      <c r="AF44" s="56" t="s">
        <v>436</v>
      </c>
      <c r="AG44" s="56" t="s">
        <v>434</v>
      </c>
      <c r="AH44" s="49" t="str">
        <f t="shared" si="0"/>
        <v>取引先マスタ照会</v>
      </c>
      <c r="AI44" s="49"/>
      <c r="AJ44" s="49"/>
      <c r="AK44" s="49"/>
      <c r="AL44" s="49" t="str">
        <f t="shared" si="5"/>
        <v>取引先マスタ照会</v>
      </c>
      <c r="AM44" s="49" t="s">
        <v>35</v>
      </c>
      <c r="AN44" s="49" t="s">
        <v>437</v>
      </c>
      <c r="AO44" s="51" t="str">
        <f t="shared" si="1"/>
        <v>取引先マスタ照会</v>
      </c>
      <c r="AP44" s="51" t="str">
        <f t="shared" si="2"/>
        <v>PD2170</v>
      </c>
      <c r="AQ44" s="51" t="s">
        <v>438</v>
      </c>
      <c r="AR44" s="51" t="s">
        <v>434</v>
      </c>
      <c r="AS44" s="49" t="str">
        <f t="shared" si="3"/>
        <v>取引先マスタ照会</v>
      </c>
      <c r="AT44" s="49" t="str">
        <f t="shared" si="4"/>
        <v>PD2170</v>
      </c>
      <c r="AU44" s="51" t="s">
        <v>436</v>
      </c>
      <c r="AV44" s="51" t="s">
        <v>434</v>
      </c>
    </row>
    <row r="45" spans="1:48" ht="18" customHeight="1">
      <c r="A45" s="44">
        <v>43</v>
      </c>
      <c r="B45" s="52" t="s">
        <v>292</v>
      </c>
      <c r="C45" s="52" t="s">
        <v>382</v>
      </c>
      <c r="D45" s="46" t="s">
        <v>116</v>
      </c>
      <c r="E45" s="44" t="s">
        <v>439</v>
      </c>
      <c r="F45" s="44" t="s">
        <v>440</v>
      </c>
      <c r="G45" s="44"/>
      <c r="H45" s="44"/>
      <c r="I45" s="44"/>
      <c r="J45" s="47" t="s">
        <v>35</v>
      </c>
      <c r="K45" s="47"/>
      <c r="L45" s="47"/>
      <c r="M45" s="47"/>
      <c r="N45" s="47"/>
      <c r="O45" s="44"/>
      <c r="P45" s="44"/>
      <c r="Q45" s="48">
        <f>VLOOKUP(E45,sheet1!$B$2:$D$3209,3,FALSE)</f>
        <v>323</v>
      </c>
      <c r="R45" s="47" t="s">
        <v>35</v>
      </c>
      <c r="S45" s="47" t="s">
        <v>35</v>
      </c>
      <c r="T45" s="47" t="s">
        <v>35</v>
      </c>
      <c r="U45" s="47" t="s">
        <v>35</v>
      </c>
      <c r="V45" s="47" t="s">
        <v>35</v>
      </c>
      <c r="W45" s="47" t="s">
        <v>296</v>
      </c>
      <c r="X45" s="47" t="s">
        <v>296</v>
      </c>
      <c r="Y45" s="47" t="s">
        <v>296</v>
      </c>
      <c r="Z45" s="47" t="s">
        <v>296</v>
      </c>
      <c r="AA45" s="47" t="s">
        <v>296</v>
      </c>
      <c r="AB45" s="47" t="s">
        <v>35</v>
      </c>
      <c r="AC45" s="47" t="s">
        <v>35</v>
      </c>
      <c r="AD45" s="49" t="str">
        <f>VLOOKUP(E45,sheet1!$B$2:$C$3209,2,FALSE)</f>
        <v>ホールマスター照会</v>
      </c>
      <c r="AE45" s="49"/>
      <c r="AF45" s="56" t="s">
        <v>441</v>
      </c>
      <c r="AG45" s="56" t="s">
        <v>439</v>
      </c>
      <c r="AH45" s="49" t="str">
        <f t="shared" si="0"/>
        <v>ホールマスタ照会</v>
      </c>
      <c r="AI45" s="49"/>
      <c r="AJ45" s="49"/>
      <c r="AK45" s="49"/>
      <c r="AL45" s="49" t="str">
        <f t="shared" si="5"/>
        <v>ホールマスタ照会</v>
      </c>
      <c r="AM45" s="49" t="s">
        <v>35</v>
      </c>
      <c r="AN45" s="49" t="s">
        <v>442</v>
      </c>
      <c r="AO45" s="51" t="str">
        <f t="shared" si="1"/>
        <v>ホールマスタ照会</v>
      </c>
      <c r="AP45" s="51" t="str">
        <f t="shared" si="2"/>
        <v>SA1670</v>
      </c>
      <c r="AQ45" s="51" t="s">
        <v>443</v>
      </c>
      <c r="AR45" s="51" t="s">
        <v>439</v>
      </c>
      <c r="AS45" s="49" t="str">
        <f t="shared" si="3"/>
        <v>ホールマスタ照会</v>
      </c>
      <c r="AT45" s="49" t="str">
        <f t="shared" si="4"/>
        <v>SA1670</v>
      </c>
      <c r="AU45" s="51" t="s">
        <v>441</v>
      </c>
      <c r="AV45" s="51" t="s">
        <v>439</v>
      </c>
    </row>
    <row r="46" spans="1:48" ht="18" customHeight="1">
      <c r="A46" s="44">
        <v>44</v>
      </c>
      <c r="B46" s="52" t="s">
        <v>292</v>
      </c>
      <c r="C46" s="52" t="s">
        <v>382</v>
      </c>
      <c r="D46" s="46" t="s">
        <v>116</v>
      </c>
      <c r="E46" s="44" t="s">
        <v>444</v>
      </c>
      <c r="F46" s="44" t="s">
        <v>445</v>
      </c>
      <c r="G46" s="44"/>
      <c r="H46" s="44"/>
      <c r="I46" s="44"/>
      <c r="J46" s="47" t="s">
        <v>35</v>
      </c>
      <c r="K46" s="47"/>
      <c r="L46" s="47"/>
      <c r="M46" s="47"/>
      <c r="N46" s="47"/>
      <c r="O46" s="44"/>
      <c r="P46" s="44"/>
      <c r="Q46" s="48">
        <f>VLOOKUP(E46,sheet1!$B$2:$D$3209,3,FALSE)</f>
        <v>230</v>
      </c>
      <c r="R46" s="47" t="s">
        <v>35</v>
      </c>
      <c r="S46" s="47" t="s">
        <v>35</v>
      </c>
      <c r="T46" s="47" t="s">
        <v>35</v>
      </c>
      <c r="U46" s="47" t="s">
        <v>35</v>
      </c>
      <c r="V46" s="47" t="s">
        <v>35</v>
      </c>
      <c r="W46" s="47" t="s">
        <v>296</v>
      </c>
      <c r="X46" s="47" t="s">
        <v>296</v>
      </c>
      <c r="Y46" s="47" t="s">
        <v>296</v>
      </c>
      <c r="Z46" s="47" t="s">
        <v>35</v>
      </c>
      <c r="AA46" s="47" t="s">
        <v>296</v>
      </c>
      <c r="AB46" s="47" t="s">
        <v>35</v>
      </c>
      <c r="AC46" s="47" t="s">
        <v>35</v>
      </c>
      <c r="AD46" s="49" t="str">
        <f>VLOOKUP(E46,sheet1!$B$2:$C$3209,2,FALSE)</f>
        <v>銀行振込口座マスター照会</v>
      </c>
      <c r="AE46" s="49"/>
      <c r="AF46" s="56" t="s">
        <v>446</v>
      </c>
      <c r="AG46" s="56" t="s">
        <v>444</v>
      </c>
      <c r="AH46" s="49" t="str">
        <f t="shared" si="0"/>
        <v>銀行振込口座照会</v>
      </c>
      <c r="AI46" s="49"/>
      <c r="AJ46" s="49"/>
      <c r="AK46" s="49"/>
      <c r="AL46" s="49" t="str">
        <f t="shared" si="5"/>
        <v>銀行振込口座照会</v>
      </c>
      <c r="AM46" s="49" t="s">
        <v>35</v>
      </c>
      <c r="AN46" s="49" t="s">
        <v>447</v>
      </c>
      <c r="AO46" s="51" t="str">
        <f t="shared" si="1"/>
        <v>銀行振込口座照会</v>
      </c>
      <c r="AP46" s="51" t="str">
        <f t="shared" si="2"/>
        <v>SA0221</v>
      </c>
      <c r="AQ46" s="51" t="s">
        <v>448</v>
      </c>
      <c r="AR46" s="51" t="s">
        <v>444</v>
      </c>
      <c r="AS46" s="49" t="str">
        <f t="shared" si="3"/>
        <v>銀行振込口座照会</v>
      </c>
      <c r="AT46" s="49" t="str">
        <f t="shared" si="4"/>
        <v>SA0221</v>
      </c>
      <c r="AU46" s="51" t="s">
        <v>446</v>
      </c>
      <c r="AV46" s="51" t="s">
        <v>444</v>
      </c>
    </row>
    <row r="47" spans="1:48" ht="18" customHeight="1">
      <c r="A47" s="44">
        <v>45</v>
      </c>
      <c r="B47" s="52" t="s">
        <v>292</v>
      </c>
      <c r="C47" s="52" t="s">
        <v>382</v>
      </c>
      <c r="D47" s="46" t="s">
        <v>116</v>
      </c>
      <c r="E47" s="44" t="s">
        <v>449</v>
      </c>
      <c r="F47" s="44" t="s">
        <v>450</v>
      </c>
      <c r="G47" s="44"/>
      <c r="H47" s="44"/>
      <c r="I47" s="44"/>
      <c r="J47" s="47" t="s">
        <v>35</v>
      </c>
      <c r="K47" s="47"/>
      <c r="L47" s="47"/>
      <c r="M47" s="47"/>
      <c r="N47" s="47"/>
      <c r="O47" s="44"/>
      <c r="P47" s="44"/>
      <c r="Q47" s="48">
        <f>VLOOKUP(E47,sheet1!$B$2:$D$3209,3,FALSE)</f>
        <v>429</v>
      </c>
      <c r="R47" s="47" t="s">
        <v>35</v>
      </c>
      <c r="S47" s="47" t="s">
        <v>35</v>
      </c>
      <c r="T47" s="47" t="s">
        <v>35</v>
      </c>
      <c r="U47" s="47" t="s">
        <v>35</v>
      </c>
      <c r="V47" s="47" t="s">
        <v>35</v>
      </c>
      <c r="W47" s="47" t="s">
        <v>296</v>
      </c>
      <c r="X47" s="47" t="s">
        <v>296</v>
      </c>
      <c r="Y47" s="47" t="s">
        <v>296</v>
      </c>
      <c r="Z47" s="47" t="s">
        <v>35</v>
      </c>
      <c r="AA47" s="47" t="s">
        <v>296</v>
      </c>
      <c r="AB47" s="47" t="s">
        <v>35</v>
      </c>
      <c r="AC47" s="47" t="s">
        <v>35</v>
      </c>
      <c r="AD47" s="49" t="str">
        <f>VLOOKUP(E47,sheet1!$B$2:$C$3209,2,FALSE)</f>
        <v>請求書発送先照会</v>
      </c>
      <c r="AE47" s="49"/>
      <c r="AF47" s="56" t="s">
        <v>451</v>
      </c>
      <c r="AG47" s="56" t="s">
        <v>449</v>
      </c>
      <c r="AH47" s="49" t="str">
        <f t="shared" si="0"/>
        <v>請求書発送先照会</v>
      </c>
      <c r="AI47" s="49"/>
      <c r="AJ47" s="49"/>
      <c r="AK47" s="49"/>
      <c r="AL47" s="49" t="str">
        <f t="shared" si="5"/>
        <v>請求書発送先照会</v>
      </c>
      <c r="AM47" s="49" t="s">
        <v>35</v>
      </c>
      <c r="AN47" s="49" t="s">
        <v>452</v>
      </c>
      <c r="AO47" s="51" t="str">
        <f t="shared" si="1"/>
        <v>請求書発送先照会</v>
      </c>
      <c r="AP47" s="51" t="str">
        <f t="shared" si="2"/>
        <v>MM2080</v>
      </c>
      <c r="AQ47" s="51" t="s">
        <v>453</v>
      </c>
      <c r="AR47" s="51" t="s">
        <v>449</v>
      </c>
      <c r="AS47" s="49" t="str">
        <f t="shared" si="3"/>
        <v>請求書発送先照会</v>
      </c>
      <c r="AT47" s="49" t="str">
        <f t="shared" si="4"/>
        <v>MM2080</v>
      </c>
      <c r="AU47" s="51" t="s">
        <v>451</v>
      </c>
      <c r="AV47" s="51" t="s">
        <v>449</v>
      </c>
    </row>
    <row r="48" spans="1:48" ht="18" customHeight="1">
      <c r="A48" s="44">
        <v>46</v>
      </c>
      <c r="B48" s="52" t="s">
        <v>292</v>
      </c>
      <c r="C48" s="52" t="s">
        <v>382</v>
      </c>
      <c r="D48" s="46" t="s">
        <v>116</v>
      </c>
      <c r="E48" s="44" t="s">
        <v>454</v>
      </c>
      <c r="F48" s="44" t="s">
        <v>376</v>
      </c>
      <c r="G48" s="44"/>
      <c r="H48" s="44"/>
      <c r="I48" s="44"/>
      <c r="J48" s="47" t="s">
        <v>35</v>
      </c>
      <c r="K48" s="47"/>
      <c r="L48" s="47"/>
      <c r="M48" s="47"/>
      <c r="N48" s="47"/>
      <c r="O48" s="44"/>
      <c r="P48" s="44"/>
      <c r="Q48" s="48">
        <f>VLOOKUP(E48,sheet1!$B$2:$D$3209,3,FALSE)</f>
        <v>484</v>
      </c>
      <c r="R48" s="47" t="s">
        <v>35</v>
      </c>
      <c r="S48" s="47" t="s">
        <v>35</v>
      </c>
      <c r="T48" s="47" t="s">
        <v>35</v>
      </c>
      <c r="U48" s="47" t="s">
        <v>35</v>
      </c>
      <c r="V48" s="47" t="s">
        <v>35</v>
      </c>
      <c r="W48" s="47" t="s">
        <v>296</v>
      </c>
      <c r="X48" s="47" t="s">
        <v>296</v>
      </c>
      <c r="Y48" s="47" t="s">
        <v>296</v>
      </c>
      <c r="Z48" s="47" t="s">
        <v>35</v>
      </c>
      <c r="AA48" s="47" t="s">
        <v>296</v>
      </c>
      <c r="AB48" s="47" t="s">
        <v>35</v>
      </c>
      <c r="AC48" s="47" t="s">
        <v>35</v>
      </c>
      <c r="AD48" s="49" t="str">
        <f>VLOOKUP(E48,sheet1!$B$2:$C$3209,2,FALSE)</f>
        <v>保守契約マスター照会</v>
      </c>
      <c r="AE48" s="49"/>
      <c r="AF48" s="56" t="s">
        <v>377</v>
      </c>
      <c r="AG48" s="56" t="s">
        <v>454</v>
      </c>
      <c r="AH48" s="49" t="str">
        <f t="shared" si="0"/>
        <v>保守契約マスター</v>
      </c>
      <c r="AI48" s="49"/>
      <c r="AJ48" s="49"/>
      <c r="AK48" s="49"/>
      <c r="AL48" s="49" t="str">
        <f t="shared" si="5"/>
        <v>保守契約マスター</v>
      </c>
      <c r="AM48" s="49" t="s">
        <v>35</v>
      </c>
      <c r="AN48" s="49" t="s">
        <v>455</v>
      </c>
      <c r="AO48" s="51" t="str">
        <f t="shared" si="1"/>
        <v>保守契約マスター</v>
      </c>
      <c r="AP48" s="51" t="str">
        <f t="shared" si="2"/>
        <v>SA1610</v>
      </c>
      <c r="AQ48" s="51" t="s">
        <v>456</v>
      </c>
      <c r="AR48" s="51" t="s">
        <v>454</v>
      </c>
      <c r="AS48" s="49" t="str">
        <f t="shared" si="3"/>
        <v>保守契約マスター</v>
      </c>
      <c r="AT48" s="49" t="str">
        <f t="shared" si="4"/>
        <v>SA1610</v>
      </c>
      <c r="AU48" s="51" t="s">
        <v>377</v>
      </c>
      <c r="AV48" s="51" t="s">
        <v>454</v>
      </c>
    </row>
    <row r="49" spans="1:48" ht="18" customHeight="1">
      <c r="A49" s="44">
        <v>47</v>
      </c>
      <c r="B49" s="52" t="s">
        <v>292</v>
      </c>
      <c r="C49" s="52" t="s">
        <v>382</v>
      </c>
      <c r="D49" s="46" t="s">
        <v>116</v>
      </c>
      <c r="E49" s="44" t="s">
        <v>341</v>
      </c>
      <c r="F49" s="44" t="s">
        <v>457</v>
      </c>
      <c r="G49" s="44"/>
      <c r="H49" s="44"/>
      <c r="I49" s="44"/>
      <c r="J49" s="47" t="s">
        <v>35</v>
      </c>
      <c r="K49" s="47"/>
      <c r="L49" s="47"/>
      <c r="M49" s="47"/>
      <c r="N49" s="47"/>
      <c r="O49" s="44"/>
      <c r="P49" s="44"/>
      <c r="Q49" s="48">
        <f>VLOOKUP(E49,sheet1!$B$2:$D$3209,3,FALSE)</f>
        <v>576</v>
      </c>
      <c r="R49" s="47" t="s">
        <v>35</v>
      </c>
      <c r="S49" s="47" t="s">
        <v>35</v>
      </c>
      <c r="T49" s="47" t="s">
        <v>35</v>
      </c>
      <c r="U49" s="47" t="s">
        <v>35</v>
      </c>
      <c r="V49" s="47" t="s">
        <v>35</v>
      </c>
      <c r="W49" s="47" t="s">
        <v>296</v>
      </c>
      <c r="X49" s="47" t="s">
        <v>296</v>
      </c>
      <c r="Y49" s="47" t="s">
        <v>296</v>
      </c>
      <c r="Z49" s="47" t="s">
        <v>35</v>
      </c>
      <c r="AA49" s="47" t="s">
        <v>296</v>
      </c>
      <c r="AB49" s="47" t="s">
        <v>35</v>
      </c>
      <c r="AC49" s="47" t="s">
        <v>35</v>
      </c>
      <c r="AD49" s="49" t="str">
        <f>VLOOKUP(E49,sheet1!$B$2:$C$3209,2,FALSE)</f>
        <v>与信決裁内容照会</v>
      </c>
      <c r="AE49" s="49"/>
      <c r="AF49" s="56" t="s">
        <v>458</v>
      </c>
      <c r="AG49" s="56" t="s">
        <v>341</v>
      </c>
      <c r="AH49" s="49" t="str">
        <f t="shared" si="0"/>
        <v>与信申請書データ照会</v>
      </c>
      <c r="AI49" s="49"/>
      <c r="AJ49" s="49"/>
      <c r="AK49" s="49"/>
      <c r="AL49" s="49" t="str">
        <f t="shared" si="5"/>
        <v>与信申請書データ照会</v>
      </c>
      <c r="AM49" s="49" t="s">
        <v>35</v>
      </c>
      <c r="AN49" s="49" t="s">
        <v>457</v>
      </c>
      <c r="AO49" s="51" t="str">
        <f t="shared" si="1"/>
        <v>与信申請書データ照会</v>
      </c>
      <c r="AP49" s="51" t="str">
        <f t="shared" si="2"/>
        <v>SA5180</v>
      </c>
      <c r="AQ49" s="51" t="s">
        <v>459</v>
      </c>
      <c r="AR49" s="51" t="s">
        <v>341</v>
      </c>
      <c r="AS49" s="49" t="str">
        <f t="shared" si="3"/>
        <v>与信申請書データ照会</v>
      </c>
      <c r="AT49" s="49" t="str">
        <f t="shared" si="4"/>
        <v>SA5180</v>
      </c>
      <c r="AU49" s="51" t="s">
        <v>458</v>
      </c>
      <c r="AV49" s="51" t="s">
        <v>341</v>
      </c>
    </row>
    <row r="50" spans="1:48" ht="18" customHeight="1">
      <c r="A50" s="44">
        <v>48</v>
      </c>
      <c r="B50" s="52" t="s">
        <v>292</v>
      </c>
      <c r="C50" s="45" t="s">
        <v>460</v>
      </c>
      <c r="D50" s="46" t="s">
        <v>116</v>
      </c>
      <c r="E50" s="44" t="s">
        <v>461</v>
      </c>
      <c r="F50" s="44" t="s">
        <v>462</v>
      </c>
      <c r="G50" s="44"/>
      <c r="H50" s="44"/>
      <c r="I50" s="44"/>
      <c r="J50" s="47" t="s">
        <v>35</v>
      </c>
      <c r="K50" s="47"/>
      <c r="L50" s="47"/>
      <c r="M50" s="47"/>
      <c r="N50" s="47"/>
      <c r="O50" s="44"/>
      <c r="P50" s="44"/>
      <c r="Q50" s="48">
        <f>VLOOKUP(E50,sheet1!$B$2:$D$3209,3,FALSE)</f>
        <v>1064</v>
      </c>
      <c r="R50" s="47" t="s">
        <v>35</v>
      </c>
      <c r="S50" s="47" t="s">
        <v>35</v>
      </c>
      <c r="T50" s="47" t="s">
        <v>35</v>
      </c>
      <c r="U50" s="47" t="s">
        <v>35</v>
      </c>
      <c r="V50" s="47" t="s">
        <v>35</v>
      </c>
      <c r="W50" s="47" t="s">
        <v>296</v>
      </c>
      <c r="X50" s="47" t="s">
        <v>296</v>
      </c>
      <c r="Y50" s="47" t="s">
        <v>296</v>
      </c>
      <c r="Z50" s="47" t="s">
        <v>35</v>
      </c>
      <c r="AA50" s="47" t="s">
        <v>296</v>
      </c>
      <c r="AB50" s="47" t="s">
        <v>35</v>
      </c>
      <c r="AC50" s="47" t="s">
        <v>35</v>
      </c>
      <c r="AD50" s="49" t="str">
        <f>VLOOKUP(E50,sheet1!$B$2:$C$3209,2,FALSE)</f>
        <v>与信マスター一覧表</v>
      </c>
      <c r="AE50" s="49"/>
      <c r="AF50" s="56" t="s">
        <v>463</v>
      </c>
      <c r="AG50" s="56" t="s">
        <v>461</v>
      </c>
      <c r="AH50" s="49" t="str">
        <f t="shared" si="0"/>
        <v>与信マスタ一覧表</v>
      </c>
      <c r="AI50" s="49"/>
      <c r="AJ50" s="49"/>
      <c r="AK50" s="49"/>
      <c r="AL50" s="49" t="str">
        <f t="shared" si="5"/>
        <v>与信マスタ一覧表</v>
      </c>
      <c r="AM50" s="49" t="s">
        <v>35</v>
      </c>
      <c r="AN50" s="49" t="s">
        <v>462</v>
      </c>
      <c r="AO50" s="51" t="str">
        <f t="shared" si="1"/>
        <v>与信マスタ一覧表</v>
      </c>
      <c r="AP50" s="51" t="str">
        <f t="shared" si="2"/>
        <v>SA2040</v>
      </c>
      <c r="AQ50" s="51" t="s">
        <v>463</v>
      </c>
      <c r="AR50" s="51" t="s">
        <v>461</v>
      </c>
      <c r="AS50" s="49" t="str">
        <f t="shared" si="3"/>
        <v>与信マスタ一覧表</v>
      </c>
      <c r="AT50" s="49" t="str">
        <f t="shared" si="4"/>
        <v>SA2040</v>
      </c>
      <c r="AU50" s="36" t="s">
        <v>463</v>
      </c>
      <c r="AV50" s="49" t="s">
        <v>461</v>
      </c>
    </row>
    <row r="51" spans="1:48" ht="18" customHeight="1">
      <c r="A51" s="44">
        <v>49</v>
      </c>
      <c r="B51" s="52" t="s">
        <v>292</v>
      </c>
      <c r="C51" s="52" t="s">
        <v>460</v>
      </c>
      <c r="D51" s="46" t="s">
        <v>116</v>
      </c>
      <c r="E51" s="44" t="s">
        <v>464</v>
      </c>
      <c r="F51" s="44" t="s">
        <v>465</v>
      </c>
      <c r="G51" s="44"/>
      <c r="H51" s="44"/>
      <c r="I51" s="44"/>
      <c r="J51" s="47" t="s">
        <v>35</v>
      </c>
      <c r="K51" s="47"/>
      <c r="L51" s="47"/>
      <c r="M51" s="47"/>
      <c r="N51" s="47"/>
      <c r="O51" s="44"/>
      <c r="P51" s="44"/>
      <c r="Q51" s="48">
        <f>VLOOKUP(E51,sheet1!$B$2:$D$3209,3,FALSE)</f>
        <v>401</v>
      </c>
      <c r="R51" s="47" t="s">
        <v>35</v>
      </c>
      <c r="S51" s="47" t="s">
        <v>35</v>
      </c>
      <c r="T51" s="47" t="s">
        <v>35</v>
      </c>
      <c r="U51" s="47" t="s">
        <v>35</v>
      </c>
      <c r="V51" s="47" t="s">
        <v>35</v>
      </c>
      <c r="W51" s="47" t="s">
        <v>296</v>
      </c>
      <c r="X51" s="47" t="s">
        <v>296</v>
      </c>
      <c r="Y51" s="47" t="s">
        <v>296</v>
      </c>
      <c r="Z51" s="47" t="s">
        <v>35</v>
      </c>
      <c r="AA51" s="47" t="s">
        <v>296</v>
      </c>
      <c r="AB51" s="47" t="s">
        <v>35</v>
      </c>
      <c r="AC51" s="47" t="s">
        <v>35</v>
      </c>
      <c r="AD51" s="49" t="str">
        <f>VLOOKUP(E51,sheet1!$B$2:$C$3209,2,FALSE)</f>
        <v>与信債権対比表＜全件出力＞</v>
      </c>
      <c r="AE51" s="49"/>
      <c r="AF51" s="56" t="s">
        <v>466</v>
      </c>
      <c r="AG51" s="56" t="s">
        <v>464</v>
      </c>
      <c r="AH51" s="49" t="str">
        <f t="shared" si="0"/>
        <v>与信マスタ一覧＜限度額指定＞</v>
      </c>
      <c r="AI51" s="49"/>
      <c r="AJ51" s="49"/>
      <c r="AK51" s="49"/>
      <c r="AL51" s="49" t="str">
        <f t="shared" si="5"/>
        <v>与信マスタ一覧＜限度額指定＞</v>
      </c>
      <c r="AM51" s="49" t="s">
        <v>35</v>
      </c>
      <c r="AN51" s="49" t="s">
        <v>465</v>
      </c>
      <c r="AO51" s="51" t="str">
        <f t="shared" si="1"/>
        <v>与信マスタ一覧＜限度額指定＞</v>
      </c>
      <c r="AP51" s="51" t="str">
        <f t="shared" si="2"/>
        <v>SA2042</v>
      </c>
      <c r="AQ51" s="51" t="s">
        <v>466</v>
      </c>
      <c r="AR51" s="51" t="s">
        <v>464</v>
      </c>
      <c r="AS51" s="49" t="str">
        <f t="shared" si="3"/>
        <v>与信マスタ一覧＜限度額指定＞</v>
      </c>
      <c r="AT51" s="49" t="str">
        <f t="shared" si="4"/>
        <v>SA2042</v>
      </c>
      <c r="AU51" s="49" t="s">
        <v>466</v>
      </c>
      <c r="AV51" s="49" t="s">
        <v>464</v>
      </c>
    </row>
    <row r="52" spans="1:48" ht="18" customHeight="1">
      <c r="A52" s="44">
        <v>50</v>
      </c>
      <c r="B52" s="52" t="s">
        <v>292</v>
      </c>
      <c r="C52" s="52" t="s">
        <v>460</v>
      </c>
      <c r="D52" s="46" t="s">
        <v>116</v>
      </c>
      <c r="E52" s="44" t="s">
        <v>467</v>
      </c>
      <c r="F52" s="44" t="s">
        <v>468</v>
      </c>
      <c r="G52" s="44"/>
      <c r="H52" s="44"/>
      <c r="I52" s="44"/>
      <c r="J52" s="47" t="s">
        <v>35</v>
      </c>
      <c r="K52" s="47"/>
      <c r="L52" s="47"/>
      <c r="M52" s="47"/>
      <c r="N52" s="47"/>
      <c r="O52" s="44"/>
      <c r="P52" s="44"/>
      <c r="Q52" s="48">
        <f>VLOOKUP(E52,sheet1!$B$2:$D$3209,3,FALSE)</f>
        <v>571</v>
      </c>
      <c r="R52" s="47" t="s">
        <v>35</v>
      </c>
      <c r="S52" s="47" t="s">
        <v>35</v>
      </c>
      <c r="T52" s="47" t="s">
        <v>35</v>
      </c>
      <c r="U52" s="47" t="s">
        <v>35</v>
      </c>
      <c r="V52" s="47" t="s">
        <v>35</v>
      </c>
      <c r="W52" s="47" t="s">
        <v>296</v>
      </c>
      <c r="X52" s="47" t="s">
        <v>296</v>
      </c>
      <c r="Y52" s="47" t="s">
        <v>296</v>
      </c>
      <c r="Z52" s="47" t="s">
        <v>35</v>
      </c>
      <c r="AA52" s="47" t="s">
        <v>296</v>
      </c>
      <c r="AB52" s="47" t="s">
        <v>35</v>
      </c>
      <c r="AC52" s="47" t="s">
        <v>35</v>
      </c>
      <c r="AD52" s="49" t="str">
        <f>VLOOKUP(E52,sheet1!$B$2:$C$3209,2,FALSE)</f>
        <v>販売価格マスター一覧表</v>
      </c>
      <c r="AE52" s="49"/>
      <c r="AF52" s="56" t="s">
        <v>469</v>
      </c>
      <c r="AG52" s="56" t="s">
        <v>467</v>
      </c>
      <c r="AH52" s="49" t="str">
        <f t="shared" si="0"/>
        <v>販売価格マスター一覧表</v>
      </c>
      <c r="AI52" s="49"/>
      <c r="AJ52" s="49"/>
      <c r="AK52" s="49"/>
      <c r="AL52" s="49" t="str">
        <f t="shared" si="5"/>
        <v>販売価格マスター一覧表</v>
      </c>
      <c r="AM52" s="49" t="s">
        <v>35</v>
      </c>
      <c r="AN52" s="49" t="s">
        <v>468</v>
      </c>
      <c r="AO52" s="51" t="str">
        <f t="shared" si="1"/>
        <v>販売価格マスター一覧表</v>
      </c>
      <c r="AP52" s="51" t="str">
        <f t="shared" si="2"/>
        <v>SA2050</v>
      </c>
      <c r="AQ52" s="51" t="s">
        <v>469</v>
      </c>
      <c r="AR52" s="51" t="s">
        <v>467</v>
      </c>
      <c r="AS52" s="49" t="str">
        <f t="shared" si="3"/>
        <v>販売価格マスター一覧表</v>
      </c>
      <c r="AT52" s="49" t="str">
        <f t="shared" si="4"/>
        <v>SA2050</v>
      </c>
      <c r="AU52" s="49" t="s">
        <v>469</v>
      </c>
      <c r="AV52" s="49" t="s">
        <v>467</v>
      </c>
    </row>
    <row r="53" spans="1:48" ht="18" customHeight="1">
      <c r="A53" s="44">
        <v>51</v>
      </c>
      <c r="B53" s="52" t="s">
        <v>292</v>
      </c>
      <c r="C53" s="52" t="s">
        <v>460</v>
      </c>
      <c r="D53" s="46" t="s">
        <v>116</v>
      </c>
      <c r="E53" s="44" t="s">
        <v>116</v>
      </c>
      <c r="F53" s="44" t="s">
        <v>470</v>
      </c>
      <c r="G53" s="44"/>
      <c r="H53" s="44"/>
      <c r="I53" s="44"/>
      <c r="J53" s="47" t="s">
        <v>35</v>
      </c>
      <c r="K53" s="47"/>
      <c r="L53" s="47"/>
      <c r="M53" s="47"/>
      <c r="N53" s="47"/>
      <c r="O53" s="44"/>
      <c r="P53" s="44"/>
      <c r="Q53" s="48" t="e">
        <f>VLOOKUP(E53,sheet1!$B$2:$D$3209,3,FALSE)</f>
        <v>#N/A</v>
      </c>
      <c r="R53" s="47" t="s">
        <v>35</v>
      </c>
      <c r="S53" s="47" t="s">
        <v>35</v>
      </c>
      <c r="T53" s="47" t="s">
        <v>35</v>
      </c>
      <c r="U53" s="47" t="s">
        <v>35</v>
      </c>
      <c r="V53" s="47" t="s">
        <v>35</v>
      </c>
      <c r="W53" s="47" t="s">
        <v>296</v>
      </c>
      <c r="X53" s="47" t="s">
        <v>296</v>
      </c>
      <c r="Y53" s="47" t="s">
        <v>296</v>
      </c>
      <c r="Z53" s="47" t="s">
        <v>35</v>
      </c>
      <c r="AA53" s="47" t="s">
        <v>296</v>
      </c>
      <c r="AB53" s="47" t="s">
        <v>35</v>
      </c>
      <c r="AC53" s="47" t="s">
        <v>35</v>
      </c>
      <c r="AD53" s="49" t="e">
        <f>VLOOKUP(E53,sheet1!$B$2:$C$3209,2,FALSE)</f>
        <v>#N/A</v>
      </c>
      <c r="AE53" s="49"/>
      <c r="AF53" s="56" t="s">
        <v>471</v>
      </c>
      <c r="AG53" s="46" t="s">
        <v>116</v>
      </c>
      <c r="AH53" s="49" t="str">
        <f t="shared" si="0"/>
        <v>与信限度・債権超過／簡易</v>
      </c>
      <c r="AI53" s="49"/>
      <c r="AJ53" s="49"/>
      <c r="AK53" s="49"/>
      <c r="AL53" s="49" t="str">
        <f t="shared" si="5"/>
        <v>与信限度・債権超過／簡易</v>
      </c>
      <c r="AM53" s="49" t="s">
        <v>35</v>
      </c>
      <c r="AN53" s="49" t="s">
        <v>472</v>
      </c>
      <c r="AO53" s="51" t="str">
        <f t="shared" si="1"/>
        <v>与信限度・債権超過／簡易</v>
      </c>
      <c r="AP53" s="51" t="str">
        <f t="shared" si="2"/>
        <v/>
      </c>
      <c r="AQ53" s="51" t="s">
        <v>471</v>
      </c>
      <c r="AR53" s="51"/>
      <c r="AS53" s="49" t="str">
        <f t="shared" si="3"/>
        <v>与信限度・債権超過／簡易</v>
      </c>
      <c r="AT53" s="49" t="str">
        <f t="shared" si="4"/>
        <v/>
      </c>
      <c r="AU53" s="49" t="s">
        <v>471</v>
      </c>
      <c r="AV53" s="49"/>
    </row>
    <row r="54" spans="1:48" ht="18" customHeight="1">
      <c r="A54" s="44">
        <v>52</v>
      </c>
      <c r="B54" s="52" t="s">
        <v>292</v>
      </c>
      <c r="C54" s="52" t="s">
        <v>460</v>
      </c>
      <c r="D54" s="46" t="s">
        <v>116</v>
      </c>
      <c r="E54" s="44" t="s">
        <v>473</v>
      </c>
      <c r="F54" s="44" t="s">
        <v>474</v>
      </c>
      <c r="G54" s="44"/>
      <c r="H54" s="44"/>
      <c r="I54" s="44"/>
      <c r="J54" s="47" t="s">
        <v>35</v>
      </c>
      <c r="K54" s="47"/>
      <c r="L54" s="47"/>
      <c r="M54" s="47"/>
      <c r="N54" s="47"/>
      <c r="O54" s="44"/>
      <c r="P54" s="44"/>
      <c r="Q54" s="48">
        <f>VLOOKUP(E54,sheet1!$B$2:$D$3209,3,FALSE)</f>
        <v>427</v>
      </c>
      <c r="R54" s="47" t="s">
        <v>35</v>
      </c>
      <c r="S54" s="47" t="s">
        <v>35</v>
      </c>
      <c r="T54" s="47" t="s">
        <v>35</v>
      </c>
      <c r="U54" s="47" t="s">
        <v>35</v>
      </c>
      <c r="V54" s="47" t="s">
        <v>35</v>
      </c>
      <c r="W54" s="47" t="s">
        <v>296</v>
      </c>
      <c r="X54" s="47" t="s">
        <v>296</v>
      </c>
      <c r="Y54" s="47" t="s">
        <v>296</v>
      </c>
      <c r="Z54" s="47" t="s">
        <v>35</v>
      </c>
      <c r="AA54" s="47" t="s">
        <v>296</v>
      </c>
      <c r="AB54" s="47" t="s">
        <v>35</v>
      </c>
      <c r="AC54" s="47" t="s">
        <v>35</v>
      </c>
      <c r="AD54" s="49" t="str">
        <f>VLOOKUP(E54,sheet1!$B$2:$C$3209,2,FALSE)</f>
        <v>勘定科目・摘要コード関連データリスト</v>
      </c>
      <c r="AE54" s="49"/>
      <c r="AF54" s="56" t="s">
        <v>475</v>
      </c>
      <c r="AG54" s="56" t="s">
        <v>473</v>
      </c>
      <c r="AH54" s="49" t="str">
        <f t="shared" si="0"/>
        <v>摘要／科目・摘要ﾏｽﾀｰﾘｽﾄ</v>
      </c>
      <c r="AI54" s="49"/>
      <c r="AJ54" s="49"/>
      <c r="AK54" s="49"/>
      <c r="AL54" s="49" t="str">
        <f t="shared" si="5"/>
        <v>摘要／科目・摘要ﾏｽﾀｰﾘｽﾄ</v>
      </c>
      <c r="AM54" s="49" t="s">
        <v>35</v>
      </c>
      <c r="AN54" s="49" t="s">
        <v>476</v>
      </c>
      <c r="AO54" s="51" t="str">
        <f t="shared" si="1"/>
        <v>摘要／科目・摘要ﾏｽﾀｰﾘｽﾄ</v>
      </c>
      <c r="AP54" s="51" t="str">
        <f t="shared" si="2"/>
        <v>MS2710</v>
      </c>
      <c r="AQ54" s="51" t="s">
        <v>475</v>
      </c>
      <c r="AR54" s="51" t="s">
        <v>473</v>
      </c>
      <c r="AS54" s="49" t="str">
        <f t="shared" si="3"/>
        <v>摘要／科目・摘要ﾏｽﾀｰﾘｽﾄ</v>
      </c>
      <c r="AT54" s="49" t="str">
        <f t="shared" si="4"/>
        <v>MS2710</v>
      </c>
      <c r="AU54" s="49" t="s">
        <v>475</v>
      </c>
      <c r="AV54" s="49" t="s">
        <v>473</v>
      </c>
    </row>
    <row r="55" spans="1:48" ht="18" customHeight="1">
      <c r="A55" s="44">
        <v>53</v>
      </c>
      <c r="B55" s="52" t="s">
        <v>292</v>
      </c>
      <c r="C55" s="52" t="s">
        <v>460</v>
      </c>
      <c r="D55" s="46" t="s">
        <v>116</v>
      </c>
      <c r="E55" s="44" t="s">
        <v>477</v>
      </c>
      <c r="F55" s="44" t="s">
        <v>478</v>
      </c>
      <c r="G55" s="44"/>
      <c r="H55" s="44"/>
      <c r="I55" s="44"/>
      <c r="J55" s="47" t="s">
        <v>35</v>
      </c>
      <c r="K55" s="47"/>
      <c r="L55" s="47"/>
      <c r="M55" s="47"/>
      <c r="N55" s="47"/>
      <c r="O55" s="44"/>
      <c r="P55" s="44"/>
      <c r="Q55" s="48">
        <f>VLOOKUP(E55,sheet1!$B$2:$D$3209,3,FALSE)</f>
        <v>197</v>
      </c>
      <c r="R55" s="47" t="s">
        <v>35</v>
      </c>
      <c r="S55" s="47" t="s">
        <v>35</v>
      </c>
      <c r="T55" s="47" t="s">
        <v>35</v>
      </c>
      <c r="U55" s="47" t="s">
        <v>35</v>
      </c>
      <c r="V55" s="47" t="s">
        <v>35</v>
      </c>
      <c r="W55" s="47" t="s">
        <v>296</v>
      </c>
      <c r="X55" s="47" t="s">
        <v>296</v>
      </c>
      <c r="Y55" s="47" t="s">
        <v>296</v>
      </c>
      <c r="Z55" s="47" t="s">
        <v>35</v>
      </c>
      <c r="AA55" s="47" t="s">
        <v>296</v>
      </c>
      <c r="AB55" s="47" t="s">
        <v>35</v>
      </c>
      <c r="AC55" s="47" t="s">
        <v>35</v>
      </c>
      <c r="AD55" s="49" t="str">
        <f>VLOOKUP(E55,sheet1!$B$2:$C$3209,2,FALSE)</f>
        <v>修理内容マスタ一覧表</v>
      </c>
      <c r="AE55" s="49"/>
      <c r="AF55" s="56" t="s">
        <v>479</v>
      </c>
      <c r="AG55" s="56" t="s">
        <v>477</v>
      </c>
      <c r="AH55" s="49" t="str">
        <f t="shared" si="0"/>
        <v>修理内容各種マスタ一覧</v>
      </c>
      <c r="AI55" s="49"/>
      <c r="AJ55" s="49"/>
      <c r="AK55" s="49"/>
      <c r="AL55" s="49" t="str">
        <f t="shared" si="5"/>
        <v>修理内容各種マスタ一覧</v>
      </c>
      <c r="AM55" s="49" t="s">
        <v>35</v>
      </c>
      <c r="AN55" s="49" t="s">
        <v>480</v>
      </c>
      <c r="AO55" s="51" t="str">
        <f t="shared" si="1"/>
        <v>修理内容各種マスタ一覧</v>
      </c>
      <c r="AP55" s="51" t="str">
        <f t="shared" si="2"/>
        <v>SA2480</v>
      </c>
      <c r="AQ55" s="51" t="s">
        <v>479</v>
      </c>
      <c r="AR55" s="51" t="s">
        <v>477</v>
      </c>
      <c r="AS55" s="49" t="str">
        <f t="shared" si="3"/>
        <v>修理内容各種マスタ一覧</v>
      </c>
      <c r="AT55" s="49" t="str">
        <f t="shared" si="4"/>
        <v>SA2480</v>
      </c>
      <c r="AU55" s="49" t="s">
        <v>479</v>
      </c>
      <c r="AV55" s="49" t="s">
        <v>477</v>
      </c>
    </row>
    <row r="56" spans="1:48" ht="18" customHeight="1">
      <c r="A56" s="44">
        <v>54</v>
      </c>
      <c r="B56" s="52" t="s">
        <v>292</v>
      </c>
      <c r="C56" s="52" t="s">
        <v>460</v>
      </c>
      <c r="D56" s="46" t="s">
        <v>116</v>
      </c>
      <c r="E56" s="44" t="s">
        <v>116</v>
      </c>
      <c r="F56" s="44" t="s">
        <v>481</v>
      </c>
      <c r="G56" s="44"/>
      <c r="H56" s="44"/>
      <c r="I56" s="44"/>
      <c r="J56" s="47" t="s">
        <v>35</v>
      </c>
      <c r="K56" s="47"/>
      <c r="L56" s="47"/>
      <c r="M56" s="47"/>
      <c r="N56" s="47"/>
      <c r="O56" s="44"/>
      <c r="P56" s="44"/>
      <c r="Q56" s="48" t="e">
        <f>VLOOKUP(E56,sheet1!$B$2:$D$3209,3,FALSE)</f>
        <v>#N/A</v>
      </c>
      <c r="R56" s="47" t="s">
        <v>35</v>
      </c>
      <c r="S56" s="47" t="s">
        <v>35</v>
      </c>
      <c r="T56" s="47" t="s">
        <v>35</v>
      </c>
      <c r="U56" s="47" t="s">
        <v>35</v>
      </c>
      <c r="V56" s="47" t="s">
        <v>35</v>
      </c>
      <c r="W56" s="47" t="s">
        <v>296</v>
      </c>
      <c r="X56" s="47" t="s">
        <v>296</v>
      </c>
      <c r="Y56" s="47" t="s">
        <v>296</v>
      </c>
      <c r="Z56" s="47" t="s">
        <v>35</v>
      </c>
      <c r="AA56" s="47" t="s">
        <v>296</v>
      </c>
      <c r="AB56" s="47" t="s">
        <v>35</v>
      </c>
      <c r="AC56" s="47" t="s">
        <v>35</v>
      </c>
      <c r="AD56" s="49" t="e">
        <f>VLOOKUP(E56,sheet1!$B$2:$C$3209,2,FALSE)</f>
        <v>#N/A</v>
      </c>
      <c r="AE56" s="49"/>
      <c r="AF56" s="56" t="s">
        <v>482</v>
      </c>
      <c r="AG56" s="46" t="s">
        <v>116</v>
      </c>
      <c r="AH56" s="49" t="str">
        <f t="shared" si="0"/>
        <v>保守契約マスターリスト</v>
      </c>
      <c r="AI56" s="49"/>
      <c r="AJ56" s="49"/>
      <c r="AK56" s="49"/>
      <c r="AL56" s="49" t="str">
        <f t="shared" si="5"/>
        <v>保守契約マスターリスト</v>
      </c>
      <c r="AM56" s="49" t="s">
        <v>35</v>
      </c>
      <c r="AN56" s="49" t="s">
        <v>483</v>
      </c>
      <c r="AO56" s="51" t="str">
        <f t="shared" si="1"/>
        <v>保守契約マスターリスト</v>
      </c>
      <c r="AP56" s="51" t="str">
        <f t="shared" si="2"/>
        <v/>
      </c>
      <c r="AQ56" s="51" t="s">
        <v>482</v>
      </c>
      <c r="AR56" s="51"/>
      <c r="AS56" s="49" t="str">
        <f t="shared" si="3"/>
        <v>保守契約マスターリスト</v>
      </c>
      <c r="AT56" s="49" t="str">
        <f t="shared" si="4"/>
        <v/>
      </c>
      <c r="AU56" s="49" t="s">
        <v>482</v>
      </c>
      <c r="AV56" s="49"/>
    </row>
    <row r="57" spans="1:48" ht="18" customHeight="1">
      <c r="A57" s="44">
        <v>55</v>
      </c>
      <c r="B57" s="52" t="s">
        <v>292</v>
      </c>
      <c r="C57" s="52" t="s">
        <v>460</v>
      </c>
      <c r="D57" s="46" t="s">
        <v>116</v>
      </c>
      <c r="E57" s="44" t="s">
        <v>116</v>
      </c>
      <c r="F57" s="44" t="s">
        <v>484</v>
      </c>
      <c r="G57" s="44"/>
      <c r="H57" s="44"/>
      <c r="I57" s="44"/>
      <c r="J57" s="47" t="s">
        <v>35</v>
      </c>
      <c r="K57" s="47"/>
      <c r="L57" s="47"/>
      <c r="M57" s="47"/>
      <c r="N57" s="47"/>
      <c r="O57" s="44"/>
      <c r="P57" s="44"/>
      <c r="Q57" s="48" t="e">
        <f>VLOOKUP(E57,sheet1!$B$2:$D$3209,3,FALSE)</f>
        <v>#N/A</v>
      </c>
      <c r="R57" s="47" t="s">
        <v>35</v>
      </c>
      <c r="S57" s="47" t="s">
        <v>35</v>
      </c>
      <c r="T57" s="47" t="s">
        <v>35</v>
      </c>
      <c r="U57" s="47" t="s">
        <v>35</v>
      </c>
      <c r="V57" s="47" t="s">
        <v>35</v>
      </c>
      <c r="W57" s="47" t="s">
        <v>296</v>
      </c>
      <c r="X57" s="47" t="s">
        <v>296</v>
      </c>
      <c r="Y57" s="47" t="s">
        <v>296</v>
      </c>
      <c r="Z57" s="47" t="s">
        <v>35</v>
      </c>
      <c r="AA57" s="47" t="s">
        <v>296</v>
      </c>
      <c r="AB57" s="47" t="s">
        <v>35</v>
      </c>
      <c r="AC57" s="47" t="s">
        <v>35</v>
      </c>
      <c r="AD57" s="49" t="e">
        <f>VLOOKUP(E57,sheet1!$B$2:$C$3209,2,FALSE)</f>
        <v>#N/A</v>
      </c>
      <c r="AE57" s="49"/>
      <c r="AF57" s="56" t="s">
        <v>485</v>
      </c>
      <c r="AG57" s="46" t="s">
        <v>116</v>
      </c>
      <c r="AH57" s="49" t="str">
        <f t="shared" si="0"/>
        <v>未保守契約一覧リスト</v>
      </c>
      <c r="AI57" s="49"/>
      <c r="AJ57" s="49"/>
      <c r="AK57" s="49"/>
      <c r="AL57" s="49" t="str">
        <f t="shared" si="5"/>
        <v>未保守契約一覧リスト</v>
      </c>
      <c r="AM57" s="49" t="s">
        <v>35</v>
      </c>
      <c r="AN57" s="49" t="s">
        <v>486</v>
      </c>
      <c r="AO57" s="51" t="str">
        <f t="shared" si="1"/>
        <v>未保守契約一覧リスト</v>
      </c>
      <c r="AP57" s="51" t="str">
        <f t="shared" si="2"/>
        <v/>
      </c>
      <c r="AQ57" s="51" t="s">
        <v>485</v>
      </c>
      <c r="AR57" s="51"/>
      <c r="AS57" s="49" t="str">
        <f t="shared" si="3"/>
        <v>未保守契約一覧リスト</v>
      </c>
      <c r="AT57" s="49" t="str">
        <f t="shared" si="4"/>
        <v/>
      </c>
      <c r="AU57" s="49" t="s">
        <v>485</v>
      </c>
      <c r="AV57" s="49"/>
    </row>
    <row r="58" spans="1:48" ht="18" customHeight="1">
      <c r="A58" s="44">
        <v>56</v>
      </c>
      <c r="B58" s="52" t="s">
        <v>292</v>
      </c>
      <c r="C58" s="52" t="s">
        <v>460</v>
      </c>
      <c r="D58" s="46" t="s">
        <v>116</v>
      </c>
      <c r="E58" s="44" t="s">
        <v>487</v>
      </c>
      <c r="F58" s="44" t="s">
        <v>488</v>
      </c>
      <c r="G58" s="44"/>
      <c r="H58" s="44"/>
      <c r="I58" s="44"/>
      <c r="J58" s="47" t="s">
        <v>35</v>
      </c>
      <c r="K58" s="47"/>
      <c r="L58" s="47"/>
      <c r="M58" s="47"/>
      <c r="N58" s="47"/>
      <c r="O58" s="44"/>
      <c r="P58" s="44"/>
      <c r="Q58" s="48">
        <f>VLOOKUP(E58,sheet1!$B$2:$D$3209,3,FALSE)</f>
        <v>521</v>
      </c>
      <c r="R58" s="47" t="s">
        <v>35</v>
      </c>
      <c r="S58" s="47" t="s">
        <v>35</v>
      </c>
      <c r="T58" s="47" t="s">
        <v>35</v>
      </c>
      <c r="U58" s="47" t="s">
        <v>35</v>
      </c>
      <c r="V58" s="47" t="s">
        <v>35</v>
      </c>
      <c r="W58" s="47" t="s">
        <v>296</v>
      </c>
      <c r="X58" s="47" t="s">
        <v>296</v>
      </c>
      <c r="Y58" s="47" t="s">
        <v>296</v>
      </c>
      <c r="Z58" s="47" t="s">
        <v>35</v>
      </c>
      <c r="AA58" s="47" t="s">
        <v>296</v>
      </c>
      <c r="AB58" s="47" t="s">
        <v>35</v>
      </c>
      <c r="AC58" s="47" t="s">
        <v>35</v>
      </c>
      <c r="AD58" s="49" t="str">
        <f>VLOOKUP(E58,sheet1!$B$2:$C$3209,2,FALSE)</f>
        <v>与信債権対比表＜担当者別＞</v>
      </c>
      <c r="AE58" s="49"/>
      <c r="AF58" s="56" t="s">
        <v>489</v>
      </c>
      <c r="AG58" s="56" t="s">
        <v>487</v>
      </c>
      <c r="AH58" s="49" t="str">
        <f t="shared" si="0"/>
        <v>与信マスタ一覧表（担当者別）</v>
      </c>
      <c r="AI58" s="49"/>
      <c r="AJ58" s="49"/>
      <c r="AK58" s="49"/>
      <c r="AL58" s="49" t="str">
        <f t="shared" si="5"/>
        <v>与信マスタ一覧表（担当者別）</v>
      </c>
      <c r="AM58" s="49" t="s">
        <v>35</v>
      </c>
      <c r="AN58" s="49" t="s">
        <v>488</v>
      </c>
      <c r="AO58" s="51" t="str">
        <f t="shared" si="1"/>
        <v>与信マスタ一覧表（担当者別）</v>
      </c>
      <c r="AP58" s="51" t="str">
        <f t="shared" si="2"/>
        <v>SA2043</v>
      </c>
      <c r="AQ58" s="51" t="s">
        <v>489</v>
      </c>
      <c r="AR58" s="51" t="s">
        <v>487</v>
      </c>
      <c r="AS58" s="49" t="str">
        <f t="shared" si="3"/>
        <v>与信マスタ一覧表（担当者別）</v>
      </c>
      <c r="AT58" s="49" t="str">
        <f t="shared" si="4"/>
        <v>SA2043</v>
      </c>
      <c r="AU58" s="49" t="s">
        <v>489</v>
      </c>
      <c r="AV58" s="49" t="s">
        <v>487</v>
      </c>
    </row>
    <row r="59" spans="1:48" ht="18" customHeight="1">
      <c r="A59" s="44">
        <v>57</v>
      </c>
      <c r="B59" s="52" t="s">
        <v>292</v>
      </c>
      <c r="C59" s="45" t="s">
        <v>490</v>
      </c>
      <c r="D59" s="46" t="s">
        <v>116</v>
      </c>
      <c r="E59" s="44" t="s">
        <v>491</v>
      </c>
      <c r="F59" s="44" t="s">
        <v>492</v>
      </c>
      <c r="G59" s="44"/>
      <c r="H59" s="44"/>
      <c r="I59" s="44"/>
      <c r="J59" s="47" t="s">
        <v>35</v>
      </c>
      <c r="K59" s="47"/>
      <c r="L59" s="47"/>
      <c r="M59" s="47"/>
      <c r="N59" s="47"/>
      <c r="O59" s="44"/>
      <c r="P59" s="44"/>
      <c r="Q59" s="48">
        <f>VLOOKUP(E59,sheet1!$B$2:$D$3209,3,FALSE)</f>
        <v>15697</v>
      </c>
      <c r="R59" s="47" t="s">
        <v>35</v>
      </c>
      <c r="S59" s="47" t="s">
        <v>35</v>
      </c>
      <c r="T59" s="47" t="s">
        <v>35</v>
      </c>
      <c r="U59" s="47" t="s">
        <v>35</v>
      </c>
      <c r="V59" s="47" t="s">
        <v>35</v>
      </c>
      <c r="W59" s="47" t="s">
        <v>296</v>
      </c>
      <c r="X59" s="47" t="s">
        <v>296</v>
      </c>
      <c r="Y59" s="47" t="s">
        <v>296</v>
      </c>
      <c r="Z59" s="47" t="s">
        <v>35</v>
      </c>
      <c r="AA59" s="47" t="s">
        <v>296</v>
      </c>
      <c r="AB59" s="47" t="s">
        <v>35</v>
      </c>
      <c r="AC59" s="47" t="s">
        <v>35</v>
      </c>
      <c r="AD59" s="49" t="str">
        <f>VLOOKUP(E59,sheet1!$B$2:$C$3209,2,FALSE)</f>
        <v>受注入力    ＪＳ与信改善対応</v>
      </c>
      <c r="AE59" s="49"/>
      <c r="AF59" s="56" t="s">
        <v>493</v>
      </c>
      <c r="AG59" s="56" t="s">
        <v>491</v>
      </c>
      <c r="AH59" s="49" t="str">
        <f t="shared" si="0"/>
        <v>受注入力（通常)</v>
      </c>
      <c r="AI59" s="49"/>
      <c r="AJ59" s="49"/>
      <c r="AK59" s="49"/>
      <c r="AL59" s="49" t="str">
        <f t="shared" si="5"/>
        <v>受注入力（通常)</v>
      </c>
      <c r="AM59" s="49" t="s">
        <v>35</v>
      </c>
      <c r="AN59" s="49" t="s">
        <v>494</v>
      </c>
      <c r="AO59" s="51" t="str">
        <f t="shared" si="1"/>
        <v>受注入力（通常)</v>
      </c>
      <c r="AP59" s="51" t="str">
        <f t="shared" si="2"/>
        <v>SA3010</v>
      </c>
      <c r="AQ59" s="51" t="s">
        <v>493</v>
      </c>
      <c r="AR59" s="51" t="s">
        <v>491</v>
      </c>
      <c r="AS59" s="49" t="str">
        <f t="shared" si="3"/>
        <v>受注入力（通常)</v>
      </c>
      <c r="AT59" s="49" t="str">
        <f t="shared" si="4"/>
        <v>SA3010</v>
      </c>
      <c r="AU59" s="51" t="s">
        <v>493</v>
      </c>
      <c r="AV59" s="51" t="s">
        <v>491</v>
      </c>
    </row>
    <row r="60" spans="1:48" ht="18" customHeight="1">
      <c r="A60" s="44">
        <v>58</v>
      </c>
      <c r="B60" s="52" t="s">
        <v>292</v>
      </c>
      <c r="C60" s="52" t="s">
        <v>490</v>
      </c>
      <c r="D60" s="46" t="s">
        <v>116</v>
      </c>
      <c r="E60" s="44" t="s">
        <v>491</v>
      </c>
      <c r="F60" s="44" t="s">
        <v>495</v>
      </c>
      <c r="G60" s="44"/>
      <c r="H60" s="44"/>
      <c r="I60" s="44"/>
      <c r="J60" s="47" t="s">
        <v>35</v>
      </c>
      <c r="K60" s="47"/>
      <c r="L60" s="47"/>
      <c r="M60" s="47"/>
      <c r="N60" s="47"/>
      <c r="O60" s="44"/>
      <c r="P60" s="44"/>
      <c r="Q60" s="48">
        <f>VLOOKUP(E60,sheet1!$B$2:$D$3209,3,FALSE)</f>
        <v>15697</v>
      </c>
      <c r="R60" s="47" t="s">
        <v>35</v>
      </c>
      <c r="S60" s="47" t="s">
        <v>35</v>
      </c>
      <c r="T60" s="47" t="s">
        <v>35</v>
      </c>
      <c r="U60" s="47" t="s">
        <v>35</v>
      </c>
      <c r="V60" s="47" t="s">
        <v>35</v>
      </c>
      <c r="W60" s="47" t="s">
        <v>296</v>
      </c>
      <c r="X60" s="47" t="s">
        <v>296</v>
      </c>
      <c r="Y60" s="47" t="s">
        <v>296</v>
      </c>
      <c r="Z60" s="47" t="s">
        <v>35</v>
      </c>
      <c r="AA60" s="47" t="s">
        <v>296</v>
      </c>
      <c r="AB60" s="47" t="s">
        <v>35</v>
      </c>
      <c r="AC60" s="47" t="s">
        <v>35</v>
      </c>
      <c r="AD60" s="49" t="str">
        <f>VLOOKUP(E60,sheet1!$B$2:$C$3209,2,FALSE)</f>
        <v>受注入力    ＪＳ与信改善対応</v>
      </c>
      <c r="AE60" s="49"/>
      <c r="AF60" s="56" t="s">
        <v>496</v>
      </c>
      <c r="AG60" s="56" t="s">
        <v>491</v>
      </c>
      <c r="AH60" s="49" t="str">
        <f t="shared" si="0"/>
        <v>受注入力（返品）</v>
      </c>
      <c r="AI60" s="49"/>
      <c r="AJ60" s="49"/>
      <c r="AK60" s="49"/>
      <c r="AL60" s="49" t="str">
        <f t="shared" si="5"/>
        <v>受注入力（返品）</v>
      </c>
      <c r="AM60" s="49" t="s">
        <v>35</v>
      </c>
      <c r="AN60" s="49" t="s">
        <v>497</v>
      </c>
      <c r="AO60" s="51" t="str">
        <f t="shared" si="1"/>
        <v>受注入力（返品）</v>
      </c>
      <c r="AP60" s="51" t="str">
        <f t="shared" si="2"/>
        <v>SA3010</v>
      </c>
      <c r="AQ60" s="51" t="s">
        <v>496</v>
      </c>
      <c r="AR60" s="51" t="s">
        <v>491</v>
      </c>
      <c r="AS60" s="49" t="str">
        <f t="shared" si="3"/>
        <v>受注入力（返品）</v>
      </c>
      <c r="AT60" s="49" t="str">
        <f t="shared" si="4"/>
        <v>SA3010</v>
      </c>
      <c r="AU60" s="51" t="s">
        <v>496</v>
      </c>
      <c r="AV60" s="51" t="s">
        <v>491</v>
      </c>
    </row>
    <row r="61" spans="1:48" ht="18" customHeight="1">
      <c r="A61" s="44">
        <v>59</v>
      </c>
      <c r="B61" s="52" t="s">
        <v>292</v>
      </c>
      <c r="C61" s="52" t="s">
        <v>490</v>
      </c>
      <c r="D61" s="46" t="s">
        <v>116</v>
      </c>
      <c r="E61" s="44" t="s">
        <v>498</v>
      </c>
      <c r="F61" s="44" t="s">
        <v>499</v>
      </c>
      <c r="G61" s="44"/>
      <c r="H61" s="44"/>
      <c r="I61" s="44"/>
      <c r="J61" s="47" t="s">
        <v>35</v>
      </c>
      <c r="K61" s="47"/>
      <c r="L61" s="47"/>
      <c r="M61" s="47"/>
      <c r="N61" s="47"/>
      <c r="O61" s="44"/>
      <c r="P61" s="44"/>
      <c r="Q61" s="48">
        <f>VLOOKUP(E61,sheet1!$B$2:$D$3209,3,FALSE)</f>
        <v>15746</v>
      </c>
      <c r="R61" s="47" t="s">
        <v>35</v>
      </c>
      <c r="S61" s="47" t="s">
        <v>35</v>
      </c>
      <c r="T61" s="47" t="s">
        <v>35</v>
      </c>
      <c r="U61" s="47" t="s">
        <v>35</v>
      </c>
      <c r="V61" s="47" t="s">
        <v>35</v>
      </c>
      <c r="W61" s="47" t="s">
        <v>296</v>
      </c>
      <c r="X61" s="47" t="s">
        <v>296</v>
      </c>
      <c r="Y61" s="47" t="s">
        <v>296</v>
      </c>
      <c r="Z61" s="47" t="s">
        <v>35</v>
      </c>
      <c r="AA61" s="47" t="s">
        <v>296</v>
      </c>
      <c r="AB61" s="47" t="s">
        <v>35</v>
      </c>
      <c r="AC61" s="47" t="s">
        <v>35</v>
      </c>
      <c r="AD61" s="49" t="str">
        <f>VLOOKUP(E61,sheet1!$B$2:$C$3209,2,FALSE)</f>
        <v>受注入力ＪＳ与信改善対応・受注検索</v>
      </c>
      <c r="AE61" s="49"/>
      <c r="AF61" s="56" t="s">
        <v>500</v>
      </c>
      <c r="AG61" s="56" t="s">
        <v>498</v>
      </c>
      <c r="AH61" s="49" t="str">
        <f t="shared" si="0"/>
        <v>受注入力（元受注No.検索）</v>
      </c>
      <c r="AI61" s="49"/>
      <c r="AJ61" s="49"/>
      <c r="AK61" s="49"/>
      <c r="AL61" s="49" t="str">
        <f t="shared" si="5"/>
        <v>受注入力（元受注No.検索）</v>
      </c>
      <c r="AM61" s="49" t="s">
        <v>35</v>
      </c>
      <c r="AN61" s="49" t="s">
        <v>501</v>
      </c>
      <c r="AO61" s="51" t="str">
        <f t="shared" si="1"/>
        <v>受注入力（元受注No.検索）</v>
      </c>
      <c r="AP61" s="51" t="str">
        <f t="shared" si="2"/>
        <v>SA301X</v>
      </c>
      <c r="AQ61" s="51" t="s">
        <v>502</v>
      </c>
      <c r="AR61" s="51" t="s">
        <v>498</v>
      </c>
      <c r="AS61" s="49" t="str">
        <f t="shared" si="3"/>
        <v>受注入力（元受注No.検索）</v>
      </c>
      <c r="AT61" s="49" t="str">
        <f t="shared" si="4"/>
        <v>SA301X</v>
      </c>
      <c r="AU61" s="51" t="s">
        <v>502</v>
      </c>
      <c r="AV61" s="51" t="s">
        <v>498</v>
      </c>
    </row>
    <row r="62" spans="1:48" ht="18" customHeight="1">
      <c r="A62" s="44">
        <v>60</v>
      </c>
      <c r="B62" s="52" t="s">
        <v>292</v>
      </c>
      <c r="C62" s="52" t="s">
        <v>490</v>
      </c>
      <c r="D62" s="46" t="s">
        <v>116</v>
      </c>
      <c r="E62" s="44" t="s">
        <v>503</v>
      </c>
      <c r="F62" s="44" t="s">
        <v>504</v>
      </c>
      <c r="G62" s="44"/>
      <c r="H62" s="44"/>
      <c r="I62" s="44"/>
      <c r="J62" s="47" t="s">
        <v>35</v>
      </c>
      <c r="K62" s="47"/>
      <c r="L62" s="47"/>
      <c r="M62" s="47"/>
      <c r="N62" s="47"/>
      <c r="O62" s="44"/>
      <c r="P62" s="44"/>
      <c r="Q62" s="48">
        <f>VLOOKUP(E62,sheet1!$B$2:$D$3209,3,FALSE)</f>
        <v>750</v>
      </c>
      <c r="R62" s="47" t="s">
        <v>35</v>
      </c>
      <c r="S62" s="47" t="s">
        <v>35</v>
      </c>
      <c r="T62" s="47" t="s">
        <v>35</v>
      </c>
      <c r="U62" s="47" t="s">
        <v>35</v>
      </c>
      <c r="V62" s="47" t="s">
        <v>35</v>
      </c>
      <c r="W62" s="47" t="s">
        <v>296</v>
      </c>
      <c r="X62" s="47" t="s">
        <v>296</v>
      </c>
      <c r="Y62" s="47" t="s">
        <v>296</v>
      </c>
      <c r="Z62" s="47" t="s">
        <v>35</v>
      </c>
      <c r="AA62" s="47" t="s">
        <v>296</v>
      </c>
      <c r="AB62" s="47" t="s">
        <v>35</v>
      </c>
      <c r="AC62" s="47" t="s">
        <v>35</v>
      </c>
      <c r="AD62" s="49" t="str">
        <f>VLOOKUP(E62,sheet1!$B$2:$C$3209,2,FALSE)</f>
        <v>値引承認入力</v>
      </c>
      <c r="AE62" s="49"/>
      <c r="AF62" s="56" t="s">
        <v>505</v>
      </c>
      <c r="AG62" s="56" t="s">
        <v>503</v>
      </c>
      <c r="AH62" s="49" t="str">
        <f t="shared" si="0"/>
        <v>値引承認入力（通常）</v>
      </c>
      <c r="AI62" s="49"/>
      <c r="AJ62" s="49"/>
      <c r="AK62" s="49"/>
      <c r="AL62" s="49" t="str">
        <f t="shared" si="5"/>
        <v>値引承認入力（通常）</v>
      </c>
      <c r="AM62" s="49" t="s">
        <v>35</v>
      </c>
      <c r="AN62" s="49" t="s">
        <v>506</v>
      </c>
      <c r="AO62" s="51" t="str">
        <f t="shared" si="1"/>
        <v>値引承認入力（通常）</v>
      </c>
      <c r="AP62" s="51" t="str">
        <f t="shared" si="2"/>
        <v>SA3020</v>
      </c>
      <c r="AQ62" s="51" t="s">
        <v>505</v>
      </c>
      <c r="AR62" s="51" t="s">
        <v>503</v>
      </c>
      <c r="AS62" s="49" t="str">
        <f t="shared" si="3"/>
        <v>値引承認入力（通常）</v>
      </c>
      <c r="AT62" s="49" t="str">
        <f t="shared" si="4"/>
        <v>SA3020</v>
      </c>
      <c r="AU62" s="51" t="s">
        <v>505</v>
      </c>
      <c r="AV62" s="51" t="s">
        <v>503</v>
      </c>
    </row>
    <row r="63" spans="1:48" ht="18" customHeight="1">
      <c r="A63" s="44">
        <v>61</v>
      </c>
      <c r="B63" s="52" t="s">
        <v>292</v>
      </c>
      <c r="C63" s="52" t="s">
        <v>490</v>
      </c>
      <c r="D63" s="46" t="s">
        <v>116</v>
      </c>
      <c r="E63" s="44" t="s">
        <v>503</v>
      </c>
      <c r="F63" s="44" t="s">
        <v>507</v>
      </c>
      <c r="G63" s="44"/>
      <c r="H63" s="44"/>
      <c r="I63" s="44"/>
      <c r="J63" s="47" t="s">
        <v>35</v>
      </c>
      <c r="K63" s="47"/>
      <c r="L63" s="47"/>
      <c r="M63" s="47"/>
      <c r="N63" s="47"/>
      <c r="O63" s="44"/>
      <c r="P63" s="44"/>
      <c r="Q63" s="48">
        <f>VLOOKUP(E63,sheet1!$B$2:$D$3209,3,FALSE)</f>
        <v>750</v>
      </c>
      <c r="R63" s="47" t="s">
        <v>35</v>
      </c>
      <c r="S63" s="47" t="s">
        <v>35</v>
      </c>
      <c r="T63" s="47" t="s">
        <v>35</v>
      </c>
      <c r="U63" s="47" t="s">
        <v>35</v>
      </c>
      <c r="V63" s="47" t="s">
        <v>35</v>
      </c>
      <c r="W63" s="47" t="s">
        <v>296</v>
      </c>
      <c r="X63" s="47" t="s">
        <v>296</v>
      </c>
      <c r="Y63" s="47" t="s">
        <v>296</v>
      </c>
      <c r="Z63" s="47" t="s">
        <v>35</v>
      </c>
      <c r="AA63" s="47" t="s">
        <v>296</v>
      </c>
      <c r="AB63" s="47" t="s">
        <v>35</v>
      </c>
      <c r="AC63" s="47" t="s">
        <v>35</v>
      </c>
      <c r="AD63" s="49" t="str">
        <f>VLOOKUP(E63,sheet1!$B$2:$C$3209,2,FALSE)</f>
        <v>値引承認入力</v>
      </c>
      <c r="AE63" s="49"/>
      <c r="AF63" s="56" t="s">
        <v>508</v>
      </c>
      <c r="AG63" s="56" t="s">
        <v>503</v>
      </c>
      <c r="AH63" s="49" t="str">
        <f t="shared" si="0"/>
        <v>値引承認入力（返品）</v>
      </c>
      <c r="AI63" s="49"/>
      <c r="AJ63" s="49"/>
      <c r="AK63" s="49"/>
      <c r="AL63" s="49" t="str">
        <f t="shared" si="5"/>
        <v>値引承認入力（返品）</v>
      </c>
      <c r="AM63" s="49" t="s">
        <v>35</v>
      </c>
      <c r="AN63" s="49" t="s">
        <v>509</v>
      </c>
      <c r="AO63" s="51" t="str">
        <f t="shared" si="1"/>
        <v>値引承認入力（返品）</v>
      </c>
      <c r="AP63" s="51" t="str">
        <f t="shared" si="2"/>
        <v>SA3020</v>
      </c>
      <c r="AQ63" s="51" t="s">
        <v>508</v>
      </c>
      <c r="AR63" s="51" t="s">
        <v>503</v>
      </c>
      <c r="AS63" s="49" t="str">
        <f t="shared" si="3"/>
        <v>値引承認入力（返品）</v>
      </c>
      <c r="AT63" s="49" t="str">
        <f t="shared" si="4"/>
        <v>SA3020</v>
      </c>
      <c r="AU63" s="51" t="s">
        <v>508</v>
      </c>
      <c r="AV63" s="51" t="s">
        <v>503</v>
      </c>
    </row>
    <row r="64" spans="1:48" ht="18" customHeight="1">
      <c r="A64" s="44">
        <v>62</v>
      </c>
      <c r="B64" s="52" t="s">
        <v>292</v>
      </c>
      <c r="C64" s="52" t="s">
        <v>490</v>
      </c>
      <c r="D64" s="46" t="s">
        <v>116</v>
      </c>
      <c r="E64" s="44" t="s">
        <v>510</v>
      </c>
      <c r="F64" s="44" t="s">
        <v>511</v>
      </c>
      <c r="G64" s="44"/>
      <c r="H64" s="44"/>
      <c r="I64" s="44"/>
      <c r="J64" s="47" t="s">
        <v>35</v>
      </c>
      <c r="K64" s="47"/>
      <c r="L64" s="47"/>
      <c r="M64" s="47"/>
      <c r="N64" s="47"/>
      <c r="O64" s="44"/>
      <c r="P64" s="44"/>
      <c r="Q64" s="48">
        <f>VLOOKUP(E64,sheet1!$B$2:$D$3209,3,FALSE)</f>
        <v>4639</v>
      </c>
      <c r="R64" s="47" t="s">
        <v>35</v>
      </c>
      <c r="S64" s="47" t="s">
        <v>35</v>
      </c>
      <c r="T64" s="47" t="s">
        <v>35</v>
      </c>
      <c r="U64" s="47" t="s">
        <v>35</v>
      </c>
      <c r="V64" s="47" t="s">
        <v>35</v>
      </c>
      <c r="W64" s="47" t="s">
        <v>296</v>
      </c>
      <c r="X64" s="47" t="s">
        <v>296</v>
      </c>
      <c r="Y64" s="47" t="s">
        <v>296</v>
      </c>
      <c r="Z64" s="47" t="s">
        <v>35</v>
      </c>
      <c r="AA64" s="47" t="s">
        <v>296</v>
      </c>
      <c r="AB64" s="47" t="s">
        <v>35</v>
      </c>
      <c r="AC64" s="47" t="s">
        <v>35</v>
      </c>
      <c r="AD64" s="49" t="str">
        <f>VLOOKUP(E64,sheet1!$B$2:$C$3209,2,FALSE)</f>
        <v>受注承認入力　ＪＳ与信改善</v>
      </c>
      <c r="AE64" s="49"/>
      <c r="AF64" s="56" t="s">
        <v>512</v>
      </c>
      <c r="AG64" s="56" t="s">
        <v>510</v>
      </c>
      <c r="AH64" s="49" t="str">
        <f t="shared" si="0"/>
        <v>受注承認入力（通常）</v>
      </c>
      <c r="AI64" s="49"/>
      <c r="AJ64" s="49"/>
      <c r="AK64" s="49"/>
      <c r="AL64" s="49" t="str">
        <f t="shared" si="5"/>
        <v>受注承認入力（通常）</v>
      </c>
      <c r="AM64" s="49" t="s">
        <v>35</v>
      </c>
      <c r="AN64" s="49" t="s">
        <v>513</v>
      </c>
      <c r="AO64" s="51" t="str">
        <f t="shared" si="1"/>
        <v>受注承認入力（通常）</v>
      </c>
      <c r="AP64" s="51" t="str">
        <f t="shared" si="2"/>
        <v>SA3030</v>
      </c>
      <c r="AQ64" s="51" t="s">
        <v>512</v>
      </c>
      <c r="AR64" s="51" t="s">
        <v>510</v>
      </c>
      <c r="AS64" s="49" t="str">
        <f t="shared" si="3"/>
        <v>受注承認入力（通常）</v>
      </c>
      <c r="AT64" s="49" t="str">
        <f t="shared" si="4"/>
        <v>SA3030</v>
      </c>
      <c r="AU64" s="51" t="s">
        <v>512</v>
      </c>
      <c r="AV64" s="51" t="s">
        <v>510</v>
      </c>
    </row>
    <row r="65" spans="1:48" ht="18" customHeight="1">
      <c r="A65" s="44">
        <v>63</v>
      </c>
      <c r="B65" s="52" t="s">
        <v>292</v>
      </c>
      <c r="C65" s="52" t="s">
        <v>490</v>
      </c>
      <c r="D65" s="46" t="s">
        <v>116</v>
      </c>
      <c r="E65" s="44" t="s">
        <v>510</v>
      </c>
      <c r="F65" s="44" t="s">
        <v>514</v>
      </c>
      <c r="G65" s="44"/>
      <c r="H65" s="44"/>
      <c r="I65" s="44"/>
      <c r="J65" s="47" t="s">
        <v>35</v>
      </c>
      <c r="K65" s="47"/>
      <c r="L65" s="47"/>
      <c r="M65" s="47"/>
      <c r="N65" s="47"/>
      <c r="O65" s="44"/>
      <c r="P65" s="44"/>
      <c r="Q65" s="48">
        <f>VLOOKUP(E65,sheet1!$B$2:$D$3209,3,FALSE)</f>
        <v>4639</v>
      </c>
      <c r="R65" s="47" t="s">
        <v>35</v>
      </c>
      <c r="S65" s="47" t="s">
        <v>35</v>
      </c>
      <c r="T65" s="47" t="s">
        <v>35</v>
      </c>
      <c r="U65" s="47" t="s">
        <v>35</v>
      </c>
      <c r="V65" s="47" t="s">
        <v>35</v>
      </c>
      <c r="W65" s="47" t="s">
        <v>296</v>
      </c>
      <c r="X65" s="47" t="s">
        <v>296</v>
      </c>
      <c r="Y65" s="47" t="s">
        <v>296</v>
      </c>
      <c r="Z65" s="47" t="s">
        <v>35</v>
      </c>
      <c r="AA65" s="47" t="s">
        <v>296</v>
      </c>
      <c r="AB65" s="47" t="s">
        <v>35</v>
      </c>
      <c r="AC65" s="47" t="s">
        <v>35</v>
      </c>
      <c r="AD65" s="49" t="str">
        <f>VLOOKUP(E65,sheet1!$B$2:$C$3209,2,FALSE)</f>
        <v>受注承認入力　ＪＳ与信改善</v>
      </c>
      <c r="AE65" s="49"/>
      <c r="AF65" s="56" t="s">
        <v>515</v>
      </c>
      <c r="AG65" s="56" t="s">
        <v>510</v>
      </c>
      <c r="AH65" s="49" t="str">
        <f t="shared" si="0"/>
        <v>受注承認入力（返品）</v>
      </c>
      <c r="AI65" s="49"/>
      <c r="AJ65" s="49"/>
      <c r="AK65" s="49"/>
      <c r="AL65" s="49" t="str">
        <f t="shared" si="5"/>
        <v>受注承認入力（返品）</v>
      </c>
      <c r="AM65" s="49" t="s">
        <v>35</v>
      </c>
      <c r="AN65" s="49" t="s">
        <v>516</v>
      </c>
      <c r="AO65" s="51" t="str">
        <f t="shared" si="1"/>
        <v>受注承認入力（返品）</v>
      </c>
      <c r="AP65" s="51" t="str">
        <f t="shared" si="2"/>
        <v>SA3030</v>
      </c>
      <c r="AQ65" s="51" t="s">
        <v>515</v>
      </c>
      <c r="AR65" s="51" t="s">
        <v>510</v>
      </c>
      <c r="AS65" s="49" t="str">
        <f t="shared" si="3"/>
        <v>受注承認入力（返品）</v>
      </c>
      <c r="AT65" s="49" t="str">
        <f t="shared" si="4"/>
        <v>SA3030</v>
      </c>
      <c r="AU65" s="51" t="s">
        <v>515</v>
      </c>
      <c r="AV65" s="51" t="s">
        <v>510</v>
      </c>
    </row>
    <row r="66" spans="1:48" ht="18" customHeight="1">
      <c r="A66" s="44">
        <v>64</v>
      </c>
      <c r="B66" s="52" t="s">
        <v>292</v>
      </c>
      <c r="C66" s="52" t="s">
        <v>490</v>
      </c>
      <c r="D66" s="46" t="s">
        <v>116</v>
      </c>
      <c r="E66" s="44" t="s">
        <v>116</v>
      </c>
      <c r="F66" s="44" t="s">
        <v>517</v>
      </c>
      <c r="G66" s="44"/>
      <c r="H66" s="44"/>
      <c r="I66" s="44"/>
      <c r="J66" s="47" t="s">
        <v>35</v>
      </c>
      <c r="K66" s="47"/>
      <c r="L66" s="47"/>
      <c r="M66" s="47"/>
      <c r="N66" s="47"/>
      <c r="O66" s="44"/>
      <c r="P66" s="44"/>
      <c r="Q66" s="48"/>
      <c r="R66" s="47"/>
      <c r="S66" s="47" t="s">
        <v>296</v>
      </c>
      <c r="T66" s="47"/>
      <c r="U66" s="47" t="s">
        <v>296</v>
      </c>
      <c r="V66" s="47" t="s">
        <v>35</v>
      </c>
      <c r="W66" s="47" t="s">
        <v>296</v>
      </c>
      <c r="X66" s="47" t="s">
        <v>296</v>
      </c>
      <c r="Y66" s="47" t="s">
        <v>296</v>
      </c>
      <c r="Z66" s="47" t="s">
        <v>35</v>
      </c>
      <c r="AA66" s="47" t="s">
        <v>296</v>
      </c>
      <c r="AB66" s="47" t="s">
        <v>35</v>
      </c>
      <c r="AC66" s="47" t="s">
        <v>35</v>
      </c>
      <c r="AD66" s="49"/>
      <c r="AE66" s="49"/>
      <c r="AF66" s="56" t="s">
        <v>518</v>
      </c>
      <c r="AG66" s="46" t="s">
        <v>116</v>
      </c>
      <c r="AH66" s="49" t="str">
        <f t="shared" si="0"/>
        <v>修理作業依頼書作成</v>
      </c>
      <c r="AI66" s="49"/>
      <c r="AJ66" s="49"/>
      <c r="AK66" s="49"/>
      <c r="AL66" s="49" t="str">
        <f t="shared" si="5"/>
        <v>修理作業依頼書作成</v>
      </c>
      <c r="AM66" s="49" t="s">
        <v>35</v>
      </c>
      <c r="AN66" s="49" t="s">
        <v>519</v>
      </c>
      <c r="AO66" s="51" t="str">
        <f t="shared" si="1"/>
        <v/>
      </c>
      <c r="AP66" s="51" t="str">
        <f t="shared" si="2"/>
        <v/>
      </c>
      <c r="AQ66" s="51"/>
      <c r="AR66" s="51"/>
      <c r="AS66" s="49" t="str">
        <f t="shared" si="3"/>
        <v/>
      </c>
      <c r="AT66" s="49" t="str">
        <f t="shared" si="4"/>
        <v/>
      </c>
      <c r="AU66" s="51"/>
      <c r="AV66" s="51"/>
    </row>
    <row r="67" spans="1:48" ht="18" customHeight="1">
      <c r="A67" s="44">
        <v>65</v>
      </c>
      <c r="B67" s="52" t="s">
        <v>292</v>
      </c>
      <c r="C67" s="52" t="s">
        <v>490</v>
      </c>
      <c r="D67" s="46" t="s">
        <v>116</v>
      </c>
      <c r="E67" s="44" t="s">
        <v>520</v>
      </c>
      <c r="F67" s="44" t="s">
        <v>521</v>
      </c>
      <c r="G67" s="44"/>
      <c r="H67" s="44"/>
      <c r="I67" s="44"/>
      <c r="J67" s="47" t="s">
        <v>35</v>
      </c>
      <c r="K67" s="47"/>
      <c r="L67" s="47"/>
      <c r="M67" s="47"/>
      <c r="N67" s="47"/>
      <c r="O67" s="44"/>
      <c r="P67" s="44"/>
      <c r="Q67" s="48">
        <f>VLOOKUP(E67,sheet1!$B$2:$D$3209,3,FALSE)</f>
        <v>2522</v>
      </c>
      <c r="R67" s="47" t="s">
        <v>35</v>
      </c>
      <c r="S67" s="47" t="s">
        <v>35</v>
      </c>
      <c r="T67" s="47" t="s">
        <v>35</v>
      </c>
      <c r="U67" s="47" t="s">
        <v>35</v>
      </c>
      <c r="V67" s="47" t="s">
        <v>35</v>
      </c>
      <c r="W67" s="47" t="s">
        <v>296</v>
      </c>
      <c r="X67" s="47" t="s">
        <v>296</v>
      </c>
      <c r="Y67" s="47" t="s">
        <v>296</v>
      </c>
      <c r="Z67" s="47" t="s">
        <v>35</v>
      </c>
      <c r="AA67" s="47" t="s">
        <v>296</v>
      </c>
      <c r="AB67" s="47" t="s">
        <v>35</v>
      </c>
      <c r="AC67" s="47" t="s">
        <v>35</v>
      </c>
      <c r="AD67" s="49" t="str">
        <f>VLOOKUP(E67,sheet1!$B$2:$C$3209,2,FALSE)</f>
        <v>出荷指示荷姿入力（製品・商品)</v>
      </c>
      <c r="AE67" s="49"/>
      <c r="AF67" s="56" t="s">
        <v>522</v>
      </c>
      <c r="AG67" s="56" t="s">
        <v>520</v>
      </c>
      <c r="AH67" s="49" t="str">
        <f t="shared" si="0"/>
        <v>出荷指示荷姿入力（製品）</v>
      </c>
      <c r="AI67" s="49"/>
      <c r="AJ67" s="49"/>
      <c r="AK67" s="49"/>
      <c r="AL67" s="49" t="str">
        <f t="shared" si="5"/>
        <v>出荷指示荷姿入力（製品）</v>
      </c>
      <c r="AM67" s="49" t="s">
        <v>35</v>
      </c>
      <c r="AN67" s="49" t="s">
        <v>523</v>
      </c>
      <c r="AO67" s="51" t="str">
        <f t="shared" si="1"/>
        <v>出荷指示荷姿入力（製品）</v>
      </c>
      <c r="AP67" s="51" t="str">
        <f t="shared" si="2"/>
        <v>SA3040</v>
      </c>
      <c r="AQ67" s="51" t="s">
        <v>522</v>
      </c>
      <c r="AR67" s="51" t="s">
        <v>520</v>
      </c>
      <c r="AS67" s="49" t="str">
        <f t="shared" si="3"/>
        <v>出荷指示荷姿入力（製品）</v>
      </c>
      <c r="AT67" s="49" t="str">
        <f t="shared" si="4"/>
        <v>SA3040</v>
      </c>
      <c r="AU67" s="51" t="s">
        <v>522</v>
      </c>
      <c r="AV67" s="51" t="s">
        <v>520</v>
      </c>
    </row>
    <row r="68" spans="1:48" ht="18" customHeight="1">
      <c r="A68" s="44">
        <v>66</v>
      </c>
      <c r="B68" s="52" t="s">
        <v>292</v>
      </c>
      <c r="C68" s="52" t="s">
        <v>490</v>
      </c>
      <c r="D68" s="46" t="s">
        <v>116</v>
      </c>
      <c r="E68" s="44" t="s">
        <v>524</v>
      </c>
      <c r="F68" s="44" t="s">
        <v>525</v>
      </c>
      <c r="G68" s="44"/>
      <c r="H68" s="44"/>
      <c r="I68" s="44"/>
      <c r="J68" s="47" t="s">
        <v>35</v>
      </c>
      <c r="K68" s="47"/>
      <c r="L68" s="47"/>
      <c r="M68" s="47"/>
      <c r="N68" s="47"/>
      <c r="O68" s="44"/>
      <c r="P68" s="44"/>
      <c r="Q68" s="48">
        <f>VLOOKUP(E68,sheet1!$B$2:$D$3209,3,FALSE)</f>
        <v>1969</v>
      </c>
      <c r="R68" s="47" t="s">
        <v>35</v>
      </c>
      <c r="S68" s="47" t="s">
        <v>35</v>
      </c>
      <c r="T68" s="47" t="s">
        <v>35</v>
      </c>
      <c r="U68" s="47" t="s">
        <v>35</v>
      </c>
      <c r="V68" s="47" t="s">
        <v>35</v>
      </c>
      <c r="W68" s="47" t="s">
        <v>296</v>
      </c>
      <c r="X68" s="47" t="s">
        <v>296</v>
      </c>
      <c r="Y68" s="47" t="s">
        <v>296</v>
      </c>
      <c r="Z68" s="47" t="s">
        <v>35</v>
      </c>
      <c r="AA68" s="47" t="s">
        <v>296</v>
      </c>
      <c r="AB68" s="47" t="s">
        <v>35</v>
      </c>
      <c r="AC68" s="47" t="s">
        <v>35</v>
      </c>
      <c r="AD68" s="49" t="str">
        <f>VLOOKUP(E68,sheet1!$B$2:$C$3209,2,FALSE)</f>
        <v>出荷指示荷姿入力（ｻｰﾋﾞｽﾊﾟｰﾂ )</v>
      </c>
      <c r="AE68" s="49"/>
      <c r="AF68" s="56" t="s">
        <v>526</v>
      </c>
      <c r="AG68" s="56" t="s">
        <v>524</v>
      </c>
      <c r="AH68" s="49" t="str">
        <f t="shared" si="0"/>
        <v>出荷指示荷姿入力(ｻｰﾋﾞｽ)</v>
      </c>
      <c r="AI68" s="49"/>
      <c r="AJ68" s="49"/>
      <c r="AK68" s="49"/>
      <c r="AL68" s="49" t="str">
        <f t="shared" si="5"/>
        <v>出荷指示荷姿入力(ｻｰﾋﾞｽ)</v>
      </c>
      <c r="AM68" s="49" t="s">
        <v>35</v>
      </c>
      <c r="AN68" s="49" t="s">
        <v>527</v>
      </c>
      <c r="AO68" s="51" t="str">
        <f t="shared" si="1"/>
        <v>出荷指示荷姿入力(ｻｰﾋﾞｽ)</v>
      </c>
      <c r="AP68" s="51" t="str">
        <f t="shared" si="2"/>
        <v>SA3050</v>
      </c>
      <c r="AQ68" s="51" t="s">
        <v>526</v>
      </c>
      <c r="AR68" s="51" t="s">
        <v>524</v>
      </c>
      <c r="AS68" s="49" t="str">
        <f t="shared" si="3"/>
        <v>出荷指示荷姿入力(ｻｰﾋﾞｽ)</v>
      </c>
      <c r="AT68" s="49" t="str">
        <f t="shared" si="4"/>
        <v>SA3050</v>
      </c>
      <c r="AU68" s="51" t="s">
        <v>526</v>
      </c>
      <c r="AV68" s="51" t="s">
        <v>524</v>
      </c>
    </row>
    <row r="69" spans="1:48" ht="18" customHeight="1">
      <c r="A69" s="44">
        <v>67</v>
      </c>
      <c r="B69" s="52" t="s">
        <v>292</v>
      </c>
      <c r="C69" s="52" t="s">
        <v>490</v>
      </c>
      <c r="D69" s="46" t="s">
        <v>116</v>
      </c>
      <c r="E69" s="44" t="s">
        <v>528</v>
      </c>
      <c r="F69" s="44" t="s">
        <v>529</v>
      </c>
      <c r="G69" s="44"/>
      <c r="H69" s="44"/>
      <c r="I69" s="44"/>
      <c r="J69" s="47" t="s">
        <v>35</v>
      </c>
      <c r="K69" s="47"/>
      <c r="L69" s="47"/>
      <c r="M69" s="47"/>
      <c r="N69" s="47"/>
      <c r="O69" s="44"/>
      <c r="P69" s="44"/>
      <c r="Q69" s="48">
        <f>VLOOKUP(E69,sheet1!$B$2:$D$3209,3,FALSE)</f>
        <v>512</v>
      </c>
      <c r="R69" s="47" t="s">
        <v>35</v>
      </c>
      <c r="S69" s="47" t="s">
        <v>35</v>
      </c>
      <c r="T69" s="47" t="s">
        <v>35</v>
      </c>
      <c r="U69" s="47" t="s">
        <v>35</v>
      </c>
      <c r="V69" s="47" t="s">
        <v>35</v>
      </c>
      <c r="W69" s="47" t="s">
        <v>296</v>
      </c>
      <c r="X69" s="47" t="s">
        <v>296</v>
      </c>
      <c r="Y69" s="47" t="s">
        <v>296</v>
      </c>
      <c r="Z69" s="47" t="s">
        <v>35</v>
      </c>
      <c r="AA69" s="47" t="s">
        <v>296</v>
      </c>
      <c r="AB69" s="47" t="s">
        <v>35</v>
      </c>
      <c r="AC69" s="47" t="s">
        <v>35</v>
      </c>
      <c r="AD69" s="49" t="str">
        <f>VLOOKUP(E69,sheet1!$B$2:$C$3209,2,FALSE)</f>
        <v>出荷指示荷姿最終確認入力</v>
      </c>
      <c r="AE69" s="49"/>
      <c r="AF69" s="56" t="s">
        <v>530</v>
      </c>
      <c r="AG69" s="56" t="s">
        <v>528</v>
      </c>
      <c r="AH69" s="49" t="str">
        <f t="shared" si="0"/>
        <v>出荷指示荷姿最終確認入力</v>
      </c>
      <c r="AI69" s="49"/>
      <c r="AJ69" s="49"/>
      <c r="AK69" s="49"/>
      <c r="AL69" s="49" t="str">
        <f t="shared" si="5"/>
        <v>出荷指示荷姿最終確認入力</v>
      </c>
      <c r="AM69" s="49" t="s">
        <v>35</v>
      </c>
      <c r="AN69" s="49" t="s">
        <v>531</v>
      </c>
      <c r="AO69" s="51" t="str">
        <f t="shared" si="1"/>
        <v>出荷指示荷姿最終確認入力</v>
      </c>
      <c r="AP69" s="51" t="str">
        <f t="shared" si="2"/>
        <v>SA3060</v>
      </c>
      <c r="AQ69" s="51" t="s">
        <v>530</v>
      </c>
      <c r="AR69" s="51" t="s">
        <v>528</v>
      </c>
      <c r="AS69" s="49" t="str">
        <f t="shared" si="3"/>
        <v>出荷指示荷姿最終確認入力</v>
      </c>
      <c r="AT69" s="49" t="str">
        <f t="shared" si="4"/>
        <v>SA3060</v>
      </c>
      <c r="AU69" s="51" t="s">
        <v>530</v>
      </c>
      <c r="AV69" s="51" t="s">
        <v>528</v>
      </c>
    </row>
    <row r="70" spans="1:48" ht="18" customHeight="1">
      <c r="A70" s="44">
        <v>68</v>
      </c>
      <c r="B70" s="52" t="s">
        <v>292</v>
      </c>
      <c r="C70" s="52" t="s">
        <v>490</v>
      </c>
      <c r="D70" s="46" t="s">
        <v>116</v>
      </c>
      <c r="E70" s="44" t="s">
        <v>532</v>
      </c>
      <c r="F70" s="44" t="s">
        <v>533</v>
      </c>
      <c r="G70" s="44"/>
      <c r="H70" s="44"/>
      <c r="I70" s="44"/>
      <c r="J70" s="47" t="s">
        <v>35</v>
      </c>
      <c r="K70" s="47"/>
      <c r="L70" s="47"/>
      <c r="M70" s="47"/>
      <c r="N70" s="47"/>
      <c r="O70" s="44"/>
      <c r="P70" s="44"/>
      <c r="Q70" s="48">
        <f>VLOOKUP(E70,sheet1!$B$2:$D$3209,3,FALSE)</f>
        <v>2213</v>
      </c>
      <c r="R70" s="47" t="s">
        <v>35</v>
      </c>
      <c r="S70" s="47" t="s">
        <v>35</v>
      </c>
      <c r="T70" s="47" t="s">
        <v>35</v>
      </c>
      <c r="U70" s="47" t="s">
        <v>35</v>
      </c>
      <c r="V70" s="47" t="s">
        <v>35</v>
      </c>
      <c r="W70" s="47" t="s">
        <v>296</v>
      </c>
      <c r="X70" s="47" t="s">
        <v>296</v>
      </c>
      <c r="Y70" s="47" t="s">
        <v>296</v>
      </c>
      <c r="Z70" s="47" t="s">
        <v>35</v>
      </c>
      <c r="AA70" s="47" t="s">
        <v>296</v>
      </c>
      <c r="AB70" s="47" t="s">
        <v>35</v>
      </c>
      <c r="AC70" s="47" t="s">
        <v>35</v>
      </c>
      <c r="AD70" s="49" t="str">
        <f>VLOOKUP(E70,sheet1!$B$2:$C$3209,2,FALSE)</f>
        <v>請求方法入力　　　　　　　　　　</v>
      </c>
      <c r="AE70" s="49"/>
      <c r="AF70" s="56" t="s">
        <v>534</v>
      </c>
      <c r="AG70" s="56" t="s">
        <v>532</v>
      </c>
      <c r="AH70" s="49" t="str">
        <f t="shared" si="0"/>
        <v>請求方法入力</v>
      </c>
      <c r="AI70" s="49"/>
      <c r="AJ70" s="49"/>
      <c r="AK70" s="49"/>
      <c r="AL70" s="49" t="str">
        <f t="shared" si="5"/>
        <v>請求方法入力</v>
      </c>
      <c r="AM70" s="49" t="s">
        <v>35</v>
      </c>
      <c r="AN70" s="49" t="s">
        <v>535</v>
      </c>
      <c r="AO70" s="51" t="str">
        <f t="shared" si="1"/>
        <v>請求方法入力</v>
      </c>
      <c r="AP70" s="51" t="str">
        <f t="shared" si="2"/>
        <v>SA3160</v>
      </c>
      <c r="AQ70" s="51" t="s">
        <v>534</v>
      </c>
      <c r="AR70" s="51" t="s">
        <v>532</v>
      </c>
      <c r="AS70" s="49" t="str">
        <f t="shared" si="3"/>
        <v>請求方法入力</v>
      </c>
      <c r="AT70" s="49" t="str">
        <f t="shared" si="4"/>
        <v>SA3160</v>
      </c>
      <c r="AU70" s="51" t="s">
        <v>534</v>
      </c>
      <c r="AV70" s="51" t="s">
        <v>532</v>
      </c>
    </row>
    <row r="71" spans="1:48" ht="18" customHeight="1">
      <c r="A71" s="44">
        <v>69</v>
      </c>
      <c r="B71" s="52" t="s">
        <v>292</v>
      </c>
      <c r="C71" s="52" t="s">
        <v>490</v>
      </c>
      <c r="D71" s="46" t="s">
        <v>116</v>
      </c>
      <c r="E71" s="44" t="s">
        <v>536</v>
      </c>
      <c r="F71" s="44" t="s">
        <v>537</v>
      </c>
      <c r="G71" s="44"/>
      <c r="H71" s="44"/>
      <c r="I71" s="44"/>
      <c r="J71" s="47" t="s">
        <v>35</v>
      </c>
      <c r="K71" s="47"/>
      <c r="L71" s="47"/>
      <c r="M71" s="47"/>
      <c r="N71" s="47"/>
      <c r="O71" s="44"/>
      <c r="P71" s="44"/>
      <c r="Q71" s="48">
        <f>VLOOKUP(E71,sheet1!$B$2:$D$3209,3,FALSE)</f>
        <v>1355</v>
      </c>
      <c r="R71" s="47" t="s">
        <v>35</v>
      </c>
      <c r="S71" s="47" t="s">
        <v>35</v>
      </c>
      <c r="T71" s="47" t="s">
        <v>35</v>
      </c>
      <c r="U71" s="47" t="s">
        <v>35</v>
      </c>
      <c r="V71" s="47" t="s">
        <v>35</v>
      </c>
      <c r="W71" s="47" t="s">
        <v>296</v>
      </c>
      <c r="X71" s="47" t="s">
        <v>296</v>
      </c>
      <c r="Y71" s="47" t="s">
        <v>296</v>
      </c>
      <c r="Z71" s="47" t="s">
        <v>35</v>
      </c>
      <c r="AA71" s="47" t="s">
        <v>296</v>
      </c>
      <c r="AB71" s="47" t="s">
        <v>35</v>
      </c>
      <c r="AC71" s="47" t="s">
        <v>35</v>
      </c>
      <c r="AD71" s="49" t="str">
        <f>VLOOKUP(E71,sheet1!$B$2:$C$3209,2,FALSE)</f>
        <v>引当振替入力(ｼﾘｱﾙのみ)  　　</v>
      </c>
      <c r="AE71" s="49"/>
      <c r="AF71" s="56" t="s">
        <v>538</v>
      </c>
      <c r="AG71" s="56" t="s">
        <v>536</v>
      </c>
      <c r="AH71" s="49" t="str">
        <f t="shared" si="0"/>
        <v>引当振替入力(ｼﾘｱﾙ品目)</v>
      </c>
      <c r="AI71" s="49"/>
      <c r="AJ71" s="49"/>
      <c r="AK71" s="49"/>
      <c r="AL71" s="49" t="str">
        <f t="shared" si="5"/>
        <v>引当振替入力(ｼﾘｱﾙ品目)</v>
      </c>
      <c r="AM71" s="49" t="s">
        <v>35</v>
      </c>
      <c r="AN71" s="49" t="s">
        <v>539</v>
      </c>
      <c r="AO71" s="51" t="str">
        <f t="shared" si="1"/>
        <v>引当振替入力(ｼﾘｱﾙ品目)</v>
      </c>
      <c r="AP71" s="51" t="str">
        <f t="shared" si="2"/>
        <v>SA3151</v>
      </c>
      <c r="AQ71" s="51" t="s">
        <v>538</v>
      </c>
      <c r="AR71" s="51" t="s">
        <v>536</v>
      </c>
      <c r="AS71" s="49" t="str">
        <f t="shared" si="3"/>
        <v>引当振替入力(ｼﾘｱﾙ品目)</v>
      </c>
      <c r="AT71" s="49" t="str">
        <f t="shared" si="4"/>
        <v>SA3151</v>
      </c>
      <c r="AU71" s="51" t="s">
        <v>538</v>
      </c>
      <c r="AV71" s="51" t="s">
        <v>536</v>
      </c>
    </row>
    <row r="72" spans="1:48" ht="18" customHeight="1">
      <c r="A72" s="44">
        <v>70</v>
      </c>
      <c r="B72" s="52" t="s">
        <v>292</v>
      </c>
      <c r="C72" s="52" t="s">
        <v>490</v>
      </c>
      <c r="D72" s="46" t="s">
        <v>116</v>
      </c>
      <c r="E72" s="44" t="s">
        <v>540</v>
      </c>
      <c r="F72" s="44" t="s">
        <v>541</v>
      </c>
      <c r="G72" s="44"/>
      <c r="H72" s="44"/>
      <c r="I72" s="44"/>
      <c r="J72" s="47" t="s">
        <v>35</v>
      </c>
      <c r="K72" s="47"/>
      <c r="L72" s="47"/>
      <c r="M72" s="47"/>
      <c r="N72" s="47"/>
      <c r="O72" s="44"/>
      <c r="P72" s="44"/>
      <c r="Q72" s="48">
        <f>VLOOKUP(E72,sheet1!$B$2:$D$3209,3,FALSE)</f>
        <v>1976</v>
      </c>
      <c r="R72" s="47" t="s">
        <v>35</v>
      </c>
      <c r="S72" s="47" t="s">
        <v>35</v>
      </c>
      <c r="T72" s="47" t="s">
        <v>35</v>
      </c>
      <c r="U72" s="47" t="s">
        <v>35</v>
      </c>
      <c r="V72" s="47" t="s">
        <v>35</v>
      </c>
      <c r="W72" s="47" t="s">
        <v>296</v>
      </c>
      <c r="X72" s="47" t="s">
        <v>296</v>
      </c>
      <c r="Y72" s="47" t="s">
        <v>296</v>
      </c>
      <c r="Z72" s="47" t="s">
        <v>35</v>
      </c>
      <c r="AA72" s="47" t="s">
        <v>296</v>
      </c>
      <c r="AB72" s="47" t="s">
        <v>35</v>
      </c>
      <c r="AC72" s="47" t="s">
        <v>35</v>
      </c>
      <c r="AD72" s="49" t="str">
        <f>VLOOKUP(E72,sheet1!$B$2:$C$3209,2,FALSE)</f>
        <v>引当振替入力(ｼﾘｱﾙ以外)  　　</v>
      </c>
      <c r="AE72" s="49"/>
      <c r="AF72" s="56" t="s">
        <v>542</v>
      </c>
      <c r="AG72" s="56" t="s">
        <v>540</v>
      </c>
      <c r="AH72" s="49" t="str">
        <f t="shared" si="0"/>
        <v>引当振替入力(受入ﾛｯﾄ品目)</v>
      </c>
      <c r="AI72" s="49"/>
      <c r="AJ72" s="49"/>
      <c r="AK72" s="49"/>
      <c r="AL72" s="49" t="str">
        <f t="shared" si="5"/>
        <v>引当振替入力(受入ﾛｯﾄ品目)</v>
      </c>
      <c r="AM72" s="49" t="s">
        <v>35</v>
      </c>
      <c r="AN72" s="49" t="s">
        <v>543</v>
      </c>
      <c r="AO72" s="51" t="str">
        <f t="shared" si="1"/>
        <v>引当振替入力(受入ﾛｯﾄ品目)</v>
      </c>
      <c r="AP72" s="51" t="str">
        <f t="shared" si="2"/>
        <v>SA3152</v>
      </c>
      <c r="AQ72" s="51" t="s">
        <v>542</v>
      </c>
      <c r="AR72" s="51" t="s">
        <v>540</v>
      </c>
      <c r="AS72" s="49" t="str">
        <f t="shared" si="3"/>
        <v>引当振替入力(受入ﾛｯﾄ品目)</v>
      </c>
      <c r="AT72" s="49" t="str">
        <f t="shared" si="4"/>
        <v>SA3152</v>
      </c>
      <c r="AU72" s="51" t="s">
        <v>542</v>
      </c>
      <c r="AV72" s="51" t="s">
        <v>540</v>
      </c>
    </row>
    <row r="73" spans="1:48" ht="18" customHeight="1">
      <c r="A73" s="44">
        <v>71</v>
      </c>
      <c r="B73" s="52" t="s">
        <v>292</v>
      </c>
      <c r="C73" s="52" t="s">
        <v>490</v>
      </c>
      <c r="D73" s="46" t="s">
        <v>116</v>
      </c>
      <c r="E73" s="44" t="s">
        <v>544</v>
      </c>
      <c r="F73" s="44" t="s">
        <v>545</v>
      </c>
      <c r="G73" s="44"/>
      <c r="H73" s="44"/>
      <c r="I73" s="44"/>
      <c r="J73" s="47" t="s">
        <v>35</v>
      </c>
      <c r="K73" s="47"/>
      <c r="L73" s="47"/>
      <c r="M73" s="47"/>
      <c r="N73" s="47"/>
      <c r="O73" s="44"/>
      <c r="P73" s="44"/>
      <c r="Q73" s="48">
        <f>VLOOKUP(E73,sheet1!$B$2:$D$3209,3,FALSE)</f>
        <v>662</v>
      </c>
      <c r="R73" s="47" t="s">
        <v>35</v>
      </c>
      <c r="S73" s="47" t="s">
        <v>35</v>
      </c>
      <c r="T73" s="47" t="s">
        <v>35</v>
      </c>
      <c r="U73" s="47" t="s">
        <v>35</v>
      </c>
      <c r="V73" s="47" t="s">
        <v>35</v>
      </c>
      <c r="W73" s="47" t="s">
        <v>296</v>
      </c>
      <c r="X73" s="47" t="s">
        <v>296</v>
      </c>
      <c r="Y73" s="47" t="s">
        <v>296</v>
      </c>
      <c r="Z73" s="47" t="s">
        <v>35</v>
      </c>
      <c r="AA73" s="47" t="s">
        <v>296</v>
      </c>
      <c r="AB73" s="47" t="s">
        <v>35</v>
      </c>
      <c r="AC73" s="47" t="s">
        <v>35</v>
      </c>
      <c r="AD73" s="49" t="str">
        <f>VLOOKUP(E73,sheet1!$B$2:$C$3209,2,FALSE)</f>
        <v>受注照会</v>
      </c>
      <c r="AE73" s="49"/>
      <c r="AF73" s="56" t="s">
        <v>546</v>
      </c>
      <c r="AG73" s="56" t="s">
        <v>544</v>
      </c>
      <c r="AH73" s="49" t="str">
        <f t="shared" si="0"/>
        <v>受注進捗状況照会</v>
      </c>
      <c r="AI73" s="49"/>
      <c r="AJ73" s="49"/>
      <c r="AK73" s="49"/>
      <c r="AL73" s="49" t="str">
        <f t="shared" si="5"/>
        <v>受注進捗状況照会</v>
      </c>
      <c r="AM73" s="49" t="s">
        <v>35</v>
      </c>
      <c r="AN73" s="49" t="s">
        <v>547</v>
      </c>
      <c r="AO73" s="51" t="str">
        <f t="shared" si="1"/>
        <v>受注進捗状況照会</v>
      </c>
      <c r="AP73" s="51" t="str">
        <f t="shared" si="2"/>
        <v>SA5010</v>
      </c>
      <c r="AQ73" s="51" t="s">
        <v>546</v>
      </c>
      <c r="AR73" s="51" t="s">
        <v>544</v>
      </c>
      <c r="AS73" s="49" t="str">
        <f t="shared" si="3"/>
        <v>受注進捗状況照会</v>
      </c>
      <c r="AT73" s="49" t="str">
        <f t="shared" si="4"/>
        <v>SA5010</v>
      </c>
      <c r="AU73" s="51" t="s">
        <v>546</v>
      </c>
      <c r="AV73" s="51" t="s">
        <v>544</v>
      </c>
    </row>
    <row r="74" spans="1:48" ht="18" customHeight="1">
      <c r="A74" s="44">
        <v>72</v>
      </c>
      <c r="B74" s="52" t="s">
        <v>292</v>
      </c>
      <c r="C74" s="52" t="s">
        <v>490</v>
      </c>
      <c r="D74" s="46" t="s">
        <v>116</v>
      </c>
      <c r="E74" s="44" t="s">
        <v>548</v>
      </c>
      <c r="F74" s="44" t="s">
        <v>549</v>
      </c>
      <c r="G74" s="44"/>
      <c r="H74" s="44"/>
      <c r="I74" s="44"/>
      <c r="J74" s="47" t="s">
        <v>35</v>
      </c>
      <c r="K74" s="47"/>
      <c r="L74" s="47"/>
      <c r="M74" s="47"/>
      <c r="N74" s="47"/>
      <c r="O74" s="44"/>
      <c r="P74" s="44"/>
      <c r="Q74" s="48">
        <f>VLOOKUP(E74,sheet1!$B$2:$D$3209,3,FALSE)</f>
        <v>690</v>
      </c>
      <c r="R74" s="47" t="s">
        <v>35</v>
      </c>
      <c r="S74" s="47" t="s">
        <v>35</v>
      </c>
      <c r="T74" s="47" t="s">
        <v>35</v>
      </c>
      <c r="U74" s="47" t="s">
        <v>35</v>
      </c>
      <c r="V74" s="47" t="s">
        <v>35</v>
      </c>
      <c r="W74" s="47" t="s">
        <v>296</v>
      </c>
      <c r="X74" s="47" t="s">
        <v>296</v>
      </c>
      <c r="Y74" s="47" t="s">
        <v>296</v>
      </c>
      <c r="Z74" s="47" t="s">
        <v>35</v>
      </c>
      <c r="AA74" s="47" t="s">
        <v>296</v>
      </c>
      <c r="AB74" s="47" t="s">
        <v>35</v>
      </c>
      <c r="AC74" s="47" t="s">
        <v>35</v>
      </c>
      <c r="AD74" s="49" t="str">
        <f>VLOOKUP(E74,sheet1!$B$2:$C$3209,2,FALSE)</f>
        <v>受注照会</v>
      </c>
      <c r="AE74" s="49"/>
      <c r="AF74" s="56" t="s">
        <v>550</v>
      </c>
      <c r="AG74" s="56" t="s">
        <v>548</v>
      </c>
      <c r="AH74" s="49" t="str">
        <f t="shared" si="0"/>
        <v>受注引当状況照会</v>
      </c>
      <c r="AI74" s="49"/>
      <c r="AJ74" s="49"/>
      <c r="AK74" s="49"/>
      <c r="AL74" s="49" t="str">
        <f t="shared" si="5"/>
        <v>受注引当状況照会</v>
      </c>
      <c r="AM74" s="49" t="s">
        <v>35</v>
      </c>
      <c r="AN74" s="49" t="s">
        <v>551</v>
      </c>
      <c r="AO74" s="51" t="str">
        <f t="shared" si="1"/>
        <v>受注引当状況照会</v>
      </c>
      <c r="AP74" s="51" t="str">
        <f t="shared" si="2"/>
        <v>SA5012</v>
      </c>
      <c r="AQ74" s="51" t="s">
        <v>550</v>
      </c>
      <c r="AR74" s="51" t="s">
        <v>548</v>
      </c>
      <c r="AS74" s="49" t="str">
        <f t="shared" si="3"/>
        <v>受注引当状況照会</v>
      </c>
      <c r="AT74" s="49" t="str">
        <f t="shared" si="4"/>
        <v>SA5012</v>
      </c>
      <c r="AU74" s="51" t="s">
        <v>550</v>
      </c>
      <c r="AV74" s="51" t="s">
        <v>548</v>
      </c>
    </row>
    <row r="75" spans="1:48" ht="18" customHeight="1">
      <c r="A75" s="44">
        <v>73</v>
      </c>
      <c r="B75" s="52" t="s">
        <v>292</v>
      </c>
      <c r="C75" s="52" t="s">
        <v>490</v>
      </c>
      <c r="D75" s="46" t="s">
        <v>116</v>
      </c>
      <c r="E75" s="44" t="s">
        <v>540</v>
      </c>
      <c r="F75" s="44" t="s">
        <v>552</v>
      </c>
      <c r="G75" s="44"/>
      <c r="H75" s="44"/>
      <c r="I75" s="44"/>
      <c r="J75" s="47" t="s">
        <v>35</v>
      </c>
      <c r="K75" s="47"/>
      <c r="L75" s="47"/>
      <c r="M75" s="47"/>
      <c r="N75" s="47"/>
      <c r="O75" s="44"/>
      <c r="P75" s="44"/>
      <c r="Q75" s="48">
        <f>VLOOKUP(E75,sheet1!$B$2:$D$3209,3,FALSE)</f>
        <v>1976</v>
      </c>
      <c r="R75" s="47" t="s">
        <v>35</v>
      </c>
      <c r="S75" s="47" t="s">
        <v>35</v>
      </c>
      <c r="T75" s="47" t="s">
        <v>35</v>
      </c>
      <c r="U75" s="47" t="s">
        <v>35</v>
      </c>
      <c r="V75" s="47" t="s">
        <v>35</v>
      </c>
      <c r="W75" s="47" t="s">
        <v>296</v>
      </c>
      <c r="X75" s="47" t="s">
        <v>296</v>
      </c>
      <c r="Y75" s="47" t="s">
        <v>296</v>
      </c>
      <c r="Z75" s="47" t="s">
        <v>35</v>
      </c>
      <c r="AA75" s="47" t="s">
        <v>296</v>
      </c>
      <c r="AB75" s="47" t="s">
        <v>35</v>
      </c>
      <c r="AC75" s="47" t="s">
        <v>35</v>
      </c>
      <c r="AD75" s="49" t="str">
        <f>VLOOKUP(E75,sheet1!$B$2:$C$3209,2,FALSE)</f>
        <v>引当振替入力(ｼﾘｱﾙ以外)  　　</v>
      </c>
      <c r="AE75" s="49"/>
      <c r="AF75" s="56" t="s">
        <v>553</v>
      </c>
      <c r="AG75" s="56" t="s">
        <v>540</v>
      </c>
      <c r="AH75" s="49" t="str">
        <f t="shared" si="0"/>
        <v>在庫引当状況照会</v>
      </c>
      <c r="AI75" s="49"/>
      <c r="AJ75" s="49"/>
      <c r="AK75" s="49"/>
      <c r="AL75" s="49" t="str">
        <f t="shared" si="5"/>
        <v>在庫引当状況照会</v>
      </c>
      <c r="AM75" s="49" t="s">
        <v>35</v>
      </c>
      <c r="AN75" s="49" t="s">
        <v>554</v>
      </c>
      <c r="AO75" s="51" t="str">
        <f t="shared" si="1"/>
        <v>在庫引当状況照会</v>
      </c>
      <c r="AP75" s="51" t="str">
        <f t="shared" si="2"/>
        <v>SA3152</v>
      </c>
      <c r="AQ75" s="51" t="s">
        <v>553</v>
      </c>
      <c r="AR75" s="51" t="s">
        <v>540</v>
      </c>
      <c r="AS75" s="49" t="str">
        <f t="shared" si="3"/>
        <v>在庫引当状況照会</v>
      </c>
      <c r="AT75" s="49" t="str">
        <f t="shared" si="4"/>
        <v>SA3152</v>
      </c>
      <c r="AU75" s="51" t="s">
        <v>553</v>
      </c>
      <c r="AV75" s="51" t="s">
        <v>540</v>
      </c>
    </row>
    <row r="76" spans="1:48" ht="18" customHeight="1">
      <c r="A76" s="44">
        <v>74</v>
      </c>
      <c r="B76" s="52" t="s">
        <v>292</v>
      </c>
      <c r="C76" s="52" t="s">
        <v>490</v>
      </c>
      <c r="D76" s="46" t="s">
        <v>116</v>
      </c>
      <c r="E76" s="44" t="s">
        <v>555</v>
      </c>
      <c r="F76" s="44" t="s">
        <v>556</v>
      </c>
      <c r="G76" s="44"/>
      <c r="H76" s="44"/>
      <c r="I76" s="44"/>
      <c r="J76" s="47" t="s">
        <v>35</v>
      </c>
      <c r="K76" s="47"/>
      <c r="L76" s="47"/>
      <c r="M76" s="47"/>
      <c r="N76" s="47"/>
      <c r="O76" s="44"/>
      <c r="P76" s="44"/>
      <c r="Q76" s="48">
        <f>VLOOKUP(E76,sheet1!$B$2:$D$3209,3,FALSE)</f>
        <v>2232</v>
      </c>
      <c r="R76" s="47" t="s">
        <v>35</v>
      </c>
      <c r="S76" s="47" t="s">
        <v>35</v>
      </c>
      <c r="T76" s="47" t="s">
        <v>35</v>
      </c>
      <c r="U76" s="47" t="s">
        <v>35</v>
      </c>
      <c r="V76" s="47" t="s">
        <v>35</v>
      </c>
      <c r="W76" s="47" t="s">
        <v>296</v>
      </c>
      <c r="X76" s="47" t="s">
        <v>296</v>
      </c>
      <c r="Y76" s="47" t="s">
        <v>296</v>
      </c>
      <c r="Z76" s="47" t="s">
        <v>35</v>
      </c>
      <c r="AA76" s="47" t="s">
        <v>296</v>
      </c>
      <c r="AB76" s="47" t="s">
        <v>35</v>
      </c>
      <c r="AC76" s="47" t="s">
        <v>35</v>
      </c>
      <c r="AD76" s="49" t="str">
        <f>VLOOKUP(E76,sheet1!$B$2:$C$3209,2,FALSE)</f>
        <v>受注照会</v>
      </c>
      <c r="AE76" s="49"/>
      <c r="AF76" s="56" t="s">
        <v>557</v>
      </c>
      <c r="AG76" s="56" t="s">
        <v>555</v>
      </c>
      <c r="AH76" s="49" t="str">
        <f t="shared" si="0"/>
        <v>受注照会・受注NO指定</v>
      </c>
      <c r="AI76" s="49"/>
      <c r="AJ76" s="49"/>
      <c r="AK76" s="49"/>
      <c r="AL76" s="49" t="str">
        <f t="shared" si="5"/>
        <v>受注照会・受注NO指定</v>
      </c>
      <c r="AM76" s="49" t="s">
        <v>35</v>
      </c>
      <c r="AN76" s="49" t="s">
        <v>558</v>
      </c>
      <c r="AO76" s="51" t="str">
        <f t="shared" si="1"/>
        <v>受注照会・受注NO指定</v>
      </c>
      <c r="AP76" s="51" t="str">
        <f t="shared" si="2"/>
        <v>SA5020</v>
      </c>
      <c r="AQ76" s="51" t="s">
        <v>557</v>
      </c>
      <c r="AR76" s="51" t="s">
        <v>555</v>
      </c>
      <c r="AS76" s="49" t="str">
        <f t="shared" si="3"/>
        <v>受注照会・受注NO指定</v>
      </c>
      <c r="AT76" s="49" t="str">
        <f t="shared" si="4"/>
        <v>SA5020</v>
      </c>
      <c r="AU76" s="51" t="s">
        <v>557</v>
      </c>
      <c r="AV76" s="51" t="s">
        <v>555</v>
      </c>
    </row>
    <row r="77" spans="1:48" ht="18" customHeight="1">
      <c r="A77" s="44">
        <v>75</v>
      </c>
      <c r="B77" s="52" t="s">
        <v>292</v>
      </c>
      <c r="C77" s="52" t="s">
        <v>490</v>
      </c>
      <c r="D77" s="46" t="s">
        <v>116</v>
      </c>
      <c r="E77" s="44" t="s">
        <v>559</v>
      </c>
      <c r="F77" s="44" t="s">
        <v>560</v>
      </c>
      <c r="G77" s="44"/>
      <c r="H77" s="44"/>
      <c r="I77" s="44"/>
      <c r="J77" s="47" t="s">
        <v>35</v>
      </c>
      <c r="K77" s="47"/>
      <c r="L77" s="47"/>
      <c r="M77" s="47"/>
      <c r="N77" s="47"/>
      <c r="O77" s="44"/>
      <c r="P77" s="44"/>
      <c r="Q77" s="48">
        <f>VLOOKUP(E77,sheet1!$B$2:$D$3209,3,FALSE)</f>
        <v>197</v>
      </c>
      <c r="R77" s="47" t="s">
        <v>35</v>
      </c>
      <c r="S77" s="47" t="s">
        <v>35</v>
      </c>
      <c r="T77" s="47" t="s">
        <v>35</v>
      </c>
      <c r="U77" s="47" t="s">
        <v>35</v>
      </c>
      <c r="V77" s="47" t="s">
        <v>35</v>
      </c>
      <c r="W77" s="47" t="s">
        <v>296</v>
      </c>
      <c r="X77" s="47" t="s">
        <v>296</v>
      </c>
      <c r="Y77" s="47" t="s">
        <v>296</v>
      </c>
      <c r="Z77" s="47" t="s">
        <v>35</v>
      </c>
      <c r="AA77" s="47" t="s">
        <v>296</v>
      </c>
      <c r="AB77" s="47" t="s">
        <v>35</v>
      </c>
      <c r="AC77" s="47" t="s">
        <v>35</v>
      </c>
      <c r="AD77" s="49" t="str">
        <f>VLOOKUP(E77,sheet1!$B$2:$C$3209,2,FALSE)</f>
        <v>参照ﾗｲﾌﾞﾗﾘ指定</v>
      </c>
      <c r="AE77" s="49"/>
      <c r="AF77" s="56" t="s">
        <v>561</v>
      </c>
      <c r="AG77" s="56" t="s">
        <v>559</v>
      </c>
      <c r="AH77" s="49" t="str">
        <f t="shared" si="0"/>
        <v>シリアル詳細情報照会</v>
      </c>
      <c r="AI77" s="49"/>
      <c r="AJ77" s="49"/>
      <c r="AK77" s="49"/>
      <c r="AL77" s="49" t="str">
        <f t="shared" si="5"/>
        <v>シリアル詳細情報照会</v>
      </c>
      <c r="AM77" s="49" t="s">
        <v>35</v>
      </c>
      <c r="AN77" s="49" t="s">
        <v>562</v>
      </c>
      <c r="AO77" s="51" t="str">
        <f t="shared" si="1"/>
        <v>シリアル詳細情報照会</v>
      </c>
      <c r="AP77" s="51" t="str">
        <f t="shared" si="2"/>
        <v>PD9150</v>
      </c>
      <c r="AQ77" s="51" t="s">
        <v>561</v>
      </c>
      <c r="AR77" s="51" t="s">
        <v>559</v>
      </c>
      <c r="AS77" s="49" t="str">
        <f t="shared" si="3"/>
        <v>シリアル詳細情報照会</v>
      </c>
      <c r="AT77" s="49" t="str">
        <f t="shared" si="4"/>
        <v>PD9150</v>
      </c>
      <c r="AU77" s="51" t="s">
        <v>561</v>
      </c>
      <c r="AV77" s="51" t="s">
        <v>559</v>
      </c>
    </row>
    <row r="78" spans="1:48" ht="18" customHeight="1">
      <c r="A78" s="44">
        <v>76</v>
      </c>
      <c r="B78" s="52" t="s">
        <v>292</v>
      </c>
      <c r="C78" s="52" t="s">
        <v>490</v>
      </c>
      <c r="D78" s="46" t="s">
        <v>116</v>
      </c>
      <c r="E78" s="44" t="s">
        <v>563</v>
      </c>
      <c r="F78" s="44" t="s">
        <v>564</v>
      </c>
      <c r="G78" s="44"/>
      <c r="H78" s="44"/>
      <c r="I78" s="44"/>
      <c r="J78" s="47" t="s">
        <v>35</v>
      </c>
      <c r="K78" s="47"/>
      <c r="L78" s="47"/>
      <c r="M78" s="47"/>
      <c r="N78" s="47"/>
      <c r="O78" s="44"/>
      <c r="P78" s="44"/>
      <c r="Q78" s="48">
        <f>VLOOKUP(E78,sheet1!$B$2:$D$3209,3,FALSE)</f>
        <v>418</v>
      </c>
      <c r="R78" s="47" t="s">
        <v>35</v>
      </c>
      <c r="S78" s="47" t="s">
        <v>35</v>
      </c>
      <c r="T78" s="47" t="s">
        <v>35</v>
      </c>
      <c r="U78" s="47" t="s">
        <v>35</v>
      </c>
      <c r="V78" s="47" t="s">
        <v>35</v>
      </c>
      <c r="W78" s="47" t="s">
        <v>296</v>
      </c>
      <c r="X78" s="47" t="s">
        <v>296</v>
      </c>
      <c r="Y78" s="47" t="s">
        <v>296</v>
      </c>
      <c r="Z78" s="47" t="s">
        <v>35</v>
      </c>
      <c r="AA78" s="47" t="s">
        <v>296</v>
      </c>
      <c r="AB78" s="47" t="s">
        <v>35</v>
      </c>
      <c r="AC78" s="47" t="s">
        <v>35</v>
      </c>
      <c r="AD78" s="49" t="str">
        <f>VLOOKUP(E78,sheet1!$B$2:$C$3209,2,FALSE)</f>
        <v>受注照会（品目番号検索）</v>
      </c>
      <c r="AE78" s="49"/>
      <c r="AF78" s="56" t="s">
        <v>565</v>
      </c>
      <c r="AG78" s="56" t="s">
        <v>563</v>
      </c>
      <c r="AH78" s="49" t="str">
        <f t="shared" si="0"/>
        <v>受注照会・品目ｺｰﾄﾞ指定</v>
      </c>
      <c r="AI78" s="49"/>
      <c r="AJ78" s="49"/>
      <c r="AK78" s="49"/>
      <c r="AL78" s="49" t="str">
        <f t="shared" si="5"/>
        <v>受注照会・品目ｺｰﾄﾞ指定</v>
      </c>
      <c r="AM78" s="49" t="s">
        <v>35</v>
      </c>
      <c r="AN78" s="49" t="s">
        <v>566</v>
      </c>
      <c r="AO78" s="51" t="str">
        <f t="shared" si="1"/>
        <v>受注照会・品目ｺｰﾄﾞ指定</v>
      </c>
      <c r="AP78" s="51" t="str">
        <f t="shared" si="2"/>
        <v>SA5110</v>
      </c>
      <c r="AQ78" s="51" t="s">
        <v>565</v>
      </c>
      <c r="AR78" s="51" t="s">
        <v>563</v>
      </c>
      <c r="AS78" s="49" t="str">
        <f t="shared" si="3"/>
        <v>受注照会・品目ｺｰﾄﾞ指定</v>
      </c>
      <c r="AT78" s="49" t="str">
        <f t="shared" si="4"/>
        <v>SA5110</v>
      </c>
      <c r="AU78" s="51" t="s">
        <v>565</v>
      </c>
      <c r="AV78" s="51" t="s">
        <v>563</v>
      </c>
    </row>
    <row r="79" spans="1:48" ht="18" customHeight="1">
      <c r="A79" s="44">
        <v>77</v>
      </c>
      <c r="B79" s="52" t="s">
        <v>292</v>
      </c>
      <c r="C79" s="52" t="s">
        <v>490</v>
      </c>
      <c r="D79" s="46" t="s">
        <v>116</v>
      </c>
      <c r="E79" s="44" t="s">
        <v>567</v>
      </c>
      <c r="F79" s="44" t="s">
        <v>568</v>
      </c>
      <c r="G79" s="44"/>
      <c r="H79" s="44"/>
      <c r="I79" s="44"/>
      <c r="J79" s="47" t="s">
        <v>35</v>
      </c>
      <c r="K79" s="47"/>
      <c r="L79" s="47"/>
      <c r="M79" s="47"/>
      <c r="N79" s="47"/>
      <c r="O79" s="44"/>
      <c r="P79" s="44"/>
      <c r="Q79" s="48">
        <f>VLOOKUP(E79,sheet1!$B$2:$D$3209,3,FALSE)</f>
        <v>493</v>
      </c>
      <c r="R79" s="47" t="s">
        <v>35</v>
      </c>
      <c r="S79" s="47" t="s">
        <v>35</v>
      </c>
      <c r="T79" s="47" t="s">
        <v>35</v>
      </c>
      <c r="U79" s="47" t="s">
        <v>35</v>
      </c>
      <c r="V79" s="47" t="s">
        <v>35</v>
      </c>
      <c r="W79" s="47" t="s">
        <v>296</v>
      </c>
      <c r="X79" s="47" t="s">
        <v>296</v>
      </c>
      <c r="Y79" s="47" t="s">
        <v>296</v>
      </c>
      <c r="Z79" s="47" t="s">
        <v>35</v>
      </c>
      <c r="AA79" s="47" t="s">
        <v>296</v>
      </c>
      <c r="AB79" s="47" t="s">
        <v>35</v>
      </c>
      <c r="AC79" s="47" t="s">
        <v>35</v>
      </c>
      <c r="AD79" s="49" t="str">
        <f>VLOOKUP(E79,sheet1!$B$2:$C$3209,2,FALSE)</f>
        <v>受注照会（客先オーダーNO検索）</v>
      </c>
      <c r="AE79" s="49"/>
      <c r="AF79" s="56" t="s">
        <v>569</v>
      </c>
      <c r="AG79" s="56" t="s">
        <v>567</v>
      </c>
      <c r="AH79" s="49" t="str">
        <f t="shared" si="0"/>
        <v>受注照会・客先ｵｰﾀﾞｰNO指定</v>
      </c>
      <c r="AI79" s="49"/>
      <c r="AJ79" s="49"/>
      <c r="AK79" s="49"/>
      <c r="AL79" s="49" t="str">
        <f t="shared" si="5"/>
        <v>受注照会・客先ｵｰﾀﾞｰNO指定</v>
      </c>
      <c r="AM79" s="49" t="s">
        <v>35</v>
      </c>
      <c r="AN79" s="49" t="s">
        <v>570</v>
      </c>
      <c r="AO79" s="51" t="str">
        <f t="shared" si="1"/>
        <v>受注照会・客先ｵｰﾀﾞｰNO指定</v>
      </c>
      <c r="AP79" s="51" t="str">
        <f t="shared" si="2"/>
        <v>SA5120</v>
      </c>
      <c r="AQ79" s="51" t="s">
        <v>569</v>
      </c>
      <c r="AR79" s="51" t="s">
        <v>567</v>
      </c>
      <c r="AS79" s="49" t="str">
        <f t="shared" si="3"/>
        <v>受注照会・客先ｵｰﾀﾞｰNO指定</v>
      </c>
      <c r="AT79" s="49" t="str">
        <f t="shared" si="4"/>
        <v>SA5120</v>
      </c>
      <c r="AU79" s="51" t="s">
        <v>569</v>
      </c>
      <c r="AV79" s="51" t="s">
        <v>567</v>
      </c>
    </row>
    <row r="80" spans="1:48" ht="18" customHeight="1">
      <c r="A80" s="44">
        <v>78</v>
      </c>
      <c r="B80" s="52" t="s">
        <v>292</v>
      </c>
      <c r="C80" s="52" t="s">
        <v>490</v>
      </c>
      <c r="D80" s="46" t="s">
        <v>116</v>
      </c>
      <c r="E80" s="44" t="s">
        <v>571</v>
      </c>
      <c r="F80" s="44" t="s">
        <v>572</v>
      </c>
      <c r="G80" s="44"/>
      <c r="H80" s="44"/>
      <c r="I80" s="44"/>
      <c r="J80" s="47" t="s">
        <v>35</v>
      </c>
      <c r="K80" s="47"/>
      <c r="L80" s="47"/>
      <c r="M80" s="47"/>
      <c r="N80" s="47"/>
      <c r="O80" s="44"/>
      <c r="P80" s="44"/>
      <c r="Q80" s="48">
        <f>VLOOKUP(E80,sheet1!$B$2:$D$3209,3,FALSE)</f>
        <v>534</v>
      </c>
      <c r="R80" s="47" t="s">
        <v>35</v>
      </c>
      <c r="S80" s="47" t="s">
        <v>35</v>
      </c>
      <c r="T80" s="47" t="s">
        <v>35</v>
      </c>
      <c r="U80" s="47" t="s">
        <v>35</v>
      </c>
      <c r="V80" s="47" t="s">
        <v>35</v>
      </c>
      <c r="W80" s="47" t="s">
        <v>296</v>
      </c>
      <c r="X80" s="47" t="s">
        <v>296</v>
      </c>
      <c r="Y80" s="47" t="s">
        <v>296</v>
      </c>
      <c r="Z80" s="47" t="s">
        <v>35</v>
      </c>
      <c r="AA80" s="47" t="s">
        <v>296</v>
      </c>
      <c r="AB80" s="47" t="s">
        <v>35</v>
      </c>
      <c r="AC80" s="47" t="s">
        <v>35</v>
      </c>
      <c r="AD80" s="49" t="str">
        <f>VLOOKUP(E80,sheet1!$B$2:$C$3209,2,FALSE)</f>
        <v>受注チェックリスト作成指示</v>
      </c>
      <c r="AE80" s="49"/>
      <c r="AF80" s="56" t="s">
        <v>573</v>
      </c>
      <c r="AG80" s="56" t="s">
        <v>571</v>
      </c>
      <c r="AH80" s="49" t="str">
        <f t="shared" si="0"/>
        <v>受注チェックリスト</v>
      </c>
      <c r="AI80" s="49"/>
      <c r="AJ80" s="49"/>
      <c r="AK80" s="49"/>
      <c r="AL80" s="49" t="str">
        <f t="shared" si="5"/>
        <v>受注チェックリスト</v>
      </c>
      <c r="AM80" s="49" t="s">
        <v>35</v>
      </c>
      <c r="AN80" s="49" t="s">
        <v>574</v>
      </c>
      <c r="AO80" s="51" t="str">
        <f t="shared" si="1"/>
        <v>受注チェックリスト</v>
      </c>
      <c r="AP80" s="51" t="str">
        <f t="shared" si="2"/>
        <v>SA2010</v>
      </c>
      <c r="AQ80" s="51" t="s">
        <v>573</v>
      </c>
      <c r="AR80" s="51" t="s">
        <v>571</v>
      </c>
      <c r="AS80" s="49" t="str">
        <f t="shared" si="3"/>
        <v>受注チェックリスト</v>
      </c>
      <c r="AT80" s="49" t="str">
        <f t="shared" si="4"/>
        <v>SA2010</v>
      </c>
      <c r="AU80" s="51" t="s">
        <v>573</v>
      </c>
      <c r="AV80" s="51" t="s">
        <v>571</v>
      </c>
    </row>
    <row r="81" spans="1:48" ht="18" customHeight="1">
      <c r="A81" s="44">
        <v>79</v>
      </c>
      <c r="B81" s="52" t="s">
        <v>292</v>
      </c>
      <c r="C81" s="52" t="s">
        <v>490</v>
      </c>
      <c r="D81" s="46" t="s">
        <v>116</v>
      </c>
      <c r="E81" s="44" t="s">
        <v>575</v>
      </c>
      <c r="F81" s="44" t="s">
        <v>576</v>
      </c>
      <c r="G81" s="44"/>
      <c r="H81" s="44"/>
      <c r="I81" s="44"/>
      <c r="J81" s="47" t="s">
        <v>35</v>
      </c>
      <c r="K81" s="47"/>
      <c r="L81" s="47"/>
      <c r="M81" s="47"/>
      <c r="N81" s="47"/>
      <c r="O81" s="44"/>
      <c r="P81" s="44"/>
      <c r="Q81" s="48">
        <f>VLOOKUP(E81,sheet1!$B$2:$D$3209,3,FALSE)</f>
        <v>1629</v>
      </c>
      <c r="R81" s="47" t="s">
        <v>35</v>
      </c>
      <c r="S81" s="47" t="s">
        <v>35</v>
      </c>
      <c r="T81" s="47" t="s">
        <v>35</v>
      </c>
      <c r="U81" s="47" t="s">
        <v>35</v>
      </c>
      <c r="V81" s="47" t="s">
        <v>35</v>
      </c>
      <c r="W81" s="47" t="s">
        <v>296</v>
      </c>
      <c r="X81" s="47" t="s">
        <v>296</v>
      </c>
      <c r="Y81" s="47" t="s">
        <v>296</v>
      </c>
      <c r="Z81" s="47" t="s">
        <v>35</v>
      </c>
      <c r="AA81" s="47" t="s">
        <v>296</v>
      </c>
      <c r="AB81" s="47" t="s">
        <v>35</v>
      </c>
      <c r="AC81" s="47" t="s">
        <v>35</v>
      </c>
      <c r="AD81" s="49" t="str">
        <f>VLOOKUP(E81,sheet1!$B$2:$C$3209,2,FALSE)</f>
        <v>受注一覧表</v>
      </c>
      <c r="AE81" s="49"/>
      <c r="AF81" s="56" t="s">
        <v>577</v>
      </c>
      <c r="AG81" s="56" t="s">
        <v>575</v>
      </c>
      <c r="AH81" s="49" t="str">
        <f t="shared" si="0"/>
        <v>受注一覧表</v>
      </c>
      <c r="AI81" s="49"/>
      <c r="AJ81" s="49"/>
      <c r="AK81" s="49"/>
      <c r="AL81" s="49" t="str">
        <f t="shared" si="5"/>
        <v>受注一覧表</v>
      </c>
      <c r="AM81" s="49" t="s">
        <v>35</v>
      </c>
      <c r="AN81" s="49" t="s">
        <v>578</v>
      </c>
      <c r="AO81" s="51" t="str">
        <f t="shared" si="1"/>
        <v>受注一覧表</v>
      </c>
      <c r="AP81" s="51" t="str">
        <f t="shared" si="2"/>
        <v>SA2390</v>
      </c>
      <c r="AQ81" s="51" t="s">
        <v>577</v>
      </c>
      <c r="AR81" s="51" t="s">
        <v>575</v>
      </c>
      <c r="AS81" s="49" t="str">
        <f t="shared" si="3"/>
        <v>受注一覧表</v>
      </c>
      <c r="AT81" s="49" t="str">
        <f t="shared" si="4"/>
        <v>SA2390</v>
      </c>
      <c r="AU81" s="51" t="s">
        <v>577</v>
      </c>
      <c r="AV81" s="51" t="s">
        <v>575</v>
      </c>
    </row>
    <row r="82" spans="1:48" ht="18" customHeight="1">
      <c r="A82" s="44">
        <v>80</v>
      </c>
      <c r="B82" s="52" t="s">
        <v>292</v>
      </c>
      <c r="C82" s="52" t="s">
        <v>490</v>
      </c>
      <c r="D82" s="46" t="s">
        <v>116</v>
      </c>
      <c r="E82" s="44" t="s">
        <v>571</v>
      </c>
      <c r="F82" s="44" t="s">
        <v>579</v>
      </c>
      <c r="G82" s="44"/>
      <c r="H82" s="44"/>
      <c r="I82" s="44"/>
      <c r="J82" s="47" t="s">
        <v>35</v>
      </c>
      <c r="K82" s="47"/>
      <c r="L82" s="47"/>
      <c r="M82" s="47"/>
      <c r="N82" s="47"/>
      <c r="O82" s="44"/>
      <c r="P82" s="44"/>
      <c r="Q82" s="48">
        <f>VLOOKUP(E82,sheet1!$B$2:$D$3209,3,FALSE)</f>
        <v>534</v>
      </c>
      <c r="R82" s="47" t="s">
        <v>35</v>
      </c>
      <c r="S82" s="47" t="s">
        <v>35</v>
      </c>
      <c r="T82" s="47" t="s">
        <v>35</v>
      </c>
      <c r="U82" s="47" t="s">
        <v>35</v>
      </c>
      <c r="V82" s="47" t="s">
        <v>35</v>
      </c>
      <c r="W82" s="47" t="s">
        <v>296</v>
      </c>
      <c r="X82" s="47" t="s">
        <v>296</v>
      </c>
      <c r="Y82" s="47" t="s">
        <v>296</v>
      </c>
      <c r="Z82" s="47" t="s">
        <v>35</v>
      </c>
      <c r="AA82" s="47" t="s">
        <v>296</v>
      </c>
      <c r="AB82" s="47" t="s">
        <v>35</v>
      </c>
      <c r="AC82" s="47" t="s">
        <v>35</v>
      </c>
      <c r="AD82" s="49" t="str">
        <f>VLOOKUP(E82,sheet1!$B$2:$C$3209,2,FALSE)</f>
        <v>受注チェックリスト作成指示</v>
      </c>
      <c r="AE82" s="49"/>
      <c r="AF82" s="56" t="s">
        <v>580</v>
      </c>
      <c r="AG82" s="56" t="s">
        <v>571</v>
      </c>
      <c r="AH82" s="49" t="str">
        <f t="shared" si="0"/>
        <v>ｺﾝﾌｧﾒｰｼｮﾝｾｰﾙｽ発行</v>
      </c>
      <c r="AI82" s="49"/>
      <c r="AJ82" s="49"/>
      <c r="AK82" s="49"/>
      <c r="AL82" s="49" t="str">
        <f t="shared" si="5"/>
        <v>ｺﾝﾌｧﾒｰｼｮﾝｾｰﾙｽ発行</v>
      </c>
      <c r="AM82" s="49" t="s">
        <v>35</v>
      </c>
      <c r="AN82" s="49" t="s">
        <v>581</v>
      </c>
      <c r="AO82" s="51" t="str">
        <f t="shared" si="1"/>
        <v>ｺﾝﾌｧﾒｰｼｮﾝｾｰﾙｽ発行</v>
      </c>
      <c r="AP82" s="51" t="str">
        <f t="shared" si="2"/>
        <v>SA2500</v>
      </c>
      <c r="AQ82" s="51" t="s">
        <v>582</v>
      </c>
      <c r="AR82" s="51" t="s">
        <v>583</v>
      </c>
      <c r="AS82" s="49" t="str">
        <f t="shared" si="3"/>
        <v>ｺﾝﾌｧﾒｰｼｮﾝｾｰﾙｽ発行</v>
      </c>
      <c r="AT82" s="49" t="str">
        <f t="shared" si="4"/>
        <v>SA2500</v>
      </c>
      <c r="AU82" s="51" t="s">
        <v>582</v>
      </c>
      <c r="AV82" s="51" t="s">
        <v>583</v>
      </c>
    </row>
    <row r="83" spans="1:48" ht="18" customHeight="1">
      <c r="A83" s="44">
        <v>81</v>
      </c>
      <c r="B83" s="52" t="s">
        <v>292</v>
      </c>
      <c r="C83" s="52" t="s">
        <v>490</v>
      </c>
      <c r="D83" s="46" t="s">
        <v>116</v>
      </c>
      <c r="E83" s="44" t="s">
        <v>584</v>
      </c>
      <c r="F83" s="44" t="s">
        <v>585</v>
      </c>
      <c r="G83" s="44"/>
      <c r="H83" s="44"/>
      <c r="I83" s="44"/>
      <c r="J83" s="47" t="s">
        <v>35</v>
      </c>
      <c r="K83" s="47"/>
      <c r="L83" s="47"/>
      <c r="M83" s="47"/>
      <c r="N83" s="47"/>
      <c r="O83" s="44"/>
      <c r="P83" s="44"/>
      <c r="Q83" s="48">
        <f>VLOOKUP(E83,sheet1!$B$2:$D$3209,3,FALSE)</f>
        <v>286</v>
      </c>
      <c r="R83" s="47" t="s">
        <v>35</v>
      </c>
      <c r="S83" s="47" t="s">
        <v>35</v>
      </c>
      <c r="T83" s="47" t="s">
        <v>35</v>
      </c>
      <c r="U83" s="47" t="s">
        <v>35</v>
      </c>
      <c r="V83" s="47" t="s">
        <v>35</v>
      </c>
      <c r="W83" s="47" t="s">
        <v>296</v>
      </c>
      <c r="X83" s="47" t="s">
        <v>296</v>
      </c>
      <c r="Y83" s="47" t="s">
        <v>296</v>
      </c>
      <c r="Z83" s="47" t="s">
        <v>35</v>
      </c>
      <c r="AA83" s="47" t="s">
        <v>296</v>
      </c>
      <c r="AB83" s="47" t="s">
        <v>35</v>
      </c>
      <c r="AC83" s="47" t="s">
        <v>35</v>
      </c>
      <c r="AD83" s="49" t="str">
        <f>VLOOKUP(E83,sheet1!$B$2:$C$3209,2,FALSE)</f>
        <v>値引承認入力ﾌﾟﾙｰﾌﾘｽﾄ作成指示</v>
      </c>
      <c r="AE83" s="49"/>
      <c r="AF83" s="56" t="s">
        <v>586</v>
      </c>
      <c r="AG83" s="56" t="s">
        <v>584</v>
      </c>
      <c r="AH83" s="49" t="str">
        <f t="shared" si="0"/>
        <v>値引承認入力ﾌﾟﾙｰﾌﾘｽﾄ</v>
      </c>
      <c r="AI83" s="49"/>
      <c r="AJ83" s="49"/>
      <c r="AK83" s="49"/>
      <c r="AL83" s="49" t="str">
        <f t="shared" si="5"/>
        <v>値引承認入力ﾌﾟﾙｰﾌﾘｽﾄ</v>
      </c>
      <c r="AM83" s="49" t="s">
        <v>35</v>
      </c>
      <c r="AN83" s="49" t="s">
        <v>587</v>
      </c>
      <c r="AO83" s="51" t="str">
        <f t="shared" si="1"/>
        <v>値引承認入力ﾌﾟﾙｰﾌﾘｽﾄ</v>
      </c>
      <c r="AP83" s="51" t="str">
        <f t="shared" si="2"/>
        <v>SA2020</v>
      </c>
      <c r="AQ83" s="51" t="s">
        <v>586</v>
      </c>
      <c r="AR83" s="51" t="s">
        <v>584</v>
      </c>
      <c r="AS83" s="49" t="str">
        <f t="shared" si="3"/>
        <v>値引承認入力ﾌﾟﾙｰﾌﾘｽﾄ</v>
      </c>
      <c r="AT83" s="49" t="str">
        <f t="shared" si="4"/>
        <v>SA2020</v>
      </c>
      <c r="AU83" s="51" t="s">
        <v>586</v>
      </c>
      <c r="AV83" s="51" t="s">
        <v>584</v>
      </c>
    </row>
    <row r="84" spans="1:48" ht="18" customHeight="1">
      <c r="A84" s="44">
        <v>82</v>
      </c>
      <c r="B84" s="52" t="s">
        <v>292</v>
      </c>
      <c r="C84" s="52" t="s">
        <v>490</v>
      </c>
      <c r="D84" s="46" t="s">
        <v>116</v>
      </c>
      <c r="E84" s="44" t="s">
        <v>588</v>
      </c>
      <c r="F84" s="44" t="s">
        <v>589</v>
      </c>
      <c r="G84" s="44"/>
      <c r="H84" s="44"/>
      <c r="I84" s="44"/>
      <c r="J84" s="47" t="s">
        <v>35</v>
      </c>
      <c r="K84" s="47"/>
      <c r="L84" s="47"/>
      <c r="M84" s="47"/>
      <c r="N84" s="47"/>
      <c r="O84" s="44"/>
      <c r="P84" s="44"/>
      <c r="Q84" s="48">
        <f>VLOOKUP(E84,sheet1!$B$2:$D$3209,3,FALSE)</f>
        <v>563</v>
      </c>
      <c r="R84" s="47" t="s">
        <v>35</v>
      </c>
      <c r="S84" s="47" t="s">
        <v>35</v>
      </c>
      <c r="T84" s="47" t="s">
        <v>35</v>
      </c>
      <c r="U84" s="47" t="s">
        <v>35</v>
      </c>
      <c r="V84" s="47" t="s">
        <v>35</v>
      </c>
      <c r="W84" s="47" t="s">
        <v>296</v>
      </c>
      <c r="X84" s="47" t="s">
        <v>296</v>
      </c>
      <c r="Y84" s="47" t="s">
        <v>296</v>
      </c>
      <c r="Z84" s="47" t="s">
        <v>35</v>
      </c>
      <c r="AA84" s="47" t="s">
        <v>296</v>
      </c>
      <c r="AB84" s="47" t="s">
        <v>35</v>
      </c>
      <c r="AC84" s="47" t="s">
        <v>35</v>
      </c>
      <c r="AD84" s="49" t="str">
        <f>VLOOKUP(E84,sheet1!$B$2:$C$3209,2,FALSE)</f>
        <v>生産計画依頼リスト</v>
      </c>
      <c r="AE84" s="49"/>
      <c r="AF84" s="56" t="s">
        <v>590</v>
      </c>
      <c r="AG84" s="56" t="s">
        <v>588</v>
      </c>
      <c r="AH84" s="49" t="str">
        <f t="shared" si="0"/>
        <v>生産計画依頼リスト</v>
      </c>
      <c r="AI84" s="49"/>
      <c r="AJ84" s="49"/>
      <c r="AK84" s="49"/>
      <c r="AL84" s="49" t="str">
        <f t="shared" si="5"/>
        <v>生産計画依頼リスト</v>
      </c>
      <c r="AM84" s="49" t="s">
        <v>35</v>
      </c>
      <c r="AN84" s="49" t="s">
        <v>591</v>
      </c>
      <c r="AO84" s="51" t="str">
        <f t="shared" si="1"/>
        <v>生産計画依頼リスト</v>
      </c>
      <c r="AP84" s="51" t="str">
        <f t="shared" si="2"/>
        <v>SA2030</v>
      </c>
      <c r="AQ84" s="51" t="s">
        <v>590</v>
      </c>
      <c r="AR84" s="51" t="s">
        <v>588</v>
      </c>
      <c r="AS84" s="49" t="str">
        <f t="shared" si="3"/>
        <v>生産計画依頼リスト</v>
      </c>
      <c r="AT84" s="49" t="str">
        <f t="shared" si="4"/>
        <v>SA2030</v>
      </c>
      <c r="AU84" s="51" t="s">
        <v>590</v>
      </c>
      <c r="AV84" s="51" t="s">
        <v>588</v>
      </c>
    </row>
    <row r="85" spans="1:48" ht="18" customHeight="1">
      <c r="A85" s="44">
        <v>83</v>
      </c>
      <c r="B85" s="52" t="s">
        <v>292</v>
      </c>
      <c r="C85" s="52" t="s">
        <v>490</v>
      </c>
      <c r="D85" s="46" t="s">
        <v>116</v>
      </c>
      <c r="E85" s="44" t="s">
        <v>592</v>
      </c>
      <c r="F85" s="44" t="s">
        <v>593</v>
      </c>
      <c r="G85" s="44"/>
      <c r="H85" s="44"/>
      <c r="I85" s="44"/>
      <c r="J85" s="47" t="s">
        <v>35</v>
      </c>
      <c r="K85" s="47"/>
      <c r="L85" s="47"/>
      <c r="M85" s="47"/>
      <c r="N85" s="47"/>
      <c r="O85" s="44"/>
      <c r="P85" s="44"/>
      <c r="Q85" s="48">
        <f>VLOOKUP(E85,sheet1!$B$2:$D$3209,3,FALSE)</f>
        <v>1587</v>
      </c>
      <c r="R85" s="47" t="s">
        <v>35</v>
      </c>
      <c r="S85" s="47" t="s">
        <v>35</v>
      </c>
      <c r="T85" s="47" t="s">
        <v>35</v>
      </c>
      <c r="U85" s="47" t="s">
        <v>35</v>
      </c>
      <c r="V85" s="47" t="s">
        <v>35</v>
      </c>
      <c r="W85" s="47" t="s">
        <v>296</v>
      </c>
      <c r="X85" s="47" t="s">
        <v>296</v>
      </c>
      <c r="Y85" s="47" t="s">
        <v>296</v>
      </c>
      <c r="Z85" s="47" t="s">
        <v>35</v>
      </c>
      <c r="AA85" s="47" t="s">
        <v>35</v>
      </c>
      <c r="AB85" s="47" t="s">
        <v>35</v>
      </c>
      <c r="AC85" s="47" t="s">
        <v>35</v>
      </c>
      <c r="AD85" s="49" t="str">
        <f>VLOOKUP(E85,sheet1!$B$2:$C$3209,2,FALSE)</f>
        <v>取引先マスターメンテナンス</v>
      </c>
      <c r="AE85" s="49"/>
      <c r="AF85" s="56" t="s">
        <v>594</v>
      </c>
      <c r="AG85" s="56" t="s">
        <v>592</v>
      </c>
      <c r="AH85" s="49" t="str">
        <f t="shared" si="0"/>
        <v>発送先マスターメンテ</v>
      </c>
      <c r="AI85" s="49"/>
      <c r="AJ85" s="49"/>
      <c r="AK85" s="49"/>
      <c r="AL85" s="49" t="str">
        <f t="shared" si="5"/>
        <v>発送先マスターメンテ</v>
      </c>
      <c r="AM85" s="49" t="s">
        <v>35</v>
      </c>
      <c r="AN85" s="49" t="s">
        <v>595</v>
      </c>
      <c r="AO85" s="51" t="str">
        <f t="shared" si="1"/>
        <v>発送先マスターメンテ</v>
      </c>
      <c r="AP85" s="51" t="str">
        <f t="shared" si="2"/>
        <v>PD0120</v>
      </c>
      <c r="AQ85" s="51" t="s">
        <v>594</v>
      </c>
      <c r="AR85" s="51" t="s">
        <v>592</v>
      </c>
      <c r="AS85" s="49" t="str">
        <f t="shared" si="3"/>
        <v>発送先マスターメンテ</v>
      </c>
      <c r="AT85" s="49" t="str">
        <f t="shared" si="4"/>
        <v>PD0120</v>
      </c>
      <c r="AU85" s="51" t="s">
        <v>594</v>
      </c>
      <c r="AV85" s="51" t="s">
        <v>592</v>
      </c>
    </row>
    <row r="86" spans="1:48" ht="18" customHeight="1">
      <c r="A86" s="44">
        <v>84</v>
      </c>
      <c r="B86" s="52" t="s">
        <v>292</v>
      </c>
      <c r="C86" s="52" t="s">
        <v>490</v>
      </c>
      <c r="D86" s="46" t="s">
        <v>116</v>
      </c>
      <c r="E86" s="44" t="s">
        <v>596</v>
      </c>
      <c r="F86" s="44" t="s">
        <v>597</v>
      </c>
      <c r="G86" s="44"/>
      <c r="H86" s="44"/>
      <c r="I86" s="44"/>
      <c r="J86" s="47" t="s">
        <v>35</v>
      </c>
      <c r="K86" s="47"/>
      <c r="L86" s="47"/>
      <c r="M86" s="47"/>
      <c r="N86" s="47"/>
      <c r="O86" s="44"/>
      <c r="P86" s="44"/>
      <c r="Q86" s="48">
        <f>VLOOKUP(E86,sheet1!$B$2:$D$3209,3,FALSE)</f>
        <v>13</v>
      </c>
      <c r="R86" s="47" t="s">
        <v>35</v>
      </c>
      <c r="S86" s="47" t="s">
        <v>35</v>
      </c>
      <c r="T86" s="47" t="s">
        <v>35</v>
      </c>
      <c r="U86" s="47" t="s">
        <v>35</v>
      </c>
      <c r="V86" s="47" t="s">
        <v>35</v>
      </c>
      <c r="W86" s="47" t="s">
        <v>296</v>
      </c>
      <c r="X86" s="47" t="s">
        <v>296</v>
      </c>
      <c r="Y86" s="47" t="s">
        <v>296</v>
      </c>
      <c r="Z86" s="47" t="s">
        <v>35</v>
      </c>
      <c r="AA86" s="47" t="s">
        <v>296</v>
      </c>
      <c r="AB86" s="47" t="s">
        <v>35</v>
      </c>
      <c r="AC86" s="47" t="s">
        <v>35</v>
      </c>
      <c r="AD86" s="49" t="str">
        <f>VLOOKUP(E86,sheet1!$B$2:$C$3209,2,FALSE)</f>
        <v>サービスパーツオーダーシート</v>
      </c>
      <c r="AE86" s="49"/>
      <c r="AF86" s="56" t="s">
        <v>598</v>
      </c>
      <c r="AG86" s="56" t="s">
        <v>596</v>
      </c>
      <c r="AH86" s="49" t="str">
        <f t="shared" si="0"/>
        <v>ｻｰﾋﾞｽﾊﾟｰﾂｵｰﾀﾞｰｼｰﾄ</v>
      </c>
      <c r="AI86" s="49"/>
      <c r="AJ86" s="49"/>
      <c r="AK86" s="49"/>
      <c r="AL86" s="49" t="str">
        <f t="shared" si="5"/>
        <v>ｻｰﾋﾞｽﾊﾟｰﾂｵｰﾀﾞｰｼｰﾄ</v>
      </c>
      <c r="AM86" s="49" t="s">
        <v>35</v>
      </c>
      <c r="AN86" s="49" t="s">
        <v>599</v>
      </c>
      <c r="AO86" s="51" t="str">
        <f t="shared" si="1"/>
        <v>ｻｰﾋﾞｽﾊﾟｰﾂｵｰﾀﾞｰｼｰﾄ</v>
      </c>
      <c r="AP86" s="51" t="str">
        <f t="shared" si="2"/>
        <v>SA2360</v>
      </c>
      <c r="AQ86" s="51" t="s">
        <v>600</v>
      </c>
      <c r="AR86" s="51" t="s">
        <v>601</v>
      </c>
      <c r="AS86" s="49" t="str">
        <f t="shared" si="3"/>
        <v>ｻｰﾋﾞｽﾊﾟｰﾂｵｰﾀﾞｰｼｰﾄ</v>
      </c>
      <c r="AT86" s="49" t="str">
        <f t="shared" si="4"/>
        <v>SA2360</v>
      </c>
      <c r="AU86" s="51" t="s">
        <v>600</v>
      </c>
      <c r="AV86" s="51" t="s">
        <v>601</v>
      </c>
    </row>
    <row r="87" spans="1:48" ht="18" customHeight="1">
      <c r="A87" s="44">
        <v>85</v>
      </c>
      <c r="B87" s="52" t="s">
        <v>292</v>
      </c>
      <c r="C87" s="52" t="s">
        <v>490</v>
      </c>
      <c r="D87" s="46" t="s">
        <v>116</v>
      </c>
      <c r="E87" s="44" t="s">
        <v>602</v>
      </c>
      <c r="F87" s="44" t="s">
        <v>603</v>
      </c>
      <c r="G87" s="44"/>
      <c r="H87" s="44"/>
      <c r="I87" s="44"/>
      <c r="J87" s="47" t="s">
        <v>35</v>
      </c>
      <c r="K87" s="47"/>
      <c r="L87" s="47"/>
      <c r="M87" s="47"/>
      <c r="N87" s="47"/>
      <c r="O87" s="44"/>
      <c r="P87" s="44"/>
      <c r="Q87" s="48">
        <f>VLOOKUP(E87,sheet1!$B$2:$D$3209,3,FALSE)</f>
        <v>54</v>
      </c>
      <c r="R87" s="47" t="s">
        <v>35</v>
      </c>
      <c r="S87" s="47" t="s">
        <v>35</v>
      </c>
      <c r="T87" s="47" t="s">
        <v>35</v>
      </c>
      <c r="U87" s="47" t="s">
        <v>35</v>
      </c>
      <c r="V87" s="47" t="s">
        <v>35</v>
      </c>
      <c r="W87" s="47" t="s">
        <v>296</v>
      </c>
      <c r="X87" s="47" t="s">
        <v>296</v>
      </c>
      <c r="Y87" s="47" t="s">
        <v>296</v>
      </c>
      <c r="Z87" s="47" t="s">
        <v>35</v>
      </c>
      <c r="AA87" s="47" t="s">
        <v>296</v>
      </c>
      <c r="AB87" s="47" t="s">
        <v>35</v>
      </c>
      <c r="AC87" s="47" t="s">
        <v>35</v>
      </c>
      <c r="AD87" s="49" t="str">
        <f>VLOOKUP(E87,sheet1!$B$2:$C$3209,2,FALSE)</f>
        <v>受注一覧表ｴｸｾﾙﾀﾞｳﾝﾛｰﾄﾞ</v>
      </c>
      <c r="AE87" s="49"/>
      <c r="AF87" s="56" t="s">
        <v>604</v>
      </c>
      <c r="AG87" s="56" t="s">
        <v>602</v>
      </c>
      <c r="AH87" s="49" t="str">
        <f t="shared" si="0"/>
        <v>受注一覧表ダウンロード</v>
      </c>
      <c r="AI87" s="49"/>
      <c r="AJ87" s="49"/>
      <c r="AK87" s="49"/>
      <c r="AL87" s="49" t="str">
        <f t="shared" si="5"/>
        <v>受注一覧表ダウンロード</v>
      </c>
      <c r="AM87" s="49" t="s">
        <v>35</v>
      </c>
      <c r="AN87" s="49" t="s">
        <v>605</v>
      </c>
      <c r="AO87" s="51" t="str">
        <f t="shared" si="1"/>
        <v>受注一覧表ダウンロード</v>
      </c>
      <c r="AP87" s="51" t="str">
        <f t="shared" si="2"/>
        <v>SA2395</v>
      </c>
      <c r="AQ87" s="51" t="s">
        <v>604</v>
      </c>
      <c r="AR87" s="51" t="s">
        <v>606</v>
      </c>
      <c r="AS87" s="49" t="str">
        <f t="shared" si="3"/>
        <v>受注一覧表ダウンロード</v>
      </c>
      <c r="AT87" s="49" t="str">
        <f t="shared" si="4"/>
        <v>SA2395</v>
      </c>
      <c r="AU87" s="51" t="s">
        <v>604</v>
      </c>
      <c r="AV87" s="51" t="s">
        <v>606</v>
      </c>
    </row>
    <row r="88" spans="1:48" ht="18" customHeight="1">
      <c r="A88" s="44">
        <v>86</v>
      </c>
      <c r="B88" s="52" t="s">
        <v>292</v>
      </c>
      <c r="C88" s="52" t="s">
        <v>490</v>
      </c>
      <c r="D88" s="46" t="s">
        <v>116</v>
      </c>
      <c r="E88" s="44" t="s">
        <v>607</v>
      </c>
      <c r="F88" s="44" t="s">
        <v>608</v>
      </c>
      <c r="G88" s="44"/>
      <c r="H88" s="44"/>
      <c r="I88" s="44"/>
      <c r="J88" s="47" t="s">
        <v>35</v>
      </c>
      <c r="K88" s="47"/>
      <c r="L88" s="47"/>
      <c r="M88" s="47"/>
      <c r="N88" s="47"/>
      <c r="O88" s="44"/>
      <c r="P88" s="44"/>
      <c r="Q88" s="48">
        <f>VLOOKUP(E88,sheet1!$B$2:$D$3209,3,FALSE)</f>
        <v>12</v>
      </c>
      <c r="R88" s="47" t="s">
        <v>35</v>
      </c>
      <c r="S88" s="47" t="s">
        <v>35</v>
      </c>
      <c r="T88" s="47" t="s">
        <v>35</v>
      </c>
      <c r="U88" s="47" t="s">
        <v>35</v>
      </c>
      <c r="V88" s="47" t="s">
        <v>35</v>
      </c>
      <c r="W88" s="47" t="s">
        <v>296</v>
      </c>
      <c r="X88" s="47" t="s">
        <v>296</v>
      </c>
      <c r="Y88" s="47" t="s">
        <v>296</v>
      </c>
      <c r="Z88" s="47" t="s">
        <v>35</v>
      </c>
      <c r="AA88" s="47" t="s">
        <v>296</v>
      </c>
      <c r="AB88" s="47" t="s">
        <v>35</v>
      </c>
      <c r="AC88" s="47" t="s">
        <v>35</v>
      </c>
      <c r="AD88" s="49" t="str">
        <f>VLOOKUP(E88,sheet1!$B$2:$C$3209,2,FALSE)</f>
        <v>部課別販売客先別受注残ﾘｽﾄ</v>
      </c>
      <c r="AE88" s="49"/>
      <c r="AF88" s="56" t="s">
        <v>609</v>
      </c>
      <c r="AG88" s="56" t="s">
        <v>607</v>
      </c>
      <c r="AH88" s="49" t="str">
        <f t="shared" si="0"/>
        <v>部課別販売客先別受注残ﾘｽﾄ</v>
      </c>
      <c r="AI88" s="49"/>
      <c r="AJ88" s="49"/>
      <c r="AK88" s="49"/>
      <c r="AL88" s="49" t="str">
        <f t="shared" si="5"/>
        <v>部課別販売客先別受注残ﾘｽﾄ</v>
      </c>
      <c r="AM88" s="49" t="s">
        <v>35</v>
      </c>
      <c r="AN88" s="49" t="s">
        <v>608</v>
      </c>
      <c r="AO88" s="51" t="str">
        <f t="shared" si="1"/>
        <v>部課別販売客先別受注残ﾘｽﾄ</v>
      </c>
      <c r="AP88" s="51" t="str">
        <f t="shared" si="2"/>
        <v>SA2370</v>
      </c>
      <c r="AQ88" s="51" t="s">
        <v>609</v>
      </c>
      <c r="AR88" s="51" t="s">
        <v>610</v>
      </c>
      <c r="AS88" s="49" t="str">
        <f t="shared" si="3"/>
        <v>部課別販売客先別受注残ﾘｽﾄ</v>
      </c>
      <c r="AT88" s="49" t="str">
        <f t="shared" si="4"/>
        <v>SA2370</v>
      </c>
      <c r="AU88" s="51" t="s">
        <v>609</v>
      </c>
      <c r="AV88" s="51" t="s">
        <v>610</v>
      </c>
    </row>
    <row r="89" spans="1:48" ht="18" customHeight="1">
      <c r="A89" s="44">
        <v>87</v>
      </c>
      <c r="B89" s="52" t="s">
        <v>292</v>
      </c>
      <c r="C89" s="45" t="s">
        <v>611</v>
      </c>
      <c r="D89" s="46" t="s">
        <v>116</v>
      </c>
      <c r="E89" s="44" t="s">
        <v>612</v>
      </c>
      <c r="F89" s="44" t="s">
        <v>613</v>
      </c>
      <c r="G89" s="44"/>
      <c r="H89" s="44"/>
      <c r="I89" s="44"/>
      <c r="J89" s="47" t="s">
        <v>35</v>
      </c>
      <c r="K89" s="47"/>
      <c r="L89" s="47"/>
      <c r="M89" s="47"/>
      <c r="N89" s="47"/>
      <c r="O89" s="44"/>
      <c r="P89" s="44"/>
      <c r="Q89" s="48">
        <f>VLOOKUP(E89,sheet1!$B$2:$D$3209,3,FALSE)</f>
        <v>2517</v>
      </c>
      <c r="R89" s="47" t="s">
        <v>35</v>
      </c>
      <c r="S89" s="47" t="s">
        <v>35</v>
      </c>
      <c r="T89" s="47" t="s">
        <v>35</v>
      </c>
      <c r="U89" s="47" t="s">
        <v>35</v>
      </c>
      <c r="V89" s="47" t="s">
        <v>35</v>
      </c>
      <c r="W89" s="47" t="s">
        <v>296</v>
      </c>
      <c r="X89" s="47" t="s">
        <v>296</v>
      </c>
      <c r="Y89" s="47" t="s">
        <v>296</v>
      </c>
      <c r="Z89" s="47" t="s">
        <v>35</v>
      </c>
      <c r="AA89" s="47" t="s">
        <v>296</v>
      </c>
      <c r="AB89" s="47" t="s">
        <v>35</v>
      </c>
      <c r="AC89" s="47" t="s">
        <v>35</v>
      </c>
      <c r="AD89" s="49" t="str">
        <f>VLOOKUP(E89,sheet1!$B$2:$C$3209,2,FALSE)</f>
        <v>出荷指示書作成</v>
      </c>
      <c r="AE89" s="49"/>
      <c r="AF89" s="56" t="s">
        <v>614</v>
      </c>
      <c r="AG89" s="56" t="s">
        <v>612</v>
      </c>
      <c r="AH89" s="49" t="str">
        <f t="shared" si="0"/>
        <v>出荷指示書作成</v>
      </c>
      <c r="AI89" s="49"/>
      <c r="AJ89" s="49"/>
      <c r="AK89" s="49"/>
      <c r="AL89" s="49" t="str">
        <f t="shared" si="5"/>
        <v>出荷指示書作成</v>
      </c>
      <c r="AM89" s="49" t="s">
        <v>35</v>
      </c>
      <c r="AN89" s="49" t="s">
        <v>615</v>
      </c>
      <c r="AO89" s="51" t="str">
        <f t="shared" si="1"/>
        <v>出荷指示書作成</v>
      </c>
      <c r="AP89" s="51" t="str">
        <f t="shared" si="2"/>
        <v>SA2110</v>
      </c>
      <c r="AQ89" s="51" t="s">
        <v>614</v>
      </c>
      <c r="AR89" s="51" t="s">
        <v>612</v>
      </c>
      <c r="AS89" s="49" t="str">
        <f t="shared" si="3"/>
        <v>出荷指示書作成</v>
      </c>
      <c r="AT89" s="49" t="str">
        <f t="shared" si="4"/>
        <v>SA2110</v>
      </c>
      <c r="AU89" s="51" t="s">
        <v>614</v>
      </c>
      <c r="AV89" s="51" t="s">
        <v>612</v>
      </c>
    </row>
    <row r="90" spans="1:48" ht="18" customHeight="1">
      <c r="A90" s="44">
        <v>88</v>
      </c>
      <c r="B90" s="52" t="s">
        <v>292</v>
      </c>
      <c r="C90" s="52" t="s">
        <v>611</v>
      </c>
      <c r="D90" s="46" t="s">
        <v>116</v>
      </c>
      <c r="E90" s="44" t="s">
        <v>616</v>
      </c>
      <c r="F90" s="44" t="s">
        <v>617</v>
      </c>
      <c r="G90" s="44"/>
      <c r="H90" s="44"/>
      <c r="I90" s="44"/>
      <c r="J90" s="47" t="s">
        <v>35</v>
      </c>
      <c r="K90" s="47"/>
      <c r="L90" s="47"/>
      <c r="M90" s="47"/>
      <c r="N90" s="47"/>
      <c r="O90" s="44"/>
      <c r="P90" s="44"/>
      <c r="Q90" s="48">
        <f>VLOOKUP(E90,sheet1!$B$2:$D$3209,3,FALSE)</f>
        <v>936</v>
      </c>
      <c r="R90" s="47" t="s">
        <v>35</v>
      </c>
      <c r="S90" s="47" t="s">
        <v>35</v>
      </c>
      <c r="T90" s="47" t="s">
        <v>35</v>
      </c>
      <c r="U90" s="47" t="s">
        <v>35</v>
      </c>
      <c r="V90" s="47" t="s">
        <v>35</v>
      </c>
      <c r="W90" s="47" t="s">
        <v>296</v>
      </c>
      <c r="X90" s="47" t="s">
        <v>296</v>
      </c>
      <c r="Y90" s="47" t="s">
        <v>296</v>
      </c>
      <c r="Z90" s="47" t="s">
        <v>35</v>
      </c>
      <c r="AA90" s="47" t="s">
        <v>296</v>
      </c>
      <c r="AB90" s="47" t="s">
        <v>35</v>
      </c>
      <c r="AC90" s="47" t="s">
        <v>35</v>
      </c>
      <c r="AD90" s="49" t="str">
        <f>VLOOKUP(E90,sheet1!$B$2:$C$3209,2,FALSE)</f>
        <v>送り状作成指示</v>
      </c>
      <c r="AE90" s="49"/>
      <c r="AF90" s="56" t="s">
        <v>618</v>
      </c>
      <c r="AG90" s="56" t="s">
        <v>616</v>
      </c>
      <c r="AH90" s="49" t="str">
        <f t="shared" si="0"/>
        <v>送り状作成</v>
      </c>
      <c r="AI90" s="49"/>
      <c r="AJ90" s="49"/>
      <c r="AK90" s="49"/>
      <c r="AL90" s="49" t="str">
        <f t="shared" si="5"/>
        <v>出荷納品書作成</v>
      </c>
      <c r="AM90" s="49" t="s">
        <v>35</v>
      </c>
      <c r="AN90" s="49" t="s">
        <v>619</v>
      </c>
      <c r="AO90" s="51" t="str">
        <f t="shared" si="1"/>
        <v>送り状作成</v>
      </c>
      <c r="AP90" s="51" t="str">
        <f t="shared" si="2"/>
        <v>SA2170</v>
      </c>
      <c r="AQ90" s="51" t="s">
        <v>618</v>
      </c>
      <c r="AR90" s="51" t="s">
        <v>616</v>
      </c>
      <c r="AS90" s="49" t="str">
        <f t="shared" si="3"/>
        <v>送り状作成</v>
      </c>
      <c r="AT90" s="49" t="str">
        <f t="shared" si="4"/>
        <v>SA2170</v>
      </c>
      <c r="AU90" s="51" t="s">
        <v>618</v>
      </c>
      <c r="AV90" s="51" t="s">
        <v>616</v>
      </c>
    </row>
    <row r="91" spans="1:48" ht="18" customHeight="1">
      <c r="A91" s="44">
        <v>89</v>
      </c>
      <c r="B91" s="52" t="s">
        <v>292</v>
      </c>
      <c r="C91" s="52" t="s">
        <v>611</v>
      </c>
      <c r="D91" s="46" t="s">
        <v>116</v>
      </c>
      <c r="E91" s="44" t="s">
        <v>620</v>
      </c>
      <c r="F91" s="44" t="s">
        <v>621</v>
      </c>
      <c r="G91" s="44"/>
      <c r="H91" s="44"/>
      <c r="I91" s="44"/>
      <c r="J91" s="47" t="s">
        <v>35</v>
      </c>
      <c r="K91" s="47"/>
      <c r="L91" s="47"/>
      <c r="M91" s="47"/>
      <c r="N91" s="47"/>
      <c r="O91" s="44"/>
      <c r="P91" s="44"/>
      <c r="Q91" s="48">
        <f>VLOOKUP(E91,sheet1!$B$2:$D$3209,3,FALSE)</f>
        <v>606</v>
      </c>
      <c r="R91" s="47" t="s">
        <v>35</v>
      </c>
      <c r="S91" s="47" t="s">
        <v>35</v>
      </c>
      <c r="T91" s="47" t="s">
        <v>35</v>
      </c>
      <c r="U91" s="47" t="s">
        <v>35</v>
      </c>
      <c r="V91" s="47" t="s">
        <v>35</v>
      </c>
      <c r="W91" s="47" t="s">
        <v>296</v>
      </c>
      <c r="X91" s="47" t="s">
        <v>296</v>
      </c>
      <c r="Y91" s="47" t="s">
        <v>296</v>
      </c>
      <c r="Z91" s="47" t="s">
        <v>35</v>
      </c>
      <c r="AA91" s="47" t="s">
        <v>296</v>
      </c>
      <c r="AB91" s="47" t="s">
        <v>35</v>
      </c>
      <c r="AC91" s="47" t="s">
        <v>35</v>
      </c>
      <c r="AD91" s="49" t="str">
        <f>VLOOKUP(E91,sheet1!$B$2:$C$3209,2,FALSE)</f>
        <v>荷造タックシール作成</v>
      </c>
      <c r="AE91" s="49"/>
      <c r="AF91" s="56" t="s">
        <v>622</v>
      </c>
      <c r="AG91" s="56" t="s">
        <v>620</v>
      </c>
      <c r="AH91" s="49" t="str">
        <f t="shared" si="0"/>
        <v>個口シール作成</v>
      </c>
      <c r="AI91" s="49"/>
      <c r="AJ91" s="49"/>
      <c r="AK91" s="49"/>
      <c r="AL91" s="49" t="str">
        <f t="shared" si="5"/>
        <v>送り状作成</v>
      </c>
      <c r="AM91" s="49" t="s">
        <v>35</v>
      </c>
      <c r="AN91" s="49" t="s">
        <v>623</v>
      </c>
      <c r="AO91" s="51" t="str">
        <f t="shared" si="1"/>
        <v>個口シール作成</v>
      </c>
      <c r="AP91" s="51" t="str">
        <f t="shared" si="2"/>
        <v>SA2210</v>
      </c>
      <c r="AQ91" s="51" t="s">
        <v>622</v>
      </c>
      <c r="AR91" s="51" t="s">
        <v>620</v>
      </c>
      <c r="AS91" s="49" t="str">
        <f t="shared" si="3"/>
        <v>個口シール作成</v>
      </c>
      <c r="AT91" s="49" t="str">
        <f t="shared" si="4"/>
        <v>SA2210</v>
      </c>
      <c r="AU91" s="51" t="s">
        <v>622</v>
      </c>
      <c r="AV91" s="51" t="s">
        <v>620</v>
      </c>
    </row>
    <row r="92" spans="1:48" ht="18" customHeight="1">
      <c r="A92" s="44">
        <v>90</v>
      </c>
      <c r="B92" s="52" t="s">
        <v>292</v>
      </c>
      <c r="C92" s="52" t="s">
        <v>611</v>
      </c>
      <c r="D92" s="46" t="s">
        <v>116</v>
      </c>
      <c r="E92" s="44" t="s">
        <v>624</v>
      </c>
      <c r="F92" s="44" t="s">
        <v>625</v>
      </c>
      <c r="G92" s="44"/>
      <c r="H92" s="44"/>
      <c r="I92" s="44"/>
      <c r="J92" s="47" t="s">
        <v>35</v>
      </c>
      <c r="K92" s="47"/>
      <c r="L92" s="47"/>
      <c r="M92" s="47"/>
      <c r="N92" s="47"/>
      <c r="O92" s="44"/>
      <c r="P92" s="44"/>
      <c r="Q92" s="48">
        <f>VLOOKUP(E92,sheet1!$B$2:$D$3209,3,FALSE)</f>
        <v>282</v>
      </c>
      <c r="R92" s="47" t="s">
        <v>35</v>
      </c>
      <c r="S92" s="47" t="s">
        <v>35</v>
      </c>
      <c r="T92" s="47" t="s">
        <v>35</v>
      </c>
      <c r="U92" s="47" t="s">
        <v>35</v>
      </c>
      <c r="V92" s="47" t="s">
        <v>35</v>
      </c>
      <c r="W92" s="47" t="s">
        <v>296</v>
      </c>
      <c r="X92" s="47" t="s">
        <v>296</v>
      </c>
      <c r="Y92" s="47" t="s">
        <v>296</v>
      </c>
      <c r="Z92" s="47" t="s">
        <v>35</v>
      </c>
      <c r="AA92" s="47" t="s">
        <v>35</v>
      </c>
      <c r="AB92" s="47" t="s">
        <v>35</v>
      </c>
      <c r="AC92" s="47" t="s">
        <v>35</v>
      </c>
      <c r="AD92" s="49" t="str">
        <f>VLOOKUP(E92,sheet1!$B$2:$C$3209,2,FALSE)</f>
        <v>ｹｰｽﾏｰｸｼｰﾙ発行</v>
      </c>
      <c r="AE92" s="49"/>
      <c r="AF92" s="56" t="s">
        <v>626</v>
      </c>
      <c r="AG92" s="56" t="s">
        <v>624</v>
      </c>
      <c r="AH92" s="49" t="str">
        <f t="shared" si="0"/>
        <v>ケースマークシール作成</v>
      </c>
      <c r="AI92" s="49"/>
      <c r="AJ92" s="49"/>
      <c r="AK92" s="49"/>
      <c r="AL92" s="49" t="str">
        <f t="shared" si="5"/>
        <v>個口シール作成</v>
      </c>
      <c r="AM92" s="49" t="s">
        <v>35</v>
      </c>
      <c r="AN92" s="49" t="s">
        <v>627</v>
      </c>
      <c r="AO92" s="51" t="str">
        <f t="shared" si="1"/>
        <v>ケースマークシール作成</v>
      </c>
      <c r="AP92" s="51" t="str">
        <f t="shared" si="2"/>
        <v>SA2530</v>
      </c>
      <c r="AQ92" s="51" t="s">
        <v>626</v>
      </c>
      <c r="AR92" s="51" t="s">
        <v>624</v>
      </c>
      <c r="AS92" s="49" t="str">
        <f t="shared" si="3"/>
        <v>ケースマークシール作成</v>
      </c>
      <c r="AT92" s="49" t="str">
        <f t="shared" si="4"/>
        <v>SA2530</v>
      </c>
      <c r="AU92" s="51" t="s">
        <v>626</v>
      </c>
      <c r="AV92" s="51" t="s">
        <v>624</v>
      </c>
    </row>
    <row r="93" spans="1:48" ht="18" customHeight="1">
      <c r="A93" s="44">
        <v>91</v>
      </c>
      <c r="B93" s="52" t="s">
        <v>292</v>
      </c>
      <c r="C93" s="52" t="s">
        <v>611</v>
      </c>
      <c r="D93" s="46" t="s">
        <v>116</v>
      </c>
      <c r="E93" s="44" t="s">
        <v>116</v>
      </c>
      <c r="F93" s="44" t="s">
        <v>628</v>
      </c>
      <c r="G93" s="44"/>
      <c r="H93" s="44"/>
      <c r="I93" s="44"/>
      <c r="J93" s="47" t="s">
        <v>35</v>
      </c>
      <c r="K93" s="47"/>
      <c r="L93" s="47"/>
      <c r="M93" s="47"/>
      <c r="N93" s="47"/>
      <c r="O93" s="44"/>
      <c r="P93" s="44"/>
      <c r="Q93" s="48" t="e">
        <f>VLOOKUP(E93,sheet1!$B$2:$D$3209,3,FALSE)</f>
        <v>#N/A</v>
      </c>
      <c r="R93" s="47" t="s">
        <v>35</v>
      </c>
      <c r="S93" s="47" t="s">
        <v>35</v>
      </c>
      <c r="T93" s="47" t="s">
        <v>35</v>
      </c>
      <c r="U93" s="47" t="s">
        <v>35</v>
      </c>
      <c r="V93" s="47" t="s">
        <v>35</v>
      </c>
      <c r="W93" s="47" t="s">
        <v>296</v>
      </c>
      <c r="X93" s="47" t="s">
        <v>296</v>
      </c>
      <c r="Y93" s="47" t="s">
        <v>296</v>
      </c>
      <c r="Z93" s="47" t="s">
        <v>35</v>
      </c>
      <c r="AA93" s="47" t="s">
        <v>296</v>
      </c>
      <c r="AB93" s="47" t="s">
        <v>35</v>
      </c>
      <c r="AC93" s="47" t="s">
        <v>35</v>
      </c>
      <c r="AD93" s="49" t="e">
        <f>VLOOKUP(E93,sheet1!$B$2:$C$3209,2,FALSE)</f>
        <v>#N/A</v>
      </c>
      <c r="AE93" s="49"/>
      <c r="AF93" s="56" t="s">
        <v>629</v>
      </c>
      <c r="AG93" s="46" t="s">
        <v>116</v>
      </c>
      <c r="AH93" s="49" t="str">
        <f t="shared" si="0"/>
        <v>出荷納品書作成</v>
      </c>
      <c r="AI93" s="49"/>
      <c r="AJ93" s="49"/>
      <c r="AK93" s="49"/>
      <c r="AL93" s="49" t="str">
        <f t="shared" si="5"/>
        <v>ケースマークシール作成</v>
      </c>
      <c r="AM93" s="49" t="s">
        <v>35</v>
      </c>
      <c r="AN93" s="49" t="s">
        <v>625</v>
      </c>
      <c r="AO93" s="51" t="str">
        <f t="shared" si="1"/>
        <v>出荷納品書作成</v>
      </c>
      <c r="AP93" s="51" t="str">
        <f t="shared" si="2"/>
        <v/>
      </c>
      <c r="AQ93" s="51" t="s">
        <v>629</v>
      </c>
      <c r="AR93" s="51"/>
      <c r="AS93" s="49" t="str">
        <f t="shared" si="3"/>
        <v>出荷納品書作成</v>
      </c>
      <c r="AT93" s="49" t="str">
        <f t="shared" si="4"/>
        <v/>
      </c>
      <c r="AU93" s="51" t="s">
        <v>629</v>
      </c>
      <c r="AV93" s="51"/>
    </row>
    <row r="94" spans="1:48" ht="18" customHeight="1">
      <c r="A94" s="44">
        <v>92</v>
      </c>
      <c r="B94" s="52" t="s">
        <v>292</v>
      </c>
      <c r="C94" s="52" t="s">
        <v>611</v>
      </c>
      <c r="D94" s="46" t="s">
        <v>116</v>
      </c>
      <c r="E94" s="44" t="s">
        <v>630</v>
      </c>
      <c r="F94" s="44" t="s">
        <v>631</v>
      </c>
      <c r="G94" s="44"/>
      <c r="H94" s="44"/>
      <c r="I94" s="44"/>
      <c r="J94" s="47" t="s">
        <v>35</v>
      </c>
      <c r="K94" s="47"/>
      <c r="L94" s="47"/>
      <c r="M94" s="47"/>
      <c r="N94" s="47"/>
      <c r="O94" s="44"/>
      <c r="P94" s="44"/>
      <c r="Q94" s="48">
        <f>VLOOKUP(E94,sheet1!$B$2:$D$3209,3,FALSE)</f>
        <v>9567</v>
      </c>
      <c r="R94" s="47" t="s">
        <v>35</v>
      </c>
      <c r="S94" s="47" t="s">
        <v>35</v>
      </c>
      <c r="T94" s="47" t="s">
        <v>35</v>
      </c>
      <c r="U94" s="47" t="s">
        <v>35</v>
      </c>
      <c r="V94" s="47" t="s">
        <v>35</v>
      </c>
      <c r="W94" s="47" t="s">
        <v>296</v>
      </c>
      <c r="X94" s="47" t="s">
        <v>296</v>
      </c>
      <c r="Y94" s="47" t="s">
        <v>296</v>
      </c>
      <c r="Z94" s="47" t="s">
        <v>35</v>
      </c>
      <c r="AA94" s="47" t="s">
        <v>296</v>
      </c>
      <c r="AB94" s="47" t="s">
        <v>35</v>
      </c>
      <c r="AC94" s="47" t="s">
        <v>35</v>
      </c>
      <c r="AD94" s="49" t="str">
        <f>VLOOKUP(E94,sheet1!$B$2:$C$3209,2,FALSE)</f>
        <v>出荷実績入力</v>
      </c>
      <c r="AE94" s="49"/>
      <c r="AF94" s="56" t="s">
        <v>632</v>
      </c>
      <c r="AG94" s="56" t="s">
        <v>630</v>
      </c>
      <c r="AH94" s="49" t="str">
        <f t="shared" si="0"/>
        <v>出荷実績入力</v>
      </c>
      <c r="AI94" s="49"/>
      <c r="AJ94" s="49"/>
      <c r="AK94" s="49"/>
      <c r="AL94" s="49" t="str">
        <f t="shared" si="5"/>
        <v>出荷実績入力</v>
      </c>
      <c r="AM94" s="49" t="s">
        <v>35</v>
      </c>
      <c r="AN94" s="49" t="s">
        <v>633</v>
      </c>
      <c r="AO94" s="51" t="str">
        <f t="shared" si="1"/>
        <v>出荷実績入力</v>
      </c>
      <c r="AP94" s="51" t="str">
        <f t="shared" si="2"/>
        <v>SA3070</v>
      </c>
      <c r="AQ94" s="51" t="s">
        <v>632</v>
      </c>
      <c r="AR94" s="51" t="s">
        <v>630</v>
      </c>
      <c r="AS94" s="49" t="str">
        <f t="shared" si="3"/>
        <v>出荷実績入力</v>
      </c>
      <c r="AT94" s="49" t="str">
        <f t="shared" si="4"/>
        <v>SA3070</v>
      </c>
      <c r="AU94" s="51" t="s">
        <v>632</v>
      </c>
      <c r="AV94" s="51" t="s">
        <v>630</v>
      </c>
    </row>
    <row r="95" spans="1:48" ht="18" customHeight="1">
      <c r="A95" s="44">
        <v>93</v>
      </c>
      <c r="B95" s="52" t="s">
        <v>292</v>
      </c>
      <c r="C95" s="52" t="s">
        <v>611</v>
      </c>
      <c r="D95" s="46" t="s">
        <v>116</v>
      </c>
      <c r="E95" s="44" t="s">
        <v>634</v>
      </c>
      <c r="F95" s="44" t="s">
        <v>635</v>
      </c>
      <c r="G95" s="44"/>
      <c r="H95" s="44"/>
      <c r="I95" s="44"/>
      <c r="J95" s="47" t="s">
        <v>35</v>
      </c>
      <c r="K95" s="47"/>
      <c r="L95" s="47"/>
      <c r="M95" s="47"/>
      <c r="N95" s="47"/>
      <c r="O95" s="44"/>
      <c r="P95" s="44"/>
      <c r="Q95" s="48">
        <f>VLOOKUP(E95,sheet1!$B$2:$D$3209,3,FALSE)</f>
        <v>2202</v>
      </c>
      <c r="R95" s="47" t="s">
        <v>35</v>
      </c>
      <c r="S95" s="47" t="s">
        <v>35</v>
      </c>
      <c r="T95" s="47" t="s">
        <v>35</v>
      </c>
      <c r="U95" s="47" t="s">
        <v>35</v>
      </c>
      <c r="V95" s="47" t="s">
        <v>35</v>
      </c>
      <c r="W95" s="47" t="s">
        <v>296</v>
      </c>
      <c r="X95" s="47" t="s">
        <v>296</v>
      </c>
      <c r="Y95" s="47" t="s">
        <v>296</v>
      </c>
      <c r="Z95" s="47" t="s">
        <v>35</v>
      </c>
      <c r="AA95" s="47" t="s">
        <v>296</v>
      </c>
      <c r="AB95" s="47" t="s">
        <v>35</v>
      </c>
      <c r="AC95" s="47" t="s">
        <v>35</v>
      </c>
      <c r="AD95" s="49" t="str">
        <f>VLOOKUP(E95,sheet1!$B$2:$C$3209,2,FALSE)</f>
        <v>仕様出荷実績入力　</v>
      </c>
      <c r="AE95" s="49"/>
      <c r="AF95" s="56" t="s">
        <v>636</v>
      </c>
      <c r="AG95" s="56" t="s">
        <v>634</v>
      </c>
      <c r="AH95" s="49" t="str">
        <f t="shared" si="0"/>
        <v>仕様出荷実績入力</v>
      </c>
      <c r="AI95" s="49"/>
      <c r="AJ95" s="49"/>
      <c r="AK95" s="49"/>
      <c r="AL95" s="49" t="str">
        <f t="shared" si="5"/>
        <v>仕様出荷実績入力</v>
      </c>
      <c r="AM95" s="49" t="s">
        <v>35</v>
      </c>
      <c r="AN95" s="49" t="s">
        <v>637</v>
      </c>
      <c r="AO95" s="51" t="str">
        <f t="shared" si="1"/>
        <v>仕様出荷実績入力</v>
      </c>
      <c r="AP95" s="51" t="str">
        <f t="shared" si="2"/>
        <v>SA3180</v>
      </c>
      <c r="AQ95" s="51" t="s">
        <v>636</v>
      </c>
      <c r="AR95" s="51" t="s">
        <v>634</v>
      </c>
      <c r="AS95" s="49" t="str">
        <f t="shared" si="3"/>
        <v>仕様出荷実績入力</v>
      </c>
      <c r="AT95" s="49" t="str">
        <f t="shared" si="4"/>
        <v>SA3180</v>
      </c>
      <c r="AU95" s="51" t="s">
        <v>636</v>
      </c>
      <c r="AV95" s="51" t="s">
        <v>634</v>
      </c>
    </row>
    <row r="96" spans="1:48" ht="18" customHeight="1">
      <c r="A96" s="44">
        <v>94</v>
      </c>
      <c r="B96" s="52" t="s">
        <v>292</v>
      </c>
      <c r="C96" s="52" t="s">
        <v>611</v>
      </c>
      <c r="D96" s="46" t="s">
        <v>116</v>
      </c>
      <c r="E96" s="44" t="s">
        <v>638</v>
      </c>
      <c r="F96" s="44" t="s">
        <v>639</v>
      </c>
      <c r="G96" s="44"/>
      <c r="H96" s="44"/>
      <c r="I96" s="44"/>
      <c r="J96" s="47" t="s">
        <v>35</v>
      </c>
      <c r="K96" s="47"/>
      <c r="L96" s="47"/>
      <c r="M96" s="47"/>
      <c r="N96" s="47"/>
      <c r="O96" s="44"/>
      <c r="P96" s="44"/>
      <c r="Q96" s="48">
        <f>VLOOKUP(E96,sheet1!$B$2:$D$3209,3,FALSE)</f>
        <v>3389</v>
      </c>
      <c r="R96" s="47" t="s">
        <v>35</v>
      </c>
      <c r="S96" s="47" t="s">
        <v>35</v>
      </c>
      <c r="T96" s="47" t="s">
        <v>35</v>
      </c>
      <c r="U96" s="47" t="s">
        <v>35</v>
      </c>
      <c r="V96" s="47" t="s">
        <v>35</v>
      </c>
      <c r="W96" s="47" t="s">
        <v>296</v>
      </c>
      <c r="X96" s="47" t="s">
        <v>296</v>
      </c>
      <c r="Y96" s="47" t="s">
        <v>296</v>
      </c>
      <c r="Z96" s="47" t="s">
        <v>35</v>
      </c>
      <c r="AA96" s="47" t="s">
        <v>296</v>
      </c>
      <c r="AB96" s="47" t="s">
        <v>35</v>
      </c>
      <c r="AC96" s="47" t="s">
        <v>35</v>
      </c>
      <c r="AD96" s="49" t="str">
        <f>VLOOKUP(E96,sheet1!$B$2:$C$3209,2,FALSE)</f>
        <v>返品実績入力　                　　</v>
      </c>
      <c r="AE96" s="49"/>
      <c r="AF96" s="56" t="s">
        <v>640</v>
      </c>
      <c r="AG96" s="56" t="s">
        <v>638</v>
      </c>
      <c r="AH96" s="49" t="str">
        <f t="shared" si="0"/>
        <v>返品実績入力</v>
      </c>
      <c r="AI96" s="49"/>
      <c r="AJ96" s="49"/>
      <c r="AK96" s="49"/>
      <c r="AL96" s="49" t="str">
        <f t="shared" si="5"/>
        <v>返品実績入力</v>
      </c>
      <c r="AM96" s="49" t="s">
        <v>35</v>
      </c>
      <c r="AN96" s="49" t="s">
        <v>641</v>
      </c>
      <c r="AO96" s="51" t="str">
        <f t="shared" si="1"/>
        <v>返品実績入力</v>
      </c>
      <c r="AP96" s="51" t="str">
        <f t="shared" si="2"/>
        <v>SA3100</v>
      </c>
      <c r="AQ96" s="51" t="s">
        <v>640</v>
      </c>
      <c r="AR96" s="51" t="s">
        <v>638</v>
      </c>
      <c r="AS96" s="49" t="str">
        <f t="shared" si="3"/>
        <v>返品実績入力</v>
      </c>
      <c r="AT96" s="49" t="str">
        <f t="shared" si="4"/>
        <v>SA3100</v>
      </c>
      <c r="AU96" s="51" t="s">
        <v>640</v>
      </c>
      <c r="AV96" s="51" t="s">
        <v>638</v>
      </c>
    </row>
    <row r="97" spans="1:48" ht="18" customHeight="1">
      <c r="A97" s="44">
        <v>95</v>
      </c>
      <c r="B97" s="52" t="s">
        <v>292</v>
      </c>
      <c r="C97" s="52" t="s">
        <v>611</v>
      </c>
      <c r="D97" s="46" t="s">
        <v>116</v>
      </c>
      <c r="E97" s="44" t="s">
        <v>642</v>
      </c>
      <c r="F97" s="44" t="s">
        <v>643</v>
      </c>
      <c r="G97" s="44"/>
      <c r="H97" s="44"/>
      <c r="I97" s="44"/>
      <c r="J97" s="47" t="s">
        <v>35</v>
      </c>
      <c r="K97" s="47"/>
      <c r="L97" s="47"/>
      <c r="M97" s="47"/>
      <c r="N97" s="47"/>
      <c r="O97" s="44"/>
      <c r="P97" s="44"/>
      <c r="Q97" s="48">
        <f>VLOOKUP(E97,sheet1!$B$2:$D$3209,3,FALSE)</f>
        <v>8722</v>
      </c>
      <c r="R97" s="47" t="s">
        <v>35</v>
      </c>
      <c r="S97" s="47" t="s">
        <v>35</v>
      </c>
      <c r="T97" s="47" t="s">
        <v>35</v>
      </c>
      <c r="U97" s="47" t="s">
        <v>35</v>
      </c>
      <c r="V97" s="47" t="s">
        <v>35</v>
      </c>
      <c r="W97" s="47" t="s">
        <v>296</v>
      </c>
      <c r="X97" s="47" t="s">
        <v>296</v>
      </c>
      <c r="Y97" s="47" t="s">
        <v>296</v>
      </c>
      <c r="Z97" s="47" t="s">
        <v>35</v>
      </c>
      <c r="AA97" s="47" t="s">
        <v>296</v>
      </c>
      <c r="AB97" s="47" t="s">
        <v>35</v>
      </c>
      <c r="AC97" s="47" t="s">
        <v>35</v>
      </c>
      <c r="AD97" s="49" t="str">
        <f>VLOOKUP(E97,sheet1!$B$2:$C$3209,2,FALSE)</f>
        <v>修理実績入力 　　　　　　　　　　</v>
      </c>
      <c r="AE97" s="49"/>
      <c r="AF97" s="56" t="s">
        <v>644</v>
      </c>
      <c r="AG97" s="56" t="s">
        <v>642</v>
      </c>
      <c r="AH97" s="49" t="str">
        <f t="shared" si="0"/>
        <v>修理実績入力</v>
      </c>
      <c r="AI97" s="49"/>
      <c r="AJ97" s="49"/>
      <c r="AK97" s="49"/>
      <c r="AL97" s="49" t="str">
        <f t="shared" si="5"/>
        <v>修理実績入力</v>
      </c>
      <c r="AM97" s="49" t="s">
        <v>35</v>
      </c>
      <c r="AN97" s="49" t="s">
        <v>645</v>
      </c>
      <c r="AO97" s="51" t="str">
        <f t="shared" si="1"/>
        <v>修理実績入力</v>
      </c>
      <c r="AP97" s="51" t="str">
        <f t="shared" si="2"/>
        <v>SA3110</v>
      </c>
      <c r="AQ97" s="51" t="s">
        <v>644</v>
      </c>
      <c r="AR97" s="51" t="s">
        <v>642</v>
      </c>
      <c r="AS97" s="49" t="str">
        <f t="shared" si="3"/>
        <v>修理実績入力</v>
      </c>
      <c r="AT97" s="49" t="str">
        <f t="shared" si="4"/>
        <v>SA3110</v>
      </c>
      <c r="AU97" s="51" t="s">
        <v>644</v>
      </c>
      <c r="AV97" s="51" t="s">
        <v>642</v>
      </c>
    </row>
    <row r="98" spans="1:48" ht="18" customHeight="1">
      <c r="A98" s="44">
        <v>96</v>
      </c>
      <c r="B98" s="52" t="s">
        <v>292</v>
      </c>
      <c r="C98" s="52" t="s">
        <v>611</v>
      </c>
      <c r="D98" s="46" t="s">
        <v>116</v>
      </c>
      <c r="E98" s="44" t="s">
        <v>646</v>
      </c>
      <c r="F98" s="44" t="s">
        <v>647</v>
      </c>
      <c r="G98" s="44"/>
      <c r="H98" s="44"/>
      <c r="I98" s="44"/>
      <c r="J98" s="47" t="s">
        <v>35</v>
      </c>
      <c r="K98" s="47"/>
      <c r="L98" s="47"/>
      <c r="M98" s="47"/>
      <c r="N98" s="47"/>
      <c r="O98" s="44"/>
      <c r="P98" s="44"/>
      <c r="Q98" s="48">
        <f>VLOOKUP(E98,sheet1!$B$2:$D$3209,3,FALSE)</f>
        <v>964</v>
      </c>
      <c r="R98" s="47" t="s">
        <v>35</v>
      </c>
      <c r="S98" s="47" t="s">
        <v>35</v>
      </c>
      <c r="T98" s="47" t="s">
        <v>35</v>
      </c>
      <c r="U98" s="47" t="s">
        <v>35</v>
      </c>
      <c r="V98" s="47" t="s">
        <v>35</v>
      </c>
      <c r="W98" s="47" t="s">
        <v>296</v>
      </c>
      <c r="X98" s="47" t="s">
        <v>296</v>
      </c>
      <c r="Y98" s="47" t="s">
        <v>296</v>
      </c>
      <c r="Z98" s="47" t="s">
        <v>35</v>
      </c>
      <c r="AA98" s="47" t="s">
        <v>296</v>
      </c>
      <c r="AB98" s="47" t="s">
        <v>35</v>
      </c>
      <c r="AC98" s="47" t="s">
        <v>35</v>
      </c>
      <c r="AD98" s="49" t="str">
        <f>VLOOKUP(E98,sheet1!$B$2:$C$3209,2,FALSE)</f>
        <v>無償承認修理入力</v>
      </c>
      <c r="AE98" s="49"/>
      <c r="AF98" s="56" t="s">
        <v>648</v>
      </c>
      <c r="AG98" s="56" t="s">
        <v>646</v>
      </c>
      <c r="AH98" s="49" t="str">
        <f t="shared" si="0"/>
        <v>無償修理承認入力</v>
      </c>
      <c r="AI98" s="49"/>
      <c r="AJ98" s="49"/>
      <c r="AK98" s="49"/>
      <c r="AL98" s="49" t="str">
        <f t="shared" si="5"/>
        <v>無償修理承認入力</v>
      </c>
      <c r="AM98" s="49" t="s">
        <v>35</v>
      </c>
      <c r="AN98" s="49" t="s">
        <v>649</v>
      </c>
      <c r="AO98" s="51" t="str">
        <f t="shared" si="1"/>
        <v>無償修理承認入力</v>
      </c>
      <c r="AP98" s="51" t="str">
        <f t="shared" si="2"/>
        <v>SA3190</v>
      </c>
      <c r="AQ98" s="51" t="s">
        <v>648</v>
      </c>
      <c r="AR98" s="51" t="s">
        <v>646</v>
      </c>
      <c r="AS98" s="49" t="str">
        <f t="shared" si="3"/>
        <v>無償修理承認入力</v>
      </c>
      <c r="AT98" s="49" t="str">
        <f t="shared" si="4"/>
        <v>SA3190</v>
      </c>
      <c r="AU98" s="51" t="s">
        <v>648</v>
      </c>
      <c r="AV98" s="51" t="s">
        <v>646</v>
      </c>
    </row>
    <row r="99" spans="1:48" ht="18" customHeight="1">
      <c r="A99" s="44">
        <v>97</v>
      </c>
      <c r="B99" s="52" t="s">
        <v>292</v>
      </c>
      <c r="C99" s="52" t="s">
        <v>611</v>
      </c>
      <c r="D99" s="46" t="s">
        <v>116</v>
      </c>
      <c r="E99" s="44" t="s">
        <v>650</v>
      </c>
      <c r="F99" s="44" t="s">
        <v>651</v>
      </c>
      <c r="G99" s="44"/>
      <c r="H99" s="44"/>
      <c r="I99" s="44"/>
      <c r="J99" s="47" t="s">
        <v>35</v>
      </c>
      <c r="K99" s="47"/>
      <c r="L99" s="47"/>
      <c r="M99" s="47"/>
      <c r="N99" s="47"/>
      <c r="O99" s="44"/>
      <c r="P99" s="44"/>
      <c r="Q99" s="48">
        <f>VLOOKUP(E99,sheet1!$B$2:$D$3209,3,FALSE)</f>
        <v>990</v>
      </c>
      <c r="R99" s="47" t="s">
        <v>35</v>
      </c>
      <c r="S99" s="47" t="s">
        <v>35</v>
      </c>
      <c r="T99" s="47" t="s">
        <v>35</v>
      </c>
      <c r="U99" s="47" t="s">
        <v>35</v>
      </c>
      <c r="V99" s="47" t="s">
        <v>35</v>
      </c>
      <c r="W99" s="47" t="s">
        <v>296</v>
      </c>
      <c r="X99" s="47" t="s">
        <v>296</v>
      </c>
      <c r="Y99" s="47" t="s">
        <v>296</v>
      </c>
      <c r="Z99" s="47" t="s">
        <v>35</v>
      </c>
      <c r="AA99" s="47" t="s">
        <v>296</v>
      </c>
      <c r="AB99" s="47" t="s">
        <v>35</v>
      </c>
      <c r="AC99" s="47" t="s">
        <v>35</v>
      </c>
      <c r="AD99" s="49" t="str">
        <f>VLOOKUP(E99,sheet1!$B$2:$C$3209,2,FALSE)</f>
        <v>修理コメント訂正入力 　　　　　　</v>
      </c>
      <c r="AE99" s="49"/>
      <c r="AF99" s="56" t="s">
        <v>652</v>
      </c>
      <c r="AG99" s="56" t="s">
        <v>650</v>
      </c>
      <c r="AH99" s="49" t="str">
        <f t="shared" si="0"/>
        <v>修理コメント訂正入力</v>
      </c>
      <c r="AI99" s="49"/>
      <c r="AJ99" s="49"/>
      <c r="AK99" s="49"/>
      <c r="AL99" s="49" t="str">
        <f t="shared" si="5"/>
        <v>修理コメント訂正入力</v>
      </c>
      <c r="AM99" s="49" t="s">
        <v>35</v>
      </c>
      <c r="AN99" s="49" t="s">
        <v>653</v>
      </c>
      <c r="AO99" s="51" t="str">
        <f t="shared" si="1"/>
        <v>修理コメント訂正入力</v>
      </c>
      <c r="AP99" s="51" t="str">
        <f t="shared" si="2"/>
        <v>SA3220</v>
      </c>
      <c r="AQ99" s="51" t="s">
        <v>652</v>
      </c>
      <c r="AR99" s="51" t="s">
        <v>650</v>
      </c>
      <c r="AS99" s="49" t="str">
        <f t="shared" si="3"/>
        <v>修理コメント訂正入力</v>
      </c>
      <c r="AT99" s="49" t="str">
        <f t="shared" si="4"/>
        <v>SA3220</v>
      </c>
      <c r="AU99" s="51" t="s">
        <v>652</v>
      </c>
      <c r="AV99" s="51" t="s">
        <v>650</v>
      </c>
    </row>
    <row r="100" spans="1:48" ht="18" customHeight="1">
      <c r="A100" s="44">
        <v>98</v>
      </c>
      <c r="B100" s="52" t="s">
        <v>292</v>
      </c>
      <c r="C100" s="52" t="s">
        <v>611</v>
      </c>
      <c r="D100" s="46" t="s">
        <v>116</v>
      </c>
      <c r="E100" s="44" t="s">
        <v>654</v>
      </c>
      <c r="F100" s="44" t="s">
        <v>655</v>
      </c>
      <c r="G100" s="44"/>
      <c r="H100" s="44"/>
      <c r="I100" s="44"/>
      <c r="J100" s="47" t="s">
        <v>35</v>
      </c>
      <c r="K100" s="47"/>
      <c r="L100" s="47"/>
      <c r="M100" s="47"/>
      <c r="N100" s="47"/>
      <c r="O100" s="44"/>
      <c r="P100" s="44"/>
      <c r="Q100" s="48">
        <f>VLOOKUP(E100,sheet1!$B$2:$D$3209,3,FALSE)</f>
        <v>308</v>
      </c>
      <c r="R100" s="47" t="s">
        <v>35</v>
      </c>
      <c r="S100" s="47" t="s">
        <v>35</v>
      </c>
      <c r="T100" s="47" t="s">
        <v>35</v>
      </c>
      <c r="U100" s="47" t="s">
        <v>35</v>
      </c>
      <c r="V100" s="47" t="s">
        <v>35</v>
      </c>
      <c r="W100" s="47" t="s">
        <v>296</v>
      </c>
      <c r="X100" s="47" t="s">
        <v>296</v>
      </c>
      <c r="Y100" s="47" t="s">
        <v>296</v>
      </c>
      <c r="Z100" s="47" t="s">
        <v>35</v>
      </c>
      <c r="AA100" s="47" t="s">
        <v>296</v>
      </c>
      <c r="AB100" s="47" t="s">
        <v>35</v>
      </c>
      <c r="AC100" s="47" t="s">
        <v>35</v>
      </c>
      <c r="AD100" s="49" t="str">
        <f>VLOOKUP(E100,sheet1!$B$2:$C$3209,2,FALSE)</f>
        <v>送り状作成指示（手動）</v>
      </c>
      <c r="AE100" s="49"/>
      <c r="AF100" s="56" t="s">
        <v>656</v>
      </c>
      <c r="AG100" s="56" t="s">
        <v>654</v>
      </c>
      <c r="AH100" s="49" t="str">
        <f t="shared" si="0"/>
        <v>送り状作成（手動）</v>
      </c>
      <c r="AI100" s="49"/>
      <c r="AJ100" s="49"/>
      <c r="AK100" s="49"/>
      <c r="AL100" s="49" t="str">
        <f t="shared" si="5"/>
        <v>送り状作成（手動）</v>
      </c>
      <c r="AM100" s="49" t="s">
        <v>35</v>
      </c>
      <c r="AN100" s="49" t="s">
        <v>657</v>
      </c>
      <c r="AO100" s="51" t="str">
        <f t="shared" si="1"/>
        <v>送り状作成（手動）</v>
      </c>
      <c r="AP100" s="51" t="str">
        <f t="shared" si="2"/>
        <v>SA2310</v>
      </c>
      <c r="AQ100" s="51" t="s">
        <v>656</v>
      </c>
      <c r="AR100" s="51" t="s">
        <v>654</v>
      </c>
      <c r="AS100" s="49" t="str">
        <f t="shared" si="3"/>
        <v>送り状作成（手動）</v>
      </c>
      <c r="AT100" s="49" t="str">
        <f t="shared" si="4"/>
        <v>SA2310</v>
      </c>
      <c r="AU100" s="51" t="s">
        <v>656</v>
      </c>
      <c r="AV100" s="51" t="s">
        <v>654</v>
      </c>
    </row>
    <row r="101" spans="1:48" ht="18" customHeight="1">
      <c r="A101" s="44">
        <v>99</v>
      </c>
      <c r="B101" s="52" t="s">
        <v>292</v>
      </c>
      <c r="C101" s="52" t="s">
        <v>611</v>
      </c>
      <c r="D101" s="46" t="s">
        <v>116</v>
      </c>
      <c r="E101" s="44" t="s">
        <v>658</v>
      </c>
      <c r="F101" s="44" t="s">
        <v>659</v>
      </c>
      <c r="G101" s="44"/>
      <c r="H101" s="44"/>
      <c r="I101" s="44"/>
      <c r="J101" s="47" t="s">
        <v>35</v>
      </c>
      <c r="K101" s="47"/>
      <c r="L101" s="47"/>
      <c r="M101" s="47"/>
      <c r="N101" s="47"/>
      <c r="O101" s="44"/>
      <c r="P101" s="44"/>
      <c r="Q101" s="48">
        <f>VLOOKUP(E101,sheet1!$B$2:$D$3209,3,FALSE)</f>
        <v>405</v>
      </c>
      <c r="R101" s="47" t="s">
        <v>35</v>
      </c>
      <c r="S101" s="47" t="s">
        <v>35</v>
      </c>
      <c r="T101" s="47" t="s">
        <v>35</v>
      </c>
      <c r="U101" s="47" t="s">
        <v>35</v>
      </c>
      <c r="V101" s="47" t="s">
        <v>35</v>
      </c>
      <c r="W101" s="47" t="s">
        <v>296</v>
      </c>
      <c r="X101" s="47" t="s">
        <v>296</v>
      </c>
      <c r="Y101" s="47" t="s">
        <v>296</v>
      </c>
      <c r="Z101" s="47" t="s">
        <v>35</v>
      </c>
      <c r="AA101" s="47" t="s">
        <v>296</v>
      </c>
      <c r="AB101" s="47" t="s">
        <v>35</v>
      </c>
      <c r="AC101" s="47" t="s">
        <v>35</v>
      </c>
      <c r="AD101" s="49" t="str">
        <f>VLOOKUP(E101,sheet1!$B$2:$C$3209,2,FALSE)</f>
        <v>発送タックシール発行指示</v>
      </c>
      <c r="AE101" s="49"/>
      <c r="AF101" s="56" t="s">
        <v>660</v>
      </c>
      <c r="AG101" s="56" t="s">
        <v>658</v>
      </c>
      <c r="AH101" s="49" t="str">
        <f t="shared" si="0"/>
        <v>発送ﾀｯｸｼｰﾙ作成</v>
      </c>
      <c r="AI101" s="49"/>
      <c r="AJ101" s="49"/>
      <c r="AK101" s="49"/>
      <c r="AL101" s="49" t="str">
        <f t="shared" si="5"/>
        <v>発送ﾀｯｸｼｰﾙ作成</v>
      </c>
      <c r="AM101" s="49" t="s">
        <v>35</v>
      </c>
      <c r="AN101" s="49" t="s">
        <v>661</v>
      </c>
      <c r="AO101" s="51" t="str">
        <f t="shared" si="1"/>
        <v>発送ﾀｯｸｼｰﾙ作成</v>
      </c>
      <c r="AP101" s="51" t="str">
        <f t="shared" si="2"/>
        <v>SA2340</v>
      </c>
      <c r="AQ101" s="51" t="s">
        <v>660</v>
      </c>
      <c r="AR101" s="51" t="s">
        <v>658</v>
      </c>
      <c r="AS101" s="49" t="str">
        <f t="shared" si="3"/>
        <v>発送ﾀｯｸｼｰﾙ作成</v>
      </c>
      <c r="AT101" s="49" t="str">
        <f t="shared" si="4"/>
        <v>SA2340</v>
      </c>
      <c r="AU101" s="51" t="s">
        <v>660</v>
      </c>
      <c r="AV101" s="51" t="s">
        <v>658</v>
      </c>
    </row>
    <row r="102" spans="1:48" ht="18" customHeight="1">
      <c r="A102" s="44">
        <v>100</v>
      </c>
      <c r="B102" s="52" t="s">
        <v>292</v>
      </c>
      <c r="C102" s="52" t="s">
        <v>611</v>
      </c>
      <c r="D102" s="46" t="s">
        <v>116</v>
      </c>
      <c r="E102" s="44" t="s">
        <v>662</v>
      </c>
      <c r="F102" s="44" t="s">
        <v>663</v>
      </c>
      <c r="G102" s="44"/>
      <c r="H102" s="44"/>
      <c r="I102" s="44"/>
      <c r="J102" s="47" t="s">
        <v>35</v>
      </c>
      <c r="K102" s="47"/>
      <c r="L102" s="47"/>
      <c r="M102" s="47"/>
      <c r="N102" s="47"/>
      <c r="O102" s="44"/>
      <c r="P102" s="44"/>
      <c r="Q102" s="48">
        <f>VLOOKUP(E102,sheet1!$B$2:$D$3209,3,FALSE)</f>
        <v>392</v>
      </c>
      <c r="R102" s="47" t="s">
        <v>35</v>
      </c>
      <c r="S102" s="47" t="s">
        <v>35</v>
      </c>
      <c r="T102" s="47" t="s">
        <v>35</v>
      </c>
      <c r="U102" s="47" t="s">
        <v>35</v>
      </c>
      <c r="V102" s="47" t="s">
        <v>35</v>
      </c>
      <c r="W102" s="47" t="s">
        <v>296</v>
      </c>
      <c r="X102" s="47" t="s">
        <v>296</v>
      </c>
      <c r="Y102" s="47" t="s">
        <v>296</v>
      </c>
      <c r="Z102" s="47" t="s">
        <v>35</v>
      </c>
      <c r="AA102" s="47" t="s">
        <v>296</v>
      </c>
      <c r="AB102" s="47" t="s">
        <v>35</v>
      </c>
      <c r="AC102" s="47" t="s">
        <v>35</v>
      </c>
      <c r="AD102" s="49" t="str">
        <f>VLOOKUP(E102,sheet1!$B$2:$C$3209,2,FALSE)</f>
        <v>出荷指示書照会</v>
      </c>
      <c r="AE102" s="49"/>
      <c r="AF102" s="56" t="s">
        <v>664</v>
      </c>
      <c r="AG102" s="56" t="s">
        <v>662</v>
      </c>
      <c r="AH102" s="49" t="str">
        <f t="shared" si="0"/>
        <v>出荷指示データ照会</v>
      </c>
      <c r="AI102" s="49"/>
      <c r="AJ102" s="49"/>
      <c r="AK102" s="49"/>
      <c r="AL102" s="49" t="str">
        <f t="shared" si="5"/>
        <v>出荷指示データ照会</v>
      </c>
      <c r="AM102" s="49" t="s">
        <v>35</v>
      </c>
      <c r="AN102" s="49" t="s">
        <v>665</v>
      </c>
      <c r="AO102" s="51" t="str">
        <f t="shared" si="1"/>
        <v>出荷指示データ照会</v>
      </c>
      <c r="AP102" s="51" t="str">
        <f t="shared" si="2"/>
        <v>SA5140</v>
      </c>
      <c r="AQ102" s="51" t="s">
        <v>664</v>
      </c>
      <c r="AR102" s="51" t="s">
        <v>662</v>
      </c>
      <c r="AS102" s="49" t="str">
        <f t="shared" si="3"/>
        <v>出荷指示データ照会</v>
      </c>
      <c r="AT102" s="49" t="str">
        <f t="shared" si="4"/>
        <v>SA5140</v>
      </c>
      <c r="AU102" s="51" t="s">
        <v>664</v>
      </c>
      <c r="AV102" s="51" t="s">
        <v>662</v>
      </c>
    </row>
    <row r="103" spans="1:48" ht="18" customHeight="1">
      <c r="A103" s="44">
        <v>101</v>
      </c>
      <c r="B103" s="52" t="s">
        <v>292</v>
      </c>
      <c r="C103" s="52" t="s">
        <v>611</v>
      </c>
      <c r="D103" s="46" t="s">
        <v>116</v>
      </c>
      <c r="E103" s="44" t="s">
        <v>666</v>
      </c>
      <c r="F103" s="44" t="s">
        <v>667</v>
      </c>
      <c r="G103" s="44"/>
      <c r="H103" s="44"/>
      <c r="I103" s="44"/>
      <c r="J103" s="47" t="s">
        <v>35</v>
      </c>
      <c r="K103" s="47"/>
      <c r="L103" s="47"/>
      <c r="M103" s="47"/>
      <c r="N103" s="47"/>
      <c r="O103" s="44"/>
      <c r="P103" s="44"/>
      <c r="Q103" s="48">
        <f>VLOOKUP(E103,sheet1!$B$2:$D$3209,3,FALSE)</f>
        <v>670</v>
      </c>
      <c r="R103" s="47" t="s">
        <v>35</v>
      </c>
      <c r="S103" s="47" t="s">
        <v>35</v>
      </c>
      <c r="T103" s="47" t="s">
        <v>35</v>
      </c>
      <c r="U103" s="47" t="s">
        <v>35</v>
      </c>
      <c r="V103" s="47" t="s">
        <v>35</v>
      </c>
      <c r="W103" s="47" t="s">
        <v>296</v>
      </c>
      <c r="X103" s="47" t="s">
        <v>296</v>
      </c>
      <c r="Y103" s="47" t="s">
        <v>296</v>
      </c>
      <c r="Z103" s="47" t="s">
        <v>35</v>
      </c>
      <c r="AA103" s="47" t="s">
        <v>296</v>
      </c>
      <c r="AB103" s="47" t="s">
        <v>35</v>
      </c>
      <c r="AC103" s="47" t="s">
        <v>35</v>
      </c>
      <c r="AD103" s="49" t="str">
        <f>VLOOKUP(E103,sheet1!$B$2:$C$3209,2,FALSE)</f>
        <v>修理実績照会（ヘッド）</v>
      </c>
      <c r="AE103" s="49"/>
      <c r="AF103" s="56" t="s">
        <v>668</v>
      </c>
      <c r="AG103" s="56" t="s">
        <v>666</v>
      </c>
      <c r="AH103" s="49" t="str">
        <f t="shared" si="0"/>
        <v>修理実績照会</v>
      </c>
      <c r="AI103" s="49"/>
      <c r="AJ103" s="49"/>
      <c r="AK103" s="49"/>
      <c r="AL103" s="49" t="str">
        <f t="shared" si="5"/>
        <v>修理実績照会</v>
      </c>
      <c r="AM103" s="49" t="s">
        <v>35</v>
      </c>
      <c r="AN103" s="49" t="s">
        <v>669</v>
      </c>
      <c r="AO103" s="51" t="str">
        <f t="shared" si="1"/>
        <v>修理実績照会</v>
      </c>
      <c r="AP103" s="51" t="str">
        <f t="shared" si="2"/>
        <v>SA5161</v>
      </c>
      <c r="AQ103" s="51" t="s">
        <v>668</v>
      </c>
      <c r="AR103" s="51" t="s">
        <v>666</v>
      </c>
      <c r="AS103" s="49" t="str">
        <f t="shared" si="3"/>
        <v>修理実績照会</v>
      </c>
      <c r="AT103" s="49" t="str">
        <f t="shared" si="4"/>
        <v>SA5161</v>
      </c>
      <c r="AU103" s="51" t="s">
        <v>668</v>
      </c>
      <c r="AV103" s="51" t="s">
        <v>666</v>
      </c>
    </row>
    <row r="104" spans="1:48" ht="18" customHeight="1">
      <c r="A104" s="44">
        <v>102</v>
      </c>
      <c r="B104" s="52" t="s">
        <v>292</v>
      </c>
      <c r="C104" s="52" t="s">
        <v>611</v>
      </c>
      <c r="D104" s="46" t="s">
        <v>116</v>
      </c>
      <c r="E104" s="44" t="s">
        <v>670</v>
      </c>
      <c r="F104" s="44" t="s">
        <v>671</v>
      </c>
      <c r="G104" s="44"/>
      <c r="H104" s="44"/>
      <c r="I104" s="44"/>
      <c r="J104" s="47" t="s">
        <v>35</v>
      </c>
      <c r="K104" s="47"/>
      <c r="L104" s="47"/>
      <c r="M104" s="47"/>
      <c r="N104" s="47"/>
      <c r="O104" s="44"/>
      <c r="P104" s="44"/>
      <c r="Q104" s="48">
        <f>VLOOKUP(E104,sheet1!$B$2:$D$3209,3,FALSE)</f>
        <v>493</v>
      </c>
      <c r="R104" s="47" t="s">
        <v>35</v>
      </c>
      <c r="S104" s="47" t="s">
        <v>35</v>
      </c>
      <c r="T104" s="47" t="s">
        <v>35</v>
      </c>
      <c r="U104" s="47" t="s">
        <v>35</v>
      </c>
      <c r="V104" s="47" t="s">
        <v>35</v>
      </c>
      <c r="W104" s="47" t="s">
        <v>296</v>
      </c>
      <c r="X104" s="47" t="s">
        <v>296</v>
      </c>
      <c r="Y104" s="47" t="s">
        <v>296</v>
      </c>
      <c r="Z104" s="47" t="s">
        <v>35</v>
      </c>
      <c r="AA104" s="47" t="s">
        <v>296</v>
      </c>
      <c r="AB104" s="47" t="s">
        <v>35</v>
      </c>
      <c r="AC104" s="47" t="s">
        <v>35</v>
      </c>
      <c r="AD104" s="49" t="str">
        <f>VLOOKUP(E104,sheet1!$B$2:$C$3209,2,FALSE)</f>
        <v>修理内容集計表</v>
      </c>
      <c r="AE104" s="49"/>
      <c r="AF104" s="56" t="s">
        <v>672</v>
      </c>
      <c r="AG104" s="56" t="s">
        <v>670</v>
      </c>
      <c r="AH104" s="49" t="str">
        <f t="shared" si="0"/>
        <v>修理内容集計表</v>
      </c>
      <c r="AI104" s="49"/>
      <c r="AJ104" s="49"/>
      <c r="AK104" s="49"/>
      <c r="AL104" s="49" t="str">
        <f t="shared" si="5"/>
        <v>修理内容集計表</v>
      </c>
      <c r="AM104" s="49" t="s">
        <v>35</v>
      </c>
      <c r="AN104" s="49" t="s">
        <v>673</v>
      </c>
      <c r="AO104" s="51" t="str">
        <f t="shared" si="1"/>
        <v>修理内容集計表</v>
      </c>
      <c r="AP104" s="51" t="str">
        <f t="shared" si="2"/>
        <v>SA2830</v>
      </c>
      <c r="AQ104" s="51" t="s">
        <v>672</v>
      </c>
      <c r="AR104" s="51" t="s">
        <v>670</v>
      </c>
      <c r="AS104" s="49" t="str">
        <f t="shared" si="3"/>
        <v>修理内容集計表</v>
      </c>
      <c r="AT104" s="49" t="str">
        <f t="shared" si="4"/>
        <v>SA2830</v>
      </c>
      <c r="AU104" s="51" t="s">
        <v>672</v>
      </c>
      <c r="AV104" s="51" t="s">
        <v>670</v>
      </c>
    </row>
    <row r="105" spans="1:48" ht="18" customHeight="1">
      <c r="A105" s="44">
        <v>103</v>
      </c>
      <c r="B105" s="52" t="s">
        <v>292</v>
      </c>
      <c r="C105" s="52" t="s">
        <v>611</v>
      </c>
      <c r="D105" s="46" t="s">
        <v>116</v>
      </c>
      <c r="E105" s="44" t="s">
        <v>674</v>
      </c>
      <c r="F105" s="44" t="s">
        <v>675</v>
      </c>
      <c r="G105" s="44"/>
      <c r="H105" s="44"/>
      <c r="I105" s="44"/>
      <c r="J105" s="47" t="s">
        <v>35</v>
      </c>
      <c r="K105" s="47"/>
      <c r="L105" s="47"/>
      <c r="M105" s="47"/>
      <c r="N105" s="47"/>
      <c r="O105" s="44"/>
      <c r="P105" s="44"/>
      <c r="Q105" s="48">
        <f>VLOOKUP(E105,sheet1!$B$2:$D$3209,3,FALSE)</f>
        <v>749</v>
      </c>
      <c r="R105" s="47" t="s">
        <v>35</v>
      </c>
      <c r="S105" s="47" t="s">
        <v>35</v>
      </c>
      <c r="T105" s="47" t="s">
        <v>35</v>
      </c>
      <c r="U105" s="47" t="s">
        <v>35</v>
      </c>
      <c r="V105" s="47" t="s">
        <v>35</v>
      </c>
      <c r="W105" s="47" t="s">
        <v>296</v>
      </c>
      <c r="X105" s="47" t="s">
        <v>296</v>
      </c>
      <c r="Y105" s="47" t="s">
        <v>296</v>
      </c>
      <c r="Z105" s="47" t="s">
        <v>35</v>
      </c>
      <c r="AA105" s="47" t="s">
        <v>296</v>
      </c>
      <c r="AB105" s="47" t="s">
        <v>35</v>
      </c>
      <c r="AC105" s="47" t="s">
        <v>35</v>
      </c>
      <c r="AD105" s="49" t="str">
        <f>VLOOKUP(E105,sheet1!$B$2:$C$3209,2,FALSE)</f>
        <v>代替・交換機発送伝票作成</v>
      </c>
      <c r="AE105" s="49"/>
      <c r="AF105" s="56" t="s">
        <v>676</v>
      </c>
      <c r="AG105" s="56" t="s">
        <v>674</v>
      </c>
      <c r="AH105" s="49" t="str">
        <f t="shared" si="0"/>
        <v>代替・交換機発送伝票作成</v>
      </c>
      <c r="AI105" s="49"/>
      <c r="AJ105" s="49"/>
      <c r="AK105" s="49"/>
      <c r="AL105" s="49" t="str">
        <f t="shared" si="5"/>
        <v>代替・交換機発送伝票作成</v>
      </c>
      <c r="AM105" s="49" t="s">
        <v>35</v>
      </c>
      <c r="AN105" s="49" t="s">
        <v>677</v>
      </c>
      <c r="AO105" s="51" t="str">
        <f t="shared" si="1"/>
        <v>代替・交換機発送伝票作成</v>
      </c>
      <c r="AP105" s="51" t="str">
        <f t="shared" si="2"/>
        <v>SA2140</v>
      </c>
      <c r="AQ105" s="51" t="s">
        <v>676</v>
      </c>
      <c r="AR105" s="51" t="s">
        <v>674</v>
      </c>
      <c r="AS105" s="49" t="str">
        <f t="shared" si="3"/>
        <v>代替・交換機発送伝票作成</v>
      </c>
      <c r="AT105" s="49" t="str">
        <f t="shared" si="4"/>
        <v>SA2140</v>
      </c>
      <c r="AU105" s="51" t="s">
        <v>676</v>
      </c>
      <c r="AV105" s="51" t="s">
        <v>674</v>
      </c>
    </row>
    <row r="106" spans="1:48" ht="18" customHeight="1">
      <c r="A106" s="44">
        <v>104</v>
      </c>
      <c r="B106" s="52" t="s">
        <v>292</v>
      </c>
      <c r="C106" s="52" t="s">
        <v>611</v>
      </c>
      <c r="D106" s="46" t="s">
        <v>116</v>
      </c>
      <c r="E106" s="44" t="s">
        <v>678</v>
      </c>
      <c r="F106" s="44" t="s">
        <v>679</v>
      </c>
      <c r="G106" s="44"/>
      <c r="H106" s="44"/>
      <c r="I106" s="44"/>
      <c r="J106" s="47" t="s">
        <v>35</v>
      </c>
      <c r="K106" s="47"/>
      <c r="L106" s="47"/>
      <c r="M106" s="47"/>
      <c r="N106" s="47"/>
      <c r="O106" s="44"/>
      <c r="P106" s="44"/>
      <c r="Q106" s="48">
        <f>VLOOKUP(E106,sheet1!$B$2:$D$3209,3,FALSE)</f>
        <v>568</v>
      </c>
      <c r="R106" s="47" t="s">
        <v>35</v>
      </c>
      <c r="S106" s="47" t="s">
        <v>35</v>
      </c>
      <c r="T106" s="47" t="s">
        <v>35</v>
      </c>
      <c r="U106" s="47" t="s">
        <v>35</v>
      </c>
      <c r="V106" s="47" t="s">
        <v>35</v>
      </c>
      <c r="W106" s="47" t="s">
        <v>296</v>
      </c>
      <c r="X106" s="47" t="s">
        <v>296</v>
      </c>
      <c r="Y106" s="47" t="s">
        <v>296</v>
      </c>
      <c r="Z106" s="47" t="s">
        <v>35</v>
      </c>
      <c r="AA106" s="47" t="s">
        <v>296</v>
      </c>
      <c r="AB106" s="47" t="s">
        <v>35</v>
      </c>
      <c r="AC106" s="47" t="s">
        <v>35</v>
      </c>
      <c r="AD106" s="49" t="str">
        <f>VLOOKUP(E106,sheet1!$B$2:$C$3209,2,FALSE)</f>
        <v>修理実績入力一覧</v>
      </c>
      <c r="AE106" s="49"/>
      <c r="AF106" s="56" t="s">
        <v>680</v>
      </c>
      <c r="AG106" s="56" t="s">
        <v>678</v>
      </c>
      <c r="AH106" s="49" t="str">
        <f t="shared" si="0"/>
        <v>修理実績入力一覧作成</v>
      </c>
      <c r="AI106" s="49"/>
      <c r="AJ106" s="49"/>
      <c r="AK106" s="49"/>
      <c r="AL106" s="49" t="str">
        <f t="shared" si="5"/>
        <v>修理実績入力一覧作成</v>
      </c>
      <c r="AM106" s="49" t="s">
        <v>35</v>
      </c>
      <c r="AN106" s="49" t="s">
        <v>681</v>
      </c>
      <c r="AO106" s="51" t="str">
        <f t="shared" si="1"/>
        <v>修理実績入力一覧作成</v>
      </c>
      <c r="AP106" s="51" t="str">
        <f t="shared" si="2"/>
        <v>SA2860</v>
      </c>
      <c r="AQ106" s="51" t="s">
        <v>680</v>
      </c>
      <c r="AR106" s="51" t="s">
        <v>678</v>
      </c>
      <c r="AS106" s="49" t="str">
        <f t="shared" si="3"/>
        <v>修理実績入力一覧作成</v>
      </c>
      <c r="AT106" s="49" t="str">
        <f t="shared" si="4"/>
        <v>SA2860</v>
      </c>
      <c r="AU106" s="51" t="s">
        <v>680</v>
      </c>
      <c r="AV106" s="51" t="s">
        <v>678</v>
      </c>
    </row>
    <row r="107" spans="1:48" ht="18" customHeight="1">
      <c r="A107" s="44">
        <v>105</v>
      </c>
      <c r="B107" s="52" t="s">
        <v>292</v>
      </c>
      <c r="C107" s="52" t="s">
        <v>611</v>
      </c>
      <c r="D107" s="46" t="s">
        <v>116</v>
      </c>
      <c r="E107" s="44" t="s">
        <v>682</v>
      </c>
      <c r="F107" s="44" t="s">
        <v>683</v>
      </c>
      <c r="G107" s="44"/>
      <c r="H107" s="44"/>
      <c r="I107" s="44"/>
      <c r="J107" s="47" t="s">
        <v>35</v>
      </c>
      <c r="K107" s="47"/>
      <c r="L107" s="47"/>
      <c r="M107" s="47"/>
      <c r="N107" s="47"/>
      <c r="O107" s="44"/>
      <c r="P107" s="44"/>
      <c r="Q107" s="48">
        <f>VLOOKUP(E107,sheet1!$B$2:$D$3209,3,FALSE)</f>
        <v>1122</v>
      </c>
      <c r="R107" s="47" t="s">
        <v>35</v>
      </c>
      <c r="S107" s="47" t="s">
        <v>35</v>
      </c>
      <c r="T107" s="47" t="s">
        <v>35</v>
      </c>
      <c r="U107" s="47" t="s">
        <v>35</v>
      </c>
      <c r="V107" s="47" t="s">
        <v>35</v>
      </c>
      <c r="W107" s="47" t="s">
        <v>296</v>
      </c>
      <c r="X107" s="47" t="s">
        <v>296</v>
      </c>
      <c r="Y107" s="47" t="s">
        <v>296</v>
      </c>
      <c r="Z107" s="47" t="s">
        <v>35</v>
      </c>
      <c r="AA107" s="47" t="s">
        <v>296</v>
      </c>
      <c r="AB107" s="47" t="s">
        <v>35</v>
      </c>
      <c r="AC107" s="47" t="s">
        <v>35</v>
      </c>
      <c r="AD107" s="49" t="str">
        <f>VLOOKUP(E107,sheet1!$B$2:$C$3209,2,FALSE)</f>
        <v>修理報告書発行</v>
      </c>
      <c r="AE107" s="49"/>
      <c r="AF107" s="56" t="s">
        <v>684</v>
      </c>
      <c r="AG107" s="56" t="s">
        <v>682</v>
      </c>
      <c r="AH107" s="49" t="str">
        <f t="shared" si="0"/>
        <v>修理報告書作成</v>
      </c>
      <c r="AI107" s="49"/>
      <c r="AJ107" s="49"/>
      <c r="AK107" s="49"/>
      <c r="AL107" s="49" t="str">
        <f t="shared" si="5"/>
        <v>修理報告書作成</v>
      </c>
      <c r="AM107" s="49" t="s">
        <v>35</v>
      </c>
      <c r="AN107" s="49" t="s">
        <v>685</v>
      </c>
      <c r="AO107" s="51" t="str">
        <f t="shared" si="1"/>
        <v>修理報告書作成</v>
      </c>
      <c r="AP107" s="51" t="str">
        <f t="shared" si="2"/>
        <v>SA2870</v>
      </c>
      <c r="AQ107" s="51" t="s">
        <v>684</v>
      </c>
      <c r="AR107" s="51" t="s">
        <v>682</v>
      </c>
      <c r="AS107" s="49" t="str">
        <f t="shared" si="3"/>
        <v>修理報告書作成</v>
      </c>
      <c r="AT107" s="49" t="str">
        <f t="shared" si="4"/>
        <v>SA2870</v>
      </c>
      <c r="AU107" s="51" t="s">
        <v>684</v>
      </c>
      <c r="AV107" s="51" t="s">
        <v>682</v>
      </c>
    </row>
    <row r="108" spans="1:48" ht="18" customHeight="1">
      <c r="A108" s="44">
        <v>106</v>
      </c>
      <c r="B108" s="52" t="s">
        <v>292</v>
      </c>
      <c r="C108" s="52" t="s">
        <v>611</v>
      </c>
      <c r="D108" s="46" t="s">
        <v>116</v>
      </c>
      <c r="E108" s="44" t="s">
        <v>686</v>
      </c>
      <c r="F108" s="44" t="s">
        <v>687</v>
      </c>
      <c r="G108" s="44"/>
      <c r="H108" s="44"/>
      <c r="I108" s="44"/>
      <c r="J108" s="47" t="s">
        <v>35</v>
      </c>
      <c r="K108" s="47"/>
      <c r="L108" s="47"/>
      <c r="M108" s="47"/>
      <c r="N108" s="47"/>
      <c r="O108" s="44"/>
      <c r="P108" s="44"/>
      <c r="Q108" s="48">
        <f>VLOOKUP(E108,sheet1!$B$2:$D$3209,3,FALSE)</f>
        <v>445</v>
      </c>
      <c r="R108" s="47" t="s">
        <v>35</v>
      </c>
      <c r="S108" s="47" t="s">
        <v>35</v>
      </c>
      <c r="T108" s="47" t="s">
        <v>35</v>
      </c>
      <c r="U108" s="47" t="s">
        <v>35</v>
      </c>
      <c r="V108" s="47" t="s">
        <v>35</v>
      </c>
      <c r="W108" s="47" t="s">
        <v>296</v>
      </c>
      <c r="X108" s="47" t="s">
        <v>296</v>
      </c>
      <c r="Y108" s="47" t="s">
        <v>296</v>
      </c>
      <c r="Z108" s="47" t="s">
        <v>35</v>
      </c>
      <c r="AA108" s="47" t="s">
        <v>296</v>
      </c>
      <c r="AB108" s="47" t="s">
        <v>35</v>
      </c>
      <c r="AC108" s="47" t="s">
        <v>35</v>
      </c>
      <c r="AD108" s="49" t="str">
        <f>VLOOKUP(E108,sheet1!$B$2:$C$3209,2,FALSE)</f>
        <v>修理実績リスト</v>
      </c>
      <c r="AE108" s="49"/>
      <c r="AF108" s="56" t="s">
        <v>688</v>
      </c>
      <c r="AG108" s="56" t="s">
        <v>686</v>
      </c>
      <c r="AH108" s="49" t="str">
        <f t="shared" si="0"/>
        <v>修理実績リスト</v>
      </c>
      <c r="AI108" s="49"/>
      <c r="AJ108" s="49"/>
      <c r="AK108" s="49"/>
      <c r="AL108" s="49" t="str">
        <f t="shared" si="5"/>
        <v>修理実績リスト</v>
      </c>
      <c r="AM108" s="49" t="s">
        <v>35</v>
      </c>
      <c r="AN108" s="49" t="s">
        <v>689</v>
      </c>
      <c r="AO108" s="51" t="str">
        <f t="shared" si="1"/>
        <v>修理実績リスト</v>
      </c>
      <c r="AP108" s="51" t="str">
        <f t="shared" si="2"/>
        <v>SA2670</v>
      </c>
      <c r="AQ108" s="51" t="s">
        <v>688</v>
      </c>
      <c r="AR108" s="51" t="s">
        <v>686</v>
      </c>
      <c r="AS108" s="49" t="str">
        <f t="shared" si="3"/>
        <v>修理実績リスト</v>
      </c>
      <c r="AT108" s="49" t="str">
        <f t="shared" si="4"/>
        <v>SA2670</v>
      </c>
      <c r="AU108" s="51" t="s">
        <v>688</v>
      </c>
      <c r="AV108" s="51" t="s">
        <v>686</v>
      </c>
    </row>
    <row r="109" spans="1:48" ht="18" customHeight="1">
      <c r="A109" s="44">
        <v>107</v>
      </c>
      <c r="B109" s="52" t="s">
        <v>292</v>
      </c>
      <c r="C109" s="52" t="s">
        <v>611</v>
      </c>
      <c r="D109" s="46" t="s">
        <v>116</v>
      </c>
      <c r="E109" s="44" t="s">
        <v>690</v>
      </c>
      <c r="F109" s="44" t="s">
        <v>691</v>
      </c>
      <c r="G109" s="44"/>
      <c r="H109" s="44"/>
      <c r="I109" s="44"/>
      <c r="J109" s="47" t="s">
        <v>35</v>
      </c>
      <c r="K109" s="47"/>
      <c r="L109" s="47"/>
      <c r="M109" s="47"/>
      <c r="N109" s="47"/>
      <c r="O109" s="44"/>
      <c r="P109" s="44"/>
      <c r="Q109" s="48">
        <f>VLOOKUP(E109,sheet1!$B$2:$D$3209,3,FALSE)</f>
        <v>952</v>
      </c>
      <c r="R109" s="47" t="s">
        <v>35</v>
      </c>
      <c r="S109" s="47" t="s">
        <v>35</v>
      </c>
      <c r="T109" s="47" t="s">
        <v>35</v>
      </c>
      <c r="U109" s="47" t="s">
        <v>35</v>
      </c>
      <c r="V109" s="47" t="s">
        <v>35</v>
      </c>
      <c r="W109" s="47" t="s">
        <v>296</v>
      </c>
      <c r="X109" s="47" t="s">
        <v>296</v>
      </c>
      <c r="Y109" s="47" t="s">
        <v>296</v>
      </c>
      <c r="Z109" s="47" t="s">
        <v>35</v>
      </c>
      <c r="AA109" s="47" t="s">
        <v>296</v>
      </c>
      <c r="AB109" s="47" t="s">
        <v>35</v>
      </c>
      <c r="AC109" s="47" t="s">
        <v>35</v>
      </c>
      <c r="AD109" s="49" t="str">
        <f>VLOOKUP(E109,sheet1!$B$2:$C$3209,2,FALSE)</f>
        <v>修理実績プルーフリスト</v>
      </c>
      <c r="AE109" s="49"/>
      <c r="AF109" s="56" t="s">
        <v>692</v>
      </c>
      <c r="AG109" s="56" t="s">
        <v>690</v>
      </c>
      <c r="AH109" s="49" t="str">
        <f t="shared" si="0"/>
        <v>修理実績プルーフリスト</v>
      </c>
      <c r="AI109" s="49"/>
      <c r="AJ109" s="49"/>
      <c r="AK109" s="49"/>
      <c r="AL109" s="49" t="str">
        <f t="shared" si="5"/>
        <v>修理実績プルーフリスト</v>
      </c>
      <c r="AM109" s="49" t="s">
        <v>35</v>
      </c>
      <c r="AN109" s="49" t="s">
        <v>693</v>
      </c>
      <c r="AO109" s="51" t="str">
        <f t="shared" si="1"/>
        <v>修理実績プルーフリスト</v>
      </c>
      <c r="AP109" s="51" t="str">
        <f t="shared" si="2"/>
        <v>SA2660</v>
      </c>
      <c r="AQ109" s="51" t="s">
        <v>692</v>
      </c>
      <c r="AR109" s="51" t="s">
        <v>690</v>
      </c>
      <c r="AS109" s="49" t="str">
        <f t="shared" si="3"/>
        <v>修理実績プルーフリスト</v>
      </c>
      <c r="AT109" s="49" t="str">
        <f t="shared" si="4"/>
        <v>SA2660</v>
      </c>
      <c r="AU109" s="51" t="s">
        <v>692</v>
      </c>
      <c r="AV109" s="51" t="s">
        <v>690</v>
      </c>
    </row>
    <row r="110" spans="1:48" ht="18" customHeight="1">
      <c r="A110" s="44">
        <v>108</v>
      </c>
      <c r="B110" s="52" t="s">
        <v>292</v>
      </c>
      <c r="C110" s="52" t="s">
        <v>611</v>
      </c>
      <c r="D110" s="46" t="s">
        <v>116</v>
      </c>
      <c r="E110" s="44" t="s">
        <v>694</v>
      </c>
      <c r="F110" s="44" t="s">
        <v>695</v>
      </c>
      <c r="G110" s="44"/>
      <c r="H110" s="44"/>
      <c r="I110" s="44"/>
      <c r="J110" s="47" t="s">
        <v>35</v>
      </c>
      <c r="K110" s="47"/>
      <c r="L110" s="47"/>
      <c r="M110" s="47"/>
      <c r="N110" s="47"/>
      <c r="O110" s="44"/>
      <c r="P110" s="44"/>
      <c r="Q110" s="48">
        <f>VLOOKUP(E110,sheet1!$B$2:$D$3209,3,FALSE)</f>
        <v>512</v>
      </c>
      <c r="R110" s="47" t="s">
        <v>35</v>
      </c>
      <c r="S110" s="47" t="s">
        <v>35</v>
      </c>
      <c r="T110" s="47" t="s">
        <v>35</v>
      </c>
      <c r="U110" s="47" t="s">
        <v>35</v>
      </c>
      <c r="V110" s="47" t="s">
        <v>35</v>
      </c>
      <c r="W110" s="47" t="s">
        <v>296</v>
      </c>
      <c r="X110" s="47" t="s">
        <v>296</v>
      </c>
      <c r="Y110" s="47" t="s">
        <v>296</v>
      </c>
      <c r="Z110" s="47" t="s">
        <v>35</v>
      </c>
      <c r="AA110" s="47" t="s">
        <v>296</v>
      </c>
      <c r="AB110" s="47" t="s">
        <v>35</v>
      </c>
      <c r="AC110" s="47" t="s">
        <v>35</v>
      </c>
      <c r="AD110" s="49" t="str">
        <f>VLOOKUP(E110,sheet1!$B$2:$C$3209,2,FALSE)</f>
        <v>修理実績ﾃﾞｰﾀ作成</v>
      </c>
      <c r="AE110" s="49"/>
      <c r="AF110" s="56" t="s">
        <v>696</v>
      </c>
      <c r="AG110" s="56" t="s">
        <v>694</v>
      </c>
      <c r="AH110" s="49" t="str">
        <f t="shared" si="0"/>
        <v>修理実績ダウンロード</v>
      </c>
      <c r="AI110" s="49"/>
      <c r="AJ110" s="49"/>
      <c r="AK110" s="49"/>
      <c r="AL110" s="49" t="str">
        <f t="shared" si="5"/>
        <v>修理実績ダウンロード</v>
      </c>
      <c r="AM110" s="49" t="s">
        <v>35</v>
      </c>
      <c r="AN110" s="49" t="s">
        <v>697</v>
      </c>
      <c r="AO110" s="51" t="str">
        <f t="shared" si="1"/>
        <v>修理実績ダウンロード</v>
      </c>
      <c r="AP110" s="51" t="str">
        <f t="shared" si="2"/>
        <v>SA5162</v>
      </c>
      <c r="AQ110" s="51" t="s">
        <v>696</v>
      </c>
      <c r="AR110" s="51" t="s">
        <v>694</v>
      </c>
      <c r="AS110" s="49" t="str">
        <f t="shared" si="3"/>
        <v>修理実績ダウンロード</v>
      </c>
      <c r="AT110" s="49" t="str">
        <f t="shared" si="4"/>
        <v>SA5162</v>
      </c>
      <c r="AU110" s="51" t="s">
        <v>696</v>
      </c>
      <c r="AV110" s="51" t="s">
        <v>694</v>
      </c>
    </row>
    <row r="111" spans="1:48" ht="18" customHeight="1">
      <c r="A111" s="44">
        <v>109</v>
      </c>
      <c r="B111" s="52" t="s">
        <v>292</v>
      </c>
      <c r="C111" s="52" t="s">
        <v>611</v>
      </c>
      <c r="D111" s="46" t="s">
        <v>116</v>
      </c>
      <c r="E111" s="44" t="s">
        <v>698</v>
      </c>
      <c r="F111" s="44" t="s">
        <v>699</v>
      </c>
      <c r="G111" s="44"/>
      <c r="H111" s="44"/>
      <c r="I111" s="44"/>
      <c r="J111" s="47" t="s">
        <v>35</v>
      </c>
      <c r="K111" s="47"/>
      <c r="L111" s="47"/>
      <c r="M111" s="47"/>
      <c r="N111" s="47"/>
      <c r="O111" s="44"/>
      <c r="P111" s="44"/>
      <c r="Q111" s="48">
        <f>VLOOKUP(E111,sheet1!$B$2:$D$3209,3,FALSE)</f>
        <v>980</v>
      </c>
      <c r="R111" s="47" t="s">
        <v>35</v>
      </c>
      <c r="S111" s="47" t="s">
        <v>35</v>
      </c>
      <c r="T111" s="47" t="s">
        <v>35</v>
      </c>
      <c r="U111" s="47" t="s">
        <v>35</v>
      </c>
      <c r="V111" s="47" t="s">
        <v>35</v>
      </c>
      <c r="W111" s="47" t="s">
        <v>296</v>
      </c>
      <c r="X111" s="47" t="s">
        <v>296</v>
      </c>
      <c r="Y111" s="47" t="s">
        <v>296</v>
      </c>
      <c r="Z111" s="47" t="s">
        <v>35</v>
      </c>
      <c r="AA111" s="47" t="s">
        <v>296</v>
      </c>
      <c r="AB111" s="47" t="s">
        <v>35</v>
      </c>
      <c r="AC111" s="47" t="s">
        <v>35</v>
      </c>
      <c r="AD111" s="49" t="str">
        <f>VLOOKUP(E111,sheet1!$B$2:$C$3209,2,FALSE)</f>
        <v>大都向けＩ／Ｆデータダウンロード</v>
      </c>
      <c r="AE111" s="49"/>
      <c r="AF111" s="56" t="s">
        <v>700</v>
      </c>
      <c r="AG111" s="56" t="s">
        <v>698</v>
      </c>
      <c r="AH111" s="49" t="str">
        <f t="shared" si="0"/>
        <v>大都向けデータダウンロード</v>
      </c>
      <c r="AI111" s="49"/>
      <c r="AJ111" s="49"/>
      <c r="AK111" s="49"/>
      <c r="AL111" s="49" t="str">
        <f t="shared" si="5"/>
        <v>大都向けデータダウンロード</v>
      </c>
      <c r="AM111" s="49" t="s">
        <v>35</v>
      </c>
      <c r="AN111" s="49" t="s">
        <v>699</v>
      </c>
      <c r="AO111" s="51" t="str">
        <f t="shared" si="1"/>
        <v>大都向けデータダウンロード</v>
      </c>
      <c r="AP111" s="51" t="str">
        <f t="shared" si="2"/>
        <v>SA2890</v>
      </c>
      <c r="AQ111" s="51" t="s">
        <v>700</v>
      </c>
      <c r="AR111" s="51" t="s">
        <v>698</v>
      </c>
      <c r="AS111" s="49" t="str">
        <f t="shared" si="3"/>
        <v>大都向けデータダウンロード</v>
      </c>
      <c r="AT111" s="49" t="str">
        <f t="shared" si="4"/>
        <v>SA2890</v>
      </c>
      <c r="AU111" s="51" t="s">
        <v>700</v>
      </c>
      <c r="AV111" s="51" t="s">
        <v>698</v>
      </c>
    </row>
    <row r="112" spans="1:48" ht="18" customHeight="1">
      <c r="A112" s="44">
        <v>110</v>
      </c>
      <c r="B112" s="52" t="s">
        <v>292</v>
      </c>
      <c r="C112" s="52" t="s">
        <v>611</v>
      </c>
      <c r="D112" s="46" t="s">
        <v>116</v>
      </c>
      <c r="E112" s="55" t="s">
        <v>344</v>
      </c>
      <c r="F112" s="44" t="s">
        <v>701</v>
      </c>
      <c r="G112" s="44"/>
      <c r="H112" s="44"/>
      <c r="I112" s="44"/>
      <c r="J112" s="47"/>
      <c r="K112" s="47" t="s">
        <v>35</v>
      </c>
      <c r="L112" s="47"/>
      <c r="M112" s="47"/>
      <c r="N112" s="47"/>
      <c r="O112" s="44"/>
      <c r="P112" s="44"/>
      <c r="Q112" s="48" t="e">
        <f>VLOOKUP(E112,sheet1!$B$2:$D$3209,3,FALSE)</f>
        <v>#N/A</v>
      </c>
      <c r="R112" s="47" t="s">
        <v>35</v>
      </c>
      <c r="S112" s="47" t="s">
        <v>35</v>
      </c>
      <c r="T112" s="47" t="s">
        <v>35</v>
      </c>
      <c r="U112" s="47" t="s">
        <v>35</v>
      </c>
      <c r="V112" s="47" t="s">
        <v>35</v>
      </c>
      <c r="W112" s="47" t="s">
        <v>296</v>
      </c>
      <c r="X112" s="47" t="s">
        <v>296</v>
      </c>
      <c r="Y112" s="47" t="s">
        <v>296</v>
      </c>
      <c r="Z112" s="47" t="s">
        <v>35</v>
      </c>
      <c r="AA112" s="47" t="s">
        <v>296</v>
      </c>
      <c r="AB112" s="47" t="s">
        <v>35</v>
      </c>
      <c r="AC112" s="47" t="s">
        <v>35</v>
      </c>
      <c r="AD112" s="49" t="e">
        <f>VLOOKUP(E112,sheet1!$B$2:$C$3209,2,FALSE)</f>
        <v>#N/A</v>
      </c>
      <c r="AE112" s="49"/>
      <c r="AF112" s="56" t="s">
        <v>702</v>
      </c>
      <c r="AG112" s="56" t="s">
        <v>344</v>
      </c>
      <c r="AH112" s="49" t="str">
        <f t="shared" si="0"/>
        <v>代替機　在庫修正入力</v>
      </c>
      <c r="AI112" s="49"/>
      <c r="AJ112" s="49"/>
      <c r="AK112" s="49"/>
      <c r="AL112" s="49" t="str">
        <f t="shared" si="5"/>
        <v>代替機　在庫修正入力</v>
      </c>
      <c r="AM112" s="49" t="s">
        <v>35</v>
      </c>
      <c r="AN112" s="49" t="s">
        <v>703</v>
      </c>
      <c r="AO112" s="51" t="str">
        <f t="shared" si="1"/>
        <v>代替機　在庫修正入力</v>
      </c>
      <c r="AP112" s="51" t="str">
        <f t="shared" si="2"/>
        <v>Query</v>
      </c>
      <c r="AQ112" s="51" t="s">
        <v>702</v>
      </c>
      <c r="AR112" s="51" t="s">
        <v>344</v>
      </c>
      <c r="AS112" s="49" t="str">
        <f t="shared" si="3"/>
        <v>代替機　在庫修正入力</v>
      </c>
      <c r="AT112" s="49" t="str">
        <f t="shared" si="4"/>
        <v>Query</v>
      </c>
      <c r="AU112" s="51" t="s">
        <v>702</v>
      </c>
      <c r="AV112" s="51" t="s">
        <v>344</v>
      </c>
    </row>
    <row r="113" spans="1:48" ht="18" customHeight="1">
      <c r="A113" s="44">
        <v>111</v>
      </c>
      <c r="B113" s="52" t="s">
        <v>292</v>
      </c>
      <c r="C113" s="45" t="s">
        <v>704</v>
      </c>
      <c r="D113" s="46" t="s">
        <v>116</v>
      </c>
      <c r="E113" s="44" t="s">
        <v>705</v>
      </c>
      <c r="F113" s="44" t="s">
        <v>706</v>
      </c>
      <c r="G113" s="44"/>
      <c r="H113" s="44"/>
      <c r="I113" s="44"/>
      <c r="J113" s="47" t="s">
        <v>35</v>
      </c>
      <c r="K113" s="47"/>
      <c r="L113" s="47"/>
      <c r="M113" s="47"/>
      <c r="N113" s="47"/>
      <c r="O113" s="44"/>
      <c r="P113" s="44"/>
      <c r="Q113" s="48">
        <f>VLOOKUP(E113,sheet1!$B$2:$D$3209,3,FALSE)</f>
        <v>1857</v>
      </c>
      <c r="R113" s="47" t="s">
        <v>35</v>
      </c>
      <c r="S113" s="47" t="s">
        <v>35</v>
      </c>
      <c r="T113" s="47" t="s">
        <v>35</v>
      </c>
      <c r="U113" s="47" t="s">
        <v>35</v>
      </c>
      <c r="V113" s="47" t="s">
        <v>35</v>
      </c>
      <c r="W113" s="47" t="s">
        <v>296</v>
      </c>
      <c r="X113" s="47" t="s">
        <v>296</v>
      </c>
      <c r="Y113" s="47" t="s">
        <v>296</v>
      </c>
      <c r="Z113" s="47" t="s">
        <v>35</v>
      </c>
      <c r="AA113" s="47" t="s">
        <v>296</v>
      </c>
      <c r="AB113" s="47" t="s">
        <v>35</v>
      </c>
      <c r="AC113" s="47" t="s">
        <v>35</v>
      </c>
      <c r="AD113" s="49" t="str">
        <f>VLOOKUP(E113,sheet1!$B$2:$C$3209,2,FALSE)</f>
        <v>INVOICE入力　　　　　　　　</v>
      </c>
      <c r="AE113" s="49"/>
      <c r="AF113" s="51" t="s">
        <v>707</v>
      </c>
      <c r="AG113" s="51" t="s">
        <v>705</v>
      </c>
      <c r="AH113" s="49" t="str">
        <f t="shared" si="0"/>
        <v>インボイス入力</v>
      </c>
      <c r="AI113" s="49"/>
      <c r="AJ113" s="49"/>
      <c r="AK113" s="49"/>
      <c r="AL113" s="49" t="str">
        <f t="shared" si="5"/>
        <v>インボイス入力</v>
      </c>
      <c r="AM113" s="49" t="s">
        <v>35</v>
      </c>
      <c r="AN113" s="49" t="s">
        <v>708</v>
      </c>
      <c r="AO113" s="51" t="str">
        <f t="shared" si="1"/>
        <v>インボイス入力</v>
      </c>
      <c r="AP113" s="51" t="str">
        <f t="shared" si="2"/>
        <v>SA3080</v>
      </c>
      <c r="AQ113" s="51" t="s">
        <v>707</v>
      </c>
      <c r="AR113" s="51" t="s">
        <v>705</v>
      </c>
      <c r="AS113" s="49" t="str">
        <f t="shared" si="3"/>
        <v>インボイス入力</v>
      </c>
      <c r="AT113" s="49" t="str">
        <f t="shared" si="4"/>
        <v>SA3080</v>
      </c>
      <c r="AU113" s="51" t="s">
        <v>707</v>
      </c>
      <c r="AV113" s="51" t="s">
        <v>705</v>
      </c>
    </row>
    <row r="114" spans="1:48" ht="18" customHeight="1">
      <c r="A114" s="44">
        <v>112</v>
      </c>
      <c r="B114" s="52" t="s">
        <v>292</v>
      </c>
      <c r="C114" s="52" t="s">
        <v>704</v>
      </c>
      <c r="D114" s="46" t="s">
        <v>116</v>
      </c>
      <c r="E114" s="44" t="s">
        <v>709</v>
      </c>
      <c r="F114" s="44" t="s">
        <v>710</v>
      </c>
      <c r="G114" s="44"/>
      <c r="H114" s="44"/>
      <c r="I114" s="44"/>
      <c r="J114" s="47" t="s">
        <v>35</v>
      </c>
      <c r="K114" s="47"/>
      <c r="L114" s="47"/>
      <c r="M114" s="47"/>
      <c r="N114" s="47"/>
      <c r="O114" s="44"/>
      <c r="P114" s="44"/>
      <c r="Q114" s="48">
        <f>VLOOKUP(E114,sheet1!$B$2:$D$3209,3,FALSE)</f>
        <v>177</v>
      </c>
      <c r="R114" s="47" t="s">
        <v>35</v>
      </c>
      <c r="S114" s="47" t="s">
        <v>35</v>
      </c>
      <c r="T114" s="47" t="s">
        <v>35</v>
      </c>
      <c r="U114" s="47" t="s">
        <v>35</v>
      </c>
      <c r="V114" s="47" t="s">
        <v>35</v>
      </c>
      <c r="W114" s="47" t="s">
        <v>296</v>
      </c>
      <c r="X114" s="47" t="s">
        <v>296</v>
      </c>
      <c r="Y114" s="47" t="s">
        <v>296</v>
      </c>
      <c r="Z114" s="47" t="s">
        <v>35</v>
      </c>
      <c r="AA114" s="47" t="s">
        <v>296</v>
      </c>
      <c r="AB114" s="47" t="s">
        <v>35</v>
      </c>
      <c r="AC114" s="47" t="s">
        <v>35</v>
      </c>
      <c r="AD114" s="49" t="str">
        <f>VLOOKUP(E114,sheet1!$B$2:$C$3209,2,FALSE)</f>
        <v>ｲﾝﾎﾞｲｽ発行　指示</v>
      </c>
      <c r="AE114" s="49"/>
      <c r="AF114" s="51" t="s">
        <v>711</v>
      </c>
      <c r="AG114" s="51" t="s">
        <v>709</v>
      </c>
      <c r="AH114" s="49" t="str">
        <f t="shared" si="0"/>
        <v>インボイス発行 （経理用</v>
      </c>
      <c r="AI114" s="49"/>
      <c r="AJ114" s="49"/>
      <c r="AK114" s="49"/>
      <c r="AL114" s="49" t="str">
        <f t="shared" si="5"/>
        <v>インボイス発行 （経理用）</v>
      </c>
      <c r="AM114" s="49" t="s">
        <v>35</v>
      </c>
      <c r="AN114" s="49" t="s">
        <v>710</v>
      </c>
      <c r="AO114" s="51" t="str">
        <f t="shared" si="1"/>
        <v>インボイス発行 （経理用）</v>
      </c>
      <c r="AP114" s="51" t="str">
        <f t="shared" si="2"/>
        <v>SA2510</v>
      </c>
      <c r="AQ114" s="51" t="s">
        <v>712</v>
      </c>
      <c r="AR114" s="51" t="s">
        <v>709</v>
      </c>
      <c r="AS114" s="49" t="str">
        <f t="shared" si="3"/>
        <v>インボイス発行 （経理用）</v>
      </c>
      <c r="AT114" s="49" t="str">
        <f t="shared" si="4"/>
        <v>SA2510</v>
      </c>
      <c r="AU114" s="51" t="s">
        <v>713</v>
      </c>
      <c r="AV114" s="51" t="s">
        <v>709</v>
      </c>
    </row>
    <row r="115" spans="1:48" ht="18" customHeight="1">
      <c r="A115" s="44">
        <v>113</v>
      </c>
      <c r="B115" s="52" t="s">
        <v>292</v>
      </c>
      <c r="C115" s="52" t="s">
        <v>704</v>
      </c>
      <c r="D115" s="46" t="s">
        <v>116</v>
      </c>
      <c r="E115" s="44" t="s">
        <v>714</v>
      </c>
      <c r="F115" s="44" t="s">
        <v>715</v>
      </c>
      <c r="G115" s="44"/>
      <c r="H115" s="44"/>
      <c r="I115" s="44"/>
      <c r="J115" s="47" t="s">
        <v>35</v>
      </c>
      <c r="K115" s="47"/>
      <c r="L115" s="47"/>
      <c r="M115" s="47"/>
      <c r="N115" s="47"/>
      <c r="O115" s="44"/>
      <c r="P115" s="44"/>
      <c r="Q115" s="48">
        <f>VLOOKUP(E115,sheet1!$B$2:$D$3209,3,FALSE)</f>
        <v>181</v>
      </c>
      <c r="R115" s="47" t="s">
        <v>35</v>
      </c>
      <c r="S115" s="47" t="s">
        <v>35</v>
      </c>
      <c r="T115" s="47" t="s">
        <v>35</v>
      </c>
      <c r="U115" s="47" t="s">
        <v>35</v>
      </c>
      <c r="V115" s="47" t="s">
        <v>35</v>
      </c>
      <c r="W115" s="47" t="s">
        <v>296</v>
      </c>
      <c r="X115" s="47" t="s">
        <v>296</v>
      </c>
      <c r="Y115" s="47" t="s">
        <v>296</v>
      </c>
      <c r="Z115" s="47" t="s">
        <v>35</v>
      </c>
      <c r="AA115" s="47" t="s">
        <v>296</v>
      </c>
      <c r="AB115" s="47" t="s">
        <v>35</v>
      </c>
      <c r="AC115" s="47" t="s">
        <v>35</v>
      </c>
      <c r="AD115" s="49" t="str">
        <f>VLOOKUP(E115,sheet1!$B$2:$C$3209,2,FALSE)</f>
        <v>ﾊﾟｯｷﾝｸﾞﾘｽﾄ発行　指示</v>
      </c>
      <c r="AE115" s="49"/>
      <c r="AF115" s="51" t="s">
        <v>716</v>
      </c>
      <c r="AG115" s="51" t="s">
        <v>714</v>
      </c>
      <c r="AH115" s="49" t="str">
        <f t="shared" si="0"/>
        <v>ﾊﾟｯｷﾝｸﾞﾘｽﾄ発行（経理用</v>
      </c>
      <c r="AI115" s="49"/>
      <c r="AJ115" s="49"/>
      <c r="AK115" s="49"/>
      <c r="AL115" s="49" t="str">
        <f t="shared" si="5"/>
        <v>ﾊﾟｯｷﾝｸﾞﾘｽﾄ発行（経理用）</v>
      </c>
      <c r="AM115" s="49" t="s">
        <v>35</v>
      </c>
      <c r="AN115" s="49" t="s">
        <v>715</v>
      </c>
      <c r="AO115" s="51" t="str">
        <f t="shared" si="1"/>
        <v>ﾊﾟｯｷﾝｸﾞﾘｽﾄ発行（経理用）</v>
      </c>
      <c r="AP115" s="51" t="str">
        <f t="shared" si="2"/>
        <v>SA2520</v>
      </c>
      <c r="AQ115" s="51" t="s">
        <v>717</v>
      </c>
      <c r="AR115" s="51" t="s">
        <v>714</v>
      </c>
      <c r="AS115" s="49" t="str">
        <f t="shared" si="3"/>
        <v>ﾊﾟｯｷﾝｸﾞﾘｽﾄ発行（経理用）</v>
      </c>
      <c r="AT115" s="49" t="str">
        <f t="shared" si="4"/>
        <v>SA2520</v>
      </c>
      <c r="AU115" s="51" t="s">
        <v>717</v>
      </c>
      <c r="AV115" s="51" t="s">
        <v>714</v>
      </c>
    </row>
    <row r="116" spans="1:48" ht="18" customHeight="1">
      <c r="A116" s="44">
        <v>114</v>
      </c>
      <c r="B116" s="52" t="s">
        <v>292</v>
      </c>
      <c r="C116" s="52" t="s">
        <v>704</v>
      </c>
      <c r="D116" s="46" t="s">
        <v>116</v>
      </c>
      <c r="E116" s="44" t="s">
        <v>718</v>
      </c>
      <c r="F116" s="44" t="s">
        <v>719</v>
      </c>
      <c r="G116" s="44"/>
      <c r="H116" s="44"/>
      <c r="I116" s="44"/>
      <c r="J116" s="47" t="s">
        <v>35</v>
      </c>
      <c r="K116" s="47"/>
      <c r="L116" s="47"/>
      <c r="M116" s="47"/>
      <c r="N116" s="47"/>
      <c r="O116" s="44"/>
      <c r="P116" s="44"/>
      <c r="Q116" s="48">
        <f>VLOOKUP(E116,sheet1!$B$2:$D$3209,3,FALSE)</f>
        <v>2233</v>
      </c>
      <c r="R116" s="47" t="s">
        <v>35</v>
      </c>
      <c r="S116" s="47" t="s">
        <v>35</v>
      </c>
      <c r="T116" s="47" t="s">
        <v>35</v>
      </c>
      <c r="U116" s="47" t="s">
        <v>35</v>
      </c>
      <c r="V116" s="47" t="s">
        <v>35</v>
      </c>
      <c r="W116" s="47" t="s">
        <v>296</v>
      </c>
      <c r="X116" s="47" t="s">
        <v>296</v>
      </c>
      <c r="Y116" s="47" t="s">
        <v>296</v>
      </c>
      <c r="Z116" s="47" t="s">
        <v>35</v>
      </c>
      <c r="AA116" s="47" t="s">
        <v>35</v>
      </c>
      <c r="AB116" s="47" t="s">
        <v>35</v>
      </c>
      <c r="AC116" s="47" t="s">
        <v>35</v>
      </c>
      <c r="AD116" s="49" t="str">
        <f>VLOOKUP(E116,sheet1!$B$2:$C$3209,2,FALSE)</f>
        <v>INVOICE ENTRY　　　　　　　</v>
      </c>
      <c r="AE116" s="49"/>
      <c r="AF116" s="51" t="s">
        <v>720</v>
      </c>
      <c r="AG116" s="51" t="s">
        <v>718</v>
      </c>
      <c r="AH116" s="49" t="str">
        <f t="shared" si="0"/>
        <v>ＩＮＶＯＩＣＥ　ＥＮＴＲＹ</v>
      </c>
      <c r="AI116" s="49"/>
      <c r="AJ116" s="49"/>
      <c r="AK116" s="49"/>
      <c r="AL116" s="49" t="str">
        <f t="shared" si="5"/>
        <v>ＩＮＶＯＩＣＥ　ＥＮＴＲＹ</v>
      </c>
      <c r="AM116" s="49" t="s">
        <v>35</v>
      </c>
      <c r="AN116" s="49" t="s">
        <v>719</v>
      </c>
      <c r="AO116" s="51" t="str">
        <f t="shared" si="1"/>
        <v>ＩＮＶＯＩＣＥ　ＥＮＴＲＹ</v>
      </c>
      <c r="AP116" s="51" t="str">
        <f t="shared" si="2"/>
        <v>SA3170</v>
      </c>
      <c r="AQ116" s="51" t="s">
        <v>720</v>
      </c>
      <c r="AR116" s="51" t="s">
        <v>718</v>
      </c>
      <c r="AS116" s="49" t="str">
        <f t="shared" si="3"/>
        <v>ＩＮＶＯＩＣＥ　ＥＮＴＲＹ</v>
      </c>
      <c r="AT116" s="49" t="str">
        <f t="shared" si="4"/>
        <v>SA3170</v>
      </c>
      <c r="AU116" s="51" t="s">
        <v>720</v>
      </c>
      <c r="AV116" s="51" t="s">
        <v>718</v>
      </c>
    </row>
    <row r="117" spans="1:48" ht="18" customHeight="1">
      <c r="A117" s="44">
        <v>115</v>
      </c>
      <c r="B117" s="52" t="s">
        <v>292</v>
      </c>
      <c r="C117" s="52" t="s">
        <v>704</v>
      </c>
      <c r="D117" s="46" t="s">
        <v>116</v>
      </c>
      <c r="E117" s="44" t="s">
        <v>721</v>
      </c>
      <c r="F117" s="44" t="s">
        <v>722</v>
      </c>
      <c r="G117" s="44"/>
      <c r="H117" s="44"/>
      <c r="I117" s="44"/>
      <c r="J117" s="47" t="s">
        <v>35</v>
      </c>
      <c r="K117" s="47"/>
      <c r="L117" s="47"/>
      <c r="M117" s="47"/>
      <c r="N117" s="47"/>
      <c r="O117" s="44"/>
      <c r="P117" s="44"/>
      <c r="Q117" s="48">
        <f>VLOOKUP(E117,sheet1!$B$2:$D$3209,3,FALSE)</f>
        <v>263</v>
      </c>
      <c r="R117" s="47" t="s">
        <v>35</v>
      </c>
      <c r="S117" s="47" t="s">
        <v>35</v>
      </c>
      <c r="T117" s="47" t="s">
        <v>35</v>
      </c>
      <c r="U117" s="47" t="s">
        <v>35</v>
      </c>
      <c r="V117" s="47" t="s">
        <v>35</v>
      </c>
      <c r="W117" s="47" t="s">
        <v>296</v>
      </c>
      <c r="X117" s="47" t="s">
        <v>296</v>
      </c>
      <c r="Y117" s="47" t="s">
        <v>296</v>
      </c>
      <c r="Z117" s="47" t="s">
        <v>35</v>
      </c>
      <c r="AA117" s="47" t="s">
        <v>35</v>
      </c>
      <c r="AB117" s="47" t="s">
        <v>35</v>
      </c>
      <c r="AC117" s="47" t="s">
        <v>35</v>
      </c>
      <c r="AD117" s="49" t="str">
        <f>VLOOKUP(E117,sheet1!$B$2:$C$3209,2,FALSE)</f>
        <v>ｲﾝﾎﾞｲｽ発行（通関用，交渉用）指示</v>
      </c>
      <c r="AE117" s="49"/>
      <c r="AF117" s="51" t="s">
        <v>723</v>
      </c>
      <c r="AG117" s="51" t="s">
        <v>721</v>
      </c>
      <c r="AH117" s="49" t="str">
        <f t="shared" si="0"/>
        <v>インボイス発行 （通関用</v>
      </c>
      <c r="AI117" s="49"/>
      <c r="AJ117" s="49"/>
      <c r="AK117" s="49"/>
      <c r="AL117" s="49" t="str">
        <f t="shared" si="5"/>
        <v>インボイス発行 （通関用）</v>
      </c>
      <c r="AM117" s="49" t="s">
        <v>35</v>
      </c>
      <c r="AN117" s="49" t="s">
        <v>722</v>
      </c>
      <c r="AO117" s="51" t="str">
        <f t="shared" si="1"/>
        <v>インボイス発行 （通関用）</v>
      </c>
      <c r="AP117" s="51" t="str">
        <f t="shared" si="2"/>
        <v>SA2550</v>
      </c>
      <c r="AQ117" s="51" t="s">
        <v>724</v>
      </c>
      <c r="AR117" s="51" t="s">
        <v>721</v>
      </c>
      <c r="AS117" s="49" t="str">
        <f t="shared" si="3"/>
        <v>インボイス発行 （通関用）</v>
      </c>
      <c r="AT117" s="49" t="str">
        <f t="shared" si="4"/>
        <v>SA2550</v>
      </c>
      <c r="AU117" s="51" t="s">
        <v>724</v>
      </c>
      <c r="AV117" s="51" t="s">
        <v>721</v>
      </c>
    </row>
    <row r="118" spans="1:48" ht="18" customHeight="1">
      <c r="A118" s="44">
        <v>116</v>
      </c>
      <c r="B118" s="52" t="s">
        <v>292</v>
      </c>
      <c r="C118" s="52" t="s">
        <v>704</v>
      </c>
      <c r="D118" s="46" t="s">
        <v>116</v>
      </c>
      <c r="E118" s="44" t="s">
        <v>725</v>
      </c>
      <c r="F118" s="44" t="s">
        <v>726</v>
      </c>
      <c r="G118" s="44"/>
      <c r="H118" s="44"/>
      <c r="I118" s="44"/>
      <c r="J118" s="47" t="s">
        <v>35</v>
      </c>
      <c r="K118" s="47"/>
      <c r="L118" s="47"/>
      <c r="M118" s="47"/>
      <c r="N118" s="47"/>
      <c r="O118" s="44"/>
      <c r="P118" s="44"/>
      <c r="Q118" s="48">
        <f>VLOOKUP(E118,sheet1!$B$2:$D$3209,3,FALSE)</f>
        <v>263</v>
      </c>
      <c r="R118" s="47" t="s">
        <v>35</v>
      </c>
      <c r="S118" s="47" t="s">
        <v>35</v>
      </c>
      <c r="T118" s="47" t="s">
        <v>35</v>
      </c>
      <c r="U118" s="47" t="s">
        <v>35</v>
      </c>
      <c r="V118" s="47" t="s">
        <v>35</v>
      </c>
      <c r="W118" s="47" t="s">
        <v>296</v>
      </c>
      <c r="X118" s="47" t="s">
        <v>296</v>
      </c>
      <c r="Y118" s="47" t="s">
        <v>296</v>
      </c>
      <c r="Z118" s="47" t="s">
        <v>35</v>
      </c>
      <c r="AA118" s="47" t="s">
        <v>35</v>
      </c>
      <c r="AB118" s="47" t="s">
        <v>35</v>
      </c>
      <c r="AC118" s="47" t="s">
        <v>35</v>
      </c>
      <c r="AD118" s="49" t="str">
        <f>VLOOKUP(E118,sheet1!$B$2:$C$3209,2,FALSE)</f>
        <v>ﾊﾟｯｷﾝｸﾞﾘｽﾄ発行（通関用，交渉用）指示</v>
      </c>
      <c r="AE118" s="49"/>
      <c r="AF118" s="51" t="s">
        <v>727</v>
      </c>
      <c r="AG118" s="51" t="s">
        <v>725</v>
      </c>
      <c r="AH118" s="49" t="str">
        <f t="shared" si="0"/>
        <v>ﾊﾟｯｷﾝｸﾞﾘｽﾄ発行（通関用</v>
      </c>
      <c r="AI118" s="49"/>
      <c r="AJ118" s="49"/>
      <c r="AK118" s="49"/>
      <c r="AL118" s="49" t="str">
        <f t="shared" si="5"/>
        <v>ﾊﾟｯｷﾝｸﾞﾘｽﾄ発行（通関用）</v>
      </c>
      <c r="AM118" s="49" t="s">
        <v>35</v>
      </c>
      <c r="AN118" s="49" t="s">
        <v>726</v>
      </c>
      <c r="AO118" s="51" t="str">
        <f t="shared" si="1"/>
        <v>ﾊﾟｯｷﾝｸﾞﾘｽﾄ発行（通関用）</v>
      </c>
      <c r="AP118" s="51" t="str">
        <f t="shared" si="2"/>
        <v>SA2560</v>
      </c>
      <c r="AQ118" s="51" t="s">
        <v>728</v>
      </c>
      <c r="AR118" s="51" t="s">
        <v>725</v>
      </c>
      <c r="AS118" s="49" t="str">
        <f t="shared" si="3"/>
        <v>ﾊﾟｯｷﾝｸﾞﾘｽﾄ発行（通関用）</v>
      </c>
      <c r="AT118" s="49" t="str">
        <f t="shared" si="4"/>
        <v>SA2560</v>
      </c>
      <c r="AU118" s="51" t="s">
        <v>728</v>
      </c>
      <c r="AV118" s="51" t="s">
        <v>725</v>
      </c>
    </row>
    <row r="119" spans="1:48" ht="18" customHeight="1">
      <c r="A119" s="44">
        <v>117</v>
      </c>
      <c r="B119" s="52" t="s">
        <v>292</v>
      </c>
      <c r="C119" s="52" t="s">
        <v>704</v>
      </c>
      <c r="D119" s="46" t="s">
        <v>116</v>
      </c>
      <c r="E119" s="44" t="s">
        <v>729</v>
      </c>
      <c r="F119" s="44" t="s">
        <v>730</v>
      </c>
      <c r="G119" s="44"/>
      <c r="H119" s="44"/>
      <c r="I119" s="44"/>
      <c r="J119" s="47" t="s">
        <v>35</v>
      </c>
      <c r="K119" s="47"/>
      <c r="L119" s="47"/>
      <c r="M119" s="47"/>
      <c r="N119" s="47"/>
      <c r="O119" s="44"/>
      <c r="P119" s="44"/>
      <c r="Q119" s="48">
        <f>VLOOKUP(E119,sheet1!$B$2:$D$3209,3,FALSE)</f>
        <v>281</v>
      </c>
      <c r="R119" s="47" t="s">
        <v>35</v>
      </c>
      <c r="S119" s="47" t="s">
        <v>35</v>
      </c>
      <c r="T119" s="47" t="s">
        <v>35</v>
      </c>
      <c r="U119" s="47" t="s">
        <v>35</v>
      </c>
      <c r="V119" s="47" t="s">
        <v>35</v>
      </c>
      <c r="W119" s="47" t="s">
        <v>296</v>
      </c>
      <c r="X119" s="47" t="s">
        <v>296</v>
      </c>
      <c r="Y119" s="47" t="s">
        <v>296</v>
      </c>
      <c r="Z119" s="47" t="s">
        <v>35</v>
      </c>
      <c r="AA119" s="47" t="s">
        <v>296</v>
      </c>
      <c r="AB119" s="47" t="s">
        <v>35</v>
      </c>
      <c r="AC119" s="47" t="s">
        <v>35</v>
      </c>
      <c r="AD119" s="49" t="str">
        <f>VLOOKUP(E119,sheet1!$B$2:$C$3209,2,FALSE)</f>
        <v>ＩＧＴ用インボイス自動データ作成</v>
      </c>
      <c r="AE119" s="49"/>
      <c r="AF119" s="51" t="s">
        <v>731</v>
      </c>
      <c r="AG119" s="51" t="s">
        <v>729</v>
      </c>
      <c r="AH119" s="49" t="str">
        <f t="shared" si="0"/>
        <v>IGT用INVOICE自動作成</v>
      </c>
      <c r="AI119" s="49"/>
      <c r="AJ119" s="49"/>
      <c r="AK119" s="49"/>
      <c r="AL119" s="49" t="str">
        <f t="shared" si="5"/>
        <v>IGT用INVOICE自動作成</v>
      </c>
      <c r="AM119" s="49" t="s">
        <v>35</v>
      </c>
      <c r="AN119" s="49" t="s">
        <v>732</v>
      </c>
      <c r="AO119" s="51" t="str">
        <f t="shared" si="1"/>
        <v>IGT用INVOICE自動作成</v>
      </c>
      <c r="AP119" s="51" t="str">
        <f t="shared" si="2"/>
        <v>SA2570</v>
      </c>
      <c r="AQ119" s="51" t="s">
        <v>733</v>
      </c>
      <c r="AR119" s="51" t="s">
        <v>729</v>
      </c>
      <c r="AS119" s="49" t="str">
        <f t="shared" si="3"/>
        <v>IGT用INVOICE自動作成</v>
      </c>
      <c r="AT119" s="49" t="str">
        <f t="shared" si="4"/>
        <v>SA2570</v>
      </c>
      <c r="AU119" s="51" t="s">
        <v>733</v>
      </c>
      <c r="AV119" s="51" t="s">
        <v>729</v>
      </c>
    </row>
    <row r="120" spans="1:48" ht="18" customHeight="1">
      <c r="A120" s="44">
        <v>118</v>
      </c>
      <c r="B120" s="52" t="s">
        <v>292</v>
      </c>
      <c r="C120" s="52" t="s">
        <v>704</v>
      </c>
      <c r="D120" s="46" t="s">
        <v>116</v>
      </c>
      <c r="E120" s="44" t="s">
        <v>734</v>
      </c>
      <c r="F120" s="44" t="s">
        <v>735</v>
      </c>
      <c r="G120" s="44"/>
      <c r="H120" s="44"/>
      <c r="I120" s="44"/>
      <c r="J120" s="47" t="s">
        <v>35</v>
      </c>
      <c r="K120" s="47"/>
      <c r="L120" s="47"/>
      <c r="M120" s="47"/>
      <c r="N120" s="47"/>
      <c r="O120" s="44"/>
      <c r="P120" s="44"/>
      <c r="Q120" s="48">
        <f>VLOOKUP(E120,sheet1!$B$2:$D$3209,3,FALSE)</f>
        <v>4413</v>
      </c>
      <c r="R120" s="47" t="s">
        <v>35</v>
      </c>
      <c r="S120" s="47" t="s">
        <v>35</v>
      </c>
      <c r="T120" s="47" t="s">
        <v>35</v>
      </c>
      <c r="U120" s="47" t="s">
        <v>35</v>
      </c>
      <c r="V120" s="47" t="s">
        <v>35</v>
      </c>
      <c r="W120" s="47" t="s">
        <v>296</v>
      </c>
      <c r="X120" s="47" t="s">
        <v>296</v>
      </c>
      <c r="Y120" s="47" t="s">
        <v>296</v>
      </c>
      <c r="Z120" s="47" t="s">
        <v>35</v>
      </c>
      <c r="AA120" s="47" t="s">
        <v>296</v>
      </c>
      <c r="AB120" s="47" t="s">
        <v>35</v>
      </c>
      <c r="AC120" s="47" t="s">
        <v>35</v>
      </c>
      <c r="AD120" s="49" t="str">
        <f>VLOOKUP(E120,sheet1!$B$2:$C$3209,2,FALSE)</f>
        <v>売上承認入力</v>
      </c>
      <c r="AE120" s="49"/>
      <c r="AF120" s="51" t="s">
        <v>736</v>
      </c>
      <c r="AG120" s="51" t="s">
        <v>734</v>
      </c>
      <c r="AH120" s="49" t="str">
        <f t="shared" si="0"/>
        <v>売上承認入力</v>
      </c>
      <c r="AI120" s="49"/>
      <c r="AJ120" s="49"/>
      <c r="AK120" s="49"/>
      <c r="AL120" s="49" t="str">
        <f t="shared" si="5"/>
        <v>売上承認入力</v>
      </c>
      <c r="AM120" s="49" t="s">
        <v>35</v>
      </c>
      <c r="AN120" s="49" t="s">
        <v>737</v>
      </c>
      <c r="AO120" s="51" t="str">
        <f t="shared" si="1"/>
        <v>売上承認入力</v>
      </c>
      <c r="AP120" s="51" t="str">
        <f t="shared" si="2"/>
        <v>SA3090</v>
      </c>
      <c r="AQ120" s="51" t="s">
        <v>736</v>
      </c>
      <c r="AR120" s="51" t="s">
        <v>734</v>
      </c>
      <c r="AS120" s="49" t="str">
        <f t="shared" si="3"/>
        <v>売上承認入力</v>
      </c>
      <c r="AT120" s="49" t="str">
        <f t="shared" si="4"/>
        <v>SA3090</v>
      </c>
      <c r="AU120" s="51" t="s">
        <v>736</v>
      </c>
      <c r="AV120" s="51" t="s">
        <v>734</v>
      </c>
    </row>
    <row r="121" spans="1:48" ht="18" customHeight="1">
      <c r="A121" s="44">
        <v>119</v>
      </c>
      <c r="B121" s="52" t="s">
        <v>292</v>
      </c>
      <c r="C121" s="52" t="s">
        <v>704</v>
      </c>
      <c r="D121" s="46" t="s">
        <v>116</v>
      </c>
      <c r="E121" s="44" t="s">
        <v>738</v>
      </c>
      <c r="F121" s="44" t="s">
        <v>739</v>
      </c>
      <c r="G121" s="44"/>
      <c r="H121" s="44"/>
      <c r="I121" s="44"/>
      <c r="J121" s="47" t="s">
        <v>35</v>
      </c>
      <c r="K121" s="47"/>
      <c r="L121" s="47"/>
      <c r="M121" s="47"/>
      <c r="N121" s="47"/>
      <c r="O121" s="44"/>
      <c r="P121" s="44"/>
      <c r="Q121" s="48">
        <f>VLOOKUP(E121,sheet1!$B$2:$D$3209,3,FALSE)</f>
        <v>1368</v>
      </c>
      <c r="R121" s="47" t="s">
        <v>35</v>
      </c>
      <c r="S121" s="47" t="s">
        <v>35</v>
      </c>
      <c r="T121" s="47" t="s">
        <v>35</v>
      </c>
      <c r="U121" s="47" t="s">
        <v>35</v>
      </c>
      <c r="V121" s="47" t="s">
        <v>35</v>
      </c>
      <c r="W121" s="47" t="s">
        <v>296</v>
      </c>
      <c r="X121" s="47" t="s">
        <v>296</v>
      </c>
      <c r="Y121" s="47" t="s">
        <v>296</v>
      </c>
      <c r="Z121" s="47" t="s">
        <v>35</v>
      </c>
      <c r="AA121" s="47" t="s">
        <v>296</v>
      </c>
      <c r="AB121" s="47" t="s">
        <v>35</v>
      </c>
      <c r="AC121" s="47" t="s">
        <v>35</v>
      </c>
      <c r="AD121" s="49" t="str">
        <f>VLOOKUP(E121,sheet1!$B$2:$C$3209,2,FALSE)</f>
        <v>売上伝票発行</v>
      </c>
      <c r="AE121" s="49"/>
      <c r="AF121" s="51" t="s">
        <v>740</v>
      </c>
      <c r="AG121" s="51" t="s">
        <v>738</v>
      </c>
      <c r="AH121" s="49" t="str">
        <f t="shared" si="0"/>
        <v>売上伝票作成</v>
      </c>
      <c r="AI121" s="49"/>
      <c r="AJ121" s="49"/>
      <c r="AK121" s="49"/>
      <c r="AL121" s="49" t="str">
        <f t="shared" si="5"/>
        <v>売上伝票作成</v>
      </c>
      <c r="AM121" s="49" t="s">
        <v>35</v>
      </c>
      <c r="AN121" s="49" t="s">
        <v>741</v>
      </c>
      <c r="AO121" s="51" t="str">
        <f t="shared" si="1"/>
        <v>売上伝票作成</v>
      </c>
      <c r="AP121" s="51" t="str">
        <f t="shared" si="2"/>
        <v>SA2120</v>
      </c>
      <c r="AQ121" s="51" t="s">
        <v>740</v>
      </c>
      <c r="AR121" s="51" t="s">
        <v>738</v>
      </c>
      <c r="AS121" s="49" t="str">
        <f t="shared" si="3"/>
        <v>売上伝票作成</v>
      </c>
      <c r="AT121" s="49" t="str">
        <f t="shared" si="4"/>
        <v>SA2120</v>
      </c>
      <c r="AU121" s="51" t="s">
        <v>740</v>
      </c>
      <c r="AV121" s="51" t="s">
        <v>738</v>
      </c>
    </row>
    <row r="122" spans="1:48" ht="18" customHeight="1">
      <c r="A122" s="44">
        <v>120</v>
      </c>
      <c r="B122" s="52" t="s">
        <v>292</v>
      </c>
      <c r="C122" s="52" t="s">
        <v>704</v>
      </c>
      <c r="D122" s="46" t="s">
        <v>116</v>
      </c>
      <c r="E122" s="44" t="s">
        <v>742</v>
      </c>
      <c r="F122" s="44" t="s">
        <v>743</v>
      </c>
      <c r="G122" s="44"/>
      <c r="H122" s="44"/>
      <c r="I122" s="44"/>
      <c r="J122" s="47" t="s">
        <v>35</v>
      </c>
      <c r="K122" s="47"/>
      <c r="L122" s="47"/>
      <c r="M122" s="47"/>
      <c r="N122" s="47"/>
      <c r="O122" s="44"/>
      <c r="P122" s="44"/>
      <c r="Q122" s="48">
        <f>VLOOKUP(E122,sheet1!$B$2:$D$3209,3,FALSE)</f>
        <v>818</v>
      </c>
      <c r="R122" s="47" t="s">
        <v>35</v>
      </c>
      <c r="S122" s="47" t="s">
        <v>35</v>
      </c>
      <c r="T122" s="47" t="s">
        <v>35</v>
      </c>
      <c r="U122" s="47" t="s">
        <v>35</v>
      </c>
      <c r="V122" s="47" t="s">
        <v>35</v>
      </c>
      <c r="W122" s="47" t="s">
        <v>296</v>
      </c>
      <c r="X122" s="47" t="s">
        <v>296</v>
      </c>
      <c r="Y122" s="47" t="s">
        <v>296</v>
      </c>
      <c r="Z122" s="47" t="s">
        <v>35</v>
      </c>
      <c r="AA122" s="47" t="s">
        <v>296</v>
      </c>
      <c r="AB122" s="47" t="s">
        <v>35</v>
      </c>
      <c r="AC122" s="47" t="s">
        <v>35</v>
      </c>
      <c r="AD122" s="49" t="str">
        <f>VLOOKUP(E122,sheet1!$B$2:$C$3209,2,FALSE)</f>
        <v>納品書発行指示</v>
      </c>
      <c r="AE122" s="49"/>
      <c r="AF122" s="51" t="s">
        <v>744</v>
      </c>
      <c r="AG122" s="51" t="s">
        <v>742</v>
      </c>
      <c r="AH122" s="49" t="str">
        <f t="shared" si="0"/>
        <v>納品書作成</v>
      </c>
      <c r="AI122" s="49"/>
      <c r="AJ122" s="49"/>
      <c r="AK122" s="49"/>
      <c r="AL122" s="49" t="str">
        <f t="shared" si="5"/>
        <v>納品書作成</v>
      </c>
      <c r="AM122" s="49" t="s">
        <v>35</v>
      </c>
      <c r="AN122" s="49" t="s">
        <v>745</v>
      </c>
      <c r="AO122" s="51" t="str">
        <f t="shared" si="1"/>
        <v>納品書作成</v>
      </c>
      <c r="AP122" s="51" t="str">
        <f t="shared" si="2"/>
        <v>SA2130</v>
      </c>
      <c r="AQ122" s="51" t="s">
        <v>744</v>
      </c>
      <c r="AR122" s="51" t="s">
        <v>742</v>
      </c>
      <c r="AS122" s="49" t="str">
        <f t="shared" si="3"/>
        <v>納品書作成</v>
      </c>
      <c r="AT122" s="49" t="str">
        <f t="shared" si="4"/>
        <v>SA2130</v>
      </c>
      <c r="AU122" s="51" t="s">
        <v>744</v>
      </c>
      <c r="AV122" s="51" t="s">
        <v>742</v>
      </c>
    </row>
    <row r="123" spans="1:48" ht="18" customHeight="1">
      <c r="A123" s="44">
        <v>121</v>
      </c>
      <c r="B123" s="52" t="s">
        <v>292</v>
      </c>
      <c r="C123" s="52" t="s">
        <v>704</v>
      </c>
      <c r="D123" s="46" t="s">
        <v>116</v>
      </c>
      <c r="E123" s="44" t="s">
        <v>746</v>
      </c>
      <c r="F123" s="44" t="s">
        <v>747</v>
      </c>
      <c r="G123" s="44"/>
      <c r="H123" s="44"/>
      <c r="I123" s="44"/>
      <c r="J123" s="47" t="s">
        <v>35</v>
      </c>
      <c r="K123" s="47"/>
      <c r="L123" s="47"/>
      <c r="M123" s="47"/>
      <c r="N123" s="47"/>
      <c r="O123" s="44"/>
      <c r="P123" s="44"/>
      <c r="Q123" s="48">
        <f>VLOOKUP(E123,sheet1!$B$2:$D$3209,3,FALSE)</f>
        <v>812</v>
      </c>
      <c r="R123" s="47" t="s">
        <v>35</v>
      </c>
      <c r="S123" s="47" t="s">
        <v>35</v>
      </c>
      <c r="T123" s="47" t="s">
        <v>35</v>
      </c>
      <c r="U123" s="47" t="s">
        <v>35</v>
      </c>
      <c r="V123" s="47" t="s">
        <v>35</v>
      </c>
      <c r="W123" s="47" t="s">
        <v>296</v>
      </c>
      <c r="X123" s="47" t="s">
        <v>296</v>
      </c>
      <c r="Y123" s="47" t="s">
        <v>296</v>
      </c>
      <c r="Z123" s="47" t="s">
        <v>35</v>
      </c>
      <c r="AA123" s="47" t="s">
        <v>296</v>
      </c>
      <c r="AB123" s="47" t="s">
        <v>35</v>
      </c>
      <c r="AC123" s="47" t="s">
        <v>35</v>
      </c>
      <c r="AD123" s="49" t="str">
        <f>VLOOKUP(E123,sheet1!$B$2:$C$3209,2,FALSE)</f>
        <v>納品書発行指示2010/07/31まで使用PGM</v>
      </c>
      <c r="AE123" s="49"/>
      <c r="AF123" s="51" t="s">
        <v>748</v>
      </c>
      <c r="AG123" s="51" t="s">
        <v>746</v>
      </c>
      <c r="AH123" s="49" t="str">
        <f t="shared" si="0"/>
        <v>納品書作成（旧）</v>
      </c>
      <c r="AI123" s="49"/>
      <c r="AJ123" s="49"/>
      <c r="AK123" s="49"/>
      <c r="AL123" s="49" t="str">
        <f t="shared" si="5"/>
        <v>納品書作成（旧）</v>
      </c>
      <c r="AM123" s="49" t="s">
        <v>35</v>
      </c>
      <c r="AN123" s="49" t="s">
        <v>749</v>
      </c>
      <c r="AO123" s="51" t="str">
        <f t="shared" si="1"/>
        <v>納品書作成（旧）</v>
      </c>
      <c r="AP123" s="51" t="str">
        <f t="shared" si="2"/>
        <v>SA2130OLD</v>
      </c>
      <c r="AQ123" s="51" t="s">
        <v>748</v>
      </c>
      <c r="AR123" s="51" t="s">
        <v>746</v>
      </c>
      <c r="AS123" s="49" t="str">
        <f t="shared" si="3"/>
        <v>納品書作成（旧）</v>
      </c>
      <c r="AT123" s="49" t="str">
        <f t="shared" si="4"/>
        <v>SA2130OLD</v>
      </c>
      <c r="AU123" s="51" t="s">
        <v>748</v>
      </c>
      <c r="AV123" s="51" t="s">
        <v>746</v>
      </c>
    </row>
    <row r="124" spans="1:48" ht="18" customHeight="1">
      <c r="A124" s="44">
        <v>122</v>
      </c>
      <c r="B124" s="52" t="s">
        <v>292</v>
      </c>
      <c r="C124" s="52" t="s">
        <v>704</v>
      </c>
      <c r="D124" s="46" t="s">
        <v>116</v>
      </c>
      <c r="E124" s="44" t="s">
        <v>532</v>
      </c>
      <c r="F124" s="44" t="s">
        <v>533</v>
      </c>
      <c r="G124" s="44"/>
      <c r="H124" s="44"/>
      <c r="I124" s="44"/>
      <c r="J124" s="47" t="s">
        <v>35</v>
      </c>
      <c r="K124" s="47"/>
      <c r="L124" s="47"/>
      <c r="M124" s="47"/>
      <c r="N124" s="47"/>
      <c r="O124" s="44"/>
      <c r="P124" s="44"/>
      <c r="Q124" s="48">
        <f>VLOOKUP(E124,sheet1!$B$2:$D$3209,3,FALSE)</f>
        <v>2213</v>
      </c>
      <c r="R124" s="47" t="s">
        <v>35</v>
      </c>
      <c r="S124" s="47" t="s">
        <v>35</v>
      </c>
      <c r="T124" s="47" t="s">
        <v>35</v>
      </c>
      <c r="U124" s="47" t="s">
        <v>35</v>
      </c>
      <c r="V124" s="47" t="s">
        <v>35</v>
      </c>
      <c r="W124" s="47" t="s">
        <v>296</v>
      </c>
      <c r="X124" s="47" t="s">
        <v>296</v>
      </c>
      <c r="Y124" s="47" t="s">
        <v>296</v>
      </c>
      <c r="Z124" s="47" t="s">
        <v>35</v>
      </c>
      <c r="AA124" s="47" t="s">
        <v>296</v>
      </c>
      <c r="AB124" s="47" t="s">
        <v>35</v>
      </c>
      <c r="AC124" s="47" t="s">
        <v>35</v>
      </c>
      <c r="AD124" s="49" t="str">
        <f>VLOOKUP(E124,sheet1!$B$2:$C$3209,2,FALSE)</f>
        <v>請求方法入力　　　　　　　　　　</v>
      </c>
      <c r="AE124" s="49"/>
      <c r="AF124" s="51" t="s">
        <v>534</v>
      </c>
      <c r="AG124" s="51" t="s">
        <v>532</v>
      </c>
      <c r="AH124" s="49" t="str">
        <f t="shared" si="0"/>
        <v>請求方法入力</v>
      </c>
      <c r="AI124" s="49"/>
      <c r="AJ124" s="49"/>
      <c r="AK124" s="49"/>
      <c r="AL124" s="49" t="str">
        <f t="shared" si="5"/>
        <v>請求方法入力</v>
      </c>
      <c r="AM124" s="49" t="s">
        <v>35</v>
      </c>
      <c r="AN124" s="49" t="s">
        <v>750</v>
      </c>
      <c r="AO124" s="51" t="str">
        <f t="shared" si="1"/>
        <v>請求方法入力</v>
      </c>
      <c r="AP124" s="51" t="str">
        <f t="shared" si="2"/>
        <v>SA3160</v>
      </c>
      <c r="AQ124" s="51" t="s">
        <v>534</v>
      </c>
      <c r="AR124" s="51" t="s">
        <v>532</v>
      </c>
      <c r="AS124" s="49" t="str">
        <f t="shared" si="3"/>
        <v>請求方法入力</v>
      </c>
      <c r="AT124" s="49" t="str">
        <f t="shared" si="4"/>
        <v>SA3160</v>
      </c>
      <c r="AU124" s="51" t="s">
        <v>534</v>
      </c>
      <c r="AV124" s="51" t="s">
        <v>532</v>
      </c>
    </row>
    <row r="125" spans="1:48" ht="18" customHeight="1">
      <c r="A125" s="44">
        <v>123</v>
      </c>
      <c r="B125" s="52" t="s">
        <v>292</v>
      </c>
      <c r="C125" s="52" t="s">
        <v>704</v>
      </c>
      <c r="D125" s="46" t="s">
        <v>116</v>
      </c>
      <c r="E125" s="44" t="s">
        <v>751</v>
      </c>
      <c r="F125" s="44" t="s">
        <v>752</v>
      </c>
      <c r="G125" s="44"/>
      <c r="H125" s="44"/>
      <c r="I125" s="44"/>
      <c r="J125" s="47" t="s">
        <v>35</v>
      </c>
      <c r="K125" s="47"/>
      <c r="L125" s="47"/>
      <c r="M125" s="47"/>
      <c r="N125" s="47"/>
      <c r="O125" s="44"/>
      <c r="P125" s="44"/>
      <c r="Q125" s="48">
        <f>VLOOKUP(E125,sheet1!$B$2:$D$3209,3,FALSE)</f>
        <v>224</v>
      </c>
      <c r="R125" s="47" t="s">
        <v>35</v>
      </c>
      <c r="S125" s="47" t="s">
        <v>35</v>
      </c>
      <c r="T125" s="47" t="s">
        <v>35</v>
      </c>
      <c r="U125" s="47" t="s">
        <v>35</v>
      </c>
      <c r="V125" s="47" t="s">
        <v>35</v>
      </c>
      <c r="W125" s="47" t="s">
        <v>296</v>
      </c>
      <c r="X125" s="47" t="s">
        <v>296</v>
      </c>
      <c r="Y125" s="47" t="s">
        <v>296</v>
      </c>
      <c r="Z125" s="47" t="s">
        <v>35</v>
      </c>
      <c r="AA125" s="47" t="s">
        <v>296</v>
      </c>
      <c r="AB125" s="47" t="s">
        <v>35</v>
      </c>
      <c r="AC125" s="47" t="s">
        <v>35</v>
      </c>
      <c r="AD125" s="49" t="str">
        <f>VLOOKUP(E125,sheet1!$B$2:$C$3209,2,FALSE)</f>
        <v>代替機修理内容確認一括更新指示画面</v>
      </c>
      <c r="AE125" s="49"/>
      <c r="AF125" s="51" t="s">
        <v>753</v>
      </c>
      <c r="AG125" s="51" t="s">
        <v>751</v>
      </c>
      <c r="AH125" s="49" t="str">
        <f t="shared" si="0"/>
        <v>代替機修理内容確認一括更新</v>
      </c>
      <c r="AI125" s="49"/>
      <c r="AJ125" s="49"/>
      <c r="AK125" s="49"/>
      <c r="AL125" s="49" t="str">
        <f t="shared" si="5"/>
        <v>代替機修理内容確認一括更新</v>
      </c>
      <c r="AM125" s="49" t="s">
        <v>35</v>
      </c>
      <c r="AN125" s="49" t="s">
        <v>752</v>
      </c>
      <c r="AO125" s="51" t="str">
        <f t="shared" si="1"/>
        <v>代替機修理内容確認一括更新</v>
      </c>
      <c r="AP125" s="51" t="str">
        <f t="shared" si="2"/>
        <v>LP9100</v>
      </c>
      <c r="AQ125" s="51" t="s">
        <v>753</v>
      </c>
      <c r="AR125" s="51" t="s">
        <v>751</v>
      </c>
      <c r="AS125" s="49" t="str">
        <f t="shared" si="3"/>
        <v>代替機修理内容確認一括更新</v>
      </c>
      <c r="AT125" s="49" t="str">
        <f t="shared" si="4"/>
        <v>LP9100</v>
      </c>
      <c r="AU125" s="51" t="s">
        <v>753</v>
      </c>
      <c r="AV125" s="51" t="s">
        <v>751</v>
      </c>
    </row>
    <row r="126" spans="1:48" ht="18" customHeight="1">
      <c r="A126" s="44">
        <v>124</v>
      </c>
      <c r="B126" s="52" t="s">
        <v>292</v>
      </c>
      <c r="C126" s="52" t="s">
        <v>704</v>
      </c>
      <c r="D126" s="46" t="s">
        <v>116</v>
      </c>
      <c r="E126" s="44" t="s">
        <v>754</v>
      </c>
      <c r="F126" s="44" t="s">
        <v>755</v>
      </c>
      <c r="G126" s="44"/>
      <c r="H126" s="44"/>
      <c r="I126" s="44"/>
      <c r="J126" s="47" t="s">
        <v>35</v>
      </c>
      <c r="K126" s="47"/>
      <c r="L126" s="47"/>
      <c r="M126" s="47"/>
      <c r="N126" s="47"/>
      <c r="O126" s="44"/>
      <c r="P126" s="44"/>
      <c r="Q126" s="48">
        <f>VLOOKUP(E126,sheet1!$B$2:$D$3209,3,FALSE)</f>
        <v>357</v>
      </c>
      <c r="R126" s="47" t="s">
        <v>35</v>
      </c>
      <c r="S126" s="47" t="s">
        <v>35</v>
      </c>
      <c r="T126" s="47" t="s">
        <v>35</v>
      </c>
      <c r="U126" s="47" t="s">
        <v>35</v>
      </c>
      <c r="V126" s="47" t="s">
        <v>35</v>
      </c>
      <c r="W126" s="47" t="s">
        <v>296</v>
      </c>
      <c r="X126" s="47" t="s">
        <v>296</v>
      </c>
      <c r="Y126" s="47" t="s">
        <v>296</v>
      </c>
      <c r="Z126" s="47" t="s">
        <v>35</v>
      </c>
      <c r="AA126" s="47" t="s">
        <v>296</v>
      </c>
      <c r="AB126" s="47" t="s">
        <v>35</v>
      </c>
      <c r="AC126" s="47" t="s">
        <v>35</v>
      </c>
      <c r="AD126" s="49" t="str">
        <f>VLOOKUP(E126,sheet1!$B$2:$C$3209,2,FALSE)</f>
        <v>一式請求照会</v>
      </c>
      <c r="AE126" s="49"/>
      <c r="AF126" s="51" t="s">
        <v>756</v>
      </c>
      <c r="AG126" s="51" t="s">
        <v>754</v>
      </c>
      <c r="AH126" s="49" t="str">
        <f t="shared" si="0"/>
        <v>一式請求照会</v>
      </c>
      <c r="AI126" s="49"/>
      <c r="AJ126" s="49"/>
      <c r="AK126" s="49"/>
      <c r="AL126" s="49" t="str">
        <f t="shared" si="5"/>
        <v>一式請求照会</v>
      </c>
      <c r="AM126" s="49" t="s">
        <v>35</v>
      </c>
      <c r="AN126" s="49" t="s">
        <v>757</v>
      </c>
      <c r="AO126" s="51" t="str">
        <f t="shared" si="1"/>
        <v>一式請求照会</v>
      </c>
      <c r="AP126" s="51" t="str">
        <f t="shared" si="2"/>
        <v>SA5052</v>
      </c>
      <c r="AQ126" s="51" t="s">
        <v>756</v>
      </c>
      <c r="AR126" s="51" t="s">
        <v>754</v>
      </c>
      <c r="AS126" s="49" t="str">
        <f t="shared" si="3"/>
        <v>一式請求照会</v>
      </c>
      <c r="AT126" s="49" t="str">
        <f t="shared" si="4"/>
        <v>SA5052</v>
      </c>
      <c r="AU126" s="51" t="s">
        <v>756</v>
      </c>
      <c r="AV126" s="51" t="s">
        <v>754</v>
      </c>
    </row>
    <row r="127" spans="1:48" ht="18" customHeight="1">
      <c r="A127" s="44">
        <v>125</v>
      </c>
      <c r="B127" s="52" t="s">
        <v>292</v>
      </c>
      <c r="C127" s="52" t="s">
        <v>704</v>
      </c>
      <c r="D127" s="46" t="s">
        <v>116</v>
      </c>
      <c r="E127" s="44" t="s">
        <v>758</v>
      </c>
      <c r="F127" s="44" t="s">
        <v>759</v>
      </c>
      <c r="G127" s="44"/>
      <c r="H127" s="44"/>
      <c r="I127" s="44"/>
      <c r="J127" s="47" t="s">
        <v>35</v>
      </c>
      <c r="K127" s="47"/>
      <c r="L127" s="47"/>
      <c r="M127" s="47"/>
      <c r="N127" s="47"/>
      <c r="O127" s="44"/>
      <c r="P127" s="44"/>
      <c r="Q127" s="48">
        <f>VLOOKUP(E127,sheet1!$B$2:$D$3209,3,FALSE)</f>
        <v>477</v>
      </c>
      <c r="R127" s="47" t="s">
        <v>35</v>
      </c>
      <c r="S127" s="47" t="s">
        <v>35</v>
      </c>
      <c r="T127" s="47" t="s">
        <v>35</v>
      </c>
      <c r="U127" s="47" t="s">
        <v>35</v>
      </c>
      <c r="V127" s="47" t="s">
        <v>35</v>
      </c>
      <c r="W127" s="47" t="s">
        <v>296</v>
      </c>
      <c r="X127" s="47" t="s">
        <v>296</v>
      </c>
      <c r="Y127" s="47" t="s">
        <v>296</v>
      </c>
      <c r="Z127" s="47" t="s">
        <v>35</v>
      </c>
      <c r="AA127" s="47" t="s">
        <v>296</v>
      </c>
      <c r="AB127" s="47" t="s">
        <v>35</v>
      </c>
      <c r="AC127" s="47" t="s">
        <v>35</v>
      </c>
      <c r="AD127" s="49" t="str">
        <f>VLOOKUP(E127,sheet1!$B$2:$C$3209,2,FALSE)</f>
        <v>売上承認確認リスト作成指示</v>
      </c>
      <c r="AE127" s="49"/>
      <c r="AF127" s="51" t="s">
        <v>760</v>
      </c>
      <c r="AG127" s="51" t="s">
        <v>758</v>
      </c>
      <c r="AH127" s="49" t="str">
        <f t="shared" si="0"/>
        <v>売上承認確認リスト</v>
      </c>
      <c r="AI127" s="49"/>
      <c r="AJ127" s="49"/>
      <c r="AK127" s="49"/>
      <c r="AL127" s="49" t="str">
        <f t="shared" si="5"/>
        <v>売上承認確認リスト</v>
      </c>
      <c r="AM127" s="49" t="s">
        <v>35</v>
      </c>
      <c r="AN127" s="49" t="s">
        <v>761</v>
      </c>
      <c r="AO127" s="51" t="str">
        <f t="shared" si="1"/>
        <v>売上承認確認リスト</v>
      </c>
      <c r="AP127" s="51" t="str">
        <f t="shared" si="2"/>
        <v>SA2080</v>
      </c>
      <c r="AQ127" s="51" t="s">
        <v>760</v>
      </c>
      <c r="AR127" s="51" t="s">
        <v>758</v>
      </c>
      <c r="AS127" s="49" t="str">
        <f t="shared" si="3"/>
        <v>売上承認確認リスト</v>
      </c>
      <c r="AT127" s="49" t="str">
        <f t="shared" si="4"/>
        <v>SA2080</v>
      </c>
      <c r="AU127" s="51" t="s">
        <v>760</v>
      </c>
      <c r="AV127" s="51" t="s">
        <v>758</v>
      </c>
    </row>
    <row r="128" spans="1:48" ht="18" customHeight="1">
      <c r="A128" s="44">
        <v>126</v>
      </c>
      <c r="B128" s="52" t="s">
        <v>292</v>
      </c>
      <c r="C128" s="52" t="s">
        <v>704</v>
      </c>
      <c r="D128" s="46" t="s">
        <v>116</v>
      </c>
      <c r="E128" s="44" t="s">
        <v>762</v>
      </c>
      <c r="F128" s="44" t="s">
        <v>763</v>
      </c>
      <c r="G128" s="44"/>
      <c r="H128" s="44"/>
      <c r="I128" s="44"/>
      <c r="J128" s="47" t="s">
        <v>35</v>
      </c>
      <c r="K128" s="47"/>
      <c r="L128" s="47"/>
      <c r="M128" s="47"/>
      <c r="N128" s="47"/>
      <c r="O128" s="44"/>
      <c r="P128" s="44"/>
      <c r="Q128" s="48">
        <f>VLOOKUP(E128,sheet1!$B$2:$D$3209,3,FALSE)</f>
        <v>690</v>
      </c>
      <c r="R128" s="47" t="s">
        <v>35</v>
      </c>
      <c r="S128" s="47" t="s">
        <v>35</v>
      </c>
      <c r="T128" s="47" t="s">
        <v>35</v>
      </c>
      <c r="U128" s="47" t="s">
        <v>35</v>
      </c>
      <c r="V128" s="47" t="s">
        <v>35</v>
      </c>
      <c r="W128" s="47" t="s">
        <v>296</v>
      </c>
      <c r="X128" s="47" t="s">
        <v>296</v>
      </c>
      <c r="Y128" s="47" t="s">
        <v>296</v>
      </c>
      <c r="Z128" s="47" t="s">
        <v>35</v>
      </c>
      <c r="AA128" s="47" t="s">
        <v>296</v>
      </c>
      <c r="AB128" s="47" t="s">
        <v>35</v>
      </c>
      <c r="AC128" s="47" t="s">
        <v>35</v>
      </c>
      <c r="AD128" s="49" t="str">
        <f>VLOOKUP(E128,sheet1!$B$2:$C$3209,2,FALSE)</f>
        <v>売上照会（伝票№指定）</v>
      </c>
      <c r="AE128" s="49"/>
      <c r="AF128" s="51" t="s">
        <v>764</v>
      </c>
      <c r="AG128" s="51" t="s">
        <v>762</v>
      </c>
      <c r="AH128" s="49" t="str">
        <f t="shared" si="0"/>
        <v>売上照会（伝票No.指定）</v>
      </c>
      <c r="AI128" s="49"/>
      <c r="AJ128" s="49"/>
      <c r="AK128" s="49"/>
      <c r="AL128" s="49" t="str">
        <f t="shared" si="5"/>
        <v>売上照会（伝票No.指定）</v>
      </c>
      <c r="AM128" s="49" t="s">
        <v>35</v>
      </c>
      <c r="AN128" s="49" t="s">
        <v>765</v>
      </c>
      <c r="AO128" s="51" t="str">
        <f t="shared" si="1"/>
        <v>売上照会（伝票No.指定）</v>
      </c>
      <c r="AP128" s="51" t="str">
        <f t="shared" si="2"/>
        <v>SA5050</v>
      </c>
      <c r="AQ128" s="51" t="s">
        <v>764</v>
      </c>
      <c r="AR128" s="51" t="s">
        <v>762</v>
      </c>
      <c r="AS128" s="49" t="str">
        <f t="shared" si="3"/>
        <v>売上照会（伝票No.指定）</v>
      </c>
      <c r="AT128" s="49" t="str">
        <f t="shared" si="4"/>
        <v>SA5050</v>
      </c>
      <c r="AU128" s="51" t="s">
        <v>764</v>
      </c>
      <c r="AV128" s="51" t="s">
        <v>762</v>
      </c>
    </row>
    <row r="129" spans="1:48" ht="18" customHeight="1">
      <c r="A129" s="44">
        <v>127</v>
      </c>
      <c r="B129" s="52" t="s">
        <v>292</v>
      </c>
      <c r="C129" s="52" t="s">
        <v>704</v>
      </c>
      <c r="D129" s="46" t="s">
        <v>116</v>
      </c>
      <c r="E129" s="44" t="s">
        <v>766</v>
      </c>
      <c r="F129" s="44" t="s">
        <v>767</v>
      </c>
      <c r="G129" s="44"/>
      <c r="H129" s="44"/>
      <c r="I129" s="44"/>
      <c r="J129" s="47" t="s">
        <v>35</v>
      </c>
      <c r="K129" s="47"/>
      <c r="L129" s="47"/>
      <c r="M129" s="47"/>
      <c r="N129" s="47"/>
      <c r="O129" s="44"/>
      <c r="P129" s="44"/>
      <c r="Q129" s="48">
        <f>VLOOKUP(E129,sheet1!$B$2:$D$3209,3,FALSE)</f>
        <v>457</v>
      </c>
      <c r="R129" s="47" t="s">
        <v>35</v>
      </c>
      <c r="S129" s="47" t="s">
        <v>35</v>
      </c>
      <c r="T129" s="47" t="s">
        <v>35</v>
      </c>
      <c r="U129" s="47" t="s">
        <v>35</v>
      </c>
      <c r="V129" s="47" t="s">
        <v>35</v>
      </c>
      <c r="W129" s="47" t="s">
        <v>296</v>
      </c>
      <c r="X129" s="47" t="s">
        <v>296</v>
      </c>
      <c r="Y129" s="47" t="s">
        <v>296</v>
      </c>
      <c r="Z129" s="47" t="s">
        <v>35</v>
      </c>
      <c r="AA129" s="47" t="s">
        <v>296</v>
      </c>
      <c r="AB129" s="47" t="s">
        <v>35</v>
      </c>
      <c r="AC129" s="47" t="s">
        <v>35</v>
      </c>
      <c r="AD129" s="49" t="str">
        <f>VLOOKUP(E129,sheet1!$B$2:$C$3209,2,FALSE)</f>
        <v>売上照会（得意先指定）</v>
      </c>
      <c r="AE129" s="49"/>
      <c r="AF129" s="51" t="s">
        <v>768</v>
      </c>
      <c r="AG129" s="51" t="s">
        <v>766</v>
      </c>
      <c r="AH129" s="49" t="str">
        <f t="shared" si="0"/>
        <v>売上照会（得意先指定）</v>
      </c>
      <c r="AI129" s="49"/>
      <c r="AJ129" s="49"/>
      <c r="AK129" s="49"/>
      <c r="AL129" s="49" t="str">
        <f t="shared" si="5"/>
        <v>売上照会（得意先指定）</v>
      </c>
      <c r="AM129" s="49" t="s">
        <v>35</v>
      </c>
      <c r="AN129" s="49" t="s">
        <v>769</v>
      </c>
      <c r="AO129" s="51" t="str">
        <f t="shared" si="1"/>
        <v>売上照会（得意先指定）</v>
      </c>
      <c r="AP129" s="51" t="str">
        <f t="shared" si="2"/>
        <v>SA5090</v>
      </c>
      <c r="AQ129" s="51" t="s">
        <v>768</v>
      </c>
      <c r="AR129" s="51" t="s">
        <v>766</v>
      </c>
      <c r="AS129" s="49" t="str">
        <f t="shared" si="3"/>
        <v>売上照会（得意先指定）</v>
      </c>
      <c r="AT129" s="49" t="str">
        <f t="shared" si="4"/>
        <v>SA5090</v>
      </c>
      <c r="AU129" s="51" t="s">
        <v>768</v>
      </c>
      <c r="AV129" s="51" t="s">
        <v>766</v>
      </c>
    </row>
    <row r="130" spans="1:48" ht="18" customHeight="1">
      <c r="A130" s="44">
        <v>128</v>
      </c>
      <c r="B130" s="52" t="s">
        <v>292</v>
      </c>
      <c r="C130" s="52" t="s">
        <v>704</v>
      </c>
      <c r="D130" s="46" t="s">
        <v>116</v>
      </c>
      <c r="E130" s="44" t="s">
        <v>559</v>
      </c>
      <c r="F130" s="44" t="s">
        <v>770</v>
      </c>
      <c r="G130" s="44"/>
      <c r="H130" s="44"/>
      <c r="I130" s="44"/>
      <c r="J130" s="47" t="s">
        <v>35</v>
      </c>
      <c r="K130" s="47"/>
      <c r="L130" s="47"/>
      <c r="M130" s="47"/>
      <c r="N130" s="47"/>
      <c r="O130" s="44"/>
      <c r="P130" s="44"/>
      <c r="Q130" s="48">
        <f>VLOOKUP(E130,sheet1!$B$2:$D$3209,3,FALSE)</f>
        <v>197</v>
      </c>
      <c r="R130" s="47" t="s">
        <v>35</v>
      </c>
      <c r="S130" s="47" t="s">
        <v>35</v>
      </c>
      <c r="T130" s="47" t="s">
        <v>35</v>
      </c>
      <c r="U130" s="47" t="s">
        <v>35</v>
      </c>
      <c r="V130" s="47" t="s">
        <v>35</v>
      </c>
      <c r="W130" s="47" t="s">
        <v>296</v>
      </c>
      <c r="X130" s="47" t="s">
        <v>296</v>
      </c>
      <c r="Y130" s="47" t="s">
        <v>296</v>
      </c>
      <c r="Z130" s="47" t="s">
        <v>35</v>
      </c>
      <c r="AA130" s="47" t="s">
        <v>296</v>
      </c>
      <c r="AB130" s="47" t="s">
        <v>35</v>
      </c>
      <c r="AC130" s="47" t="s">
        <v>35</v>
      </c>
      <c r="AD130" s="49" t="str">
        <f>VLOOKUP(E130,sheet1!$B$2:$C$3209,2,FALSE)</f>
        <v>参照ﾗｲﾌﾞﾗﾘ指定</v>
      </c>
      <c r="AE130" s="49"/>
      <c r="AF130" s="51" t="s">
        <v>771</v>
      </c>
      <c r="AG130" s="51" t="s">
        <v>559</v>
      </c>
      <c r="AH130" s="49" t="str">
        <f t="shared" si="0"/>
        <v>売上照会（品目・発送先指定</v>
      </c>
      <c r="AI130" s="49"/>
      <c r="AJ130" s="49"/>
      <c r="AK130" s="49"/>
      <c r="AL130" s="49" t="str">
        <f t="shared" si="5"/>
        <v>売上照会（品目・発送先指定</v>
      </c>
      <c r="AM130" s="49" t="s">
        <v>35</v>
      </c>
      <c r="AN130" s="49" t="s">
        <v>770</v>
      </c>
      <c r="AO130" s="51" t="str">
        <f t="shared" si="1"/>
        <v>売上照会（品目・発送先指定</v>
      </c>
      <c r="AP130" s="51" t="str">
        <f t="shared" si="2"/>
        <v>PD9150</v>
      </c>
      <c r="AQ130" s="51" t="s">
        <v>771</v>
      </c>
      <c r="AR130" s="51" t="s">
        <v>559</v>
      </c>
      <c r="AS130" s="49" t="str">
        <f t="shared" si="3"/>
        <v>売上照会（品目・発送先指定</v>
      </c>
      <c r="AT130" s="49" t="str">
        <f t="shared" si="4"/>
        <v>PD9150</v>
      </c>
      <c r="AU130" s="51" t="s">
        <v>771</v>
      </c>
      <c r="AV130" s="51" t="s">
        <v>559</v>
      </c>
    </row>
    <row r="131" spans="1:48" ht="18" customHeight="1">
      <c r="A131" s="44">
        <v>129</v>
      </c>
      <c r="B131" s="52" t="s">
        <v>292</v>
      </c>
      <c r="C131" s="52" t="s">
        <v>704</v>
      </c>
      <c r="D131" s="46" t="s">
        <v>116</v>
      </c>
      <c r="E131" s="44" t="s">
        <v>116</v>
      </c>
      <c r="F131" s="44" t="s">
        <v>772</v>
      </c>
      <c r="G131" s="44"/>
      <c r="H131" s="44"/>
      <c r="I131" s="44"/>
      <c r="J131" s="47" t="s">
        <v>35</v>
      </c>
      <c r="K131" s="47"/>
      <c r="L131" s="47"/>
      <c r="M131" s="47"/>
      <c r="N131" s="47"/>
      <c r="O131" s="44"/>
      <c r="P131" s="44"/>
      <c r="Q131" s="48" t="e">
        <f>VLOOKUP(E131,sheet1!$B$2:$D$3209,3,FALSE)</f>
        <v>#N/A</v>
      </c>
      <c r="R131" s="47" t="s">
        <v>35</v>
      </c>
      <c r="S131" s="47" t="s">
        <v>35</v>
      </c>
      <c r="T131" s="47" t="s">
        <v>35</v>
      </c>
      <c r="U131" s="47" t="s">
        <v>35</v>
      </c>
      <c r="V131" s="47" t="s">
        <v>35</v>
      </c>
      <c r="W131" s="47" t="s">
        <v>296</v>
      </c>
      <c r="X131" s="47" t="s">
        <v>296</v>
      </c>
      <c r="Y131" s="47" t="s">
        <v>296</v>
      </c>
      <c r="Z131" s="47" t="s">
        <v>35</v>
      </c>
      <c r="AA131" s="47" t="s">
        <v>296</v>
      </c>
      <c r="AB131" s="47" t="s">
        <v>35</v>
      </c>
      <c r="AC131" s="47" t="s">
        <v>35</v>
      </c>
      <c r="AD131" s="49" t="e">
        <f>VLOOKUP(E131,sheet1!$B$2:$C$3209,2,FALSE)</f>
        <v>#N/A</v>
      </c>
      <c r="AE131" s="49"/>
      <c r="AF131" s="51" t="s">
        <v>773</v>
      </c>
      <c r="AG131" s="57" t="s">
        <v>116</v>
      </c>
      <c r="AH131" s="49" t="str">
        <f t="shared" si="0"/>
        <v>無償承認未処理リスト</v>
      </c>
      <c r="AI131" s="49"/>
      <c r="AJ131" s="49"/>
      <c r="AK131" s="49"/>
      <c r="AL131" s="49" t="str">
        <f t="shared" si="5"/>
        <v>無償承認未処理リスト</v>
      </c>
      <c r="AM131" s="49" t="s">
        <v>35</v>
      </c>
      <c r="AN131" s="49" t="s">
        <v>774</v>
      </c>
      <c r="AO131" s="51" t="str">
        <f t="shared" si="1"/>
        <v>無償承認未処理リスト</v>
      </c>
      <c r="AP131" s="51" t="str">
        <f t="shared" si="2"/>
        <v/>
      </c>
      <c r="AQ131" s="51" t="s">
        <v>773</v>
      </c>
      <c r="AR131" s="51"/>
      <c r="AS131" s="49" t="str">
        <f t="shared" si="3"/>
        <v>無償承認未処理リスト</v>
      </c>
      <c r="AT131" s="49" t="str">
        <f t="shared" si="4"/>
        <v/>
      </c>
      <c r="AU131" s="51" t="s">
        <v>773</v>
      </c>
      <c r="AV131" s="51"/>
    </row>
    <row r="132" spans="1:48" ht="18" customHeight="1">
      <c r="A132" s="44">
        <v>130</v>
      </c>
      <c r="B132" s="52" t="s">
        <v>292</v>
      </c>
      <c r="C132" s="52" t="s">
        <v>704</v>
      </c>
      <c r="D132" s="46" t="s">
        <v>116</v>
      </c>
      <c r="E132" s="44" t="s">
        <v>775</v>
      </c>
      <c r="F132" s="44" t="s">
        <v>776</v>
      </c>
      <c r="G132" s="44"/>
      <c r="H132" s="44"/>
      <c r="I132" s="44"/>
      <c r="J132" s="47" t="s">
        <v>35</v>
      </c>
      <c r="K132" s="47"/>
      <c r="L132" s="47"/>
      <c r="M132" s="47"/>
      <c r="N132" s="47"/>
      <c r="O132" s="44"/>
      <c r="P132" s="44"/>
      <c r="Q132" s="48">
        <f>VLOOKUP(E132,sheet1!$B$2:$D$3209,3,FALSE)</f>
        <v>640</v>
      </c>
      <c r="R132" s="47" t="s">
        <v>35</v>
      </c>
      <c r="S132" s="47" t="s">
        <v>35</v>
      </c>
      <c r="T132" s="47" t="s">
        <v>35</v>
      </c>
      <c r="U132" s="47" t="s">
        <v>35</v>
      </c>
      <c r="V132" s="47" t="s">
        <v>35</v>
      </c>
      <c r="W132" s="47" t="s">
        <v>296</v>
      </c>
      <c r="X132" s="47" t="s">
        <v>296</v>
      </c>
      <c r="Y132" s="47" t="s">
        <v>296</v>
      </c>
      <c r="Z132" s="47" t="s">
        <v>35</v>
      </c>
      <c r="AA132" s="47" t="s">
        <v>296</v>
      </c>
      <c r="AB132" s="47" t="s">
        <v>35</v>
      </c>
      <c r="AC132" s="47" t="s">
        <v>35</v>
      </c>
      <c r="AD132" s="49" t="str">
        <f>VLOOKUP(E132,sheet1!$B$2:$C$3209,2,FALSE)</f>
        <v>売上明細データダウンロード</v>
      </c>
      <c r="AE132" s="49"/>
      <c r="AF132" s="51" t="s">
        <v>777</v>
      </c>
      <c r="AG132" s="51" t="s">
        <v>775</v>
      </c>
      <c r="AH132" s="49" t="str">
        <f t="shared" si="0"/>
        <v>売上データダウンロード</v>
      </c>
      <c r="AI132" s="49"/>
      <c r="AJ132" s="49"/>
      <c r="AK132" s="49"/>
      <c r="AL132" s="49" t="str">
        <f t="shared" si="5"/>
        <v>売上データダウンロード</v>
      </c>
      <c r="AM132" s="49" t="s">
        <v>35</v>
      </c>
      <c r="AN132" s="49" t="s">
        <v>778</v>
      </c>
      <c r="AO132" s="51" t="str">
        <f t="shared" si="1"/>
        <v>売上データダウンロード</v>
      </c>
      <c r="AP132" s="51" t="str">
        <f t="shared" si="2"/>
        <v>SA7420</v>
      </c>
      <c r="AQ132" s="51" t="s">
        <v>777</v>
      </c>
      <c r="AR132" s="51" t="s">
        <v>775</v>
      </c>
      <c r="AS132" s="49" t="str">
        <f t="shared" si="3"/>
        <v>売上データダウンロード</v>
      </c>
      <c r="AT132" s="49" t="str">
        <f t="shared" si="4"/>
        <v>SA7420</v>
      </c>
      <c r="AU132" s="51" t="s">
        <v>777</v>
      </c>
      <c r="AV132" s="51" t="s">
        <v>775</v>
      </c>
    </row>
    <row r="133" spans="1:48" ht="18" customHeight="1">
      <c r="A133" s="44">
        <v>131</v>
      </c>
      <c r="B133" s="52" t="s">
        <v>292</v>
      </c>
      <c r="C133" s="45" t="s">
        <v>779</v>
      </c>
      <c r="D133" s="46" t="s">
        <v>116</v>
      </c>
      <c r="E133" s="44" t="s">
        <v>780</v>
      </c>
      <c r="F133" s="44" t="s">
        <v>781</v>
      </c>
      <c r="G133" s="44"/>
      <c r="H133" s="44"/>
      <c r="I133" s="44"/>
      <c r="J133" s="47" t="s">
        <v>35</v>
      </c>
      <c r="K133" s="47"/>
      <c r="L133" s="47"/>
      <c r="M133" s="47"/>
      <c r="N133" s="47"/>
      <c r="O133" s="44"/>
      <c r="P133" s="44"/>
      <c r="Q133" s="48">
        <f>VLOOKUP(E133,sheet1!$B$2:$D$3209,3,FALSE)</f>
        <v>7996</v>
      </c>
      <c r="R133" s="47" t="s">
        <v>35</v>
      </c>
      <c r="S133" s="47" t="s">
        <v>35</v>
      </c>
      <c r="T133" s="47" t="s">
        <v>35</v>
      </c>
      <c r="U133" s="47" t="s">
        <v>35</v>
      </c>
      <c r="V133" s="47" t="s">
        <v>35</v>
      </c>
      <c r="W133" s="47" t="s">
        <v>296</v>
      </c>
      <c r="X133" s="47" t="s">
        <v>296</v>
      </c>
      <c r="Y133" s="47" t="s">
        <v>296</v>
      </c>
      <c r="Z133" s="47" t="s">
        <v>35</v>
      </c>
      <c r="AA133" s="47" t="s">
        <v>296</v>
      </c>
      <c r="AB133" s="47" t="s">
        <v>35</v>
      </c>
      <c r="AC133" s="47" t="s">
        <v>35</v>
      </c>
      <c r="AD133" s="49" t="str">
        <f>VLOOKUP(E133,sheet1!$B$2:$C$3209,2,FALSE)</f>
        <v>売上訂正入力　　　　　　　　　　　</v>
      </c>
      <c r="AE133" s="49"/>
      <c r="AF133" s="51" t="s">
        <v>782</v>
      </c>
      <c r="AG133" s="51" t="s">
        <v>780</v>
      </c>
      <c r="AH133" s="49" t="str">
        <f t="shared" si="0"/>
        <v>売上訂正入力</v>
      </c>
      <c r="AI133" s="49"/>
      <c r="AJ133" s="49"/>
      <c r="AK133" s="49"/>
      <c r="AL133" s="49" t="str">
        <f t="shared" si="5"/>
        <v/>
      </c>
      <c r="AM133" s="49"/>
      <c r="AN133" s="49"/>
      <c r="AO133" s="51" t="str">
        <f t="shared" si="1"/>
        <v>売上訂正入力</v>
      </c>
      <c r="AP133" s="51" t="str">
        <f t="shared" si="2"/>
        <v>SA3120</v>
      </c>
      <c r="AQ133" s="51" t="s">
        <v>782</v>
      </c>
      <c r="AR133" s="51" t="s">
        <v>780</v>
      </c>
      <c r="AS133" s="49" t="str">
        <f t="shared" si="3"/>
        <v>売上訂正入力</v>
      </c>
      <c r="AT133" s="49" t="str">
        <f t="shared" si="4"/>
        <v>SA3120</v>
      </c>
      <c r="AU133" s="51" t="s">
        <v>782</v>
      </c>
      <c r="AV133" s="51" t="s">
        <v>780</v>
      </c>
    </row>
    <row r="134" spans="1:48" ht="18" customHeight="1">
      <c r="A134" s="44">
        <v>132</v>
      </c>
      <c r="B134" s="52" t="s">
        <v>292</v>
      </c>
      <c r="C134" s="52" t="s">
        <v>779</v>
      </c>
      <c r="D134" s="46" t="s">
        <v>116</v>
      </c>
      <c r="E134" s="44" t="s">
        <v>783</v>
      </c>
      <c r="F134" s="44" t="s">
        <v>784</v>
      </c>
      <c r="G134" s="44"/>
      <c r="H134" s="44"/>
      <c r="I134" s="44"/>
      <c r="J134" s="47" t="s">
        <v>35</v>
      </c>
      <c r="K134" s="47"/>
      <c r="L134" s="47"/>
      <c r="M134" s="47"/>
      <c r="N134" s="47"/>
      <c r="O134" s="44"/>
      <c r="P134" s="44"/>
      <c r="Q134" s="48">
        <f>VLOOKUP(E134,sheet1!$B$2:$D$3209,3,FALSE)</f>
        <v>673</v>
      </c>
      <c r="R134" s="47" t="s">
        <v>35</v>
      </c>
      <c r="S134" s="47" t="s">
        <v>35</v>
      </c>
      <c r="T134" s="47"/>
      <c r="U134" s="47" t="s">
        <v>35</v>
      </c>
      <c r="V134" s="47" t="s">
        <v>296</v>
      </c>
      <c r="W134" s="47" t="s">
        <v>296</v>
      </c>
      <c r="X134" s="47" t="s">
        <v>296</v>
      </c>
      <c r="Y134" s="47" t="s">
        <v>296</v>
      </c>
      <c r="Z134" s="47" t="s">
        <v>296</v>
      </c>
      <c r="AA134" s="47" t="s">
        <v>296</v>
      </c>
      <c r="AB134" s="47"/>
      <c r="AC134" s="47" t="s">
        <v>35</v>
      </c>
      <c r="AD134" s="49"/>
      <c r="AE134" s="49"/>
      <c r="AF134" s="51" t="s">
        <v>785</v>
      </c>
      <c r="AG134" s="51" t="s">
        <v>783</v>
      </c>
      <c r="AH134" s="49" t="str">
        <f t="shared" si="0"/>
        <v>売上訂正値引承認入力</v>
      </c>
      <c r="AI134" s="49"/>
      <c r="AJ134" s="49"/>
      <c r="AK134" s="49"/>
      <c r="AL134" s="49" t="str">
        <f t="shared" si="5"/>
        <v/>
      </c>
      <c r="AM134" s="49"/>
      <c r="AN134" s="49"/>
      <c r="AO134" s="51" t="str">
        <f t="shared" si="1"/>
        <v>売上訂正値引承認入力</v>
      </c>
      <c r="AP134" s="51" t="str">
        <f t="shared" si="2"/>
        <v>SA3130</v>
      </c>
      <c r="AQ134" s="51" t="s">
        <v>785</v>
      </c>
      <c r="AR134" s="51" t="s">
        <v>783</v>
      </c>
      <c r="AS134" s="49" t="str">
        <f t="shared" si="3"/>
        <v>売上訂正値引承認入力</v>
      </c>
      <c r="AT134" s="49" t="str">
        <f t="shared" si="4"/>
        <v>SA3130</v>
      </c>
      <c r="AU134" s="51" t="s">
        <v>785</v>
      </c>
      <c r="AV134" s="51" t="s">
        <v>783</v>
      </c>
    </row>
    <row r="135" spans="1:48" ht="18" customHeight="1">
      <c r="A135" s="44">
        <v>133</v>
      </c>
      <c r="B135" s="52" t="s">
        <v>292</v>
      </c>
      <c r="C135" s="52" t="s">
        <v>779</v>
      </c>
      <c r="D135" s="46" t="s">
        <v>116</v>
      </c>
      <c r="E135" s="44" t="s">
        <v>786</v>
      </c>
      <c r="F135" s="44" t="s">
        <v>787</v>
      </c>
      <c r="G135" s="44"/>
      <c r="H135" s="44"/>
      <c r="I135" s="44"/>
      <c r="J135" s="47" t="s">
        <v>35</v>
      </c>
      <c r="K135" s="47"/>
      <c r="L135" s="47"/>
      <c r="M135" s="47"/>
      <c r="N135" s="47"/>
      <c r="O135" s="44"/>
      <c r="P135" s="44"/>
      <c r="Q135" s="48">
        <f>VLOOKUP(E135,sheet1!$B$2:$D$3209,3,FALSE)</f>
        <v>2806</v>
      </c>
      <c r="R135" s="47" t="s">
        <v>35</v>
      </c>
      <c r="S135" s="47" t="s">
        <v>35</v>
      </c>
      <c r="T135" s="47"/>
      <c r="U135" s="47" t="s">
        <v>35</v>
      </c>
      <c r="V135" s="47" t="s">
        <v>296</v>
      </c>
      <c r="W135" s="47" t="s">
        <v>296</v>
      </c>
      <c r="X135" s="47" t="s">
        <v>296</v>
      </c>
      <c r="Y135" s="47" t="s">
        <v>296</v>
      </c>
      <c r="Z135" s="47" t="s">
        <v>296</v>
      </c>
      <c r="AA135" s="47" t="s">
        <v>296</v>
      </c>
      <c r="AB135" s="47"/>
      <c r="AC135" s="47" t="s">
        <v>35</v>
      </c>
      <c r="AD135" s="49"/>
      <c r="AE135" s="49"/>
      <c r="AF135" s="51" t="s">
        <v>788</v>
      </c>
      <c r="AG135" s="51" t="s">
        <v>786</v>
      </c>
      <c r="AH135" s="49" t="str">
        <f t="shared" si="0"/>
        <v>売上訂正承認入力</v>
      </c>
      <c r="AI135" s="49"/>
      <c r="AJ135" s="49"/>
      <c r="AK135" s="49"/>
      <c r="AL135" s="49" t="str">
        <f t="shared" si="5"/>
        <v/>
      </c>
      <c r="AM135" s="49"/>
      <c r="AN135" s="49"/>
      <c r="AO135" s="51" t="str">
        <f t="shared" si="1"/>
        <v>売上訂正承認入力</v>
      </c>
      <c r="AP135" s="51" t="str">
        <f t="shared" si="2"/>
        <v>SA3140</v>
      </c>
      <c r="AQ135" s="51" t="s">
        <v>788</v>
      </c>
      <c r="AR135" s="51" t="s">
        <v>786</v>
      </c>
      <c r="AS135" s="49" t="str">
        <f t="shared" si="3"/>
        <v>売上訂正承認入力</v>
      </c>
      <c r="AT135" s="49" t="str">
        <f t="shared" si="4"/>
        <v>SA3140</v>
      </c>
      <c r="AU135" s="51" t="s">
        <v>788</v>
      </c>
      <c r="AV135" s="51" t="s">
        <v>786</v>
      </c>
    </row>
    <row r="136" spans="1:48" ht="18" customHeight="1">
      <c r="A136" s="44">
        <v>134</v>
      </c>
      <c r="B136" s="52" t="s">
        <v>292</v>
      </c>
      <c r="C136" s="52" t="s">
        <v>779</v>
      </c>
      <c r="D136" s="46" t="s">
        <v>116</v>
      </c>
      <c r="E136" s="44" t="s">
        <v>786</v>
      </c>
      <c r="F136" s="44" t="s">
        <v>789</v>
      </c>
      <c r="G136" s="44"/>
      <c r="H136" s="44"/>
      <c r="I136" s="44"/>
      <c r="J136" s="47" t="s">
        <v>35</v>
      </c>
      <c r="K136" s="47"/>
      <c r="L136" s="47"/>
      <c r="M136" s="47"/>
      <c r="N136" s="47"/>
      <c r="O136" s="44"/>
      <c r="P136" s="44"/>
      <c r="Q136" s="48">
        <f>VLOOKUP(E136,sheet1!$B$2:$D$3209,3,FALSE)</f>
        <v>2806</v>
      </c>
      <c r="R136" s="47" t="s">
        <v>35</v>
      </c>
      <c r="S136" s="47" t="s">
        <v>35</v>
      </c>
      <c r="T136" s="47" t="s">
        <v>35</v>
      </c>
      <c r="U136" s="47" t="s">
        <v>35</v>
      </c>
      <c r="V136" s="47" t="s">
        <v>35</v>
      </c>
      <c r="W136" s="47" t="s">
        <v>296</v>
      </c>
      <c r="X136" s="47" t="s">
        <v>296</v>
      </c>
      <c r="Y136" s="47" t="s">
        <v>296</v>
      </c>
      <c r="Z136" s="47" t="s">
        <v>35</v>
      </c>
      <c r="AA136" s="47" t="s">
        <v>296</v>
      </c>
      <c r="AB136" s="47" t="s">
        <v>35</v>
      </c>
      <c r="AC136" s="47" t="s">
        <v>35</v>
      </c>
      <c r="AD136" s="49"/>
      <c r="AE136" s="49"/>
      <c r="AF136" s="51" t="s">
        <v>790</v>
      </c>
      <c r="AG136" s="51" t="s">
        <v>786</v>
      </c>
      <c r="AH136" s="49" t="str">
        <f t="shared" si="0"/>
        <v>売上訂正照会</v>
      </c>
      <c r="AI136" s="49"/>
      <c r="AJ136" s="49"/>
      <c r="AK136" s="49"/>
      <c r="AL136" s="49" t="str">
        <f t="shared" si="5"/>
        <v/>
      </c>
      <c r="AM136" s="49"/>
      <c r="AN136" s="49"/>
      <c r="AO136" s="51" t="str">
        <f t="shared" si="1"/>
        <v>売上訂正照会</v>
      </c>
      <c r="AP136" s="51" t="str">
        <f t="shared" si="2"/>
        <v>SA3140</v>
      </c>
      <c r="AQ136" s="51" t="s">
        <v>790</v>
      </c>
      <c r="AR136" s="51" t="s">
        <v>786</v>
      </c>
      <c r="AS136" s="49" t="str">
        <f t="shared" si="3"/>
        <v>売上訂正照会</v>
      </c>
      <c r="AT136" s="49" t="str">
        <f t="shared" si="4"/>
        <v>SA3140</v>
      </c>
      <c r="AU136" s="51" t="s">
        <v>790</v>
      </c>
      <c r="AV136" s="51" t="s">
        <v>786</v>
      </c>
    </row>
    <row r="137" spans="1:48" ht="18" customHeight="1">
      <c r="A137" s="44">
        <v>135</v>
      </c>
      <c r="B137" s="52" t="s">
        <v>292</v>
      </c>
      <c r="C137" s="52" t="s">
        <v>779</v>
      </c>
      <c r="D137" s="46" t="s">
        <v>116</v>
      </c>
      <c r="E137" s="44" t="s">
        <v>791</v>
      </c>
      <c r="F137" s="44" t="s">
        <v>792</v>
      </c>
      <c r="G137" s="44"/>
      <c r="H137" s="44"/>
      <c r="I137" s="44"/>
      <c r="J137" s="47" t="s">
        <v>35</v>
      </c>
      <c r="K137" s="47"/>
      <c r="L137" s="47"/>
      <c r="M137" s="47"/>
      <c r="N137" s="47"/>
      <c r="O137" s="44"/>
      <c r="P137" s="44"/>
      <c r="Q137" s="48">
        <f>VLOOKUP(E137,sheet1!$B$2:$D$3209,3,FALSE)</f>
        <v>677</v>
      </c>
      <c r="R137" s="47" t="s">
        <v>35</v>
      </c>
      <c r="S137" s="47" t="s">
        <v>35</v>
      </c>
      <c r="T137" s="47" t="s">
        <v>35</v>
      </c>
      <c r="U137" s="47" t="s">
        <v>35</v>
      </c>
      <c r="V137" s="47" t="s">
        <v>35</v>
      </c>
      <c r="W137" s="47" t="s">
        <v>296</v>
      </c>
      <c r="X137" s="47" t="s">
        <v>296</v>
      </c>
      <c r="Y137" s="47" t="s">
        <v>296</v>
      </c>
      <c r="Z137" s="47" t="s">
        <v>35</v>
      </c>
      <c r="AA137" s="47" t="s">
        <v>296</v>
      </c>
      <c r="AB137" s="47" t="s">
        <v>35</v>
      </c>
      <c r="AC137" s="47" t="s">
        <v>35</v>
      </c>
      <c r="AD137" s="49"/>
      <c r="AE137" s="49"/>
      <c r="AF137" s="51" t="s">
        <v>793</v>
      </c>
      <c r="AG137" s="51" t="s">
        <v>791</v>
      </c>
      <c r="AH137" s="49" t="str">
        <f t="shared" si="0"/>
        <v>売上訂正申請書出力</v>
      </c>
      <c r="AI137" s="49"/>
      <c r="AJ137" s="49"/>
      <c r="AK137" s="49"/>
      <c r="AL137" s="49" t="str">
        <f t="shared" si="5"/>
        <v/>
      </c>
      <c r="AM137" s="49"/>
      <c r="AN137" s="49"/>
      <c r="AO137" s="51" t="str">
        <f t="shared" si="1"/>
        <v>売上訂正申請書出力</v>
      </c>
      <c r="AP137" s="51" t="str">
        <f t="shared" si="2"/>
        <v>SA2880</v>
      </c>
      <c r="AQ137" s="51" t="s">
        <v>793</v>
      </c>
      <c r="AR137" s="51" t="s">
        <v>791</v>
      </c>
      <c r="AS137" s="49" t="str">
        <f t="shared" si="3"/>
        <v>売上訂正申請書出力</v>
      </c>
      <c r="AT137" s="49" t="str">
        <f t="shared" si="4"/>
        <v>SA2880</v>
      </c>
      <c r="AU137" s="51" t="s">
        <v>793</v>
      </c>
      <c r="AV137" s="51" t="s">
        <v>791</v>
      </c>
    </row>
    <row r="138" spans="1:48" ht="18" customHeight="1">
      <c r="A138" s="44">
        <v>136</v>
      </c>
      <c r="B138" s="52" t="s">
        <v>292</v>
      </c>
      <c r="C138" s="52" t="s">
        <v>779</v>
      </c>
      <c r="D138" s="46" t="s">
        <v>116</v>
      </c>
      <c r="E138" s="44" t="s">
        <v>116</v>
      </c>
      <c r="F138" s="44" t="s">
        <v>794</v>
      </c>
      <c r="G138" s="44"/>
      <c r="H138" s="44"/>
      <c r="I138" s="44"/>
      <c r="J138" s="47" t="s">
        <v>35</v>
      </c>
      <c r="K138" s="47"/>
      <c r="L138" s="47"/>
      <c r="M138" s="47"/>
      <c r="N138" s="47"/>
      <c r="O138" s="44"/>
      <c r="P138" s="44"/>
      <c r="Q138" s="48" t="e">
        <f>VLOOKUP(E138,sheet1!$B$2:$D$3209,3,FALSE)</f>
        <v>#N/A</v>
      </c>
      <c r="R138" s="47" t="s">
        <v>35</v>
      </c>
      <c r="S138" s="47" t="s">
        <v>35</v>
      </c>
      <c r="T138" s="47"/>
      <c r="U138" s="47" t="s">
        <v>35</v>
      </c>
      <c r="V138" s="47" t="s">
        <v>296</v>
      </c>
      <c r="W138" s="47" t="s">
        <v>296</v>
      </c>
      <c r="X138" s="47" t="s">
        <v>296</v>
      </c>
      <c r="Y138" s="47" t="s">
        <v>296</v>
      </c>
      <c r="Z138" s="47" t="s">
        <v>296</v>
      </c>
      <c r="AA138" s="47" t="s">
        <v>296</v>
      </c>
      <c r="AB138" s="47"/>
      <c r="AC138" s="47" t="s">
        <v>35</v>
      </c>
      <c r="AD138" s="49"/>
      <c r="AE138" s="49"/>
      <c r="AF138" s="51" t="s">
        <v>795</v>
      </c>
      <c r="AG138" s="57" t="s">
        <v>116</v>
      </c>
      <c r="AH138" s="49" t="str">
        <f t="shared" si="0"/>
        <v>修理原価訂正入力</v>
      </c>
      <c r="AI138" s="49"/>
      <c r="AJ138" s="49"/>
      <c r="AK138" s="49"/>
      <c r="AL138" s="49" t="str">
        <f t="shared" si="5"/>
        <v/>
      </c>
      <c r="AM138" s="49"/>
      <c r="AN138" s="49"/>
      <c r="AO138" s="51" t="str">
        <f t="shared" si="1"/>
        <v>修理原価訂正入力</v>
      </c>
      <c r="AP138" s="51" t="str">
        <f t="shared" si="2"/>
        <v/>
      </c>
      <c r="AQ138" s="51" t="s">
        <v>795</v>
      </c>
      <c r="AR138" s="51"/>
      <c r="AS138" s="49" t="str">
        <f t="shared" si="3"/>
        <v>修理原価訂正入力</v>
      </c>
      <c r="AT138" s="49" t="str">
        <f t="shared" si="4"/>
        <v/>
      </c>
      <c r="AU138" s="51" t="s">
        <v>795</v>
      </c>
      <c r="AV138" s="51"/>
    </row>
    <row r="139" spans="1:48" ht="18" customHeight="1">
      <c r="A139" s="44">
        <v>137</v>
      </c>
      <c r="B139" s="52" t="s">
        <v>292</v>
      </c>
      <c r="C139" s="52" t="s">
        <v>779</v>
      </c>
      <c r="D139" s="46" t="s">
        <v>116</v>
      </c>
      <c r="E139" s="44" t="s">
        <v>650</v>
      </c>
      <c r="F139" s="44" t="s">
        <v>651</v>
      </c>
      <c r="G139" s="44"/>
      <c r="H139" s="44"/>
      <c r="I139" s="44"/>
      <c r="J139" s="47" t="s">
        <v>35</v>
      </c>
      <c r="K139" s="47"/>
      <c r="L139" s="47"/>
      <c r="M139" s="47"/>
      <c r="N139" s="47"/>
      <c r="O139" s="44"/>
      <c r="P139" s="44"/>
      <c r="Q139" s="48">
        <f>VLOOKUP(E139,sheet1!$B$2:$D$3209,3,FALSE)</f>
        <v>990</v>
      </c>
      <c r="R139" s="47" t="s">
        <v>35</v>
      </c>
      <c r="S139" s="47" t="s">
        <v>35</v>
      </c>
      <c r="T139" s="47"/>
      <c r="U139" s="47" t="s">
        <v>35</v>
      </c>
      <c r="V139" s="47" t="s">
        <v>296</v>
      </c>
      <c r="W139" s="47" t="s">
        <v>296</v>
      </c>
      <c r="X139" s="47" t="s">
        <v>296</v>
      </c>
      <c r="Y139" s="47" t="s">
        <v>296</v>
      </c>
      <c r="Z139" s="47" t="s">
        <v>296</v>
      </c>
      <c r="AA139" s="47" t="s">
        <v>296</v>
      </c>
      <c r="AB139" s="47"/>
      <c r="AC139" s="47" t="s">
        <v>35</v>
      </c>
      <c r="AD139" s="49"/>
      <c r="AE139" s="49"/>
      <c r="AF139" s="51" t="s">
        <v>796</v>
      </c>
      <c r="AG139" s="51" t="s">
        <v>650</v>
      </c>
      <c r="AH139" s="49" t="str">
        <f t="shared" si="0"/>
        <v>修理コメント訂正入力</v>
      </c>
      <c r="AI139" s="49"/>
      <c r="AJ139" s="49"/>
      <c r="AK139" s="49"/>
      <c r="AL139" s="49" t="str">
        <f t="shared" si="5"/>
        <v/>
      </c>
      <c r="AM139" s="49"/>
      <c r="AN139" s="49"/>
      <c r="AO139" s="51" t="str">
        <f t="shared" si="1"/>
        <v>修理コメント訂正入力</v>
      </c>
      <c r="AP139" s="51" t="str">
        <f t="shared" si="2"/>
        <v>SA3220</v>
      </c>
      <c r="AQ139" s="51" t="s">
        <v>796</v>
      </c>
      <c r="AR139" s="51" t="s">
        <v>650</v>
      </c>
      <c r="AS139" s="49" t="str">
        <f t="shared" si="3"/>
        <v>修理コメント訂正入力</v>
      </c>
      <c r="AT139" s="49" t="str">
        <f t="shared" si="4"/>
        <v>SA3220</v>
      </c>
      <c r="AU139" s="51" t="s">
        <v>796</v>
      </c>
      <c r="AV139" s="51" t="s">
        <v>650</v>
      </c>
    </row>
    <row r="140" spans="1:48" ht="18" customHeight="1">
      <c r="A140" s="44">
        <v>138</v>
      </c>
      <c r="B140" s="52" t="s">
        <v>292</v>
      </c>
      <c r="C140" s="45" t="s">
        <v>797</v>
      </c>
      <c r="D140" s="46" t="s">
        <v>116</v>
      </c>
      <c r="E140" s="44" t="s">
        <v>798</v>
      </c>
      <c r="F140" s="44" t="s">
        <v>799</v>
      </c>
      <c r="G140" s="44"/>
      <c r="H140" s="44"/>
      <c r="I140" s="44"/>
      <c r="J140" s="47" t="s">
        <v>35</v>
      </c>
      <c r="K140" s="47"/>
      <c r="L140" s="47"/>
      <c r="M140" s="47"/>
      <c r="N140" s="47"/>
      <c r="O140" s="44"/>
      <c r="P140" s="44"/>
      <c r="Q140" s="48">
        <f>VLOOKUP(E140,sheet1!$B$2:$D$3209,3,FALSE)</f>
        <v>243</v>
      </c>
      <c r="R140" s="47" t="s">
        <v>35</v>
      </c>
      <c r="S140" s="47" t="s">
        <v>35</v>
      </c>
      <c r="T140" s="47" t="s">
        <v>35</v>
      </c>
      <c r="U140" s="47" t="s">
        <v>35</v>
      </c>
      <c r="V140" s="47" t="s">
        <v>35</v>
      </c>
      <c r="W140" s="47" t="s">
        <v>296</v>
      </c>
      <c r="X140" s="47" t="s">
        <v>296</v>
      </c>
      <c r="Y140" s="47" t="s">
        <v>296</v>
      </c>
      <c r="Z140" s="47" t="s">
        <v>35</v>
      </c>
      <c r="AA140" s="47" t="s">
        <v>296</v>
      </c>
      <c r="AB140" s="47"/>
      <c r="AC140" s="47" t="s">
        <v>35</v>
      </c>
      <c r="AD140" s="49" t="str">
        <f>VLOOKUP(E140,sheet1!$B$2:$C$3209,2,FALSE)</f>
        <v>販売課別地区別売上実績集計～画面</v>
      </c>
      <c r="AE140" s="49"/>
      <c r="AF140" s="51" t="s">
        <v>800</v>
      </c>
      <c r="AG140" s="51" t="s">
        <v>798</v>
      </c>
      <c r="AH140" s="49" t="str">
        <f t="shared" si="0"/>
        <v>販売課課別地区別売上実績集計</v>
      </c>
      <c r="AI140" s="49"/>
      <c r="AJ140" s="49"/>
      <c r="AK140" s="49"/>
      <c r="AL140" s="49" t="str">
        <f t="shared" si="5"/>
        <v/>
      </c>
      <c r="AM140" s="49"/>
      <c r="AN140" s="49"/>
      <c r="AO140" s="51" t="str">
        <f t="shared" si="1"/>
        <v>販売課課別地区別売上実績集計</v>
      </c>
      <c r="AP140" s="51" t="str">
        <f t="shared" si="2"/>
        <v>SA7000</v>
      </c>
      <c r="AQ140" s="51" t="s">
        <v>800</v>
      </c>
      <c r="AR140" s="51" t="s">
        <v>798</v>
      </c>
      <c r="AS140" s="49" t="str">
        <f t="shared" si="3"/>
        <v>販売課課別地区別売上実績集計</v>
      </c>
      <c r="AT140" s="49" t="str">
        <f t="shared" si="4"/>
        <v>SA7000</v>
      </c>
      <c r="AU140" s="51" t="s">
        <v>800</v>
      </c>
      <c r="AV140" s="51" t="s">
        <v>798</v>
      </c>
    </row>
    <row r="141" spans="1:48" ht="18" customHeight="1">
      <c r="A141" s="44">
        <v>139</v>
      </c>
      <c r="B141" s="52" t="s">
        <v>292</v>
      </c>
      <c r="C141" s="52" t="s">
        <v>797</v>
      </c>
      <c r="D141" s="46" t="s">
        <v>116</v>
      </c>
      <c r="E141" s="44" t="s">
        <v>801</v>
      </c>
      <c r="F141" s="44" t="s">
        <v>802</v>
      </c>
      <c r="G141" s="44"/>
      <c r="H141" s="44"/>
      <c r="I141" s="44"/>
      <c r="J141" s="47" t="s">
        <v>35</v>
      </c>
      <c r="K141" s="47"/>
      <c r="L141" s="47"/>
      <c r="M141" s="47"/>
      <c r="N141" s="47"/>
      <c r="O141" s="44"/>
      <c r="P141" s="44"/>
      <c r="Q141" s="48">
        <f>VLOOKUP(E141,sheet1!$B$2:$D$3209,3,FALSE)</f>
        <v>471</v>
      </c>
      <c r="R141" s="47" t="s">
        <v>35</v>
      </c>
      <c r="S141" s="47" t="s">
        <v>35</v>
      </c>
      <c r="T141" s="47" t="s">
        <v>35</v>
      </c>
      <c r="U141" s="47" t="s">
        <v>35</v>
      </c>
      <c r="V141" s="47" t="s">
        <v>35</v>
      </c>
      <c r="W141" s="47" t="s">
        <v>296</v>
      </c>
      <c r="X141" s="47" t="s">
        <v>296</v>
      </c>
      <c r="Y141" s="47" t="s">
        <v>296</v>
      </c>
      <c r="Z141" s="47" t="s">
        <v>35</v>
      </c>
      <c r="AA141" s="47" t="s">
        <v>296</v>
      </c>
      <c r="AB141" s="47"/>
      <c r="AC141" s="47" t="s">
        <v>35</v>
      </c>
      <c r="AD141" s="49" t="str">
        <f>VLOOKUP(E141,sheet1!$B$2:$C$3209,2,FALSE)</f>
        <v>地区別売上実績集計～ﾚｺｰﾄﾞ作成</v>
      </c>
      <c r="AE141" s="49"/>
      <c r="AF141" s="51" t="s">
        <v>803</v>
      </c>
      <c r="AG141" s="51" t="s">
        <v>801</v>
      </c>
      <c r="AH141" s="49" t="str">
        <f t="shared" si="0"/>
        <v>地区別売上実績集計</v>
      </c>
      <c r="AI141" s="49"/>
      <c r="AJ141" s="49"/>
      <c r="AK141" s="49"/>
      <c r="AL141" s="49" t="str">
        <f t="shared" si="5"/>
        <v/>
      </c>
      <c r="AM141" s="49"/>
      <c r="AN141" s="49"/>
      <c r="AO141" s="51" t="str">
        <f t="shared" si="1"/>
        <v>地区別売上実績集計</v>
      </c>
      <c r="AP141" s="51" t="str">
        <f t="shared" si="2"/>
        <v>SA7010</v>
      </c>
      <c r="AQ141" s="51" t="s">
        <v>803</v>
      </c>
      <c r="AR141" s="51" t="s">
        <v>801</v>
      </c>
      <c r="AS141" s="49" t="str">
        <f t="shared" si="3"/>
        <v>地区別売上実績集計</v>
      </c>
      <c r="AT141" s="49" t="str">
        <f t="shared" si="4"/>
        <v>SA7010</v>
      </c>
      <c r="AU141" s="51" t="s">
        <v>803</v>
      </c>
      <c r="AV141" s="51" t="s">
        <v>801</v>
      </c>
    </row>
    <row r="142" spans="1:48" ht="18" customHeight="1">
      <c r="A142" s="44">
        <v>140</v>
      </c>
      <c r="B142" s="52" t="s">
        <v>292</v>
      </c>
      <c r="C142" s="52" t="s">
        <v>797</v>
      </c>
      <c r="D142" s="46" t="s">
        <v>116</v>
      </c>
      <c r="E142" s="44" t="s">
        <v>804</v>
      </c>
      <c r="F142" s="44" t="s">
        <v>805</v>
      </c>
      <c r="G142" s="44"/>
      <c r="H142" s="44"/>
      <c r="I142" s="44"/>
      <c r="J142" s="47" t="s">
        <v>35</v>
      </c>
      <c r="K142" s="47"/>
      <c r="L142" s="47"/>
      <c r="M142" s="47"/>
      <c r="N142" s="47"/>
      <c r="O142" s="44"/>
      <c r="P142" s="44"/>
      <c r="Q142" s="48">
        <f>VLOOKUP(E142,sheet1!$B$2:$D$3209,3,FALSE)</f>
        <v>204</v>
      </c>
      <c r="R142" s="47" t="s">
        <v>35</v>
      </c>
      <c r="S142" s="47" t="s">
        <v>35</v>
      </c>
      <c r="T142" s="47" t="s">
        <v>35</v>
      </c>
      <c r="U142" s="47" t="s">
        <v>35</v>
      </c>
      <c r="V142" s="47" t="s">
        <v>35</v>
      </c>
      <c r="W142" s="47" t="s">
        <v>296</v>
      </c>
      <c r="X142" s="47" t="s">
        <v>296</v>
      </c>
      <c r="Y142" s="47" t="s">
        <v>296</v>
      </c>
      <c r="Z142" s="47" t="s">
        <v>35</v>
      </c>
      <c r="AA142" s="47" t="s">
        <v>296</v>
      </c>
      <c r="AB142" s="47"/>
      <c r="AC142" s="47" t="s">
        <v>35</v>
      </c>
      <c r="AD142" s="49" t="str">
        <f>VLOOKUP(E142,sheet1!$B$2:$C$3209,2,FALSE)</f>
        <v>4品種別地区別売上実績集計～画面入力</v>
      </c>
      <c r="AE142" s="49"/>
      <c r="AF142" s="51" t="s">
        <v>806</v>
      </c>
      <c r="AG142" s="51" t="s">
        <v>804</v>
      </c>
      <c r="AH142" s="49" t="str">
        <f t="shared" si="0"/>
        <v>４品種別地区別売上実績集計</v>
      </c>
      <c r="AI142" s="49"/>
      <c r="AJ142" s="49"/>
      <c r="AK142" s="49"/>
      <c r="AL142" s="49" t="str">
        <f t="shared" si="5"/>
        <v/>
      </c>
      <c r="AM142" s="49"/>
      <c r="AN142" s="49"/>
      <c r="AO142" s="51" t="str">
        <f t="shared" si="1"/>
        <v>４品種別地区別売上実績集計</v>
      </c>
      <c r="AP142" s="51" t="str">
        <f t="shared" si="2"/>
        <v>SA7020</v>
      </c>
      <c r="AQ142" s="51" t="s">
        <v>806</v>
      </c>
      <c r="AR142" s="51" t="s">
        <v>804</v>
      </c>
      <c r="AS142" s="49" t="str">
        <f t="shared" si="3"/>
        <v>４品種別地区別売上実績集計</v>
      </c>
      <c r="AT142" s="49" t="str">
        <f t="shared" si="4"/>
        <v>SA7020</v>
      </c>
      <c r="AU142" s="51" t="s">
        <v>806</v>
      </c>
      <c r="AV142" s="51" t="s">
        <v>804</v>
      </c>
    </row>
    <row r="143" spans="1:48" ht="18" customHeight="1">
      <c r="A143" s="44">
        <v>141</v>
      </c>
      <c r="B143" s="52" t="s">
        <v>292</v>
      </c>
      <c r="C143" s="52" t="s">
        <v>797</v>
      </c>
      <c r="D143" s="46" t="s">
        <v>116</v>
      </c>
      <c r="E143" s="44" t="s">
        <v>807</v>
      </c>
      <c r="F143" s="44" t="s">
        <v>808</v>
      </c>
      <c r="G143" s="44"/>
      <c r="H143" s="44"/>
      <c r="I143" s="44"/>
      <c r="J143" s="47" t="s">
        <v>35</v>
      </c>
      <c r="K143" s="47"/>
      <c r="L143" s="47"/>
      <c r="M143" s="47"/>
      <c r="N143" s="47"/>
      <c r="O143" s="44"/>
      <c r="P143" s="44"/>
      <c r="Q143" s="48">
        <f>VLOOKUP(E143,sheet1!$B$2:$D$3209,3,FALSE)</f>
        <v>188</v>
      </c>
      <c r="R143" s="47" t="s">
        <v>35</v>
      </c>
      <c r="S143" s="47" t="s">
        <v>35</v>
      </c>
      <c r="T143" s="47" t="s">
        <v>35</v>
      </c>
      <c r="U143" s="47" t="s">
        <v>35</v>
      </c>
      <c r="V143" s="47" t="s">
        <v>35</v>
      </c>
      <c r="W143" s="47" t="s">
        <v>296</v>
      </c>
      <c r="X143" s="47" t="s">
        <v>296</v>
      </c>
      <c r="Y143" s="47" t="s">
        <v>296</v>
      </c>
      <c r="Z143" s="47" t="s">
        <v>35</v>
      </c>
      <c r="AA143" s="47" t="s">
        <v>296</v>
      </c>
      <c r="AB143" s="47"/>
      <c r="AC143" s="47" t="s">
        <v>35</v>
      </c>
      <c r="AD143" s="49" t="str">
        <f>VLOOKUP(E143,sheet1!$B$2:$C$3209,2,FALSE)</f>
        <v>売上日計表（売上計上分）～画面</v>
      </c>
      <c r="AE143" s="49"/>
      <c r="AF143" s="51" t="s">
        <v>809</v>
      </c>
      <c r="AG143" s="51" t="s">
        <v>807</v>
      </c>
      <c r="AH143" s="49" t="str">
        <f t="shared" si="0"/>
        <v>売上日計表（売上計上分）</v>
      </c>
      <c r="AI143" s="49"/>
      <c r="AJ143" s="49"/>
      <c r="AK143" s="49"/>
      <c r="AL143" s="49" t="str">
        <f t="shared" si="5"/>
        <v/>
      </c>
      <c r="AM143" s="49"/>
      <c r="AN143" s="49"/>
      <c r="AO143" s="51" t="str">
        <f t="shared" si="1"/>
        <v>売上日計表（売上計上分）</v>
      </c>
      <c r="AP143" s="51" t="str">
        <f t="shared" si="2"/>
        <v>SA7030</v>
      </c>
      <c r="AQ143" s="51" t="s">
        <v>809</v>
      </c>
      <c r="AR143" s="51" t="s">
        <v>807</v>
      </c>
      <c r="AS143" s="49" t="str">
        <f t="shared" si="3"/>
        <v>売上日計表（売上計上分）</v>
      </c>
      <c r="AT143" s="49" t="str">
        <f t="shared" si="4"/>
        <v>SA7030</v>
      </c>
      <c r="AU143" s="51" t="s">
        <v>809</v>
      </c>
      <c r="AV143" s="51" t="s">
        <v>807</v>
      </c>
    </row>
    <row r="144" spans="1:48" ht="18" customHeight="1">
      <c r="A144" s="44">
        <v>142</v>
      </c>
      <c r="B144" s="52" t="s">
        <v>292</v>
      </c>
      <c r="C144" s="52" t="s">
        <v>797</v>
      </c>
      <c r="D144" s="46" t="s">
        <v>116</v>
      </c>
      <c r="E144" s="44" t="s">
        <v>810</v>
      </c>
      <c r="F144" s="44" t="s">
        <v>811</v>
      </c>
      <c r="G144" s="44"/>
      <c r="H144" s="44"/>
      <c r="I144" s="44"/>
      <c r="J144" s="47" t="s">
        <v>35</v>
      </c>
      <c r="K144" s="47"/>
      <c r="L144" s="47"/>
      <c r="M144" s="47"/>
      <c r="N144" s="47"/>
      <c r="O144" s="44"/>
      <c r="P144" s="44"/>
      <c r="Q144" s="48">
        <f>VLOOKUP(E144,sheet1!$B$2:$D$3209,3,FALSE)</f>
        <v>238</v>
      </c>
      <c r="R144" s="47" t="s">
        <v>35</v>
      </c>
      <c r="S144" s="47" t="s">
        <v>35</v>
      </c>
      <c r="T144" s="47" t="s">
        <v>35</v>
      </c>
      <c r="U144" s="47" t="s">
        <v>35</v>
      </c>
      <c r="V144" s="47" t="s">
        <v>35</v>
      </c>
      <c r="W144" s="47" t="s">
        <v>296</v>
      </c>
      <c r="X144" s="47" t="s">
        <v>296</v>
      </c>
      <c r="Y144" s="47" t="s">
        <v>296</v>
      </c>
      <c r="Z144" s="47" t="s">
        <v>35</v>
      </c>
      <c r="AA144" s="47" t="s">
        <v>296</v>
      </c>
      <c r="AB144" s="47"/>
      <c r="AC144" s="47" t="s">
        <v>35</v>
      </c>
      <c r="AD144" s="49" t="str">
        <f>VLOOKUP(E144,sheet1!$B$2:$C$3209,2,FALSE)</f>
        <v>得意先別売上実績表～画面入力</v>
      </c>
      <c r="AE144" s="49"/>
      <c r="AF144" s="51" t="s">
        <v>812</v>
      </c>
      <c r="AG144" s="51" t="s">
        <v>810</v>
      </c>
      <c r="AH144" s="49" t="str">
        <f t="shared" si="0"/>
        <v>得意先別売上実績表</v>
      </c>
      <c r="AI144" s="49"/>
      <c r="AJ144" s="49"/>
      <c r="AK144" s="49"/>
      <c r="AL144" s="49" t="str">
        <f t="shared" si="5"/>
        <v/>
      </c>
      <c r="AM144" s="49"/>
      <c r="AN144" s="49"/>
      <c r="AO144" s="51" t="str">
        <f t="shared" si="1"/>
        <v>得意先別売上実績表</v>
      </c>
      <c r="AP144" s="51" t="str">
        <f t="shared" si="2"/>
        <v>SA7040</v>
      </c>
      <c r="AQ144" s="51" t="s">
        <v>812</v>
      </c>
      <c r="AR144" s="51" t="s">
        <v>810</v>
      </c>
      <c r="AS144" s="49" t="str">
        <f t="shared" si="3"/>
        <v>得意先別売上実績表</v>
      </c>
      <c r="AT144" s="49" t="str">
        <f t="shared" si="4"/>
        <v>SA7040</v>
      </c>
      <c r="AU144" s="51" t="s">
        <v>812</v>
      </c>
      <c r="AV144" s="51" t="s">
        <v>810</v>
      </c>
    </row>
    <row r="145" spans="1:48" ht="18" customHeight="1">
      <c r="A145" s="44">
        <v>143</v>
      </c>
      <c r="B145" s="52" t="s">
        <v>292</v>
      </c>
      <c r="C145" s="52" t="s">
        <v>797</v>
      </c>
      <c r="D145" s="46" t="s">
        <v>116</v>
      </c>
      <c r="E145" s="44" t="s">
        <v>813</v>
      </c>
      <c r="F145" s="44" t="s">
        <v>814</v>
      </c>
      <c r="G145" s="44"/>
      <c r="H145" s="44"/>
      <c r="I145" s="44"/>
      <c r="J145" s="47" t="s">
        <v>35</v>
      </c>
      <c r="K145" s="47"/>
      <c r="L145" s="47"/>
      <c r="M145" s="47"/>
      <c r="N145" s="47"/>
      <c r="O145" s="44"/>
      <c r="P145" s="44"/>
      <c r="Q145" s="48">
        <f>VLOOKUP(E145,sheet1!$B$2:$D$3209,3,FALSE)</f>
        <v>205</v>
      </c>
      <c r="R145" s="47" t="s">
        <v>35</v>
      </c>
      <c r="S145" s="47" t="s">
        <v>35</v>
      </c>
      <c r="T145" s="47" t="s">
        <v>35</v>
      </c>
      <c r="U145" s="47" t="s">
        <v>35</v>
      </c>
      <c r="V145" s="47" t="s">
        <v>35</v>
      </c>
      <c r="W145" s="47" t="s">
        <v>296</v>
      </c>
      <c r="X145" s="47" t="s">
        <v>296</v>
      </c>
      <c r="Y145" s="47" t="s">
        <v>296</v>
      </c>
      <c r="Z145" s="47" t="s">
        <v>35</v>
      </c>
      <c r="AA145" s="47" t="s">
        <v>296</v>
      </c>
      <c r="AB145" s="47"/>
      <c r="AC145" s="47" t="s">
        <v>35</v>
      </c>
      <c r="AD145" s="49" t="str">
        <f>VLOOKUP(E145,sheet1!$B$2:$C$3209,2,FALSE)</f>
        <v>売上伝票部課別集計表～画面</v>
      </c>
      <c r="AE145" s="49"/>
      <c r="AF145" s="51" t="s">
        <v>815</v>
      </c>
      <c r="AG145" s="51" t="s">
        <v>813</v>
      </c>
      <c r="AH145" s="49" t="str">
        <f t="shared" si="0"/>
        <v>売上伝票部課別集計表</v>
      </c>
      <c r="AI145" s="49"/>
      <c r="AJ145" s="49"/>
      <c r="AK145" s="49"/>
      <c r="AL145" s="49" t="str">
        <f t="shared" si="5"/>
        <v/>
      </c>
      <c r="AM145" s="49"/>
      <c r="AN145" s="49"/>
      <c r="AO145" s="51" t="str">
        <f t="shared" si="1"/>
        <v>売上伝票部課別集計表</v>
      </c>
      <c r="AP145" s="51" t="str">
        <f t="shared" si="2"/>
        <v>SA7050</v>
      </c>
      <c r="AQ145" s="51" t="s">
        <v>815</v>
      </c>
      <c r="AR145" s="51" t="s">
        <v>813</v>
      </c>
      <c r="AS145" s="49" t="str">
        <f t="shared" si="3"/>
        <v>売上伝票部課別集計表</v>
      </c>
      <c r="AT145" s="49" t="str">
        <f t="shared" si="4"/>
        <v>SA7050</v>
      </c>
      <c r="AU145" s="51" t="s">
        <v>815</v>
      </c>
      <c r="AV145" s="51" t="s">
        <v>813</v>
      </c>
    </row>
    <row r="146" spans="1:48" ht="18" customHeight="1">
      <c r="A146" s="44">
        <v>144</v>
      </c>
      <c r="B146" s="52" t="s">
        <v>292</v>
      </c>
      <c r="C146" s="52" t="s">
        <v>797</v>
      </c>
      <c r="D146" s="46" t="s">
        <v>116</v>
      </c>
      <c r="E146" s="44" t="s">
        <v>816</v>
      </c>
      <c r="F146" s="44" t="s">
        <v>817</v>
      </c>
      <c r="G146" s="44"/>
      <c r="H146" s="44"/>
      <c r="I146" s="44"/>
      <c r="J146" s="47" t="s">
        <v>35</v>
      </c>
      <c r="K146" s="47"/>
      <c r="L146" s="47"/>
      <c r="M146" s="47"/>
      <c r="N146" s="47"/>
      <c r="O146" s="44"/>
      <c r="P146" s="44"/>
      <c r="Q146" s="48">
        <f>VLOOKUP(E146,sheet1!$B$2:$D$3209,3,FALSE)</f>
        <v>218</v>
      </c>
      <c r="R146" s="47" t="s">
        <v>35</v>
      </c>
      <c r="S146" s="47" t="s">
        <v>35</v>
      </c>
      <c r="T146" s="47" t="s">
        <v>35</v>
      </c>
      <c r="U146" s="47" t="s">
        <v>35</v>
      </c>
      <c r="V146" s="47" t="s">
        <v>35</v>
      </c>
      <c r="W146" s="47" t="s">
        <v>296</v>
      </c>
      <c r="X146" s="47" t="s">
        <v>296</v>
      </c>
      <c r="Y146" s="47" t="s">
        <v>296</v>
      </c>
      <c r="Z146" s="47" t="s">
        <v>35</v>
      </c>
      <c r="AA146" s="47" t="s">
        <v>296</v>
      </c>
      <c r="AB146" s="47"/>
      <c r="AC146" s="47" t="s">
        <v>35</v>
      </c>
      <c r="AD146" s="49" t="str">
        <f>VLOOKUP(E146,sheet1!$B$2:$C$3209,2,FALSE)</f>
        <v>売上伝票部課別・得意先別集計表～画面</v>
      </c>
      <c r="AE146" s="49"/>
      <c r="AF146" s="51" t="s">
        <v>818</v>
      </c>
      <c r="AG146" s="51" t="s">
        <v>816</v>
      </c>
      <c r="AH146" s="49" t="str">
        <f t="shared" si="0"/>
        <v>売上伝票部課別・得意先別集計</v>
      </c>
      <c r="AI146" s="49"/>
      <c r="AJ146" s="49"/>
      <c r="AK146" s="49"/>
      <c r="AL146" s="49" t="str">
        <f t="shared" si="5"/>
        <v/>
      </c>
      <c r="AM146" s="49"/>
      <c r="AN146" s="49"/>
      <c r="AO146" s="51" t="str">
        <f t="shared" si="1"/>
        <v>売上伝票部課別・得意先別集計</v>
      </c>
      <c r="AP146" s="51" t="str">
        <f t="shared" si="2"/>
        <v>SA7060</v>
      </c>
      <c r="AQ146" s="51" t="s">
        <v>818</v>
      </c>
      <c r="AR146" s="51" t="s">
        <v>816</v>
      </c>
      <c r="AS146" s="49" t="str">
        <f t="shared" si="3"/>
        <v>売上伝票部課別・得意先別集計</v>
      </c>
      <c r="AT146" s="49" t="str">
        <f t="shared" si="4"/>
        <v>SA7060</v>
      </c>
      <c r="AU146" s="51" t="s">
        <v>818</v>
      </c>
      <c r="AV146" s="51" t="s">
        <v>816</v>
      </c>
    </row>
    <row r="147" spans="1:48" ht="18" customHeight="1">
      <c r="A147" s="44">
        <v>145</v>
      </c>
      <c r="B147" s="52" t="s">
        <v>292</v>
      </c>
      <c r="C147" s="52" t="s">
        <v>797</v>
      </c>
      <c r="D147" s="46" t="s">
        <v>116</v>
      </c>
      <c r="E147" s="44" t="s">
        <v>819</v>
      </c>
      <c r="F147" s="44" t="s">
        <v>820</v>
      </c>
      <c r="G147" s="44"/>
      <c r="H147" s="44"/>
      <c r="I147" s="44"/>
      <c r="J147" s="47" t="s">
        <v>35</v>
      </c>
      <c r="K147" s="47"/>
      <c r="L147" s="47"/>
      <c r="M147" s="47"/>
      <c r="N147" s="47"/>
      <c r="O147" s="44"/>
      <c r="P147" s="44"/>
      <c r="Q147" s="48">
        <f>VLOOKUP(E147,sheet1!$B$2:$D$3209,3,FALSE)</f>
        <v>166</v>
      </c>
      <c r="R147" s="47" t="s">
        <v>35</v>
      </c>
      <c r="S147" s="47" t="s">
        <v>35</v>
      </c>
      <c r="T147" s="47" t="s">
        <v>35</v>
      </c>
      <c r="U147" s="47" t="s">
        <v>35</v>
      </c>
      <c r="V147" s="47" t="s">
        <v>35</v>
      </c>
      <c r="W147" s="47" t="s">
        <v>296</v>
      </c>
      <c r="X147" s="47" t="s">
        <v>296</v>
      </c>
      <c r="Y147" s="47" t="s">
        <v>296</v>
      </c>
      <c r="Z147" s="47" t="s">
        <v>35</v>
      </c>
      <c r="AA147" s="47" t="s">
        <v>296</v>
      </c>
      <c r="AB147" s="47"/>
      <c r="AC147" s="47" t="s">
        <v>35</v>
      </c>
      <c r="AD147" s="49" t="str">
        <f>VLOOKUP(E147,sheet1!$B$2:$C$3209,2,FALSE)</f>
        <v>売上伝票得意先別集計表　日付範囲指定～画面入力</v>
      </c>
      <c r="AE147" s="49"/>
      <c r="AF147" s="51" t="s">
        <v>821</v>
      </c>
      <c r="AG147" s="51" t="s">
        <v>819</v>
      </c>
      <c r="AH147" s="49" t="str">
        <f t="shared" si="0"/>
        <v>売上伝票集計表　日付範囲指定</v>
      </c>
      <c r="AI147" s="49"/>
      <c r="AJ147" s="49"/>
      <c r="AK147" s="49"/>
      <c r="AL147" s="49" t="str">
        <f t="shared" si="5"/>
        <v/>
      </c>
      <c r="AM147" s="49"/>
      <c r="AN147" s="49"/>
      <c r="AO147" s="51" t="str">
        <f t="shared" si="1"/>
        <v>売上伝票集計表　日付範囲指定</v>
      </c>
      <c r="AP147" s="51" t="str">
        <f t="shared" si="2"/>
        <v>SA7070</v>
      </c>
      <c r="AQ147" s="51" t="s">
        <v>821</v>
      </c>
      <c r="AR147" s="51" t="s">
        <v>819</v>
      </c>
      <c r="AS147" s="49" t="str">
        <f t="shared" si="3"/>
        <v>売上伝票集計表　日付範囲指定</v>
      </c>
      <c r="AT147" s="49" t="str">
        <f t="shared" si="4"/>
        <v>SA7070</v>
      </c>
      <c r="AU147" s="51" t="s">
        <v>821</v>
      </c>
      <c r="AV147" s="51" t="s">
        <v>819</v>
      </c>
    </row>
    <row r="148" spans="1:48" ht="18" customHeight="1">
      <c r="A148" s="44">
        <v>146</v>
      </c>
      <c r="B148" s="52" t="s">
        <v>292</v>
      </c>
      <c r="C148" s="52" t="s">
        <v>797</v>
      </c>
      <c r="D148" s="46" t="s">
        <v>116</v>
      </c>
      <c r="E148" s="44" t="s">
        <v>822</v>
      </c>
      <c r="F148" s="44" t="s">
        <v>823</v>
      </c>
      <c r="G148" s="44"/>
      <c r="H148" s="44"/>
      <c r="I148" s="44"/>
      <c r="J148" s="47" t="s">
        <v>35</v>
      </c>
      <c r="K148" s="47"/>
      <c r="L148" s="47"/>
      <c r="M148" s="47"/>
      <c r="N148" s="47"/>
      <c r="O148" s="44"/>
      <c r="P148" s="44"/>
      <c r="Q148" s="48">
        <f>VLOOKUP(E148,sheet1!$B$2:$D$3209,3,FALSE)</f>
        <v>191</v>
      </c>
      <c r="R148" s="47" t="s">
        <v>35</v>
      </c>
      <c r="S148" s="47" t="s">
        <v>35</v>
      </c>
      <c r="T148" s="47" t="s">
        <v>35</v>
      </c>
      <c r="U148" s="47" t="s">
        <v>35</v>
      </c>
      <c r="V148" s="47" t="s">
        <v>35</v>
      </c>
      <c r="W148" s="47" t="s">
        <v>296</v>
      </c>
      <c r="X148" s="47" t="s">
        <v>296</v>
      </c>
      <c r="Y148" s="47" t="s">
        <v>296</v>
      </c>
      <c r="Z148" s="47" t="s">
        <v>35</v>
      </c>
      <c r="AA148" s="47" t="s">
        <v>296</v>
      </c>
      <c r="AB148" s="47"/>
      <c r="AC148" s="47" t="s">
        <v>35</v>
      </c>
      <c r="AD148" s="49" t="str">
        <f>VLOOKUP(E148,sheet1!$B$2:$C$3209,2,FALSE)</f>
        <v>部課別得意先別機種別売上管理表～画面入力</v>
      </c>
      <c r="AE148" s="49"/>
      <c r="AF148" s="51" t="s">
        <v>824</v>
      </c>
      <c r="AG148" s="51" t="s">
        <v>822</v>
      </c>
      <c r="AH148" s="49" t="str">
        <f t="shared" si="0"/>
        <v>部課別得意先別機種別売上管理</v>
      </c>
      <c r="AI148" s="49"/>
      <c r="AJ148" s="49"/>
      <c r="AK148" s="49"/>
      <c r="AL148" s="49" t="str">
        <f t="shared" si="5"/>
        <v/>
      </c>
      <c r="AM148" s="49"/>
      <c r="AN148" s="49"/>
      <c r="AO148" s="51" t="str">
        <f t="shared" si="1"/>
        <v>部課別得意先別機種別売上管理</v>
      </c>
      <c r="AP148" s="51" t="str">
        <f t="shared" si="2"/>
        <v>SA7080</v>
      </c>
      <c r="AQ148" s="51" t="s">
        <v>824</v>
      </c>
      <c r="AR148" s="51" t="s">
        <v>822</v>
      </c>
      <c r="AS148" s="49" t="str">
        <f t="shared" si="3"/>
        <v>部課別得意先別機種別売上管理</v>
      </c>
      <c r="AT148" s="49" t="str">
        <f t="shared" si="4"/>
        <v>SA7080</v>
      </c>
      <c r="AU148" s="51" t="s">
        <v>824</v>
      </c>
      <c r="AV148" s="51" t="s">
        <v>822</v>
      </c>
    </row>
    <row r="149" spans="1:48" ht="18" customHeight="1">
      <c r="A149" s="44">
        <v>147</v>
      </c>
      <c r="B149" s="52" t="s">
        <v>292</v>
      </c>
      <c r="C149" s="52" t="s">
        <v>797</v>
      </c>
      <c r="D149" s="46" t="s">
        <v>116</v>
      </c>
      <c r="E149" s="44" t="s">
        <v>825</v>
      </c>
      <c r="F149" s="44" t="s">
        <v>826</v>
      </c>
      <c r="G149" s="44"/>
      <c r="H149" s="44"/>
      <c r="I149" s="44"/>
      <c r="J149" s="47" t="s">
        <v>35</v>
      </c>
      <c r="K149" s="47"/>
      <c r="L149" s="47"/>
      <c r="M149" s="47"/>
      <c r="N149" s="47"/>
      <c r="O149" s="44"/>
      <c r="P149" s="44"/>
      <c r="Q149" s="48">
        <f>VLOOKUP(E149,sheet1!$B$2:$D$3209,3,FALSE)</f>
        <v>202</v>
      </c>
      <c r="R149" s="47" t="s">
        <v>35</v>
      </c>
      <c r="S149" s="47" t="s">
        <v>35</v>
      </c>
      <c r="T149" s="47" t="s">
        <v>35</v>
      </c>
      <c r="U149" s="47" t="s">
        <v>35</v>
      </c>
      <c r="V149" s="47" t="s">
        <v>35</v>
      </c>
      <c r="W149" s="47" t="s">
        <v>296</v>
      </c>
      <c r="X149" s="47" t="s">
        <v>296</v>
      </c>
      <c r="Y149" s="47" t="s">
        <v>296</v>
      </c>
      <c r="Z149" s="47" t="s">
        <v>35</v>
      </c>
      <c r="AA149" s="47" t="s">
        <v>296</v>
      </c>
      <c r="AB149" s="47"/>
      <c r="AC149" s="47" t="s">
        <v>35</v>
      </c>
      <c r="AD149" s="49" t="str">
        <f>VLOOKUP(E149,sheet1!$B$2:$C$3209,2,FALSE)</f>
        <v>部課別・品目別売上管理表～画面入力</v>
      </c>
      <c r="AE149" s="49"/>
      <c r="AF149" s="51" t="s">
        <v>827</v>
      </c>
      <c r="AG149" s="51" t="s">
        <v>825</v>
      </c>
      <c r="AH149" s="49" t="str">
        <f t="shared" si="0"/>
        <v>部課別・品目別売上管理表</v>
      </c>
      <c r="AI149" s="49"/>
      <c r="AJ149" s="49"/>
      <c r="AK149" s="49"/>
      <c r="AL149" s="49" t="str">
        <f t="shared" si="5"/>
        <v/>
      </c>
      <c r="AM149" s="49"/>
      <c r="AN149" s="49"/>
      <c r="AO149" s="51" t="str">
        <f t="shared" si="1"/>
        <v>部課別・品目別売上管理表</v>
      </c>
      <c r="AP149" s="51" t="str">
        <f t="shared" si="2"/>
        <v>SA7090</v>
      </c>
      <c r="AQ149" s="51" t="s">
        <v>827</v>
      </c>
      <c r="AR149" s="51" t="s">
        <v>825</v>
      </c>
      <c r="AS149" s="49" t="str">
        <f t="shared" si="3"/>
        <v>部課別・品目別売上管理表</v>
      </c>
      <c r="AT149" s="49" t="str">
        <f t="shared" si="4"/>
        <v>SA7090</v>
      </c>
      <c r="AU149" s="51" t="s">
        <v>827</v>
      </c>
      <c r="AV149" s="51" t="s">
        <v>825</v>
      </c>
    </row>
    <row r="150" spans="1:48" ht="18" customHeight="1">
      <c r="A150" s="44">
        <v>148</v>
      </c>
      <c r="B150" s="52" t="s">
        <v>292</v>
      </c>
      <c r="C150" s="52" t="s">
        <v>797</v>
      </c>
      <c r="D150" s="46" t="s">
        <v>116</v>
      </c>
      <c r="E150" s="44" t="s">
        <v>828</v>
      </c>
      <c r="F150" s="44" t="s">
        <v>829</v>
      </c>
      <c r="G150" s="44"/>
      <c r="H150" s="44"/>
      <c r="I150" s="44"/>
      <c r="J150" s="47" t="s">
        <v>35</v>
      </c>
      <c r="K150" s="47"/>
      <c r="L150" s="47"/>
      <c r="M150" s="47"/>
      <c r="N150" s="47"/>
      <c r="O150" s="44"/>
      <c r="P150" s="44"/>
      <c r="Q150" s="48">
        <f>VLOOKUP(E150,sheet1!$B$2:$D$3209,3,FALSE)</f>
        <v>796</v>
      </c>
      <c r="R150" s="47" t="s">
        <v>35</v>
      </c>
      <c r="S150" s="47" t="s">
        <v>35</v>
      </c>
      <c r="T150" s="47" t="s">
        <v>35</v>
      </c>
      <c r="U150" s="47" t="s">
        <v>35</v>
      </c>
      <c r="V150" s="47" t="s">
        <v>35</v>
      </c>
      <c r="W150" s="47" t="s">
        <v>296</v>
      </c>
      <c r="X150" s="47" t="s">
        <v>296</v>
      </c>
      <c r="Y150" s="47" t="s">
        <v>296</v>
      </c>
      <c r="Z150" s="47" t="s">
        <v>35</v>
      </c>
      <c r="AA150" s="47" t="s">
        <v>296</v>
      </c>
      <c r="AB150" s="47"/>
      <c r="AC150" s="47" t="s">
        <v>35</v>
      </c>
      <c r="AD150" s="49" t="str">
        <f>VLOOKUP(E150,sheet1!$B$2:$C$3209,2,FALSE)</f>
        <v>品目区分別売上実績集計表～画面入力＆レコード作成</v>
      </c>
      <c r="AE150" s="49"/>
      <c r="AF150" s="51" t="s">
        <v>830</v>
      </c>
      <c r="AG150" s="51" t="s">
        <v>828</v>
      </c>
      <c r="AH150" s="49" t="str">
        <f t="shared" si="0"/>
        <v>品目区分別売上実績集計表</v>
      </c>
      <c r="AI150" s="49"/>
      <c r="AJ150" s="49"/>
      <c r="AK150" s="49"/>
      <c r="AL150" s="49" t="str">
        <f t="shared" si="5"/>
        <v/>
      </c>
      <c r="AM150" s="49"/>
      <c r="AN150" s="49"/>
      <c r="AO150" s="51" t="str">
        <f t="shared" si="1"/>
        <v>品目区分別売上実績集計表</v>
      </c>
      <c r="AP150" s="51" t="str">
        <f t="shared" si="2"/>
        <v>SA7100</v>
      </c>
      <c r="AQ150" s="51" t="s">
        <v>830</v>
      </c>
      <c r="AR150" s="51" t="s">
        <v>828</v>
      </c>
      <c r="AS150" s="49" t="str">
        <f t="shared" si="3"/>
        <v>品目区分別売上実績集計表</v>
      </c>
      <c r="AT150" s="49" t="str">
        <f t="shared" si="4"/>
        <v>SA7100</v>
      </c>
      <c r="AU150" s="51" t="s">
        <v>830</v>
      </c>
      <c r="AV150" s="51" t="s">
        <v>828</v>
      </c>
    </row>
    <row r="151" spans="1:48" ht="18" customHeight="1">
      <c r="A151" s="44">
        <v>149</v>
      </c>
      <c r="B151" s="52" t="s">
        <v>292</v>
      </c>
      <c r="C151" s="52" t="s">
        <v>797</v>
      </c>
      <c r="D151" s="46" t="s">
        <v>116</v>
      </c>
      <c r="E151" s="44" t="s">
        <v>831</v>
      </c>
      <c r="F151" s="44" t="s">
        <v>832</v>
      </c>
      <c r="G151" s="44"/>
      <c r="H151" s="44"/>
      <c r="I151" s="44"/>
      <c r="J151" s="47" t="s">
        <v>35</v>
      </c>
      <c r="K151" s="47"/>
      <c r="L151" s="47"/>
      <c r="M151" s="47"/>
      <c r="N151" s="47"/>
      <c r="O151" s="44"/>
      <c r="P151" s="44"/>
      <c r="Q151" s="48">
        <f>VLOOKUP(E151,sheet1!$B$2:$D$3209,3,FALSE)</f>
        <v>178</v>
      </c>
      <c r="R151" s="47" t="s">
        <v>35</v>
      </c>
      <c r="S151" s="47" t="s">
        <v>35</v>
      </c>
      <c r="T151" s="47" t="s">
        <v>35</v>
      </c>
      <c r="U151" s="47" t="s">
        <v>35</v>
      </c>
      <c r="V151" s="47" t="s">
        <v>35</v>
      </c>
      <c r="W151" s="47" t="s">
        <v>296</v>
      </c>
      <c r="X151" s="47" t="s">
        <v>296</v>
      </c>
      <c r="Y151" s="47" t="s">
        <v>296</v>
      </c>
      <c r="Z151" s="47" t="s">
        <v>35</v>
      </c>
      <c r="AA151" s="47" t="s">
        <v>296</v>
      </c>
      <c r="AB151" s="47"/>
      <c r="AC151" s="47" t="s">
        <v>35</v>
      </c>
      <c r="AD151" s="49" t="str">
        <f>VLOOKUP(E151,sheet1!$B$2:$C$3209,2,FALSE)</f>
        <v>部課別・機種別売上管理表～画面入力</v>
      </c>
      <c r="AE151" s="49"/>
      <c r="AF151" s="51" t="s">
        <v>833</v>
      </c>
      <c r="AG151" s="51" t="s">
        <v>831</v>
      </c>
      <c r="AH151" s="49" t="str">
        <f t="shared" si="0"/>
        <v>部課別・機種別売上管理表</v>
      </c>
      <c r="AI151" s="49"/>
      <c r="AJ151" s="49"/>
      <c r="AK151" s="49"/>
      <c r="AL151" s="49" t="str">
        <f t="shared" si="5"/>
        <v/>
      </c>
      <c r="AM151" s="49"/>
      <c r="AN151" s="49"/>
      <c r="AO151" s="51" t="str">
        <f t="shared" si="1"/>
        <v>部課別・機種別売上管理表</v>
      </c>
      <c r="AP151" s="51" t="str">
        <f t="shared" si="2"/>
        <v>SA7110</v>
      </c>
      <c r="AQ151" s="51" t="s">
        <v>833</v>
      </c>
      <c r="AR151" s="51" t="s">
        <v>831</v>
      </c>
      <c r="AS151" s="49" t="str">
        <f t="shared" si="3"/>
        <v>部課別・機種別売上管理表</v>
      </c>
      <c r="AT151" s="49" t="str">
        <f t="shared" si="4"/>
        <v>SA7110</v>
      </c>
      <c r="AU151" s="51" t="s">
        <v>833</v>
      </c>
      <c r="AV151" s="51" t="s">
        <v>831</v>
      </c>
    </row>
    <row r="152" spans="1:48" ht="18" customHeight="1">
      <c r="A152" s="44">
        <v>150</v>
      </c>
      <c r="B152" s="52" t="s">
        <v>292</v>
      </c>
      <c r="C152" s="52" t="s">
        <v>797</v>
      </c>
      <c r="D152" s="46" t="s">
        <v>116</v>
      </c>
      <c r="E152" s="44" t="s">
        <v>834</v>
      </c>
      <c r="F152" s="44" t="s">
        <v>835</v>
      </c>
      <c r="G152" s="44"/>
      <c r="H152" s="44"/>
      <c r="I152" s="44"/>
      <c r="J152" s="47" t="s">
        <v>35</v>
      </c>
      <c r="K152" s="47"/>
      <c r="L152" s="47"/>
      <c r="M152" s="47"/>
      <c r="N152" s="47"/>
      <c r="O152" s="44"/>
      <c r="P152" s="44"/>
      <c r="Q152" s="48">
        <f>VLOOKUP(E152,sheet1!$B$2:$D$3209,3,FALSE)</f>
        <v>160</v>
      </c>
      <c r="R152" s="47" t="s">
        <v>35</v>
      </c>
      <c r="S152" s="47" t="s">
        <v>35</v>
      </c>
      <c r="T152" s="47" t="s">
        <v>35</v>
      </c>
      <c r="U152" s="47" t="s">
        <v>35</v>
      </c>
      <c r="V152" s="47" t="s">
        <v>35</v>
      </c>
      <c r="W152" s="47" t="s">
        <v>296</v>
      </c>
      <c r="X152" s="47" t="s">
        <v>296</v>
      </c>
      <c r="Y152" s="47" t="s">
        <v>296</v>
      </c>
      <c r="Z152" s="47" t="s">
        <v>35</v>
      </c>
      <c r="AA152" s="47" t="s">
        <v>296</v>
      </c>
      <c r="AB152" s="47"/>
      <c r="AC152" s="47" t="s">
        <v>35</v>
      </c>
      <c r="AD152" s="49" t="str">
        <f>VLOOKUP(E152,sheet1!$B$2:$C$3209,2,FALSE)</f>
        <v>部門別機種別売上高明細表～画面入力</v>
      </c>
      <c r="AE152" s="49"/>
      <c r="AF152" s="51" t="s">
        <v>836</v>
      </c>
      <c r="AG152" s="51" t="s">
        <v>834</v>
      </c>
      <c r="AH152" s="49" t="str">
        <f t="shared" si="0"/>
        <v>部門別機種別売上高明細表</v>
      </c>
      <c r="AI152" s="49"/>
      <c r="AJ152" s="49"/>
      <c r="AK152" s="49"/>
      <c r="AL152" s="49"/>
      <c r="AM152" s="49"/>
      <c r="AN152" s="49"/>
      <c r="AO152" s="51" t="str">
        <f t="shared" si="1"/>
        <v>部門別機種別売上高明細表</v>
      </c>
      <c r="AP152" s="51" t="str">
        <f t="shared" si="2"/>
        <v>SA7120</v>
      </c>
      <c r="AQ152" s="51" t="s">
        <v>836</v>
      </c>
      <c r="AR152" s="51" t="s">
        <v>834</v>
      </c>
      <c r="AS152" s="49" t="str">
        <f t="shared" si="3"/>
        <v>部門別機種別売上高明細表</v>
      </c>
      <c r="AT152" s="49" t="str">
        <f t="shared" si="4"/>
        <v>SA7120</v>
      </c>
      <c r="AU152" s="51" t="s">
        <v>836</v>
      </c>
      <c r="AV152" s="51" t="s">
        <v>834</v>
      </c>
    </row>
    <row r="153" spans="1:48" ht="18" customHeight="1">
      <c r="A153" s="44">
        <v>151</v>
      </c>
      <c r="B153" s="52" t="s">
        <v>292</v>
      </c>
      <c r="C153" s="52" t="s">
        <v>797</v>
      </c>
      <c r="D153" s="46" t="s">
        <v>116</v>
      </c>
      <c r="E153" s="44" t="s">
        <v>837</v>
      </c>
      <c r="F153" s="44" t="s">
        <v>838</v>
      </c>
      <c r="G153" s="44"/>
      <c r="H153" s="44"/>
      <c r="I153" s="44"/>
      <c r="J153" s="47" t="s">
        <v>35</v>
      </c>
      <c r="K153" s="47"/>
      <c r="L153" s="47"/>
      <c r="M153" s="47"/>
      <c r="N153" s="47"/>
      <c r="O153" s="44"/>
      <c r="P153" s="44"/>
      <c r="Q153" s="48">
        <f>VLOOKUP(E153,sheet1!$B$2:$D$3209,3,FALSE)</f>
        <v>243</v>
      </c>
      <c r="R153" s="47" t="s">
        <v>35</v>
      </c>
      <c r="S153" s="47" t="s">
        <v>35</v>
      </c>
      <c r="T153" s="47" t="s">
        <v>35</v>
      </c>
      <c r="U153" s="47" t="s">
        <v>35</v>
      </c>
      <c r="V153" s="47" t="s">
        <v>35</v>
      </c>
      <c r="W153" s="47" t="s">
        <v>296</v>
      </c>
      <c r="X153" s="47" t="s">
        <v>35</v>
      </c>
      <c r="Y153" s="47" t="s">
        <v>296</v>
      </c>
      <c r="Z153" s="47" t="s">
        <v>35</v>
      </c>
      <c r="AA153" s="47" t="s">
        <v>296</v>
      </c>
      <c r="AB153" s="47"/>
      <c r="AC153" s="47" t="s">
        <v>35</v>
      </c>
      <c r="AD153" s="49" t="str">
        <f>VLOOKUP(E153,sheet1!$B$2:$C$3209,2,FALSE)</f>
        <v>部課別・品目別　売上明細表～画面入力＜一部変更＞</v>
      </c>
      <c r="AE153" s="49"/>
      <c r="AF153" s="51" t="s">
        <v>839</v>
      </c>
      <c r="AG153" s="51" t="s">
        <v>837</v>
      </c>
      <c r="AH153" s="49" t="str">
        <f t="shared" si="0"/>
        <v>部課別・品目別　売上明細表</v>
      </c>
      <c r="AI153" s="49"/>
      <c r="AJ153" s="49"/>
      <c r="AK153" s="49"/>
      <c r="AL153" s="49"/>
      <c r="AM153" s="49"/>
      <c r="AN153" s="49"/>
      <c r="AO153" s="51" t="str">
        <f t="shared" si="1"/>
        <v>部課別・品目別　売上明細表</v>
      </c>
      <c r="AP153" s="51" t="str">
        <f t="shared" si="2"/>
        <v>SA7132</v>
      </c>
      <c r="AQ153" s="51" t="s">
        <v>839</v>
      </c>
      <c r="AR153" s="51" t="s">
        <v>837</v>
      </c>
      <c r="AS153" s="49" t="str">
        <f t="shared" si="3"/>
        <v>部課別・品目別　売上明細表</v>
      </c>
      <c r="AT153" s="49" t="str">
        <f t="shared" si="4"/>
        <v>SA7132</v>
      </c>
      <c r="AU153" s="51" t="s">
        <v>839</v>
      </c>
      <c r="AV153" s="51" t="s">
        <v>837</v>
      </c>
    </row>
    <row r="154" spans="1:48" ht="18" customHeight="1">
      <c r="A154" s="44">
        <v>152</v>
      </c>
      <c r="B154" s="52" t="s">
        <v>292</v>
      </c>
      <c r="C154" s="52" t="s">
        <v>797</v>
      </c>
      <c r="D154" s="46" t="s">
        <v>116</v>
      </c>
      <c r="E154" s="44" t="s">
        <v>840</v>
      </c>
      <c r="F154" s="44" t="s">
        <v>841</v>
      </c>
      <c r="G154" s="44"/>
      <c r="H154" s="44"/>
      <c r="I154" s="44"/>
      <c r="J154" s="47" t="s">
        <v>35</v>
      </c>
      <c r="K154" s="47"/>
      <c r="L154" s="47"/>
      <c r="M154" s="47"/>
      <c r="N154" s="47"/>
      <c r="O154" s="44"/>
      <c r="P154" s="44"/>
      <c r="Q154" s="48">
        <f>VLOOKUP(E154,sheet1!$B$2:$D$3209,3,FALSE)</f>
        <v>151</v>
      </c>
      <c r="R154" s="47" t="s">
        <v>35</v>
      </c>
      <c r="S154" s="47" t="s">
        <v>35</v>
      </c>
      <c r="T154" s="47" t="s">
        <v>35</v>
      </c>
      <c r="U154" s="47" t="s">
        <v>35</v>
      </c>
      <c r="V154" s="47" t="s">
        <v>35</v>
      </c>
      <c r="W154" s="47" t="s">
        <v>296</v>
      </c>
      <c r="X154" s="47" t="s">
        <v>296</v>
      </c>
      <c r="Y154" s="47" t="s">
        <v>296</v>
      </c>
      <c r="Z154" s="47" t="s">
        <v>35</v>
      </c>
      <c r="AA154" s="47" t="s">
        <v>296</v>
      </c>
      <c r="AB154" s="47"/>
      <c r="AC154" s="47" t="s">
        <v>35</v>
      </c>
      <c r="AD154" s="49" t="str">
        <f>VLOOKUP(E154,sheet1!$B$2:$C$3209,2,FALSE)</f>
        <v>他部門売上明細～画面入力</v>
      </c>
      <c r="AE154" s="49"/>
      <c r="AF154" s="51" t="s">
        <v>842</v>
      </c>
      <c r="AG154" s="51" t="s">
        <v>840</v>
      </c>
      <c r="AH154" s="49" t="str">
        <f t="shared" si="0"/>
        <v>他部門売上明細</v>
      </c>
      <c r="AI154" s="49"/>
      <c r="AJ154" s="49"/>
      <c r="AK154" s="49"/>
      <c r="AL154" s="49"/>
      <c r="AM154" s="49"/>
      <c r="AN154" s="49"/>
      <c r="AO154" s="51" t="str">
        <f t="shared" si="1"/>
        <v>他部門売上明細</v>
      </c>
      <c r="AP154" s="51" t="str">
        <f t="shared" si="2"/>
        <v>SA7140</v>
      </c>
      <c r="AQ154" s="51" t="s">
        <v>842</v>
      </c>
      <c r="AR154" s="51" t="s">
        <v>840</v>
      </c>
      <c r="AS154" s="49" t="str">
        <f t="shared" si="3"/>
        <v>他部門売上明細</v>
      </c>
      <c r="AT154" s="49" t="str">
        <f t="shared" si="4"/>
        <v>SA7140</v>
      </c>
      <c r="AU154" s="51" t="s">
        <v>842</v>
      </c>
      <c r="AV154" s="51" t="s">
        <v>840</v>
      </c>
    </row>
    <row r="155" spans="1:48" ht="18" customHeight="1">
      <c r="A155" s="44">
        <v>153</v>
      </c>
      <c r="B155" s="52" t="s">
        <v>292</v>
      </c>
      <c r="C155" s="52" t="s">
        <v>797</v>
      </c>
      <c r="D155" s="46" t="s">
        <v>116</v>
      </c>
      <c r="E155" s="44" t="s">
        <v>843</v>
      </c>
      <c r="F155" s="44" t="s">
        <v>844</v>
      </c>
      <c r="G155" s="44"/>
      <c r="H155" s="44"/>
      <c r="I155" s="44"/>
      <c r="J155" s="47" t="s">
        <v>35</v>
      </c>
      <c r="K155" s="47"/>
      <c r="L155" s="47"/>
      <c r="M155" s="47"/>
      <c r="N155" s="47"/>
      <c r="O155" s="44"/>
      <c r="P155" s="44"/>
      <c r="Q155" s="48">
        <f>VLOOKUP(E155,sheet1!$B$2:$D$3209,3,FALSE)</f>
        <v>330</v>
      </c>
      <c r="R155" s="47" t="s">
        <v>35</v>
      </c>
      <c r="S155" s="47" t="s">
        <v>35</v>
      </c>
      <c r="T155" s="47" t="s">
        <v>35</v>
      </c>
      <c r="U155" s="47" t="s">
        <v>35</v>
      </c>
      <c r="V155" s="47" t="s">
        <v>35</v>
      </c>
      <c r="W155" s="47" t="s">
        <v>296</v>
      </c>
      <c r="X155" s="47" t="s">
        <v>296</v>
      </c>
      <c r="Y155" s="47" t="s">
        <v>296</v>
      </c>
      <c r="Z155" s="47" t="s">
        <v>35</v>
      </c>
      <c r="AA155" s="47" t="s">
        <v>296</v>
      </c>
      <c r="AB155" s="47"/>
      <c r="AC155" s="47" t="s">
        <v>35</v>
      </c>
      <c r="AD155" s="49" t="str">
        <f>VLOOKUP(E155,sheet1!$B$2:$C$3209,2,FALSE)</f>
        <v>ｵﾌｨｽ売上集計表～画面入力</v>
      </c>
      <c r="AE155" s="49"/>
      <c r="AF155" s="51" t="s">
        <v>845</v>
      </c>
      <c r="AG155" s="51" t="s">
        <v>843</v>
      </c>
      <c r="AH155" s="49" t="str">
        <f t="shared" si="0"/>
        <v>ｵﾌｨｽ売上集計表</v>
      </c>
      <c r="AI155" s="49"/>
      <c r="AJ155" s="49"/>
      <c r="AK155" s="49"/>
      <c r="AL155" s="49"/>
      <c r="AM155" s="49"/>
      <c r="AN155" s="49"/>
      <c r="AO155" s="51" t="str">
        <f t="shared" si="1"/>
        <v>ｵﾌｨｽ売上集計表</v>
      </c>
      <c r="AP155" s="51" t="str">
        <f t="shared" si="2"/>
        <v>SA7150</v>
      </c>
      <c r="AQ155" s="51" t="s">
        <v>845</v>
      </c>
      <c r="AR155" s="51" t="s">
        <v>843</v>
      </c>
      <c r="AS155" s="49" t="str">
        <f t="shared" si="3"/>
        <v>ｵﾌｨｽ売上集計表</v>
      </c>
      <c r="AT155" s="49" t="str">
        <f t="shared" si="4"/>
        <v>SA7150</v>
      </c>
      <c r="AU155" s="51" t="s">
        <v>845</v>
      </c>
      <c r="AV155" s="51" t="s">
        <v>843</v>
      </c>
    </row>
    <row r="156" spans="1:48" ht="18" customHeight="1">
      <c r="A156" s="44">
        <v>154</v>
      </c>
      <c r="B156" s="52" t="s">
        <v>292</v>
      </c>
      <c r="C156" s="52" t="s">
        <v>797</v>
      </c>
      <c r="D156" s="46" t="s">
        <v>116</v>
      </c>
      <c r="E156" s="44" t="s">
        <v>846</v>
      </c>
      <c r="F156" s="44" t="s">
        <v>847</v>
      </c>
      <c r="G156" s="44"/>
      <c r="H156" s="44"/>
      <c r="I156" s="44"/>
      <c r="J156" s="47" t="s">
        <v>35</v>
      </c>
      <c r="K156" s="47"/>
      <c r="L156" s="47"/>
      <c r="M156" s="47"/>
      <c r="N156" s="47"/>
      <c r="O156" s="44"/>
      <c r="P156" s="44"/>
      <c r="Q156" s="48">
        <f>VLOOKUP(E156,sheet1!$B$2:$D$3209,3,FALSE)</f>
        <v>308</v>
      </c>
      <c r="R156" s="47" t="s">
        <v>35</v>
      </c>
      <c r="S156" s="47" t="s">
        <v>35</v>
      </c>
      <c r="T156" s="47" t="s">
        <v>35</v>
      </c>
      <c r="U156" s="47" t="s">
        <v>35</v>
      </c>
      <c r="V156" s="47" t="s">
        <v>35</v>
      </c>
      <c r="W156" s="47" t="s">
        <v>296</v>
      </c>
      <c r="X156" s="47" t="s">
        <v>296</v>
      </c>
      <c r="Y156" s="47" t="s">
        <v>296</v>
      </c>
      <c r="Z156" s="47" t="s">
        <v>35</v>
      </c>
      <c r="AA156" s="47" t="s">
        <v>296</v>
      </c>
      <c r="AB156" s="47"/>
      <c r="AC156" s="47" t="s">
        <v>35</v>
      </c>
      <c r="AD156" s="49" t="str">
        <f>VLOOKUP(E156,sheet1!$B$2:$C$3209,2,FALSE)</f>
        <v>SA国内機種別売上集計表～画面入力</v>
      </c>
      <c r="AE156" s="49"/>
      <c r="AF156" s="51" t="s">
        <v>848</v>
      </c>
      <c r="AG156" s="51" t="s">
        <v>846</v>
      </c>
      <c r="AH156" s="49" t="str">
        <f t="shared" si="0"/>
        <v>SA国内機種別売上集計表</v>
      </c>
      <c r="AI156" s="49"/>
      <c r="AJ156" s="49"/>
      <c r="AK156" s="49"/>
      <c r="AL156" s="49"/>
      <c r="AM156" s="49"/>
      <c r="AN156" s="49"/>
      <c r="AO156" s="51" t="str">
        <f t="shared" si="1"/>
        <v>SA国内機種別売上集計表</v>
      </c>
      <c r="AP156" s="51" t="str">
        <f t="shared" si="2"/>
        <v>SA7160</v>
      </c>
      <c r="AQ156" s="51" t="s">
        <v>848</v>
      </c>
      <c r="AR156" s="51" t="s">
        <v>846</v>
      </c>
      <c r="AS156" s="49" t="str">
        <f t="shared" si="3"/>
        <v>SA国内機種別売上集計表</v>
      </c>
      <c r="AT156" s="49" t="str">
        <f t="shared" si="4"/>
        <v>SA7160</v>
      </c>
      <c r="AU156" s="51" t="s">
        <v>848</v>
      </c>
      <c r="AV156" s="51" t="s">
        <v>846</v>
      </c>
    </row>
    <row r="157" spans="1:48" ht="18" customHeight="1">
      <c r="A157" s="44">
        <v>155</v>
      </c>
      <c r="B157" s="52" t="s">
        <v>292</v>
      </c>
      <c r="C157" s="52" t="s">
        <v>797</v>
      </c>
      <c r="D157" s="46" t="s">
        <v>116</v>
      </c>
      <c r="E157" s="44" t="s">
        <v>849</v>
      </c>
      <c r="F157" s="44" t="s">
        <v>850</v>
      </c>
      <c r="G157" s="44"/>
      <c r="H157" s="44"/>
      <c r="I157" s="44"/>
      <c r="J157" s="47" t="s">
        <v>35</v>
      </c>
      <c r="K157" s="47"/>
      <c r="L157" s="47"/>
      <c r="M157" s="47"/>
      <c r="N157" s="47"/>
      <c r="O157" s="44"/>
      <c r="P157" s="44"/>
      <c r="Q157" s="48">
        <f>VLOOKUP(E157,sheet1!$B$2:$D$3209,3,FALSE)</f>
        <v>293</v>
      </c>
      <c r="R157" s="47" t="s">
        <v>35</v>
      </c>
      <c r="S157" s="47" t="s">
        <v>35</v>
      </c>
      <c r="T157" s="47" t="s">
        <v>35</v>
      </c>
      <c r="U157" s="47" t="s">
        <v>35</v>
      </c>
      <c r="V157" s="47" t="s">
        <v>35</v>
      </c>
      <c r="W157" s="47" t="s">
        <v>296</v>
      </c>
      <c r="X157" s="47" t="s">
        <v>296</v>
      </c>
      <c r="Y157" s="47" t="s">
        <v>296</v>
      </c>
      <c r="Z157" s="47" t="s">
        <v>35</v>
      </c>
      <c r="AA157" s="47" t="s">
        <v>296</v>
      </c>
      <c r="AB157" s="47"/>
      <c r="AC157" s="47" t="s">
        <v>35</v>
      </c>
      <c r="AD157" s="49" t="str">
        <f>VLOOKUP(E157,sheet1!$B$2:$C$3209,2,FALSE)</f>
        <v>SA国内地区別売上集計表～画面入力</v>
      </c>
      <c r="AE157" s="49"/>
      <c r="AF157" s="51" t="s">
        <v>851</v>
      </c>
      <c r="AG157" s="51" t="s">
        <v>849</v>
      </c>
      <c r="AH157" s="49" t="str">
        <f t="shared" si="0"/>
        <v>SA国内地区別売上集計表</v>
      </c>
      <c r="AI157" s="49"/>
      <c r="AJ157" s="49"/>
      <c r="AK157" s="49"/>
      <c r="AL157" s="49"/>
      <c r="AM157" s="49"/>
      <c r="AN157" s="49"/>
      <c r="AO157" s="51" t="str">
        <f t="shared" si="1"/>
        <v>SA国内地区別売上集計表</v>
      </c>
      <c r="AP157" s="51" t="str">
        <f t="shared" si="2"/>
        <v>SA7170</v>
      </c>
      <c r="AQ157" s="51" t="s">
        <v>851</v>
      </c>
      <c r="AR157" s="51" t="s">
        <v>849</v>
      </c>
      <c r="AS157" s="49" t="str">
        <f t="shared" si="3"/>
        <v>SA国内地区別売上集計表</v>
      </c>
      <c r="AT157" s="49" t="str">
        <f t="shared" si="4"/>
        <v>SA7170</v>
      </c>
      <c r="AU157" s="51" t="s">
        <v>851</v>
      </c>
      <c r="AV157" s="51" t="s">
        <v>849</v>
      </c>
    </row>
    <row r="158" spans="1:48" ht="18" customHeight="1">
      <c r="A158" s="44">
        <v>156</v>
      </c>
      <c r="B158" s="52" t="s">
        <v>292</v>
      </c>
      <c r="C158" s="52" t="s">
        <v>797</v>
      </c>
      <c r="D158" s="46" t="s">
        <v>116</v>
      </c>
      <c r="E158" s="44" t="s">
        <v>852</v>
      </c>
      <c r="F158" s="44" t="s">
        <v>835</v>
      </c>
      <c r="G158" s="44"/>
      <c r="H158" s="44"/>
      <c r="I158" s="44"/>
      <c r="J158" s="47" t="s">
        <v>35</v>
      </c>
      <c r="K158" s="47"/>
      <c r="L158" s="47"/>
      <c r="M158" s="47"/>
      <c r="N158" s="47"/>
      <c r="O158" s="44"/>
      <c r="P158" s="44"/>
      <c r="Q158" s="48">
        <f>VLOOKUP(E158,sheet1!$B$2:$D$3209,3,FALSE)</f>
        <v>160</v>
      </c>
      <c r="R158" s="47" t="s">
        <v>35</v>
      </c>
      <c r="S158" s="47" t="s">
        <v>35</v>
      </c>
      <c r="T158" s="47" t="s">
        <v>35</v>
      </c>
      <c r="U158" s="47" t="s">
        <v>35</v>
      </c>
      <c r="V158" s="47" t="s">
        <v>35</v>
      </c>
      <c r="W158" s="47" t="s">
        <v>296</v>
      </c>
      <c r="X158" s="47" t="s">
        <v>296</v>
      </c>
      <c r="Y158" s="47" t="s">
        <v>296</v>
      </c>
      <c r="Z158" s="47" t="s">
        <v>35</v>
      </c>
      <c r="AA158" s="47" t="s">
        <v>296</v>
      </c>
      <c r="AB158" s="47"/>
      <c r="AC158" s="47" t="s">
        <v>35</v>
      </c>
      <c r="AD158" s="49" t="str">
        <f>VLOOKUP(E158,sheet1!$B$2:$C$3209,2,FALSE)</f>
        <v>部門別機種別売上高明細表～画面入力</v>
      </c>
      <c r="AE158" s="49"/>
      <c r="AF158" s="51" t="s">
        <v>853</v>
      </c>
      <c r="AG158" s="51" t="s">
        <v>852</v>
      </c>
      <c r="AH158" s="49" t="str">
        <f t="shared" si="0"/>
        <v>部門別機種別売上高明細表</v>
      </c>
      <c r="AI158" s="49"/>
      <c r="AJ158" s="49"/>
      <c r="AK158" s="49"/>
      <c r="AL158" s="49"/>
      <c r="AM158" s="49"/>
      <c r="AN158" s="49"/>
      <c r="AO158" s="51" t="str">
        <f t="shared" si="1"/>
        <v>部門別機種別売上高明細表</v>
      </c>
      <c r="AP158" s="51" t="str">
        <f t="shared" si="2"/>
        <v>SA7210</v>
      </c>
      <c r="AQ158" s="51" t="s">
        <v>853</v>
      </c>
      <c r="AR158" s="51" t="s">
        <v>852</v>
      </c>
      <c r="AS158" s="49" t="str">
        <f t="shared" si="3"/>
        <v>部門別機種別売上高明細表</v>
      </c>
      <c r="AT158" s="49" t="str">
        <f t="shared" si="4"/>
        <v>SA7210</v>
      </c>
      <c r="AU158" s="51" t="s">
        <v>853</v>
      </c>
      <c r="AV158" s="51" t="s">
        <v>852</v>
      </c>
    </row>
    <row r="159" spans="1:48" ht="18" customHeight="1">
      <c r="A159" s="44">
        <v>157</v>
      </c>
      <c r="B159" s="52" t="s">
        <v>292</v>
      </c>
      <c r="C159" s="52" t="s">
        <v>797</v>
      </c>
      <c r="D159" s="46" t="s">
        <v>116</v>
      </c>
      <c r="E159" s="44" t="s">
        <v>854</v>
      </c>
      <c r="F159" s="44" t="s">
        <v>855</v>
      </c>
      <c r="G159" s="44"/>
      <c r="H159" s="44"/>
      <c r="I159" s="44"/>
      <c r="J159" s="47" t="s">
        <v>35</v>
      </c>
      <c r="K159" s="47"/>
      <c r="L159" s="47"/>
      <c r="M159" s="47"/>
      <c r="N159" s="47"/>
      <c r="O159" s="44"/>
      <c r="P159" s="44"/>
      <c r="Q159" s="48">
        <f>VLOOKUP(E159,sheet1!$B$2:$D$3209,3,FALSE)</f>
        <v>247</v>
      </c>
      <c r="R159" s="47" t="s">
        <v>35</v>
      </c>
      <c r="S159" s="47" t="s">
        <v>35</v>
      </c>
      <c r="T159" s="47" t="s">
        <v>35</v>
      </c>
      <c r="U159" s="47" t="s">
        <v>35</v>
      </c>
      <c r="V159" s="47" t="s">
        <v>35</v>
      </c>
      <c r="W159" s="47" t="s">
        <v>296</v>
      </c>
      <c r="X159" s="47" t="s">
        <v>296</v>
      </c>
      <c r="Y159" s="47" t="s">
        <v>296</v>
      </c>
      <c r="Z159" s="47" t="s">
        <v>35</v>
      </c>
      <c r="AA159" s="47" t="s">
        <v>296</v>
      </c>
      <c r="AB159" s="47"/>
      <c r="AC159" s="47" t="s">
        <v>35</v>
      </c>
      <c r="AD159" s="49" t="str">
        <f>VLOOKUP(E159,sheet1!$B$2:$C$3209,2,FALSE)</f>
        <v>月別加工高集計表～画面入力</v>
      </c>
      <c r="AE159" s="49"/>
      <c r="AF159" s="51" t="s">
        <v>856</v>
      </c>
      <c r="AG159" s="51" t="s">
        <v>854</v>
      </c>
      <c r="AH159" s="49" t="str">
        <f t="shared" si="0"/>
        <v>月別加工高集計表</v>
      </c>
      <c r="AI159" s="49"/>
      <c r="AJ159" s="49"/>
      <c r="AK159" s="49"/>
      <c r="AL159" s="49"/>
      <c r="AM159" s="49"/>
      <c r="AN159" s="49"/>
      <c r="AO159" s="51" t="str">
        <f t="shared" si="1"/>
        <v>月別加工高集計表</v>
      </c>
      <c r="AP159" s="51" t="str">
        <f t="shared" si="2"/>
        <v>SA7200</v>
      </c>
      <c r="AQ159" s="51" t="s">
        <v>856</v>
      </c>
      <c r="AR159" s="51" t="s">
        <v>854</v>
      </c>
      <c r="AS159" s="49" t="str">
        <f t="shared" si="3"/>
        <v>月別加工高集計表</v>
      </c>
      <c r="AT159" s="49" t="str">
        <f t="shared" si="4"/>
        <v>SA7200</v>
      </c>
      <c r="AU159" s="51" t="s">
        <v>856</v>
      </c>
      <c r="AV159" s="51" t="s">
        <v>854</v>
      </c>
    </row>
    <row r="160" spans="1:48" ht="18" customHeight="1">
      <c r="A160" s="44">
        <v>158</v>
      </c>
      <c r="B160" s="52" t="s">
        <v>292</v>
      </c>
      <c r="C160" s="52" t="s">
        <v>797</v>
      </c>
      <c r="D160" s="46" t="s">
        <v>116</v>
      </c>
      <c r="E160" s="44" t="s">
        <v>857</v>
      </c>
      <c r="F160" s="44" t="s">
        <v>858</v>
      </c>
      <c r="G160" s="44"/>
      <c r="H160" s="44"/>
      <c r="I160" s="44"/>
      <c r="J160" s="47" t="s">
        <v>35</v>
      </c>
      <c r="K160" s="47"/>
      <c r="L160" s="47"/>
      <c r="M160" s="47"/>
      <c r="N160" s="47"/>
      <c r="O160" s="44"/>
      <c r="P160" s="44"/>
      <c r="Q160" s="48">
        <f>VLOOKUP(E160,sheet1!$B$2:$D$3209,3,FALSE)</f>
        <v>252</v>
      </c>
      <c r="R160" s="47" t="s">
        <v>35</v>
      </c>
      <c r="S160" s="47" t="s">
        <v>35</v>
      </c>
      <c r="T160" s="47" t="s">
        <v>35</v>
      </c>
      <c r="U160" s="47" t="s">
        <v>35</v>
      </c>
      <c r="V160" s="47" t="s">
        <v>35</v>
      </c>
      <c r="W160" s="47" t="s">
        <v>35</v>
      </c>
      <c r="X160" s="47" t="s">
        <v>296</v>
      </c>
      <c r="Y160" s="47" t="s">
        <v>296</v>
      </c>
      <c r="Z160" s="47" t="s">
        <v>35</v>
      </c>
      <c r="AA160" s="47" t="s">
        <v>296</v>
      </c>
      <c r="AB160" s="47"/>
      <c r="AC160" s="47" t="s">
        <v>35</v>
      </c>
      <c r="AD160" s="49" t="str">
        <f>VLOOKUP(E160,sheet1!$B$2:$C$3209,2,FALSE)</f>
        <v>４品種別売上・原価集計表～画面入力</v>
      </c>
      <c r="AE160" s="49"/>
      <c r="AF160" s="51" t="s">
        <v>859</v>
      </c>
      <c r="AG160" s="51" t="s">
        <v>857</v>
      </c>
      <c r="AH160" s="49" t="str">
        <f t="shared" si="0"/>
        <v>４品種別売上・原価集計表</v>
      </c>
      <c r="AI160" s="49"/>
      <c r="AJ160" s="49"/>
      <c r="AK160" s="49"/>
      <c r="AL160" s="49"/>
      <c r="AM160" s="49"/>
      <c r="AN160" s="49"/>
      <c r="AO160" s="51" t="str">
        <f t="shared" si="1"/>
        <v>４品種別売上・原価集計表</v>
      </c>
      <c r="AP160" s="51" t="str">
        <f t="shared" si="2"/>
        <v>SA7220</v>
      </c>
      <c r="AQ160" s="51" t="s">
        <v>859</v>
      </c>
      <c r="AR160" s="51" t="s">
        <v>857</v>
      </c>
      <c r="AS160" s="49" t="str">
        <f t="shared" si="3"/>
        <v>４品種別売上・原価集計表</v>
      </c>
      <c r="AT160" s="49" t="str">
        <f t="shared" si="4"/>
        <v>SA7220</v>
      </c>
      <c r="AU160" s="51" t="s">
        <v>859</v>
      </c>
      <c r="AV160" s="51" t="s">
        <v>857</v>
      </c>
    </row>
    <row r="161" spans="1:48" ht="18" customHeight="1">
      <c r="A161" s="44">
        <v>159</v>
      </c>
      <c r="B161" s="52" t="s">
        <v>292</v>
      </c>
      <c r="C161" s="52" t="s">
        <v>797</v>
      </c>
      <c r="D161" s="46" t="s">
        <v>116</v>
      </c>
      <c r="E161" s="44" t="s">
        <v>344</v>
      </c>
      <c r="F161" s="44" t="s">
        <v>860</v>
      </c>
      <c r="G161" s="44"/>
      <c r="H161" s="44"/>
      <c r="I161" s="44"/>
      <c r="J161" s="47"/>
      <c r="K161" s="47" t="s">
        <v>35</v>
      </c>
      <c r="L161" s="47"/>
      <c r="M161" s="47"/>
      <c r="N161" s="47"/>
      <c r="O161" s="44"/>
      <c r="P161" s="44"/>
      <c r="Q161" s="48" t="e">
        <f>VLOOKUP(E161,sheet1!$B$2:$D$3209,3,FALSE)</f>
        <v>#N/A</v>
      </c>
      <c r="R161" s="47" t="s">
        <v>35</v>
      </c>
      <c r="S161" s="47" t="s">
        <v>35</v>
      </c>
      <c r="T161" s="47" t="s">
        <v>35</v>
      </c>
      <c r="U161" s="47" t="s">
        <v>35</v>
      </c>
      <c r="V161" s="47" t="s">
        <v>35</v>
      </c>
      <c r="W161" s="47" t="s">
        <v>296</v>
      </c>
      <c r="X161" s="47" t="s">
        <v>296</v>
      </c>
      <c r="Y161" s="47" t="s">
        <v>296</v>
      </c>
      <c r="Z161" s="47" t="s">
        <v>35</v>
      </c>
      <c r="AA161" s="47" t="s">
        <v>296</v>
      </c>
      <c r="AB161" s="47"/>
      <c r="AC161" s="47" t="s">
        <v>35</v>
      </c>
      <c r="AD161" s="49" t="e">
        <f>VLOOKUP(E161,sheet1!$B$2:$C$3209,2,FALSE)</f>
        <v>#N/A</v>
      </c>
      <c r="AE161" s="49"/>
      <c r="AF161" s="51" t="s">
        <v>861</v>
      </c>
      <c r="AG161" s="51" t="s">
        <v>344</v>
      </c>
      <c r="AH161" s="49" t="str">
        <f t="shared" si="0"/>
        <v>間貿・直貿売上実績表</v>
      </c>
      <c r="AI161" s="49"/>
      <c r="AJ161" s="49"/>
      <c r="AK161" s="49"/>
      <c r="AL161" s="49"/>
      <c r="AM161" s="49"/>
      <c r="AN161" s="49"/>
      <c r="AO161" s="51" t="str">
        <f t="shared" si="1"/>
        <v>間貿・直貿売上実績表</v>
      </c>
      <c r="AP161" s="51" t="str">
        <f t="shared" si="2"/>
        <v>Query</v>
      </c>
      <c r="AQ161" s="51" t="s">
        <v>861</v>
      </c>
      <c r="AR161" s="51" t="s">
        <v>344</v>
      </c>
      <c r="AS161" s="49" t="str">
        <f t="shared" si="3"/>
        <v>間貿・直貿売上実績表</v>
      </c>
      <c r="AT161" s="49" t="str">
        <f t="shared" si="4"/>
        <v>Query</v>
      </c>
      <c r="AU161" s="51" t="s">
        <v>861</v>
      </c>
      <c r="AV161" s="51" t="s">
        <v>344</v>
      </c>
    </row>
    <row r="162" spans="1:48" ht="18" customHeight="1">
      <c r="A162" s="44">
        <v>160</v>
      </c>
      <c r="B162" s="52" t="s">
        <v>292</v>
      </c>
      <c r="C162" s="52" t="s">
        <v>797</v>
      </c>
      <c r="D162" s="46" t="s">
        <v>116</v>
      </c>
      <c r="E162" s="44" t="s">
        <v>862</v>
      </c>
      <c r="F162" s="44" t="s">
        <v>863</v>
      </c>
      <c r="G162" s="44"/>
      <c r="H162" s="44"/>
      <c r="I162" s="44"/>
      <c r="J162" s="47" t="s">
        <v>35</v>
      </c>
      <c r="K162" s="47"/>
      <c r="L162" s="47"/>
      <c r="M162" s="47"/>
      <c r="N162" s="47"/>
      <c r="O162" s="44"/>
      <c r="P162" s="44"/>
      <c r="Q162" s="48">
        <f>VLOOKUP(E162,sheet1!$B$2:$D$3209,3,FALSE)</f>
        <v>223</v>
      </c>
      <c r="R162" s="47" t="s">
        <v>35</v>
      </c>
      <c r="S162" s="47" t="s">
        <v>35</v>
      </c>
      <c r="T162" s="47" t="s">
        <v>35</v>
      </c>
      <c r="U162" s="47" t="s">
        <v>35</v>
      </c>
      <c r="V162" s="47" t="s">
        <v>35</v>
      </c>
      <c r="W162" s="47" t="s">
        <v>296</v>
      </c>
      <c r="X162" s="47" t="s">
        <v>296</v>
      </c>
      <c r="Y162" s="47" t="s">
        <v>296</v>
      </c>
      <c r="Z162" s="47" t="s">
        <v>35</v>
      </c>
      <c r="AA162" s="47" t="s">
        <v>296</v>
      </c>
      <c r="AB162" s="47"/>
      <c r="AC162" s="47" t="s">
        <v>35</v>
      </c>
      <c r="AD162" s="49" t="str">
        <f>VLOOKUP(E162,sheet1!$B$2:$C$3209,2,FALSE)</f>
        <v>得意先別売上・原価集計表～累計画面</v>
      </c>
      <c r="AE162" s="49"/>
      <c r="AF162" s="51" t="s">
        <v>864</v>
      </c>
      <c r="AG162" s="51" t="s">
        <v>862</v>
      </c>
      <c r="AH162" s="49" t="str">
        <f t="shared" si="0"/>
        <v>得意先別　売上・原価集計表累計</v>
      </c>
      <c r="AI162" s="49"/>
      <c r="AJ162" s="49"/>
      <c r="AK162" s="49"/>
      <c r="AL162" s="49"/>
      <c r="AM162" s="49"/>
      <c r="AN162" s="49"/>
      <c r="AO162" s="51" t="str">
        <f t="shared" si="1"/>
        <v>得意先別　売上・原価集計表累計</v>
      </c>
      <c r="AP162" s="51" t="str">
        <f t="shared" si="2"/>
        <v>SA7240</v>
      </c>
      <c r="AQ162" s="51" t="s">
        <v>864</v>
      </c>
      <c r="AR162" s="51" t="s">
        <v>862</v>
      </c>
      <c r="AS162" s="49" t="str">
        <f t="shared" si="3"/>
        <v>得意先別　売上・原価集計表累計</v>
      </c>
      <c r="AT162" s="49" t="str">
        <f t="shared" si="4"/>
        <v>SA7240</v>
      </c>
      <c r="AU162" s="51" t="s">
        <v>864</v>
      </c>
      <c r="AV162" s="51" t="s">
        <v>862</v>
      </c>
    </row>
    <row r="163" spans="1:48" ht="18" customHeight="1">
      <c r="A163" s="44">
        <v>161</v>
      </c>
      <c r="B163" s="52" t="s">
        <v>292</v>
      </c>
      <c r="C163" s="52" t="s">
        <v>797</v>
      </c>
      <c r="D163" s="46" t="s">
        <v>116</v>
      </c>
      <c r="E163" s="44" t="s">
        <v>344</v>
      </c>
      <c r="F163" s="44" t="s">
        <v>865</v>
      </c>
      <c r="G163" s="44"/>
      <c r="H163" s="44"/>
      <c r="I163" s="44"/>
      <c r="J163" s="47"/>
      <c r="K163" s="47" t="s">
        <v>35</v>
      </c>
      <c r="L163" s="47"/>
      <c r="M163" s="47"/>
      <c r="N163" s="47"/>
      <c r="O163" s="44"/>
      <c r="P163" s="44"/>
      <c r="Q163" s="48" t="e">
        <f>VLOOKUP(E163,sheet1!$B$2:$D$3209,3,FALSE)</f>
        <v>#N/A</v>
      </c>
      <c r="R163" s="47" t="s">
        <v>35</v>
      </c>
      <c r="S163" s="47" t="s">
        <v>35</v>
      </c>
      <c r="T163" s="47" t="s">
        <v>35</v>
      </c>
      <c r="U163" s="47" t="s">
        <v>35</v>
      </c>
      <c r="V163" s="47" t="s">
        <v>35</v>
      </c>
      <c r="W163" s="47" t="s">
        <v>296</v>
      </c>
      <c r="X163" s="47" t="s">
        <v>296</v>
      </c>
      <c r="Y163" s="47" t="s">
        <v>296</v>
      </c>
      <c r="Z163" s="47" t="s">
        <v>35</v>
      </c>
      <c r="AA163" s="47" t="s">
        <v>296</v>
      </c>
      <c r="AB163" s="47"/>
      <c r="AC163" s="47" t="s">
        <v>35</v>
      </c>
      <c r="AD163" s="49" t="e">
        <f>VLOOKUP(E163,sheet1!$B$2:$C$3209,2,FALSE)</f>
        <v>#N/A</v>
      </c>
      <c r="AE163" s="49"/>
      <c r="AF163" s="51" t="s">
        <v>866</v>
      </c>
      <c r="AG163" s="51" t="s">
        <v>344</v>
      </c>
      <c r="AH163" s="49" t="str">
        <f t="shared" si="0"/>
        <v>海外出荷実績表</v>
      </c>
      <c r="AI163" s="49"/>
      <c r="AJ163" s="49"/>
      <c r="AK163" s="49"/>
      <c r="AL163" s="49"/>
      <c r="AM163" s="49"/>
      <c r="AN163" s="49"/>
      <c r="AO163" s="51" t="str">
        <f t="shared" si="1"/>
        <v>海外出荷実績表</v>
      </c>
      <c r="AP163" s="51" t="str">
        <f t="shared" si="2"/>
        <v>Query</v>
      </c>
      <c r="AQ163" s="51" t="s">
        <v>866</v>
      </c>
      <c r="AR163" s="51" t="s">
        <v>344</v>
      </c>
      <c r="AS163" s="49" t="str">
        <f t="shared" si="3"/>
        <v>海外出荷実績表</v>
      </c>
      <c r="AT163" s="49" t="str">
        <f t="shared" si="4"/>
        <v>Query</v>
      </c>
      <c r="AU163" s="51" t="s">
        <v>866</v>
      </c>
      <c r="AV163" s="51" t="s">
        <v>344</v>
      </c>
    </row>
    <row r="164" spans="1:48" ht="18" customHeight="1">
      <c r="A164" s="44">
        <v>162</v>
      </c>
      <c r="B164" s="52" t="s">
        <v>292</v>
      </c>
      <c r="C164" s="52" t="s">
        <v>797</v>
      </c>
      <c r="D164" s="46" t="s">
        <v>116</v>
      </c>
      <c r="E164" s="44" t="s">
        <v>867</v>
      </c>
      <c r="F164" s="44" t="s">
        <v>868</v>
      </c>
      <c r="G164" s="44"/>
      <c r="H164" s="44"/>
      <c r="I164" s="44"/>
      <c r="J164" s="47" t="s">
        <v>35</v>
      </c>
      <c r="K164" s="47"/>
      <c r="L164" s="47"/>
      <c r="M164" s="47"/>
      <c r="N164" s="47"/>
      <c r="O164" s="44"/>
      <c r="P164" s="44"/>
      <c r="Q164" s="48">
        <f>VLOOKUP(E164,sheet1!$B$2:$D$3209,3,FALSE)</f>
        <v>607</v>
      </c>
      <c r="R164" s="47" t="s">
        <v>35</v>
      </c>
      <c r="S164" s="47" t="s">
        <v>35</v>
      </c>
      <c r="T164" s="47" t="s">
        <v>35</v>
      </c>
      <c r="U164" s="47" t="s">
        <v>35</v>
      </c>
      <c r="V164" s="47" t="s">
        <v>35</v>
      </c>
      <c r="W164" s="47" t="s">
        <v>296</v>
      </c>
      <c r="X164" s="47" t="s">
        <v>296</v>
      </c>
      <c r="Y164" s="47" t="s">
        <v>296</v>
      </c>
      <c r="Z164" s="47" t="s">
        <v>35</v>
      </c>
      <c r="AA164" s="47" t="s">
        <v>296</v>
      </c>
      <c r="AB164" s="47"/>
      <c r="AC164" s="47" t="s">
        <v>35</v>
      </c>
      <c r="AD164" s="49" t="str">
        <f>VLOOKUP(E164,sheet1!$B$2:$C$3209,2,FALSE)</f>
        <v>部課別修理金額集計表</v>
      </c>
      <c r="AE164" s="49"/>
      <c r="AF164" s="51" t="s">
        <v>869</v>
      </c>
      <c r="AG164" s="51" t="s">
        <v>867</v>
      </c>
      <c r="AH164" s="49" t="str">
        <f t="shared" si="0"/>
        <v>部課別修理金額集計表</v>
      </c>
      <c r="AI164" s="49"/>
      <c r="AJ164" s="49"/>
      <c r="AK164" s="49"/>
      <c r="AL164" s="49"/>
      <c r="AM164" s="49"/>
      <c r="AN164" s="49"/>
      <c r="AO164" s="51" t="str">
        <f t="shared" si="1"/>
        <v>部課別修理金額集計表</v>
      </c>
      <c r="AP164" s="51" t="str">
        <f t="shared" si="2"/>
        <v>SA2320</v>
      </c>
      <c r="AQ164" s="51" t="s">
        <v>869</v>
      </c>
      <c r="AR164" s="51" t="s">
        <v>867</v>
      </c>
      <c r="AS164" s="49" t="str">
        <f t="shared" si="3"/>
        <v>部課別修理金額集計表</v>
      </c>
      <c r="AT164" s="49" t="str">
        <f t="shared" si="4"/>
        <v>SA2320</v>
      </c>
      <c r="AU164" s="51" t="s">
        <v>869</v>
      </c>
      <c r="AV164" s="51" t="s">
        <v>867</v>
      </c>
    </row>
    <row r="165" spans="1:48" ht="18" customHeight="1">
      <c r="A165" s="44">
        <v>163</v>
      </c>
      <c r="B165" s="52" t="s">
        <v>292</v>
      </c>
      <c r="C165" s="52" t="s">
        <v>797</v>
      </c>
      <c r="D165" s="46" t="s">
        <v>116</v>
      </c>
      <c r="E165" s="44" t="s">
        <v>870</v>
      </c>
      <c r="F165" s="44" t="s">
        <v>871</v>
      </c>
      <c r="G165" s="44"/>
      <c r="H165" s="44"/>
      <c r="I165" s="44"/>
      <c r="J165" s="47" t="s">
        <v>35</v>
      </c>
      <c r="K165" s="47"/>
      <c r="L165" s="47"/>
      <c r="M165" s="47"/>
      <c r="N165" s="47"/>
      <c r="O165" s="44"/>
      <c r="P165" s="44"/>
      <c r="Q165" s="48">
        <f>VLOOKUP(E165,sheet1!$B$2:$D$3209,3,FALSE)</f>
        <v>201</v>
      </c>
      <c r="R165" s="47" t="s">
        <v>35</v>
      </c>
      <c r="S165" s="47" t="s">
        <v>35</v>
      </c>
      <c r="T165" s="47" t="s">
        <v>35</v>
      </c>
      <c r="U165" s="47" t="s">
        <v>35</v>
      </c>
      <c r="V165" s="47" t="s">
        <v>35</v>
      </c>
      <c r="W165" s="47" t="s">
        <v>296</v>
      </c>
      <c r="X165" s="47" t="s">
        <v>296</v>
      </c>
      <c r="Y165" s="47" t="s">
        <v>296</v>
      </c>
      <c r="Z165" s="47" t="s">
        <v>35</v>
      </c>
      <c r="AA165" s="47" t="s">
        <v>296</v>
      </c>
      <c r="AB165" s="47"/>
      <c r="AC165" s="47" t="s">
        <v>35</v>
      </c>
      <c r="AD165" s="49" t="str">
        <f>VLOOKUP(E165,sheet1!$B$2:$C$3209,2,FALSE)</f>
        <v>ｼｬｰﾌﾟﾄﾞｷｭﾒﾝﾄｼｽﾃﾑ請求書作成指示</v>
      </c>
      <c r="AE165" s="49"/>
      <c r="AF165" s="51" t="s">
        <v>872</v>
      </c>
      <c r="AG165" s="51" t="s">
        <v>870</v>
      </c>
      <c r="AH165" s="49" t="str">
        <f t="shared" si="0"/>
        <v>ｼｬｰﾌﾟ専用納品書印刷</v>
      </c>
      <c r="AI165" s="49"/>
      <c r="AJ165" s="49"/>
      <c r="AK165" s="49"/>
      <c r="AL165" s="49"/>
      <c r="AM165" s="49"/>
      <c r="AN165" s="49"/>
      <c r="AO165" s="51" t="str">
        <f t="shared" si="1"/>
        <v>ｼｬｰﾌﾟ専用納品書印刷</v>
      </c>
      <c r="AP165" s="51" t="str">
        <f t="shared" si="2"/>
        <v>SA2330</v>
      </c>
      <c r="AQ165" s="51" t="s">
        <v>872</v>
      </c>
      <c r="AR165" s="51" t="s">
        <v>870</v>
      </c>
      <c r="AS165" s="49" t="str">
        <f t="shared" si="3"/>
        <v>ｼｬｰﾌﾟ専用納品書印刷</v>
      </c>
      <c r="AT165" s="49" t="str">
        <f t="shared" si="4"/>
        <v>SA2330</v>
      </c>
      <c r="AU165" s="51" t="s">
        <v>872</v>
      </c>
      <c r="AV165" s="51" t="s">
        <v>870</v>
      </c>
    </row>
    <row r="166" spans="1:48" ht="18" customHeight="1">
      <c r="A166" s="44">
        <v>164</v>
      </c>
      <c r="B166" s="52" t="s">
        <v>292</v>
      </c>
      <c r="C166" s="52" t="s">
        <v>797</v>
      </c>
      <c r="D166" s="46" t="s">
        <v>116</v>
      </c>
      <c r="E166" s="44" t="s">
        <v>873</v>
      </c>
      <c r="F166" s="44" t="s">
        <v>874</v>
      </c>
      <c r="G166" s="44"/>
      <c r="H166" s="44"/>
      <c r="I166" s="44"/>
      <c r="J166" s="47" t="s">
        <v>35</v>
      </c>
      <c r="K166" s="47"/>
      <c r="L166" s="47"/>
      <c r="M166" s="47"/>
      <c r="N166" s="47"/>
      <c r="O166" s="44"/>
      <c r="P166" s="44"/>
      <c r="Q166" s="48">
        <f>VLOOKUP(E166,sheet1!$B$2:$D$3209,3,FALSE)</f>
        <v>789</v>
      </c>
      <c r="R166" s="47" t="s">
        <v>35</v>
      </c>
      <c r="S166" s="47" t="s">
        <v>35</v>
      </c>
      <c r="T166" s="47" t="s">
        <v>35</v>
      </c>
      <c r="U166" s="47" t="s">
        <v>35</v>
      </c>
      <c r="V166" s="47" t="s">
        <v>35</v>
      </c>
      <c r="W166" s="47" t="s">
        <v>296</v>
      </c>
      <c r="X166" s="47" t="s">
        <v>296</v>
      </c>
      <c r="Y166" s="47" t="s">
        <v>296</v>
      </c>
      <c r="Z166" s="47" t="s">
        <v>35</v>
      </c>
      <c r="AA166" s="47" t="s">
        <v>296</v>
      </c>
      <c r="AB166" s="47"/>
      <c r="AC166" s="47" t="s">
        <v>35</v>
      </c>
      <c r="AD166" s="49" t="str">
        <f>VLOOKUP(E166,sheet1!$B$2:$C$3209,2,FALSE)</f>
        <v>部課別得意先別売上明細表</v>
      </c>
      <c r="AE166" s="49"/>
      <c r="AF166" s="51" t="s">
        <v>875</v>
      </c>
      <c r="AG166" s="51" t="s">
        <v>873</v>
      </c>
      <c r="AH166" s="49" t="str">
        <f t="shared" si="0"/>
        <v>部課別得意先別売上明細表</v>
      </c>
      <c r="AI166" s="49"/>
      <c r="AJ166" s="49"/>
      <c r="AK166" s="49"/>
      <c r="AL166" s="49"/>
      <c r="AM166" s="49"/>
      <c r="AN166" s="49"/>
      <c r="AO166" s="51" t="str">
        <f t="shared" si="1"/>
        <v>部課別得意先別売上明細表</v>
      </c>
      <c r="AP166" s="51" t="str">
        <f t="shared" si="2"/>
        <v>SA7250</v>
      </c>
      <c r="AQ166" s="51" t="s">
        <v>875</v>
      </c>
      <c r="AR166" s="51" t="s">
        <v>873</v>
      </c>
      <c r="AS166" s="49" t="str">
        <f t="shared" si="3"/>
        <v>部課別得意先別売上明細表</v>
      </c>
      <c r="AT166" s="49" t="str">
        <f t="shared" si="4"/>
        <v>SA7250</v>
      </c>
      <c r="AU166" s="51" t="s">
        <v>875</v>
      </c>
      <c r="AV166" s="51" t="s">
        <v>873</v>
      </c>
    </row>
    <row r="167" spans="1:48" ht="18" customHeight="1">
      <c r="A167" s="44">
        <v>165</v>
      </c>
      <c r="B167" s="52" t="s">
        <v>292</v>
      </c>
      <c r="C167" s="52" t="s">
        <v>797</v>
      </c>
      <c r="D167" s="46" t="s">
        <v>116</v>
      </c>
      <c r="E167" s="44" t="s">
        <v>876</v>
      </c>
      <c r="F167" s="44" t="s">
        <v>877</v>
      </c>
      <c r="G167" s="44"/>
      <c r="H167" s="44"/>
      <c r="I167" s="44"/>
      <c r="J167" s="47" t="s">
        <v>35</v>
      </c>
      <c r="K167" s="47"/>
      <c r="L167" s="47"/>
      <c r="M167" s="47"/>
      <c r="N167" s="47"/>
      <c r="O167" s="44"/>
      <c r="P167" s="44"/>
      <c r="Q167" s="48">
        <f>VLOOKUP(E167,sheet1!$B$2:$D$3209,3,FALSE)</f>
        <v>193</v>
      </c>
      <c r="R167" s="47" t="s">
        <v>35</v>
      </c>
      <c r="S167" s="47" t="s">
        <v>35</v>
      </c>
      <c r="T167" s="47" t="s">
        <v>35</v>
      </c>
      <c r="U167" s="47" t="s">
        <v>35</v>
      </c>
      <c r="V167" s="47" t="s">
        <v>35</v>
      </c>
      <c r="W167" s="47" t="s">
        <v>296</v>
      </c>
      <c r="X167" s="47" t="s">
        <v>296</v>
      </c>
      <c r="Y167" s="47" t="s">
        <v>296</v>
      </c>
      <c r="Z167" s="47" t="s">
        <v>35</v>
      </c>
      <c r="AA167" s="47" t="s">
        <v>296</v>
      </c>
      <c r="AB167" s="47"/>
      <c r="AC167" s="47" t="s">
        <v>35</v>
      </c>
      <c r="AD167" s="49" t="str">
        <f>VLOOKUP(E167,sheet1!$B$2:$C$3209,2,FALSE)</f>
        <v>４品種別売上・原価集計表～画面入力（製品）</v>
      </c>
      <c r="AE167" s="49"/>
      <c r="AF167" s="51" t="s">
        <v>878</v>
      </c>
      <c r="AG167" s="51" t="s">
        <v>876</v>
      </c>
      <c r="AH167" s="49" t="str">
        <f t="shared" si="0"/>
        <v>４品種別売上・原価集計表製品</v>
      </c>
      <c r="AI167" s="49"/>
      <c r="AJ167" s="49"/>
      <c r="AK167" s="49"/>
      <c r="AL167" s="49"/>
      <c r="AM167" s="49"/>
      <c r="AN167" s="49"/>
      <c r="AO167" s="51" t="str">
        <f t="shared" si="1"/>
        <v>４品種別売上・原価集計表製品</v>
      </c>
      <c r="AP167" s="51" t="str">
        <f t="shared" si="2"/>
        <v>SA7225</v>
      </c>
      <c r="AQ167" s="51" t="s">
        <v>878</v>
      </c>
      <c r="AR167" s="51" t="s">
        <v>876</v>
      </c>
      <c r="AS167" s="49" t="str">
        <f t="shared" si="3"/>
        <v>４品種別売上・原価集計表製品</v>
      </c>
      <c r="AT167" s="49" t="str">
        <f t="shared" si="4"/>
        <v>SA7225</v>
      </c>
      <c r="AU167" s="51" t="s">
        <v>878</v>
      </c>
      <c r="AV167" s="51" t="s">
        <v>876</v>
      </c>
    </row>
    <row r="168" spans="1:48" ht="18" customHeight="1">
      <c r="A168" s="44">
        <v>166</v>
      </c>
      <c r="B168" s="52" t="s">
        <v>292</v>
      </c>
      <c r="C168" s="52" t="s">
        <v>797</v>
      </c>
      <c r="D168" s="46" t="s">
        <v>116</v>
      </c>
      <c r="E168" s="44" t="s">
        <v>879</v>
      </c>
      <c r="F168" s="44" t="s">
        <v>880</v>
      </c>
      <c r="G168" s="44"/>
      <c r="H168" s="44"/>
      <c r="I168" s="44"/>
      <c r="J168" s="47" t="s">
        <v>35</v>
      </c>
      <c r="K168" s="47"/>
      <c r="L168" s="47"/>
      <c r="M168" s="47"/>
      <c r="N168" s="47"/>
      <c r="O168" s="44"/>
      <c r="P168" s="44"/>
      <c r="Q168" s="48">
        <f>VLOOKUP(E168,sheet1!$B$2:$D$3209,3,FALSE)</f>
        <v>431</v>
      </c>
      <c r="R168" s="47" t="s">
        <v>35</v>
      </c>
      <c r="S168" s="47" t="s">
        <v>35</v>
      </c>
      <c r="T168" s="47" t="s">
        <v>35</v>
      </c>
      <c r="U168" s="47" t="s">
        <v>35</v>
      </c>
      <c r="V168" s="47" t="s">
        <v>35</v>
      </c>
      <c r="W168" s="47" t="s">
        <v>296</v>
      </c>
      <c r="X168" s="47" t="s">
        <v>296</v>
      </c>
      <c r="Y168" s="47" t="s">
        <v>296</v>
      </c>
      <c r="Z168" s="47" t="s">
        <v>35</v>
      </c>
      <c r="AA168" s="47" t="s">
        <v>296</v>
      </c>
      <c r="AB168" s="47"/>
      <c r="AC168" s="47" t="s">
        <v>35</v>
      </c>
      <c r="AD168" s="49" t="str">
        <f>VLOOKUP(E168,sheet1!$B$2:$C$3209,2,FALSE)</f>
        <v>担当者別売上月次目標入力</v>
      </c>
      <c r="AE168" s="49"/>
      <c r="AF168" s="51" t="s">
        <v>881</v>
      </c>
      <c r="AG168" s="51" t="s">
        <v>879</v>
      </c>
      <c r="AH168" s="49" t="str">
        <f t="shared" si="0"/>
        <v>担当者別売上月次目標入力</v>
      </c>
      <c r="AI168" s="49"/>
      <c r="AJ168" s="49"/>
      <c r="AK168" s="49"/>
      <c r="AL168" s="49"/>
      <c r="AM168" s="49"/>
      <c r="AN168" s="49"/>
      <c r="AO168" s="51" t="str">
        <f t="shared" si="1"/>
        <v>担当者別売上月次目標入力</v>
      </c>
      <c r="AP168" s="51" t="str">
        <f t="shared" si="2"/>
        <v>SA7190</v>
      </c>
      <c r="AQ168" s="51" t="s">
        <v>881</v>
      </c>
      <c r="AR168" s="51" t="s">
        <v>879</v>
      </c>
      <c r="AS168" s="49" t="str">
        <f t="shared" si="3"/>
        <v>担当者別売上月次目標入力</v>
      </c>
      <c r="AT168" s="49" t="str">
        <f t="shared" si="4"/>
        <v>SA7190</v>
      </c>
      <c r="AU168" s="51" t="s">
        <v>881</v>
      </c>
      <c r="AV168" s="51" t="s">
        <v>879</v>
      </c>
    </row>
    <row r="169" spans="1:48" ht="18" customHeight="1">
      <c r="A169" s="44">
        <v>167</v>
      </c>
      <c r="B169" s="52" t="s">
        <v>292</v>
      </c>
      <c r="C169" s="52" t="s">
        <v>797</v>
      </c>
      <c r="D169" s="46" t="s">
        <v>116</v>
      </c>
      <c r="E169" s="44" t="s">
        <v>882</v>
      </c>
      <c r="F169" s="44" t="s">
        <v>883</v>
      </c>
      <c r="G169" s="44"/>
      <c r="H169" s="44"/>
      <c r="I169" s="44"/>
      <c r="J169" s="47" t="s">
        <v>35</v>
      </c>
      <c r="K169" s="47"/>
      <c r="L169" s="47"/>
      <c r="M169" s="47"/>
      <c r="N169" s="47"/>
      <c r="O169" s="44"/>
      <c r="P169" s="44"/>
      <c r="Q169" s="48">
        <f>VLOOKUP(E169,sheet1!$B$2:$D$3209,3,FALSE)</f>
        <v>705</v>
      </c>
      <c r="R169" s="47" t="s">
        <v>35</v>
      </c>
      <c r="S169" s="47" t="s">
        <v>35</v>
      </c>
      <c r="T169" s="47" t="s">
        <v>35</v>
      </c>
      <c r="U169" s="47" t="s">
        <v>35</v>
      </c>
      <c r="V169" s="47" t="s">
        <v>35</v>
      </c>
      <c r="W169" s="47" t="s">
        <v>296</v>
      </c>
      <c r="X169" s="47" t="s">
        <v>296</v>
      </c>
      <c r="Y169" s="47" t="s">
        <v>296</v>
      </c>
      <c r="Z169" s="47" t="s">
        <v>35</v>
      </c>
      <c r="AA169" s="47" t="s">
        <v>296</v>
      </c>
      <c r="AB169" s="47"/>
      <c r="AC169" s="47" t="s">
        <v>35</v>
      </c>
      <c r="AD169" s="49" t="str">
        <f>VLOOKUP(E169,sheet1!$B$2:$C$3209,2,FALSE)</f>
        <v>担当者別売上月次予算入力</v>
      </c>
      <c r="AE169" s="49"/>
      <c r="AF169" s="51" t="s">
        <v>884</v>
      </c>
      <c r="AG169" s="51" t="s">
        <v>882</v>
      </c>
      <c r="AH169" s="49" t="str">
        <f t="shared" si="0"/>
        <v>担当者別売上月次予算入力</v>
      </c>
      <c r="AI169" s="49"/>
      <c r="AJ169" s="49"/>
      <c r="AK169" s="49"/>
      <c r="AL169" s="49"/>
      <c r="AM169" s="49"/>
      <c r="AN169" s="49"/>
      <c r="AO169" s="51" t="str">
        <f t="shared" si="1"/>
        <v>担当者別売上月次予算入力</v>
      </c>
      <c r="AP169" s="51" t="str">
        <f t="shared" si="2"/>
        <v>SA7195</v>
      </c>
      <c r="AQ169" s="51" t="s">
        <v>884</v>
      </c>
      <c r="AR169" s="51" t="s">
        <v>882</v>
      </c>
      <c r="AS169" s="49" t="str">
        <f t="shared" si="3"/>
        <v>担当者別売上月次予算入力</v>
      </c>
      <c r="AT169" s="49" t="str">
        <f t="shared" si="4"/>
        <v>SA7195</v>
      </c>
      <c r="AU169" s="51" t="s">
        <v>884</v>
      </c>
      <c r="AV169" s="51" t="s">
        <v>882</v>
      </c>
    </row>
    <row r="170" spans="1:48" ht="18" customHeight="1">
      <c r="A170" s="44">
        <v>168</v>
      </c>
      <c r="B170" s="52" t="s">
        <v>292</v>
      </c>
      <c r="C170" s="52" t="s">
        <v>797</v>
      </c>
      <c r="D170" s="46" t="s">
        <v>116</v>
      </c>
      <c r="E170" s="44" t="s">
        <v>885</v>
      </c>
      <c r="F170" s="44" t="s">
        <v>886</v>
      </c>
      <c r="G170" s="44"/>
      <c r="H170" s="44"/>
      <c r="I170" s="44"/>
      <c r="J170" s="47" t="s">
        <v>35</v>
      </c>
      <c r="K170" s="47"/>
      <c r="L170" s="47"/>
      <c r="M170" s="47"/>
      <c r="N170" s="47"/>
      <c r="O170" s="44"/>
      <c r="P170" s="44"/>
      <c r="Q170" s="48">
        <f>VLOOKUP(E170,sheet1!$B$2:$D$3209,3,FALSE)</f>
        <v>32</v>
      </c>
      <c r="R170" s="47" t="s">
        <v>35</v>
      </c>
      <c r="S170" s="47" t="s">
        <v>35</v>
      </c>
      <c r="T170" s="47" t="s">
        <v>35</v>
      </c>
      <c r="U170" s="47" t="s">
        <v>35</v>
      </c>
      <c r="V170" s="47" t="s">
        <v>35</v>
      </c>
      <c r="W170" s="47" t="s">
        <v>296</v>
      </c>
      <c r="X170" s="47" t="s">
        <v>296</v>
      </c>
      <c r="Y170" s="47" t="s">
        <v>296</v>
      </c>
      <c r="Z170" s="47" t="s">
        <v>35</v>
      </c>
      <c r="AA170" s="47" t="s">
        <v>296</v>
      </c>
      <c r="AB170" s="47"/>
      <c r="AC170" s="47" t="s">
        <v>35</v>
      </c>
      <c r="AD170" s="49" t="str">
        <f>VLOOKUP(E170,sheet1!$B$2:$C$3209,2,FALSE)</f>
        <v>部課マスターチェック</v>
      </c>
      <c r="AE170" s="49"/>
      <c r="AF170" s="51" t="s">
        <v>887</v>
      </c>
      <c r="AG170" s="51" t="s">
        <v>885</v>
      </c>
      <c r="AH170" s="49" t="str">
        <f t="shared" si="0"/>
        <v>課別担当者別売上達成率リスト</v>
      </c>
      <c r="AI170" s="49"/>
      <c r="AJ170" s="49"/>
      <c r="AK170" s="49"/>
      <c r="AL170" s="49"/>
      <c r="AM170" s="49"/>
      <c r="AN170" s="49"/>
      <c r="AO170" s="51" t="str">
        <f t="shared" si="1"/>
        <v>課別担当者別売上達成率リスト</v>
      </c>
      <c r="AP170" s="51" t="str">
        <f t="shared" si="2"/>
        <v>SA7180</v>
      </c>
      <c r="AQ170" s="51" t="s">
        <v>887</v>
      </c>
      <c r="AR170" s="51" t="s">
        <v>885</v>
      </c>
      <c r="AS170" s="49" t="str">
        <f t="shared" si="3"/>
        <v>課別担当者別売上達成率リスト</v>
      </c>
      <c r="AT170" s="49" t="str">
        <f t="shared" si="4"/>
        <v>SA7180</v>
      </c>
      <c r="AU170" s="51" t="s">
        <v>887</v>
      </c>
      <c r="AV170" s="51" t="s">
        <v>885</v>
      </c>
    </row>
    <row r="171" spans="1:48" ht="18" customHeight="1">
      <c r="A171" s="44">
        <v>169</v>
      </c>
      <c r="B171" s="52" t="s">
        <v>292</v>
      </c>
      <c r="C171" s="52" t="s">
        <v>797</v>
      </c>
      <c r="D171" s="46" t="s">
        <v>116</v>
      </c>
      <c r="E171" s="44" t="s">
        <v>888</v>
      </c>
      <c r="F171" s="44" t="s">
        <v>889</v>
      </c>
      <c r="G171" s="44"/>
      <c r="H171" s="44"/>
      <c r="I171" s="44"/>
      <c r="J171" s="47" t="s">
        <v>35</v>
      </c>
      <c r="K171" s="47"/>
      <c r="L171" s="47"/>
      <c r="M171" s="47"/>
      <c r="N171" s="47"/>
      <c r="O171" s="44"/>
      <c r="P171" s="44"/>
      <c r="Q171" s="48">
        <f>VLOOKUP(E171,sheet1!$B$2:$D$3209,3,FALSE)</f>
        <v>251</v>
      </c>
      <c r="R171" s="47" t="s">
        <v>35</v>
      </c>
      <c r="S171" s="47" t="s">
        <v>35</v>
      </c>
      <c r="T171" s="47" t="s">
        <v>35</v>
      </c>
      <c r="U171" s="47" t="s">
        <v>35</v>
      </c>
      <c r="V171" s="47" t="s">
        <v>35</v>
      </c>
      <c r="W171" s="47" t="s">
        <v>296</v>
      </c>
      <c r="X171" s="47" t="s">
        <v>296</v>
      </c>
      <c r="Y171" s="47" t="s">
        <v>296</v>
      </c>
      <c r="Z171" s="47" t="s">
        <v>35</v>
      </c>
      <c r="AA171" s="47" t="s">
        <v>296</v>
      </c>
      <c r="AB171" s="47"/>
      <c r="AC171" s="47" t="s">
        <v>35</v>
      </c>
      <c r="AD171" s="49" t="str">
        <f>VLOOKUP(E171,sheet1!$B$2:$C$3209,2,FALSE)</f>
        <v>レジャー品質対策アフター費用集計</v>
      </c>
      <c r="AE171" s="49"/>
      <c r="AF171" s="51" t="s">
        <v>890</v>
      </c>
      <c r="AG171" s="51" t="s">
        <v>888</v>
      </c>
      <c r="AH171" s="49" t="str">
        <f t="shared" si="0"/>
        <v>ﾚｼﾞｬｰ品質対策ｱﾌﾀｰ費用集計表</v>
      </c>
      <c r="AI171" s="49"/>
      <c r="AJ171" s="49"/>
      <c r="AK171" s="49"/>
      <c r="AL171" s="49"/>
      <c r="AM171" s="49"/>
      <c r="AN171" s="49"/>
      <c r="AO171" s="51" t="str">
        <f t="shared" si="1"/>
        <v>ﾚｼﾞｬｰ品質対策ｱﾌﾀｰ費用集計表</v>
      </c>
      <c r="AP171" s="51" t="str">
        <f t="shared" si="2"/>
        <v>SA2490</v>
      </c>
      <c r="AQ171" s="51" t="s">
        <v>890</v>
      </c>
      <c r="AR171" s="51" t="s">
        <v>888</v>
      </c>
      <c r="AS171" s="49" t="str">
        <f t="shared" si="3"/>
        <v>ﾚｼﾞｬｰ品質対策ｱﾌﾀｰ費用集計表</v>
      </c>
      <c r="AT171" s="49" t="str">
        <f t="shared" si="4"/>
        <v>SA2490</v>
      </c>
      <c r="AU171" s="51" t="s">
        <v>890</v>
      </c>
      <c r="AV171" s="51" t="s">
        <v>888</v>
      </c>
    </row>
    <row r="172" spans="1:48" ht="18" customHeight="1">
      <c r="A172" s="44">
        <v>170</v>
      </c>
      <c r="B172" s="52" t="s">
        <v>292</v>
      </c>
      <c r="C172" s="52" t="s">
        <v>797</v>
      </c>
      <c r="D172" s="46" t="s">
        <v>116</v>
      </c>
      <c r="E172" s="44" t="s">
        <v>891</v>
      </c>
      <c r="F172" s="44" t="s">
        <v>892</v>
      </c>
      <c r="G172" s="44"/>
      <c r="H172" s="44"/>
      <c r="I172" s="44"/>
      <c r="J172" s="47" t="s">
        <v>35</v>
      </c>
      <c r="K172" s="47"/>
      <c r="L172" s="47"/>
      <c r="M172" s="47"/>
      <c r="N172" s="47"/>
      <c r="O172" s="44"/>
      <c r="P172" s="44"/>
      <c r="Q172" s="48">
        <f>VLOOKUP(E172,sheet1!$B$2:$D$3209,3,FALSE)</f>
        <v>296</v>
      </c>
      <c r="R172" s="47" t="s">
        <v>35</v>
      </c>
      <c r="S172" s="47" t="s">
        <v>35</v>
      </c>
      <c r="T172" s="47" t="s">
        <v>35</v>
      </c>
      <c r="U172" s="47" t="s">
        <v>35</v>
      </c>
      <c r="V172" s="47" t="s">
        <v>35</v>
      </c>
      <c r="W172" s="47" t="s">
        <v>296</v>
      </c>
      <c r="X172" s="47" t="s">
        <v>296</v>
      </c>
      <c r="Y172" s="47" t="s">
        <v>296</v>
      </c>
      <c r="Z172" s="47" t="s">
        <v>35</v>
      </c>
      <c r="AA172" s="47" t="s">
        <v>296</v>
      </c>
      <c r="AB172" s="47"/>
      <c r="AC172" s="47" t="s">
        <v>35</v>
      </c>
      <c r="AD172" s="49" t="str">
        <f>VLOOKUP(E172,sheet1!$B$2:$C$3209,2,FALSE)</f>
        <v>技術サービス売上支払集計表</v>
      </c>
      <c r="AE172" s="49"/>
      <c r="AF172" s="51" t="s">
        <v>893</v>
      </c>
      <c r="AG172" s="51" t="s">
        <v>891</v>
      </c>
      <c r="AH172" s="49" t="str">
        <f t="shared" si="0"/>
        <v>技術サービス売上支払集計</v>
      </c>
      <c r="AI172" s="49"/>
      <c r="AJ172" s="49"/>
      <c r="AK172" s="49"/>
      <c r="AL172" s="49"/>
      <c r="AM172" s="49"/>
      <c r="AN172" s="49"/>
      <c r="AO172" s="51" t="str">
        <f t="shared" si="1"/>
        <v>技術サービス売上支払集計</v>
      </c>
      <c r="AP172" s="51" t="str">
        <f t="shared" si="2"/>
        <v>SA2470</v>
      </c>
      <c r="AQ172" s="51" t="s">
        <v>893</v>
      </c>
      <c r="AR172" s="51" t="s">
        <v>891</v>
      </c>
      <c r="AS172" s="49" t="str">
        <f t="shared" si="3"/>
        <v>技術サービス売上支払集計</v>
      </c>
      <c r="AT172" s="49" t="str">
        <f t="shared" si="4"/>
        <v>SA2470</v>
      </c>
      <c r="AU172" s="51" t="s">
        <v>893</v>
      </c>
      <c r="AV172" s="51" t="s">
        <v>891</v>
      </c>
    </row>
    <row r="173" spans="1:48" ht="18" customHeight="1">
      <c r="A173" s="44">
        <v>171</v>
      </c>
      <c r="B173" s="52" t="s">
        <v>292</v>
      </c>
      <c r="C173" s="52" t="s">
        <v>797</v>
      </c>
      <c r="D173" s="46" t="s">
        <v>116</v>
      </c>
      <c r="E173" s="44" t="s">
        <v>894</v>
      </c>
      <c r="F173" s="44" t="s">
        <v>895</v>
      </c>
      <c r="G173" s="44"/>
      <c r="H173" s="44"/>
      <c r="I173" s="44"/>
      <c r="J173" s="47" t="s">
        <v>35</v>
      </c>
      <c r="K173" s="47"/>
      <c r="L173" s="47"/>
      <c r="M173" s="47"/>
      <c r="N173" s="47"/>
      <c r="O173" s="44"/>
      <c r="P173" s="44"/>
      <c r="Q173" s="48">
        <f>VLOOKUP(E173,sheet1!$B$2:$D$3209,3,FALSE)</f>
        <v>465</v>
      </c>
      <c r="R173" s="47" t="s">
        <v>35</v>
      </c>
      <c r="S173" s="47" t="s">
        <v>35</v>
      </c>
      <c r="T173" s="47" t="s">
        <v>35</v>
      </c>
      <c r="U173" s="47" t="s">
        <v>35</v>
      </c>
      <c r="V173" s="47" t="s">
        <v>35</v>
      </c>
      <c r="W173" s="47" t="s">
        <v>296</v>
      </c>
      <c r="X173" s="47" t="s">
        <v>296</v>
      </c>
      <c r="Y173" s="47" t="s">
        <v>296</v>
      </c>
      <c r="Z173" s="47" t="s">
        <v>35</v>
      </c>
      <c r="AA173" s="47" t="s">
        <v>296</v>
      </c>
      <c r="AB173" s="47"/>
      <c r="AC173" s="47" t="s">
        <v>35</v>
      </c>
      <c r="AD173" s="49" t="str">
        <f>VLOOKUP(E173,sheet1!$B$2:$C$3209,2,FALSE)</f>
        <v>技術代行料リストMHKMSP失効日対応</v>
      </c>
      <c r="AE173" s="49"/>
      <c r="AF173" s="51" t="s">
        <v>896</v>
      </c>
      <c r="AG173" s="51" t="s">
        <v>894</v>
      </c>
      <c r="AH173" s="49" t="str">
        <f t="shared" si="0"/>
        <v>技術代行料リスト</v>
      </c>
      <c r="AI173" s="49"/>
      <c r="AJ173" s="49"/>
      <c r="AK173" s="49"/>
      <c r="AL173" s="49"/>
      <c r="AM173" s="49"/>
      <c r="AN173" s="49"/>
      <c r="AO173" s="51" t="str">
        <f t="shared" si="1"/>
        <v>技術代行料リスト</v>
      </c>
      <c r="AP173" s="51" t="str">
        <f t="shared" si="2"/>
        <v>SA2630</v>
      </c>
      <c r="AQ173" s="51" t="s">
        <v>896</v>
      </c>
      <c r="AR173" s="51" t="s">
        <v>894</v>
      </c>
      <c r="AS173" s="49" t="str">
        <f t="shared" si="3"/>
        <v>技術代行料リスト</v>
      </c>
      <c r="AT173" s="49" t="str">
        <f t="shared" si="4"/>
        <v>SA2630</v>
      </c>
      <c r="AU173" s="51" t="s">
        <v>896</v>
      </c>
      <c r="AV173" s="51" t="s">
        <v>894</v>
      </c>
    </row>
    <row r="174" spans="1:48" ht="18" customHeight="1">
      <c r="A174" s="44">
        <v>172</v>
      </c>
      <c r="B174" s="52" t="s">
        <v>292</v>
      </c>
      <c r="C174" s="52" t="s">
        <v>797</v>
      </c>
      <c r="D174" s="46" t="s">
        <v>116</v>
      </c>
      <c r="E174" s="44" t="s">
        <v>897</v>
      </c>
      <c r="F174" s="44" t="s">
        <v>898</v>
      </c>
      <c r="G174" s="44"/>
      <c r="H174" s="44"/>
      <c r="I174" s="44"/>
      <c r="J174" s="47" t="s">
        <v>35</v>
      </c>
      <c r="K174" s="47"/>
      <c r="L174" s="47"/>
      <c r="M174" s="47"/>
      <c r="N174" s="47"/>
      <c r="O174" s="44"/>
      <c r="P174" s="44"/>
      <c r="Q174" s="48">
        <f>VLOOKUP(E174,sheet1!$B$2:$D$3209,3,FALSE)</f>
        <v>1119</v>
      </c>
      <c r="R174" s="47" t="s">
        <v>35</v>
      </c>
      <c r="S174" s="47" t="s">
        <v>35</v>
      </c>
      <c r="T174" s="47" t="s">
        <v>35</v>
      </c>
      <c r="U174" s="47" t="s">
        <v>35</v>
      </c>
      <c r="V174" s="47" t="s">
        <v>35</v>
      </c>
      <c r="W174" s="47" t="s">
        <v>296</v>
      </c>
      <c r="X174" s="47" t="s">
        <v>296</v>
      </c>
      <c r="Y174" s="47" t="s">
        <v>296</v>
      </c>
      <c r="Z174" s="47" t="s">
        <v>35</v>
      </c>
      <c r="AA174" s="47" t="s">
        <v>296</v>
      </c>
      <c r="AB174" s="47"/>
      <c r="AC174" s="47" t="s">
        <v>35</v>
      </c>
      <c r="AD174" s="49" t="str">
        <f>VLOOKUP(E174,sheet1!$B$2:$C$3209,2,FALSE)</f>
        <v>振替伝票起票用資料（ＪＴＳ）</v>
      </c>
      <c r="AE174" s="49"/>
      <c r="AF174" s="51" t="s">
        <v>899</v>
      </c>
      <c r="AG174" s="51" t="s">
        <v>897</v>
      </c>
      <c r="AH174" s="49" t="str">
        <f t="shared" si="0"/>
        <v>振替伝票起票用資料（ＪＴＳ）</v>
      </c>
      <c r="AI174" s="49"/>
      <c r="AJ174" s="49"/>
      <c r="AK174" s="49"/>
      <c r="AL174" s="49"/>
      <c r="AM174" s="49"/>
      <c r="AN174" s="49"/>
      <c r="AO174" s="51" t="str">
        <f t="shared" si="1"/>
        <v>振替伝票起票用資料（ＪＴＳ）</v>
      </c>
      <c r="AP174" s="51" t="str">
        <f t="shared" si="2"/>
        <v>SA2680</v>
      </c>
      <c r="AQ174" s="51" t="s">
        <v>899</v>
      </c>
      <c r="AR174" s="51" t="s">
        <v>897</v>
      </c>
      <c r="AS174" s="49" t="str">
        <f t="shared" si="3"/>
        <v>振替伝票起票用資料（ＪＴＳ）</v>
      </c>
      <c r="AT174" s="49" t="str">
        <f t="shared" si="4"/>
        <v>SA2680</v>
      </c>
      <c r="AU174" s="51" t="s">
        <v>899</v>
      </c>
      <c r="AV174" s="51" t="s">
        <v>897</v>
      </c>
    </row>
    <row r="175" spans="1:48" ht="18" customHeight="1">
      <c r="A175" s="44">
        <v>173</v>
      </c>
      <c r="B175" s="52" t="s">
        <v>292</v>
      </c>
      <c r="C175" s="52" t="s">
        <v>797</v>
      </c>
      <c r="D175" s="46" t="s">
        <v>116</v>
      </c>
      <c r="E175" s="44" t="s">
        <v>900</v>
      </c>
      <c r="F175" s="44" t="s">
        <v>901</v>
      </c>
      <c r="G175" s="44"/>
      <c r="H175" s="44"/>
      <c r="I175" s="44"/>
      <c r="J175" s="47" t="s">
        <v>35</v>
      </c>
      <c r="K175" s="47"/>
      <c r="L175" s="47"/>
      <c r="M175" s="47"/>
      <c r="N175" s="47"/>
      <c r="O175" s="44"/>
      <c r="P175" s="44"/>
      <c r="Q175" s="48">
        <f>VLOOKUP(E175,sheet1!$B$2:$D$3209,3,FALSE)</f>
        <v>1062</v>
      </c>
      <c r="R175" s="47" t="s">
        <v>35</v>
      </c>
      <c r="S175" s="47" t="s">
        <v>35</v>
      </c>
      <c r="T175" s="47" t="s">
        <v>35</v>
      </c>
      <c r="U175" s="47" t="s">
        <v>35</v>
      </c>
      <c r="V175" s="47" t="s">
        <v>35</v>
      </c>
      <c r="W175" s="47" t="s">
        <v>296</v>
      </c>
      <c r="X175" s="47" t="s">
        <v>296</v>
      </c>
      <c r="Y175" s="47" t="s">
        <v>296</v>
      </c>
      <c r="Z175" s="47" t="s">
        <v>35</v>
      </c>
      <c r="AA175" s="47" t="s">
        <v>296</v>
      </c>
      <c r="AB175" s="47"/>
      <c r="AC175" s="47" t="s">
        <v>35</v>
      </c>
      <c r="AD175" s="49" t="str">
        <f>VLOOKUP(E175,sheet1!$B$2:$C$3209,2,FALSE)</f>
        <v>売上金額順位表</v>
      </c>
      <c r="AE175" s="49"/>
      <c r="AF175" s="51" t="s">
        <v>902</v>
      </c>
      <c r="AG175" s="51" t="s">
        <v>900</v>
      </c>
      <c r="AH175" s="49" t="str">
        <f t="shared" si="0"/>
        <v>各種売上・原価順位表</v>
      </c>
      <c r="AI175" s="49"/>
      <c r="AJ175" s="49"/>
      <c r="AK175" s="49"/>
      <c r="AL175" s="49"/>
      <c r="AM175" s="49"/>
      <c r="AN175" s="49"/>
      <c r="AO175" s="51" t="str">
        <f t="shared" si="1"/>
        <v>各種売上・原価順位表</v>
      </c>
      <c r="AP175" s="51" t="str">
        <f t="shared" si="2"/>
        <v>SA7340</v>
      </c>
      <c r="AQ175" s="51" t="s">
        <v>902</v>
      </c>
      <c r="AR175" s="51" t="s">
        <v>900</v>
      </c>
      <c r="AS175" s="49" t="str">
        <f t="shared" si="3"/>
        <v>各種売上・原価順位表</v>
      </c>
      <c r="AT175" s="49" t="str">
        <f t="shared" si="4"/>
        <v>SA7340</v>
      </c>
      <c r="AU175" s="51" t="s">
        <v>902</v>
      </c>
      <c r="AV175" s="51" t="s">
        <v>900</v>
      </c>
    </row>
    <row r="176" spans="1:48" ht="18" customHeight="1">
      <c r="A176" s="44">
        <v>174</v>
      </c>
      <c r="B176" s="52" t="s">
        <v>292</v>
      </c>
      <c r="C176" s="45" t="s">
        <v>903</v>
      </c>
      <c r="D176" s="46" t="s">
        <v>116</v>
      </c>
      <c r="E176" s="44" t="s">
        <v>904</v>
      </c>
      <c r="F176" s="44" t="s">
        <v>905</v>
      </c>
      <c r="G176" s="44"/>
      <c r="H176" s="44"/>
      <c r="I176" s="44"/>
      <c r="J176" s="47" t="s">
        <v>35</v>
      </c>
      <c r="K176" s="47"/>
      <c r="L176" s="47"/>
      <c r="M176" s="47"/>
      <c r="N176" s="47"/>
      <c r="O176" s="44"/>
      <c r="P176" s="44"/>
      <c r="Q176" s="48"/>
      <c r="R176" s="47" t="s">
        <v>35</v>
      </c>
      <c r="S176" s="47" t="s">
        <v>35</v>
      </c>
      <c r="T176" s="47"/>
      <c r="U176" s="47" t="s">
        <v>296</v>
      </c>
      <c r="V176" s="47" t="s">
        <v>296</v>
      </c>
      <c r="W176" s="47" t="s">
        <v>296</v>
      </c>
      <c r="X176" s="47" t="s">
        <v>296</v>
      </c>
      <c r="Y176" s="47" t="s">
        <v>296</v>
      </c>
      <c r="Z176" s="47" t="s">
        <v>296</v>
      </c>
      <c r="AA176" s="47" t="s">
        <v>296</v>
      </c>
      <c r="AB176" s="47"/>
      <c r="AC176" s="47" t="s">
        <v>35</v>
      </c>
      <c r="AD176" s="49"/>
      <c r="AE176" s="49"/>
      <c r="AF176" s="49" t="s">
        <v>906</v>
      </c>
      <c r="AG176" s="49" t="s">
        <v>904</v>
      </c>
      <c r="AH176" s="49" t="str">
        <f t="shared" si="0"/>
        <v>請求書新規作成指示</v>
      </c>
      <c r="AI176" s="49"/>
      <c r="AJ176" s="49"/>
      <c r="AK176" s="49"/>
      <c r="AL176" s="49" t="str">
        <f t="shared" ref="AL176:AL213" si="6">TRIM(AN176)</f>
        <v>受取手形期日指定一覧</v>
      </c>
      <c r="AM176" s="49" t="s">
        <v>35</v>
      </c>
      <c r="AN176" s="58" t="s">
        <v>907</v>
      </c>
      <c r="AO176" s="51" t="str">
        <f t="shared" si="1"/>
        <v>請求書新規作成指示</v>
      </c>
      <c r="AP176" s="51" t="str">
        <f t="shared" si="2"/>
        <v>MM2050</v>
      </c>
      <c r="AQ176" s="36" t="s">
        <v>906</v>
      </c>
      <c r="AR176" s="49" t="s">
        <v>904</v>
      </c>
      <c r="AS176" s="49" t="str">
        <f t="shared" si="3"/>
        <v/>
      </c>
      <c r="AT176" s="49" t="str">
        <f t="shared" si="4"/>
        <v/>
      </c>
      <c r="AU176" s="49"/>
      <c r="AV176" s="49"/>
    </row>
    <row r="177" spans="1:48" ht="18" customHeight="1">
      <c r="A177" s="44">
        <v>175</v>
      </c>
      <c r="B177" s="52" t="s">
        <v>292</v>
      </c>
      <c r="C177" s="52" t="s">
        <v>903</v>
      </c>
      <c r="D177" s="46" t="s">
        <v>116</v>
      </c>
      <c r="E177" s="44" t="s">
        <v>908</v>
      </c>
      <c r="F177" s="44" t="s">
        <v>909</v>
      </c>
      <c r="G177" s="44"/>
      <c r="H177" s="44"/>
      <c r="I177" s="44"/>
      <c r="J177" s="47" t="s">
        <v>35</v>
      </c>
      <c r="K177" s="47"/>
      <c r="L177" s="47"/>
      <c r="M177" s="47"/>
      <c r="N177" s="47"/>
      <c r="O177" s="44"/>
      <c r="P177" s="44"/>
      <c r="Q177" s="48"/>
      <c r="R177" s="47" t="s">
        <v>35</v>
      </c>
      <c r="S177" s="47" t="s">
        <v>35</v>
      </c>
      <c r="T177" s="47"/>
      <c r="U177" s="47" t="s">
        <v>296</v>
      </c>
      <c r="V177" s="47" t="s">
        <v>296</v>
      </c>
      <c r="W177" s="47" t="s">
        <v>296</v>
      </c>
      <c r="X177" s="47" t="s">
        <v>296</v>
      </c>
      <c r="Y177" s="47" t="s">
        <v>296</v>
      </c>
      <c r="Z177" s="47" t="s">
        <v>296</v>
      </c>
      <c r="AA177" s="47" t="s">
        <v>296</v>
      </c>
      <c r="AB177" s="47"/>
      <c r="AC177" s="47" t="s">
        <v>35</v>
      </c>
      <c r="AD177" s="49"/>
      <c r="AE177" s="49"/>
      <c r="AF177" s="49" t="s">
        <v>910</v>
      </c>
      <c r="AG177" s="49" t="s">
        <v>908</v>
      </c>
      <c r="AH177" s="49" t="str">
        <f t="shared" si="0"/>
        <v>請求書随時作成指示</v>
      </c>
      <c r="AI177" s="49"/>
      <c r="AJ177" s="49"/>
      <c r="AK177" s="49"/>
      <c r="AL177" s="49" t="str">
        <f t="shared" si="6"/>
        <v>請求書発行一覧表</v>
      </c>
      <c r="AM177" s="49" t="s">
        <v>35</v>
      </c>
      <c r="AN177" s="49" t="s">
        <v>911</v>
      </c>
      <c r="AO177" s="51" t="str">
        <f t="shared" si="1"/>
        <v>請求書随時作成指示</v>
      </c>
      <c r="AP177" s="51" t="str">
        <f t="shared" si="2"/>
        <v>MM2030</v>
      </c>
      <c r="AQ177" s="49" t="s">
        <v>910</v>
      </c>
      <c r="AR177" s="49" t="s">
        <v>908</v>
      </c>
      <c r="AS177" s="49" t="str">
        <f t="shared" si="3"/>
        <v/>
      </c>
      <c r="AT177" s="49" t="str">
        <f t="shared" si="4"/>
        <v/>
      </c>
      <c r="AU177" s="49"/>
      <c r="AV177" s="49"/>
    </row>
    <row r="178" spans="1:48" ht="18" customHeight="1">
      <c r="A178" s="44">
        <v>176</v>
      </c>
      <c r="B178" s="52" t="s">
        <v>292</v>
      </c>
      <c r="C178" s="52" t="s">
        <v>903</v>
      </c>
      <c r="D178" s="46" t="s">
        <v>116</v>
      </c>
      <c r="E178" s="44" t="s">
        <v>912</v>
      </c>
      <c r="F178" s="44" t="s">
        <v>913</v>
      </c>
      <c r="G178" s="44"/>
      <c r="H178" s="44"/>
      <c r="I178" s="44"/>
      <c r="J178" s="47" t="s">
        <v>35</v>
      </c>
      <c r="K178" s="47"/>
      <c r="L178" s="47"/>
      <c r="M178" s="47"/>
      <c r="N178" s="47"/>
      <c r="O178" s="44"/>
      <c r="P178" s="44"/>
      <c r="Q178" s="48"/>
      <c r="R178" s="47" t="s">
        <v>35</v>
      </c>
      <c r="S178" s="47" t="s">
        <v>35</v>
      </c>
      <c r="T178" s="47"/>
      <c r="U178" s="47" t="s">
        <v>296</v>
      </c>
      <c r="V178" s="47" t="s">
        <v>296</v>
      </c>
      <c r="W178" s="47" t="s">
        <v>296</v>
      </c>
      <c r="X178" s="47" t="s">
        <v>296</v>
      </c>
      <c r="Y178" s="47" t="s">
        <v>296</v>
      </c>
      <c r="Z178" s="47" t="s">
        <v>296</v>
      </c>
      <c r="AA178" s="47" t="s">
        <v>296</v>
      </c>
      <c r="AB178" s="47"/>
      <c r="AC178" s="47" t="s">
        <v>35</v>
      </c>
      <c r="AD178" s="49"/>
      <c r="AE178" s="49"/>
      <c r="AF178" s="49" t="s">
        <v>914</v>
      </c>
      <c r="AG178" s="49" t="s">
        <v>912</v>
      </c>
      <c r="AH178" s="49" t="str">
        <f t="shared" si="0"/>
        <v>請求書再印刷指示</v>
      </c>
      <c r="AI178" s="49"/>
      <c r="AJ178" s="49"/>
      <c r="AK178" s="49"/>
      <c r="AL178" s="49" t="str">
        <f t="shared" si="6"/>
        <v>請求書発行区分変更</v>
      </c>
      <c r="AM178" s="49" t="s">
        <v>35</v>
      </c>
      <c r="AN178" s="49" t="s">
        <v>915</v>
      </c>
      <c r="AO178" s="51" t="str">
        <f t="shared" si="1"/>
        <v>請求書再印刷指示</v>
      </c>
      <c r="AP178" s="51" t="str">
        <f t="shared" si="2"/>
        <v>MM2020</v>
      </c>
      <c r="AQ178" s="49" t="s">
        <v>914</v>
      </c>
      <c r="AR178" s="49" t="s">
        <v>912</v>
      </c>
      <c r="AS178" s="49" t="str">
        <f t="shared" si="3"/>
        <v/>
      </c>
      <c r="AT178" s="49" t="str">
        <f t="shared" si="4"/>
        <v/>
      </c>
      <c r="AU178" s="49"/>
      <c r="AV178" s="49"/>
    </row>
    <row r="179" spans="1:48" ht="18" customHeight="1">
      <c r="A179" s="44">
        <v>177</v>
      </c>
      <c r="B179" s="52" t="s">
        <v>292</v>
      </c>
      <c r="C179" s="52" t="s">
        <v>903</v>
      </c>
      <c r="D179" s="46" t="s">
        <v>116</v>
      </c>
      <c r="E179" s="44" t="s">
        <v>916</v>
      </c>
      <c r="F179" s="44" t="s">
        <v>917</v>
      </c>
      <c r="G179" s="44"/>
      <c r="H179" s="44"/>
      <c r="I179" s="44"/>
      <c r="J179" s="47" t="s">
        <v>35</v>
      </c>
      <c r="K179" s="47"/>
      <c r="L179" s="47"/>
      <c r="M179" s="47"/>
      <c r="N179" s="47"/>
      <c r="O179" s="44"/>
      <c r="P179" s="44"/>
      <c r="Q179" s="48"/>
      <c r="R179" s="47" t="s">
        <v>35</v>
      </c>
      <c r="S179" s="47" t="s">
        <v>35</v>
      </c>
      <c r="T179" s="47"/>
      <c r="U179" s="47" t="s">
        <v>296</v>
      </c>
      <c r="V179" s="47" t="s">
        <v>296</v>
      </c>
      <c r="W179" s="47" t="s">
        <v>296</v>
      </c>
      <c r="X179" s="47" t="s">
        <v>296</v>
      </c>
      <c r="Y179" s="47" t="s">
        <v>296</v>
      </c>
      <c r="Z179" s="47" t="s">
        <v>296</v>
      </c>
      <c r="AA179" s="47" t="s">
        <v>296</v>
      </c>
      <c r="AB179" s="47"/>
      <c r="AC179" s="47" t="s">
        <v>35</v>
      </c>
      <c r="AD179" s="49"/>
      <c r="AE179" s="49"/>
      <c r="AF179" s="49" t="s">
        <v>918</v>
      </c>
      <c r="AG179" s="49" t="s">
        <v>916</v>
      </c>
      <c r="AH179" s="49" t="str">
        <f t="shared" si="0"/>
        <v>請求書削除指示</v>
      </c>
      <c r="AI179" s="49"/>
      <c r="AJ179" s="49"/>
      <c r="AK179" s="49"/>
      <c r="AL179" s="49" t="str">
        <f t="shared" si="6"/>
        <v>入金振分入力</v>
      </c>
      <c r="AM179" s="49" t="s">
        <v>35</v>
      </c>
      <c r="AN179" s="49" t="s">
        <v>919</v>
      </c>
      <c r="AO179" s="51" t="str">
        <f t="shared" si="1"/>
        <v>請求書削除指示</v>
      </c>
      <c r="AP179" s="51" t="str">
        <f t="shared" si="2"/>
        <v>MM2060</v>
      </c>
      <c r="AQ179" s="49" t="s">
        <v>918</v>
      </c>
      <c r="AR179" s="49" t="s">
        <v>916</v>
      </c>
      <c r="AS179" s="49" t="str">
        <f t="shared" si="3"/>
        <v/>
      </c>
      <c r="AT179" s="49" t="str">
        <f t="shared" si="4"/>
        <v/>
      </c>
      <c r="AU179" s="49"/>
      <c r="AV179" s="49"/>
    </row>
    <row r="180" spans="1:48" ht="18" customHeight="1">
      <c r="A180" s="44">
        <v>178</v>
      </c>
      <c r="B180" s="52" t="s">
        <v>292</v>
      </c>
      <c r="C180" s="52" t="s">
        <v>903</v>
      </c>
      <c r="D180" s="46" t="s">
        <v>116</v>
      </c>
      <c r="E180" s="44" t="s">
        <v>920</v>
      </c>
      <c r="F180" s="44" t="s">
        <v>921</v>
      </c>
      <c r="G180" s="44"/>
      <c r="H180" s="44"/>
      <c r="I180" s="44"/>
      <c r="J180" s="47" t="s">
        <v>35</v>
      </c>
      <c r="K180" s="47"/>
      <c r="L180" s="47"/>
      <c r="M180" s="47"/>
      <c r="N180" s="47"/>
      <c r="O180" s="44"/>
      <c r="P180" s="44"/>
      <c r="Q180" s="48">
        <f>VLOOKUP(E180,sheet1!$B$2:$D$3209,3,FALSE)</f>
        <v>672</v>
      </c>
      <c r="R180" s="47" t="s">
        <v>35</v>
      </c>
      <c r="S180" s="47" t="s">
        <v>296</v>
      </c>
      <c r="T180" s="47" t="s">
        <v>35</v>
      </c>
      <c r="U180" s="47" t="s">
        <v>296</v>
      </c>
      <c r="V180" s="47" t="s">
        <v>35</v>
      </c>
      <c r="W180" s="47" t="s">
        <v>296</v>
      </c>
      <c r="X180" s="47" t="s">
        <v>296</v>
      </c>
      <c r="Y180" s="47" t="s">
        <v>296</v>
      </c>
      <c r="Z180" s="47" t="s">
        <v>35</v>
      </c>
      <c r="AA180" s="47" t="s">
        <v>296</v>
      </c>
      <c r="AB180" s="47"/>
      <c r="AC180" s="47" t="s">
        <v>296</v>
      </c>
      <c r="AD180" s="49" t="str">
        <f>VLOOKUP(E180,sheet1!$B$2:$C$3209,2,FALSE)</f>
        <v>受取手形得意先指定・指定期日以降リスト</v>
      </c>
      <c r="AE180" s="49"/>
      <c r="AF180" s="49"/>
      <c r="AG180" s="49"/>
      <c r="AH180" s="49" t="str">
        <f t="shared" si="0"/>
        <v/>
      </c>
      <c r="AI180" s="49"/>
      <c r="AJ180" s="49"/>
      <c r="AK180" s="49"/>
      <c r="AL180" s="49" t="str">
        <f t="shared" si="6"/>
        <v>売掛相殺入力</v>
      </c>
      <c r="AM180" s="49" t="s">
        <v>35</v>
      </c>
      <c r="AN180" s="49" t="s">
        <v>922</v>
      </c>
      <c r="AO180" s="51" t="str">
        <f t="shared" si="1"/>
        <v/>
      </c>
      <c r="AP180" s="51" t="str">
        <f t="shared" si="2"/>
        <v/>
      </c>
      <c r="AQ180" s="49"/>
      <c r="AR180" s="49"/>
      <c r="AS180" s="49" t="str">
        <f t="shared" si="3"/>
        <v/>
      </c>
      <c r="AT180" s="49" t="str">
        <f t="shared" si="4"/>
        <v/>
      </c>
      <c r="AU180" s="49"/>
      <c r="AV180" s="49"/>
    </row>
    <row r="181" spans="1:48" ht="18" customHeight="1">
      <c r="A181" s="44">
        <v>179</v>
      </c>
      <c r="B181" s="52" t="s">
        <v>292</v>
      </c>
      <c r="C181" s="52" t="s">
        <v>903</v>
      </c>
      <c r="D181" s="46" t="s">
        <v>116</v>
      </c>
      <c r="E181" s="44" t="s">
        <v>923</v>
      </c>
      <c r="F181" s="44" t="s">
        <v>924</v>
      </c>
      <c r="G181" s="44"/>
      <c r="H181" s="44"/>
      <c r="I181" s="44"/>
      <c r="J181" s="47" t="s">
        <v>35</v>
      </c>
      <c r="K181" s="47"/>
      <c r="L181" s="47"/>
      <c r="M181" s="47"/>
      <c r="N181" s="47"/>
      <c r="O181" s="44"/>
      <c r="P181" s="44"/>
      <c r="Q181" s="48">
        <f>VLOOKUP(E181,sheet1!$B$2:$D$3209,3,FALSE)</f>
        <v>955</v>
      </c>
      <c r="R181" s="47" t="s">
        <v>35</v>
      </c>
      <c r="S181" s="47" t="s">
        <v>35</v>
      </c>
      <c r="T181" s="47" t="s">
        <v>35</v>
      </c>
      <c r="U181" s="47" t="s">
        <v>296</v>
      </c>
      <c r="V181" s="47" t="s">
        <v>35</v>
      </c>
      <c r="W181" s="47" t="s">
        <v>296</v>
      </c>
      <c r="X181" s="47" t="s">
        <v>296</v>
      </c>
      <c r="Y181" s="47" t="s">
        <v>296</v>
      </c>
      <c r="Z181" s="47" t="s">
        <v>35</v>
      </c>
      <c r="AA181" s="47" t="s">
        <v>296</v>
      </c>
      <c r="AB181" s="47" t="s">
        <v>35</v>
      </c>
      <c r="AC181" s="47" t="s">
        <v>35</v>
      </c>
      <c r="AD181" s="49" t="str">
        <f>VLOOKUP(E181,sheet1!$B$2:$C$3209,2,FALSE)</f>
        <v>請求書発行前一覧表</v>
      </c>
      <c r="AE181" s="49"/>
      <c r="AF181" s="49" t="s">
        <v>925</v>
      </c>
      <c r="AG181" s="49" t="s">
        <v>923</v>
      </c>
      <c r="AH181" s="49" t="str">
        <f t="shared" si="0"/>
        <v>請求書発行一覧表</v>
      </c>
      <c r="AI181" s="49"/>
      <c r="AJ181" s="49"/>
      <c r="AK181" s="49"/>
      <c r="AL181" s="49" t="str">
        <f t="shared" si="6"/>
        <v>外貨建売掛相殺入力</v>
      </c>
      <c r="AM181" s="49" t="s">
        <v>35</v>
      </c>
      <c r="AN181" s="49" t="s">
        <v>926</v>
      </c>
      <c r="AO181" s="51" t="str">
        <f t="shared" si="1"/>
        <v>請求書発行一覧表</v>
      </c>
      <c r="AP181" s="51" t="str">
        <f t="shared" si="2"/>
        <v>MM5110</v>
      </c>
      <c r="AQ181" s="49" t="s">
        <v>925</v>
      </c>
      <c r="AR181" s="49" t="s">
        <v>923</v>
      </c>
      <c r="AS181" s="49" t="str">
        <f t="shared" si="3"/>
        <v/>
      </c>
      <c r="AT181" s="49" t="str">
        <f t="shared" si="4"/>
        <v/>
      </c>
      <c r="AU181" s="49"/>
      <c r="AV181" s="49"/>
    </row>
    <row r="182" spans="1:48" ht="18" customHeight="1">
      <c r="A182" s="44">
        <v>180</v>
      </c>
      <c r="B182" s="52" t="s">
        <v>292</v>
      </c>
      <c r="C182" s="52" t="s">
        <v>903</v>
      </c>
      <c r="D182" s="46" t="s">
        <v>116</v>
      </c>
      <c r="E182" s="44" t="s">
        <v>116</v>
      </c>
      <c r="F182" s="44" t="s">
        <v>927</v>
      </c>
      <c r="G182" s="44"/>
      <c r="H182" s="44"/>
      <c r="I182" s="44"/>
      <c r="J182" s="47" t="s">
        <v>35</v>
      </c>
      <c r="K182" s="47"/>
      <c r="L182" s="47"/>
      <c r="M182" s="47"/>
      <c r="N182" s="47"/>
      <c r="O182" s="44"/>
      <c r="P182" s="44"/>
      <c r="Q182" s="48"/>
      <c r="R182" s="47" t="s">
        <v>35</v>
      </c>
      <c r="S182" s="47" t="s">
        <v>35</v>
      </c>
      <c r="T182" s="47"/>
      <c r="U182" s="47" t="s">
        <v>296</v>
      </c>
      <c r="V182" s="47" t="s">
        <v>296</v>
      </c>
      <c r="W182" s="47" t="s">
        <v>296</v>
      </c>
      <c r="X182" s="47" t="s">
        <v>296</v>
      </c>
      <c r="Y182" s="47" t="s">
        <v>296</v>
      </c>
      <c r="Z182" s="47" t="s">
        <v>296</v>
      </c>
      <c r="AA182" s="47" t="s">
        <v>296</v>
      </c>
      <c r="AB182" s="47"/>
      <c r="AC182" s="47" t="s">
        <v>35</v>
      </c>
      <c r="AD182" s="49"/>
      <c r="AE182" s="49"/>
      <c r="AF182" s="49" t="s">
        <v>928</v>
      </c>
      <c r="AG182" s="49" t="s">
        <v>116</v>
      </c>
      <c r="AH182" s="49" t="str">
        <f t="shared" si="0"/>
        <v>請求書新規作成指示／部課対応</v>
      </c>
      <c r="AI182" s="49"/>
      <c r="AJ182" s="49"/>
      <c r="AK182" s="49"/>
      <c r="AL182" s="49" t="str">
        <f t="shared" si="6"/>
        <v>入金相殺入力</v>
      </c>
      <c r="AM182" s="49" t="s">
        <v>35</v>
      </c>
      <c r="AN182" s="49" t="s">
        <v>929</v>
      </c>
      <c r="AO182" s="51" t="str">
        <f t="shared" si="1"/>
        <v>請求書新規作成指示／部課対応</v>
      </c>
      <c r="AP182" s="51" t="str">
        <f t="shared" si="2"/>
        <v>反応しない</v>
      </c>
      <c r="AQ182" s="49" t="s">
        <v>928</v>
      </c>
      <c r="AR182" s="49" t="s">
        <v>930</v>
      </c>
      <c r="AS182" s="49" t="str">
        <f t="shared" si="3"/>
        <v/>
      </c>
      <c r="AT182" s="49" t="str">
        <f t="shared" si="4"/>
        <v/>
      </c>
      <c r="AU182" s="49"/>
      <c r="AV182" s="49"/>
    </row>
    <row r="183" spans="1:48" ht="18" customHeight="1">
      <c r="A183" s="44">
        <v>181</v>
      </c>
      <c r="B183" s="52" t="s">
        <v>292</v>
      </c>
      <c r="C183" s="52" t="s">
        <v>903</v>
      </c>
      <c r="D183" s="46" t="s">
        <v>116</v>
      </c>
      <c r="E183" s="44" t="s">
        <v>931</v>
      </c>
      <c r="F183" s="44" t="s">
        <v>932</v>
      </c>
      <c r="G183" s="44"/>
      <c r="H183" s="44"/>
      <c r="I183" s="44"/>
      <c r="J183" s="47" t="s">
        <v>35</v>
      </c>
      <c r="K183" s="47"/>
      <c r="L183" s="47"/>
      <c r="M183" s="47"/>
      <c r="N183" s="47"/>
      <c r="O183" s="44"/>
      <c r="P183" s="44"/>
      <c r="Q183" s="48">
        <f>VLOOKUP(E183,sheet1!$B$2:$D$3209,3,FALSE)</f>
        <v>1184</v>
      </c>
      <c r="R183" s="47" t="s">
        <v>35</v>
      </c>
      <c r="S183" s="47" t="s">
        <v>35</v>
      </c>
      <c r="T183" s="47" t="s">
        <v>35</v>
      </c>
      <c r="U183" s="47" t="s">
        <v>296</v>
      </c>
      <c r="V183" s="47" t="s">
        <v>296</v>
      </c>
      <c r="W183" s="47" t="s">
        <v>296</v>
      </c>
      <c r="X183" s="47" t="s">
        <v>296</v>
      </c>
      <c r="Y183" s="47" t="s">
        <v>296</v>
      </c>
      <c r="Z183" s="47" t="s">
        <v>35</v>
      </c>
      <c r="AA183" s="47" t="s">
        <v>296</v>
      </c>
      <c r="AB183" s="47" t="s">
        <v>35</v>
      </c>
      <c r="AC183" s="47" t="s">
        <v>35</v>
      </c>
      <c r="AD183" s="49" t="str">
        <f>VLOOKUP(E183,sheet1!$B$2:$C$3209,2,FALSE)</f>
        <v>請求書発行区分変更ＰＧＭ</v>
      </c>
      <c r="AE183" s="49"/>
      <c r="AF183" s="49" t="s">
        <v>933</v>
      </c>
      <c r="AG183" s="49" t="s">
        <v>931</v>
      </c>
      <c r="AH183" s="49" t="str">
        <f t="shared" si="0"/>
        <v>請求書発行区分変更</v>
      </c>
      <c r="AI183" s="49"/>
      <c r="AJ183" s="49"/>
      <c r="AK183" s="49"/>
      <c r="AL183" s="49" t="str">
        <f t="shared" si="6"/>
        <v>過入金振分入力</v>
      </c>
      <c r="AM183" s="49" t="s">
        <v>35</v>
      </c>
      <c r="AN183" s="49" t="s">
        <v>934</v>
      </c>
      <c r="AO183" s="51" t="str">
        <f t="shared" si="1"/>
        <v>請求書発行区分変更</v>
      </c>
      <c r="AP183" s="51" t="str">
        <f t="shared" si="2"/>
        <v>MM2070</v>
      </c>
      <c r="AQ183" s="49" t="s">
        <v>933</v>
      </c>
      <c r="AR183" s="49" t="s">
        <v>931</v>
      </c>
      <c r="AS183" s="49" t="str">
        <f t="shared" si="3"/>
        <v/>
      </c>
      <c r="AT183" s="49" t="str">
        <f t="shared" si="4"/>
        <v/>
      </c>
      <c r="AU183" s="49"/>
      <c r="AV183" s="49"/>
    </row>
    <row r="184" spans="1:48" ht="18" customHeight="1">
      <c r="A184" s="44">
        <v>182</v>
      </c>
      <c r="B184" s="52" t="s">
        <v>292</v>
      </c>
      <c r="C184" s="52" t="s">
        <v>903</v>
      </c>
      <c r="D184" s="46" t="s">
        <v>116</v>
      </c>
      <c r="E184" s="44" t="s">
        <v>935</v>
      </c>
      <c r="F184" s="44" t="s">
        <v>936</v>
      </c>
      <c r="G184" s="44"/>
      <c r="H184" s="44"/>
      <c r="I184" s="44"/>
      <c r="J184" s="47" t="s">
        <v>35</v>
      </c>
      <c r="K184" s="47"/>
      <c r="L184" s="47"/>
      <c r="M184" s="47"/>
      <c r="N184" s="47"/>
      <c r="O184" s="44"/>
      <c r="P184" s="44"/>
      <c r="Q184" s="48"/>
      <c r="R184" s="47" t="s">
        <v>35</v>
      </c>
      <c r="S184" s="47" t="s">
        <v>35</v>
      </c>
      <c r="T184" s="47"/>
      <c r="U184" s="47" t="s">
        <v>296</v>
      </c>
      <c r="V184" s="47" t="s">
        <v>296</v>
      </c>
      <c r="W184" s="47" t="s">
        <v>296</v>
      </c>
      <c r="X184" s="47" t="s">
        <v>296</v>
      </c>
      <c r="Y184" s="47" t="s">
        <v>296</v>
      </c>
      <c r="Z184" s="47" t="s">
        <v>296</v>
      </c>
      <c r="AA184" s="47" t="s">
        <v>296</v>
      </c>
      <c r="AB184" s="47"/>
      <c r="AC184" s="47" t="s">
        <v>35</v>
      </c>
      <c r="AD184" s="49"/>
      <c r="AE184" s="49"/>
      <c r="AF184" s="49" t="s">
        <v>937</v>
      </c>
      <c r="AG184" s="49" t="s">
        <v>935</v>
      </c>
      <c r="AH184" s="49" t="str">
        <f t="shared" si="0"/>
        <v>外貨入金エントリー</v>
      </c>
      <c r="AI184" s="49"/>
      <c r="AJ184" s="49"/>
      <c r="AK184" s="49"/>
      <c r="AL184" s="49" t="str">
        <f t="shared" si="6"/>
        <v>入金 照会</v>
      </c>
      <c r="AM184" s="49" t="s">
        <v>35</v>
      </c>
      <c r="AN184" s="49" t="s">
        <v>938</v>
      </c>
      <c r="AO184" s="51" t="str">
        <f t="shared" si="1"/>
        <v>外貨入金エントリー</v>
      </c>
      <c r="AP184" s="51" t="str">
        <f t="shared" si="2"/>
        <v>MM3000</v>
      </c>
      <c r="AQ184" s="49" t="s">
        <v>937</v>
      </c>
      <c r="AR184" s="49" t="s">
        <v>935</v>
      </c>
      <c r="AS184" s="49" t="str">
        <f t="shared" si="3"/>
        <v/>
      </c>
      <c r="AT184" s="49" t="str">
        <f t="shared" si="4"/>
        <v/>
      </c>
      <c r="AU184" s="49"/>
      <c r="AV184" s="49"/>
    </row>
    <row r="185" spans="1:48" ht="18" customHeight="1">
      <c r="A185" s="44">
        <v>183</v>
      </c>
      <c r="B185" s="52" t="s">
        <v>292</v>
      </c>
      <c r="C185" s="52" t="s">
        <v>903</v>
      </c>
      <c r="D185" s="46" t="s">
        <v>116</v>
      </c>
      <c r="E185" s="44" t="s">
        <v>939</v>
      </c>
      <c r="F185" s="44" t="s">
        <v>940</v>
      </c>
      <c r="G185" s="44"/>
      <c r="H185" s="44"/>
      <c r="I185" s="44"/>
      <c r="J185" s="47" t="s">
        <v>35</v>
      </c>
      <c r="K185" s="47"/>
      <c r="L185" s="47"/>
      <c r="M185" s="47"/>
      <c r="N185" s="47"/>
      <c r="O185" s="44"/>
      <c r="P185" s="44"/>
      <c r="Q185" s="48">
        <f>VLOOKUP(E185,sheet1!$B$2:$D$3209,3,FALSE)</f>
        <v>3107</v>
      </c>
      <c r="R185" s="47" t="s">
        <v>35</v>
      </c>
      <c r="S185" s="47" t="s">
        <v>35</v>
      </c>
      <c r="T185" s="47" t="s">
        <v>35</v>
      </c>
      <c r="U185" s="47" t="s">
        <v>296</v>
      </c>
      <c r="V185" s="47" t="s">
        <v>35</v>
      </c>
      <c r="W185" s="47" t="s">
        <v>296</v>
      </c>
      <c r="X185" s="47" t="s">
        <v>296</v>
      </c>
      <c r="Y185" s="47" t="s">
        <v>296</v>
      </c>
      <c r="Z185" s="47" t="s">
        <v>35</v>
      </c>
      <c r="AA185" s="47" t="s">
        <v>296</v>
      </c>
      <c r="AB185" s="47"/>
      <c r="AC185" s="47" t="s">
        <v>35</v>
      </c>
      <c r="AD185" s="49" t="str">
        <f>VLOOKUP(E185,sheet1!$B$2:$C$3209,2,FALSE)</f>
        <v>入金エントリー</v>
      </c>
      <c r="AE185" s="49"/>
      <c r="AF185" s="49" t="s">
        <v>941</v>
      </c>
      <c r="AG185" s="49" t="s">
        <v>939</v>
      </c>
      <c r="AH185" s="49" t="str">
        <f t="shared" si="0"/>
        <v>入金エントリー</v>
      </c>
      <c r="AI185" s="49"/>
      <c r="AJ185" s="49"/>
      <c r="AK185" s="49"/>
      <c r="AL185" s="49" t="str">
        <f t="shared" si="6"/>
        <v>受取手形　照会</v>
      </c>
      <c r="AM185" s="49" t="s">
        <v>35</v>
      </c>
      <c r="AN185" s="49" t="s">
        <v>942</v>
      </c>
      <c r="AO185" s="51" t="str">
        <f t="shared" si="1"/>
        <v>入金エントリー</v>
      </c>
      <c r="AP185" s="51" t="str">
        <f t="shared" si="2"/>
        <v>MM3020</v>
      </c>
      <c r="AQ185" s="49" t="s">
        <v>941</v>
      </c>
      <c r="AR185" s="49" t="s">
        <v>939</v>
      </c>
      <c r="AS185" s="49" t="str">
        <f t="shared" si="3"/>
        <v/>
      </c>
      <c r="AT185" s="49" t="str">
        <f t="shared" si="4"/>
        <v/>
      </c>
      <c r="AU185" s="49"/>
      <c r="AV185" s="49"/>
    </row>
    <row r="186" spans="1:48" ht="18" customHeight="1">
      <c r="A186" s="44">
        <v>184</v>
      </c>
      <c r="B186" s="52" t="s">
        <v>292</v>
      </c>
      <c r="C186" s="52" t="s">
        <v>903</v>
      </c>
      <c r="D186" s="46" t="s">
        <v>116</v>
      </c>
      <c r="E186" s="44" t="s">
        <v>943</v>
      </c>
      <c r="F186" s="44" t="s">
        <v>944</v>
      </c>
      <c r="G186" s="44"/>
      <c r="H186" s="44"/>
      <c r="I186" s="44"/>
      <c r="J186" s="47" t="s">
        <v>35</v>
      </c>
      <c r="K186" s="47"/>
      <c r="L186" s="47"/>
      <c r="M186" s="47"/>
      <c r="N186" s="47"/>
      <c r="O186" s="44"/>
      <c r="P186" s="44"/>
      <c r="Q186" s="48"/>
      <c r="R186" s="47" t="s">
        <v>35</v>
      </c>
      <c r="S186" s="47" t="s">
        <v>35</v>
      </c>
      <c r="T186" s="47"/>
      <c r="U186" s="47" t="s">
        <v>296</v>
      </c>
      <c r="V186" s="47" t="s">
        <v>296</v>
      </c>
      <c r="W186" s="47" t="s">
        <v>296</v>
      </c>
      <c r="X186" s="47" t="s">
        <v>296</v>
      </c>
      <c r="Y186" s="47" t="s">
        <v>296</v>
      </c>
      <c r="Z186" s="47" t="s">
        <v>296</v>
      </c>
      <c r="AA186" s="47" t="s">
        <v>296</v>
      </c>
      <c r="AB186" s="47"/>
      <c r="AC186" s="47" t="s">
        <v>35</v>
      </c>
      <c r="AD186" s="49"/>
      <c r="AE186" s="49"/>
      <c r="AF186" s="49" t="s">
        <v>945</v>
      </c>
      <c r="AG186" s="49" t="s">
        <v>943</v>
      </c>
      <c r="AH186" s="49" t="str">
        <f t="shared" si="0"/>
        <v>当座入金エントリー</v>
      </c>
      <c r="AI186" s="49"/>
      <c r="AJ186" s="49"/>
      <c r="AK186" s="49"/>
      <c r="AL186" s="49" t="str">
        <f t="shared" si="6"/>
        <v>売掛金回収会合資料</v>
      </c>
      <c r="AM186" s="49" t="s">
        <v>35</v>
      </c>
      <c r="AN186" s="49" t="s">
        <v>946</v>
      </c>
      <c r="AO186" s="51" t="str">
        <f t="shared" si="1"/>
        <v>当座入金エントリー</v>
      </c>
      <c r="AP186" s="51" t="str">
        <f t="shared" si="2"/>
        <v>MM3010</v>
      </c>
      <c r="AQ186" s="49" t="s">
        <v>945</v>
      </c>
      <c r="AR186" s="49" t="s">
        <v>943</v>
      </c>
      <c r="AS186" s="49" t="str">
        <f t="shared" si="3"/>
        <v/>
      </c>
      <c r="AT186" s="49" t="str">
        <f t="shared" si="4"/>
        <v/>
      </c>
      <c r="AU186" s="49"/>
      <c r="AV186" s="49"/>
    </row>
    <row r="187" spans="1:48" ht="18" customHeight="1">
      <c r="A187" s="44">
        <v>185</v>
      </c>
      <c r="B187" s="52" t="s">
        <v>292</v>
      </c>
      <c r="C187" s="52" t="s">
        <v>903</v>
      </c>
      <c r="D187" s="46" t="s">
        <v>116</v>
      </c>
      <c r="E187" s="44" t="s">
        <v>947</v>
      </c>
      <c r="F187" s="44" t="s">
        <v>948</v>
      </c>
      <c r="G187" s="44"/>
      <c r="H187" s="44"/>
      <c r="I187" s="44"/>
      <c r="J187" s="47" t="s">
        <v>35</v>
      </c>
      <c r="K187" s="47"/>
      <c r="L187" s="47"/>
      <c r="M187" s="47"/>
      <c r="N187" s="47"/>
      <c r="O187" s="44"/>
      <c r="P187" s="44"/>
      <c r="Q187" s="48"/>
      <c r="R187" s="47" t="s">
        <v>35</v>
      </c>
      <c r="S187" s="47" t="s">
        <v>35</v>
      </c>
      <c r="T187" s="47"/>
      <c r="U187" s="47" t="s">
        <v>296</v>
      </c>
      <c r="V187" s="47" t="s">
        <v>296</v>
      </c>
      <c r="W187" s="47" t="s">
        <v>296</v>
      </c>
      <c r="X187" s="47" t="s">
        <v>296</v>
      </c>
      <c r="Y187" s="47" t="s">
        <v>296</v>
      </c>
      <c r="Z187" s="47" t="s">
        <v>296</v>
      </c>
      <c r="AA187" s="47" t="s">
        <v>296</v>
      </c>
      <c r="AB187" s="47"/>
      <c r="AC187" s="47" t="s">
        <v>35</v>
      </c>
      <c r="AD187" s="49"/>
      <c r="AE187" s="49"/>
      <c r="AF187" s="49" t="s">
        <v>949</v>
      </c>
      <c r="AG187" s="49" t="s">
        <v>947</v>
      </c>
      <c r="AH187" s="49" t="str">
        <f t="shared" si="0"/>
        <v>受取手形エントリー</v>
      </c>
      <c r="AI187" s="49"/>
      <c r="AJ187" s="49"/>
      <c r="AK187" s="49"/>
      <c r="AL187" s="49" t="str">
        <f t="shared" si="6"/>
        <v>請求書照会</v>
      </c>
      <c r="AM187" s="49" t="s">
        <v>35</v>
      </c>
      <c r="AN187" s="49" t="s">
        <v>950</v>
      </c>
      <c r="AO187" s="51" t="str">
        <f t="shared" si="1"/>
        <v>受取手形エントリー</v>
      </c>
      <c r="AP187" s="51" t="str">
        <f t="shared" si="2"/>
        <v>MM3040</v>
      </c>
      <c r="AQ187" s="49" t="s">
        <v>949</v>
      </c>
      <c r="AR187" s="49" t="s">
        <v>947</v>
      </c>
      <c r="AS187" s="49" t="str">
        <f t="shared" si="3"/>
        <v/>
      </c>
      <c r="AT187" s="49" t="str">
        <f t="shared" si="4"/>
        <v/>
      </c>
      <c r="AU187" s="49"/>
      <c r="AV187" s="49"/>
    </row>
    <row r="188" spans="1:48" ht="18" customHeight="1">
      <c r="A188" s="44">
        <v>186</v>
      </c>
      <c r="B188" s="52" t="s">
        <v>292</v>
      </c>
      <c r="C188" s="52" t="s">
        <v>903</v>
      </c>
      <c r="D188" s="46" t="s">
        <v>116</v>
      </c>
      <c r="E188" s="44" t="s">
        <v>951</v>
      </c>
      <c r="F188" s="44" t="s">
        <v>952</v>
      </c>
      <c r="G188" s="44"/>
      <c r="H188" s="44"/>
      <c r="I188" s="44"/>
      <c r="J188" s="47" t="s">
        <v>35</v>
      </c>
      <c r="K188" s="47"/>
      <c r="L188" s="47"/>
      <c r="M188" s="47"/>
      <c r="N188" s="47"/>
      <c r="O188" s="44"/>
      <c r="P188" s="44"/>
      <c r="Q188" s="48"/>
      <c r="R188" s="47" t="s">
        <v>35</v>
      </c>
      <c r="S188" s="47" t="s">
        <v>35</v>
      </c>
      <c r="T188" s="47"/>
      <c r="U188" s="47" t="s">
        <v>296</v>
      </c>
      <c r="V188" s="47" t="s">
        <v>296</v>
      </c>
      <c r="W188" s="47" t="s">
        <v>296</v>
      </c>
      <c r="X188" s="47" t="s">
        <v>296</v>
      </c>
      <c r="Y188" s="47" t="s">
        <v>296</v>
      </c>
      <c r="Z188" s="47" t="s">
        <v>296</v>
      </c>
      <c r="AA188" s="47" t="s">
        <v>296</v>
      </c>
      <c r="AB188" s="47"/>
      <c r="AC188" s="47" t="s">
        <v>35</v>
      </c>
      <c r="AD188" s="49"/>
      <c r="AE188" s="49"/>
      <c r="AF188" s="49" t="s">
        <v>953</v>
      </c>
      <c r="AG188" s="49" t="s">
        <v>951</v>
      </c>
      <c r="AH188" s="49" t="str">
        <f t="shared" si="0"/>
        <v>入金承認入力</v>
      </c>
      <c r="AI188" s="49"/>
      <c r="AJ188" s="49"/>
      <c r="AK188" s="49"/>
      <c r="AL188" s="49" t="str">
        <f t="shared" si="6"/>
        <v>回収予定一覧表</v>
      </c>
      <c r="AM188" s="49" t="s">
        <v>35</v>
      </c>
      <c r="AN188" s="49" t="s">
        <v>954</v>
      </c>
      <c r="AO188" s="51" t="str">
        <f t="shared" si="1"/>
        <v>入金承認入力</v>
      </c>
      <c r="AP188" s="51" t="str">
        <f t="shared" si="2"/>
        <v>MM3030</v>
      </c>
      <c r="AQ188" s="49" t="s">
        <v>953</v>
      </c>
      <c r="AR188" s="49" t="s">
        <v>951</v>
      </c>
      <c r="AS188" s="49" t="str">
        <f t="shared" si="3"/>
        <v/>
      </c>
      <c r="AT188" s="49" t="str">
        <f t="shared" si="4"/>
        <v/>
      </c>
      <c r="AU188" s="49"/>
      <c r="AV188" s="49"/>
    </row>
    <row r="189" spans="1:48" ht="18" customHeight="1">
      <c r="A189" s="44">
        <v>187</v>
      </c>
      <c r="B189" s="52" t="s">
        <v>292</v>
      </c>
      <c r="C189" s="52" t="s">
        <v>903</v>
      </c>
      <c r="D189" s="46" t="s">
        <v>116</v>
      </c>
      <c r="E189" s="44" t="s">
        <v>955</v>
      </c>
      <c r="F189" s="44" t="s">
        <v>956</v>
      </c>
      <c r="G189" s="44"/>
      <c r="H189" s="44"/>
      <c r="I189" s="44"/>
      <c r="J189" s="47" t="s">
        <v>35</v>
      </c>
      <c r="K189" s="47"/>
      <c r="L189" s="47"/>
      <c r="M189" s="47"/>
      <c r="N189" s="47"/>
      <c r="O189" s="44"/>
      <c r="P189" s="44"/>
      <c r="Q189" s="48"/>
      <c r="R189" s="47" t="s">
        <v>35</v>
      </c>
      <c r="S189" s="47" t="s">
        <v>35</v>
      </c>
      <c r="T189" s="47"/>
      <c r="U189" s="47" t="s">
        <v>296</v>
      </c>
      <c r="V189" s="47" t="s">
        <v>296</v>
      </c>
      <c r="W189" s="47" t="s">
        <v>296</v>
      </c>
      <c r="X189" s="47" t="s">
        <v>296</v>
      </c>
      <c r="Y189" s="47" t="s">
        <v>296</v>
      </c>
      <c r="Z189" s="47" t="s">
        <v>296</v>
      </c>
      <c r="AA189" s="47" t="s">
        <v>296</v>
      </c>
      <c r="AB189" s="47"/>
      <c r="AC189" s="47" t="s">
        <v>35</v>
      </c>
      <c r="AD189" s="49"/>
      <c r="AE189" s="49"/>
      <c r="AF189" s="49" t="s">
        <v>957</v>
      </c>
      <c r="AG189" s="49" t="s">
        <v>955</v>
      </c>
      <c r="AH189" s="49" t="str">
        <f t="shared" si="0"/>
        <v>外貨入金端数入力</v>
      </c>
      <c r="AI189" s="49"/>
      <c r="AJ189" s="49"/>
      <c r="AK189" s="49"/>
      <c r="AL189" s="49" t="str">
        <f t="shared" si="6"/>
        <v>売掛金回収予定表</v>
      </c>
      <c r="AM189" s="49" t="s">
        <v>35</v>
      </c>
      <c r="AN189" s="49" t="s">
        <v>958</v>
      </c>
      <c r="AO189" s="51" t="str">
        <f t="shared" si="1"/>
        <v>外貨入金端数入力</v>
      </c>
      <c r="AP189" s="51" t="str">
        <f t="shared" si="2"/>
        <v>MM3140</v>
      </c>
      <c r="AQ189" s="49" t="s">
        <v>957</v>
      </c>
      <c r="AR189" s="49" t="s">
        <v>955</v>
      </c>
      <c r="AS189" s="49" t="str">
        <f t="shared" si="3"/>
        <v/>
      </c>
      <c r="AT189" s="49" t="str">
        <f t="shared" si="4"/>
        <v/>
      </c>
      <c r="AU189" s="49"/>
      <c r="AV189" s="49"/>
    </row>
    <row r="190" spans="1:48" ht="18" customHeight="1">
      <c r="A190" s="44">
        <v>188</v>
      </c>
      <c r="B190" s="52" t="s">
        <v>292</v>
      </c>
      <c r="C190" s="52" t="s">
        <v>903</v>
      </c>
      <c r="D190" s="46" t="s">
        <v>116</v>
      </c>
      <c r="E190" s="44" t="s">
        <v>959</v>
      </c>
      <c r="F190" s="44" t="s">
        <v>960</v>
      </c>
      <c r="G190" s="44"/>
      <c r="H190" s="44"/>
      <c r="I190" s="44"/>
      <c r="J190" s="47" t="s">
        <v>35</v>
      </c>
      <c r="K190" s="47"/>
      <c r="L190" s="47"/>
      <c r="M190" s="47"/>
      <c r="N190" s="47"/>
      <c r="O190" s="44"/>
      <c r="P190" s="44"/>
      <c r="Q190" s="48"/>
      <c r="R190" s="47" t="s">
        <v>35</v>
      </c>
      <c r="S190" s="47" t="s">
        <v>35</v>
      </c>
      <c r="T190" s="47"/>
      <c r="U190" s="47" t="s">
        <v>296</v>
      </c>
      <c r="V190" s="47" t="s">
        <v>296</v>
      </c>
      <c r="W190" s="47" t="s">
        <v>296</v>
      </c>
      <c r="X190" s="47" t="s">
        <v>296</v>
      </c>
      <c r="Y190" s="47" t="s">
        <v>296</v>
      </c>
      <c r="Z190" s="47" t="s">
        <v>296</v>
      </c>
      <c r="AA190" s="47" t="s">
        <v>296</v>
      </c>
      <c r="AB190" s="47"/>
      <c r="AC190" s="47" t="s">
        <v>35</v>
      </c>
      <c r="AD190" s="49"/>
      <c r="AE190" s="49"/>
      <c r="AF190" s="49" t="s">
        <v>961</v>
      </c>
      <c r="AG190" s="49" t="s">
        <v>959</v>
      </c>
      <c r="AH190" s="49" t="str">
        <f t="shared" si="0"/>
        <v>振替伝票発行</v>
      </c>
      <c r="AI190" s="49"/>
      <c r="AJ190" s="49"/>
      <c r="AK190" s="49"/>
      <c r="AL190" s="49" t="str">
        <f t="shared" si="6"/>
        <v>売掛金回収ﾁｪｯｸﾘｽﾄ</v>
      </c>
      <c r="AM190" s="49" t="s">
        <v>35</v>
      </c>
      <c r="AN190" s="49" t="s">
        <v>962</v>
      </c>
      <c r="AO190" s="51" t="str">
        <f t="shared" si="1"/>
        <v>振替伝票発行</v>
      </c>
      <c r="AP190" s="51" t="str">
        <f t="shared" si="2"/>
        <v>MM2110</v>
      </c>
      <c r="AQ190" s="49" t="s">
        <v>961</v>
      </c>
      <c r="AR190" s="49" t="s">
        <v>959</v>
      </c>
      <c r="AS190" s="49" t="str">
        <f t="shared" si="3"/>
        <v/>
      </c>
      <c r="AT190" s="49" t="str">
        <f t="shared" si="4"/>
        <v/>
      </c>
      <c r="AU190" s="49"/>
      <c r="AV190" s="49"/>
    </row>
    <row r="191" spans="1:48" ht="18" customHeight="1">
      <c r="A191" s="44">
        <v>189</v>
      </c>
      <c r="B191" s="52" t="s">
        <v>292</v>
      </c>
      <c r="C191" s="52" t="s">
        <v>903</v>
      </c>
      <c r="D191" s="46" t="s">
        <v>116</v>
      </c>
      <c r="E191" s="44" t="s">
        <v>963</v>
      </c>
      <c r="F191" s="44" t="s">
        <v>964</v>
      </c>
      <c r="G191" s="44"/>
      <c r="H191" s="44"/>
      <c r="I191" s="44"/>
      <c r="J191" s="47" t="s">
        <v>35</v>
      </c>
      <c r="K191" s="47"/>
      <c r="L191" s="47"/>
      <c r="M191" s="47"/>
      <c r="N191" s="47"/>
      <c r="O191" s="44"/>
      <c r="P191" s="44"/>
      <c r="Q191" s="48"/>
      <c r="R191" s="47" t="s">
        <v>35</v>
      </c>
      <c r="S191" s="47" t="s">
        <v>35</v>
      </c>
      <c r="T191" s="47"/>
      <c r="U191" s="47" t="s">
        <v>296</v>
      </c>
      <c r="V191" s="47" t="s">
        <v>296</v>
      </c>
      <c r="W191" s="47" t="s">
        <v>296</v>
      </c>
      <c r="X191" s="47" t="s">
        <v>296</v>
      </c>
      <c r="Y191" s="47" t="s">
        <v>296</v>
      </c>
      <c r="Z191" s="47" t="s">
        <v>296</v>
      </c>
      <c r="AA191" s="47" t="s">
        <v>296</v>
      </c>
      <c r="AB191" s="47"/>
      <c r="AC191" s="47" t="s">
        <v>35</v>
      </c>
      <c r="AD191" s="49"/>
      <c r="AE191" s="49"/>
      <c r="AF191" s="49" t="s">
        <v>965</v>
      </c>
      <c r="AG191" s="49" t="s">
        <v>963</v>
      </c>
      <c r="AH191" s="49" t="str">
        <f t="shared" si="0"/>
        <v>不備不渡エントリー</v>
      </c>
      <c r="AI191" s="49"/>
      <c r="AJ191" s="49"/>
      <c r="AK191" s="49"/>
      <c r="AL191" s="49" t="str">
        <f t="shared" si="6"/>
        <v>売掛金回収会合資料作成（保守）</v>
      </c>
      <c r="AM191" s="49" t="s">
        <v>35</v>
      </c>
      <c r="AN191" s="58" t="s">
        <v>966</v>
      </c>
      <c r="AO191" s="51" t="str">
        <f t="shared" si="1"/>
        <v>不備不渡エントリー</v>
      </c>
      <c r="AP191" s="51" t="str">
        <f t="shared" si="2"/>
        <v>MM3110</v>
      </c>
      <c r="AQ191" s="49" t="s">
        <v>965</v>
      </c>
      <c r="AR191" s="49" t="s">
        <v>963</v>
      </c>
      <c r="AS191" s="49" t="str">
        <f t="shared" si="3"/>
        <v/>
      </c>
      <c r="AT191" s="49" t="str">
        <f t="shared" si="4"/>
        <v/>
      </c>
      <c r="AU191" s="49"/>
      <c r="AV191" s="49"/>
    </row>
    <row r="192" spans="1:48" ht="18" customHeight="1">
      <c r="A192" s="44">
        <v>190</v>
      </c>
      <c r="B192" s="52" t="s">
        <v>292</v>
      </c>
      <c r="C192" s="52" t="s">
        <v>903</v>
      </c>
      <c r="D192" s="46" t="s">
        <v>116</v>
      </c>
      <c r="E192" s="44" t="s">
        <v>967</v>
      </c>
      <c r="F192" s="44" t="s">
        <v>968</v>
      </c>
      <c r="G192" s="44"/>
      <c r="H192" s="44"/>
      <c r="I192" s="44"/>
      <c r="J192" s="47" t="s">
        <v>35</v>
      </c>
      <c r="K192" s="47"/>
      <c r="L192" s="47"/>
      <c r="M192" s="47"/>
      <c r="N192" s="47"/>
      <c r="O192" s="44"/>
      <c r="P192" s="44"/>
      <c r="Q192" s="48">
        <f>VLOOKUP(E192,sheet1!$B$2:$D$3209,3,FALSE)</f>
        <v>9212</v>
      </c>
      <c r="R192" s="47" t="s">
        <v>35</v>
      </c>
      <c r="S192" s="47" t="s">
        <v>35</v>
      </c>
      <c r="T192" s="47" t="s">
        <v>35</v>
      </c>
      <c r="U192" s="47" t="s">
        <v>296</v>
      </c>
      <c r="V192" s="47" t="s">
        <v>35</v>
      </c>
      <c r="W192" s="47" t="s">
        <v>296</v>
      </c>
      <c r="X192" s="47" t="s">
        <v>296</v>
      </c>
      <c r="Y192" s="47" t="s">
        <v>296</v>
      </c>
      <c r="Z192" s="47" t="s">
        <v>35</v>
      </c>
      <c r="AA192" s="47" t="s">
        <v>296</v>
      </c>
      <c r="AB192" s="47" t="s">
        <v>35</v>
      </c>
      <c r="AC192" s="47" t="s">
        <v>35</v>
      </c>
      <c r="AD192" s="49" t="str">
        <f>VLOOKUP(E192,sheet1!$B$2:$C$3209,2,FALSE)</f>
        <v>入金振分入力</v>
      </c>
      <c r="AE192" s="49"/>
      <c r="AF192" s="49" t="s">
        <v>969</v>
      </c>
      <c r="AG192" s="49" t="s">
        <v>967</v>
      </c>
      <c r="AH192" s="49" t="str">
        <f t="shared" si="0"/>
        <v>入金振分入力</v>
      </c>
      <c r="AI192" s="49"/>
      <c r="AJ192" s="49"/>
      <c r="AK192" s="49"/>
      <c r="AL192" s="49" t="str">
        <f t="shared" si="6"/>
        <v>入金一覧表</v>
      </c>
      <c r="AM192" s="49" t="s">
        <v>35</v>
      </c>
      <c r="AN192" s="49" t="s">
        <v>970</v>
      </c>
      <c r="AO192" s="51" t="str">
        <f t="shared" si="1"/>
        <v>入金振分入力</v>
      </c>
      <c r="AP192" s="51" t="str">
        <f t="shared" si="2"/>
        <v>MM3060</v>
      </c>
      <c r="AQ192" s="49" t="s">
        <v>969</v>
      </c>
      <c r="AR192" s="49" t="s">
        <v>967</v>
      </c>
      <c r="AS192" s="49" t="str">
        <f t="shared" si="3"/>
        <v/>
      </c>
      <c r="AT192" s="49" t="str">
        <f t="shared" si="4"/>
        <v/>
      </c>
      <c r="AU192" s="49"/>
      <c r="AV192" s="49"/>
    </row>
    <row r="193" spans="1:48" ht="18" customHeight="1">
      <c r="A193" s="44">
        <v>191</v>
      </c>
      <c r="B193" s="52" t="s">
        <v>292</v>
      </c>
      <c r="C193" s="52" t="s">
        <v>903</v>
      </c>
      <c r="D193" s="46" t="s">
        <v>116</v>
      </c>
      <c r="E193" s="44" t="s">
        <v>971</v>
      </c>
      <c r="F193" s="44" t="s">
        <v>972</v>
      </c>
      <c r="G193" s="44"/>
      <c r="H193" s="44"/>
      <c r="I193" s="44"/>
      <c r="J193" s="47" t="s">
        <v>35</v>
      </c>
      <c r="K193" s="47"/>
      <c r="L193" s="47"/>
      <c r="M193" s="47"/>
      <c r="N193" s="47"/>
      <c r="O193" s="44"/>
      <c r="P193" s="44"/>
      <c r="Q193" s="48">
        <f>VLOOKUP(E193,sheet1!$B$2:$D$3209,3,FALSE)</f>
        <v>7168</v>
      </c>
      <c r="R193" s="47" t="s">
        <v>35</v>
      </c>
      <c r="S193" s="47" t="s">
        <v>35</v>
      </c>
      <c r="T193" s="47" t="s">
        <v>35</v>
      </c>
      <c r="U193" s="47" t="s">
        <v>296</v>
      </c>
      <c r="V193" s="47" t="s">
        <v>35</v>
      </c>
      <c r="W193" s="47" t="s">
        <v>296</v>
      </c>
      <c r="X193" s="47" t="s">
        <v>296</v>
      </c>
      <c r="Y193" s="47" t="s">
        <v>296</v>
      </c>
      <c r="Z193" s="47" t="s">
        <v>35</v>
      </c>
      <c r="AA193" s="47" t="s">
        <v>296</v>
      </c>
      <c r="AB193" s="47" t="s">
        <v>35</v>
      </c>
      <c r="AC193" s="47" t="s">
        <v>35</v>
      </c>
      <c r="AD193" s="49" t="str">
        <f>VLOOKUP(E193,sheet1!$B$2:$C$3209,2,FALSE)</f>
        <v>売掛相殺入力</v>
      </c>
      <c r="AE193" s="49"/>
      <c r="AF193" s="49" t="s">
        <v>973</v>
      </c>
      <c r="AG193" s="49" t="s">
        <v>971</v>
      </c>
      <c r="AH193" s="49" t="str">
        <f t="shared" si="0"/>
        <v>売掛相殺入力</v>
      </c>
      <c r="AI193" s="49"/>
      <c r="AJ193" s="49"/>
      <c r="AK193" s="49"/>
      <c r="AL193" s="49" t="str">
        <f t="shared" si="6"/>
        <v>入金振分一覧表</v>
      </c>
      <c r="AM193" s="49" t="s">
        <v>35</v>
      </c>
      <c r="AN193" s="49" t="s">
        <v>974</v>
      </c>
      <c r="AO193" s="51" t="str">
        <f t="shared" si="1"/>
        <v>売掛相殺入力</v>
      </c>
      <c r="AP193" s="51" t="str">
        <f t="shared" si="2"/>
        <v>MM3070</v>
      </c>
      <c r="AQ193" s="49" t="s">
        <v>973</v>
      </c>
      <c r="AR193" s="49" t="s">
        <v>971</v>
      </c>
      <c r="AS193" s="49" t="str">
        <f t="shared" si="3"/>
        <v/>
      </c>
      <c r="AT193" s="49" t="str">
        <f t="shared" si="4"/>
        <v/>
      </c>
      <c r="AU193" s="49"/>
      <c r="AV193" s="49"/>
    </row>
    <row r="194" spans="1:48" ht="18" customHeight="1">
      <c r="A194" s="44">
        <v>192</v>
      </c>
      <c r="B194" s="52" t="s">
        <v>292</v>
      </c>
      <c r="C194" s="52" t="s">
        <v>903</v>
      </c>
      <c r="D194" s="46" t="s">
        <v>116</v>
      </c>
      <c r="E194" s="44" t="s">
        <v>975</v>
      </c>
      <c r="F194" s="44" t="s">
        <v>976</v>
      </c>
      <c r="G194" s="44"/>
      <c r="H194" s="44"/>
      <c r="I194" s="44"/>
      <c r="J194" s="47" t="s">
        <v>35</v>
      </c>
      <c r="K194" s="47"/>
      <c r="L194" s="47"/>
      <c r="M194" s="47"/>
      <c r="N194" s="47"/>
      <c r="O194" s="44"/>
      <c r="P194" s="44"/>
      <c r="Q194" s="48">
        <f>VLOOKUP(E194,sheet1!$B$2:$D$3209,3,FALSE)</f>
        <v>6430</v>
      </c>
      <c r="R194" s="47" t="s">
        <v>35</v>
      </c>
      <c r="S194" s="47" t="s">
        <v>35</v>
      </c>
      <c r="T194" s="47" t="s">
        <v>35</v>
      </c>
      <c r="U194" s="47" t="s">
        <v>296</v>
      </c>
      <c r="V194" s="47" t="s">
        <v>35</v>
      </c>
      <c r="W194" s="47" t="s">
        <v>296</v>
      </c>
      <c r="X194" s="47" t="s">
        <v>296</v>
      </c>
      <c r="Y194" s="47" t="s">
        <v>296</v>
      </c>
      <c r="Z194" s="47" t="s">
        <v>35</v>
      </c>
      <c r="AA194" s="47" t="s">
        <v>296</v>
      </c>
      <c r="AB194" s="47" t="s">
        <v>35</v>
      </c>
      <c r="AC194" s="47" t="s">
        <v>35</v>
      </c>
      <c r="AD194" s="49" t="str">
        <f>VLOOKUP(E194,sheet1!$B$2:$C$3209,2,FALSE)</f>
        <v>外貨建売掛相殺入力</v>
      </c>
      <c r="AE194" s="49"/>
      <c r="AF194" s="49" t="s">
        <v>977</v>
      </c>
      <c r="AG194" s="49" t="s">
        <v>975</v>
      </c>
      <c r="AH194" s="49" t="str">
        <f t="shared" si="0"/>
        <v>外貨建売掛相殺入力</v>
      </c>
      <c r="AI194" s="49"/>
      <c r="AJ194" s="49"/>
      <c r="AK194" s="49"/>
      <c r="AL194" s="49" t="str">
        <f t="shared" si="6"/>
        <v>過入金振分残リスト</v>
      </c>
      <c r="AM194" s="49" t="s">
        <v>35</v>
      </c>
      <c r="AN194" s="49" t="s">
        <v>978</v>
      </c>
      <c r="AO194" s="51" t="str">
        <f t="shared" si="1"/>
        <v>外貨建売掛相殺入力</v>
      </c>
      <c r="AP194" s="51" t="str">
        <f t="shared" si="2"/>
        <v>MM3120</v>
      </c>
      <c r="AQ194" s="49" t="s">
        <v>977</v>
      </c>
      <c r="AR194" s="49" t="s">
        <v>975</v>
      </c>
      <c r="AS194" s="49" t="str">
        <f t="shared" si="3"/>
        <v/>
      </c>
      <c r="AT194" s="49" t="str">
        <f t="shared" si="4"/>
        <v/>
      </c>
      <c r="AU194" s="49"/>
      <c r="AV194" s="49"/>
    </row>
    <row r="195" spans="1:48" ht="18" customHeight="1">
      <c r="A195" s="44">
        <v>193</v>
      </c>
      <c r="B195" s="52" t="s">
        <v>292</v>
      </c>
      <c r="C195" s="52" t="s">
        <v>903</v>
      </c>
      <c r="D195" s="46" t="s">
        <v>116</v>
      </c>
      <c r="E195" s="59" t="s">
        <v>979</v>
      </c>
      <c r="F195" s="44" t="s">
        <v>980</v>
      </c>
      <c r="G195" s="44"/>
      <c r="H195" s="44"/>
      <c r="I195" s="44"/>
      <c r="J195" s="47" t="s">
        <v>35</v>
      </c>
      <c r="K195" s="47"/>
      <c r="L195" s="47"/>
      <c r="M195" s="47"/>
      <c r="N195" s="47"/>
      <c r="O195" s="44"/>
      <c r="P195" s="44"/>
      <c r="Q195" s="48">
        <f>VLOOKUP(E195,sheet1!$B$2:$D$3209,3,FALSE)</f>
        <v>2364</v>
      </c>
      <c r="R195" s="47" t="s">
        <v>35</v>
      </c>
      <c r="S195" s="47" t="s">
        <v>35</v>
      </c>
      <c r="T195" s="47" t="s">
        <v>35</v>
      </c>
      <c r="U195" s="47" t="s">
        <v>296</v>
      </c>
      <c r="V195" s="47" t="s">
        <v>35</v>
      </c>
      <c r="W195" s="47" t="s">
        <v>296</v>
      </c>
      <c r="X195" s="47" t="s">
        <v>296</v>
      </c>
      <c r="Y195" s="47" t="s">
        <v>296</v>
      </c>
      <c r="Z195" s="47" t="s">
        <v>35</v>
      </c>
      <c r="AA195" s="47" t="s">
        <v>296</v>
      </c>
      <c r="AB195" s="47" t="s">
        <v>35</v>
      </c>
      <c r="AC195" s="47" t="s">
        <v>35</v>
      </c>
      <c r="AD195" s="49" t="str">
        <f>VLOOKUP(E195,sheet1!$B$2:$C$3209,2,FALSE)</f>
        <v>入金相殺入力</v>
      </c>
      <c r="AE195" s="49"/>
      <c r="AF195" s="49" t="s">
        <v>981</v>
      </c>
      <c r="AG195" s="49" t="s">
        <v>979</v>
      </c>
      <c r="AH195" s="49" t="str">
        <f t="shared" si="0"/>
        <v>入金相殺入力</v>
      </c>
      <c r="AI195" s="49"/>
      <c r="AJ195" s="49"/>
      <c r="AK195" s="49"/>
      <c r="AL195" s="49" t="str">
        <f t="shared" si="6"/>
        <v>売掛金元帳　＆　販売元帳</v>
      </c>
      <c r="AM195" s="49" t="s">
        <v>35</v>
      </c>
      <c r="AN195" s="49" t="s">
        <v>982</v>
      </c>
      <c r="AO195" s="51" t="str">
        <f t="shared" si="1"/>
        <v>入金相殺入力</v>
      </c>
      <c r="AP195" s="51" t="str">
        <f t="shared" si="2"/>
        <v>MM3100</v>
      </c>
      <c r="AQ195" s="49" t="s">
        <v>981</v>
      </c>
      <c r="AR195" s="49" t="s">
        <v>979</v>
      </c>
      <c r="AS195" s="49" t="str">
        <f t="shared" si="3"/>
        <v/>
      </c>
      <c r="AT195" s="49" t="str">
        <f t="shared" si="4"/>
        <v/>
      </c>
      <c r="AU195" s="49"/>
      <c r="AV195" s="49"/>
    </row>
    <row r="196" spans="1:48" ht="18" customHeight="1">
      <c r="A196" s="44">
        <v>194</v>
      </c>
      <c r="B196" s="52" t="s">
        <v>292</v>
      </c>
      <c r="C196" s="52" t="s">
        <v>903</v>
      </c>
      <c r="D196" s="46" t="s">
        <v>116</v>
      </c>
      <c r="E196" s="59" t="s">
        <v>983</v>
      </c>
      <c r="F196" s="44" t="s">
        <v>984</v>
      </c>
      <c r="G196" s="44"/>
      <c r="H196" s="44"/>
      <c r="I196" s="44"/>
      <c r="J196" s="47" t="s">
        <v>35</v>
      </c>
      <c r="K196" s="47"/>
      <c r="L196" s="47"/>
      <c r="M196" s="47"/>
      <c r="N196" s="47"/>
      <c r="O196" s="44"/>
      <c r="P196" s="44"/>
      <c r="Q196" s="48">
        <f>VLOOKUP(E196,sheet1!$B$2:$D$3209,3,FALSE)</f>
        <v>3378</v>
      </c>
      <c r="R196" s="47" t="s">
        <v>35</v>
      </c>
      <c r="S196" s="47" t="s">
        <v>35</v>
      </c>
      <c r="T196" s="47" t="s">
        <v>35</v>
      </c>
      <c r="U196" s="47" t="s">
        <v>296</v>
      </c>
      <c r="V196" s="47" t="s">
        <v>35</v>
      </c>
      <c r="W196" s="47" t="s">
        <v>296</v>
      </c>
      <c r="X196" s="47" t="s">
        <v>296</v>
      </c>
      <c r="Y196" s="47" t="s">
        <v>296</v>
      </c>
      <c r="Z196" s="47" t="s">
        <v>35</v>
      </c>
      <c r="AA196" s="47" t="s">
        <v>296</v>
      </c>
      <c r="AB196" s="47" t="s">
        <v>35</v>
      </c>
      <c r="AC196" s="47" t="s">
        <v>35</v>
      </c>
      <c r="AD196" s="49" t="str">
        <f>VLOOKUP(E196,sheet1!$B$2:$C$3209,2,FALSE)</f>
        <v>過入金振分入力</v>
      </c>
      <c r="AE196" s="49"/>
      <c r="AF196" s="49" t="s">
        <v>985</v>
      </c>
      <c r="AG196" s="49" t="s">
        <v>983</v>
      </c>
      <c r="AH196" s="49" t="str">
        <f t="shared" si="0"/>
        <v>過入金振分入力</v>
      </c>
      <c r="AI196" s="49"/>
      <c r="AJ196" s="49"/>
      <c r="AK196" s="49"/>
      <c r="AL196" s="49" t="str">
        <f t="shared" si="6"/>
        <v>売掛金回収計画表</v>
      </c>
      <c r="AM196" s="49" t="s">
        <v>35</v>
      </c>
      <c r="AN196" s="49" t="s">
        <v>986</v>
      </c>
      <c r="AO196" s="51" t="str">
        <f t="shared" si="1"/>
        <v>過入金振分入力</v>
      </c>
      <c r="AP196" s="51" t="str">
        <f t="shared" si="2"/>
        <v>MM3130</v>
      </c>
      <c r="AQ196" s="49" t="s">
        <v>985</v>
      </c>
      <c r="AR196" s="49" t="s">
        <v>983</v>
      </c>
      <c r="AS196" s="49" t="str">
        <f t="shared" si="3"/>
        <v/>
      </c>
      <c r="AT196" s="49" t="str">
        <f t="shared" si="4"/>
        <v/>
      </c>
      <c r="AU196" s="49"/>
      <c r="AV196" s="49"/>
    </row>
    <row r="197" spans="1:48" ht="18" customHeight="1">
      <c r="A197" s="44">
        <v>195</v>
      </c>
      <c r="B197" s="52" t="s">
        <v>292</v>
      </c>
      <c r="C197" s="52" t="s">
        <v>903</v>
      </c>
      <c r="D197" s="46" t="s">
        <v>116</v>
      </c>
      <c r="E197" s="59" t="s">
        <v>987</v>
      </c>
      <c r="F197" s="44" t="s">
        <v>988</v>
      </c>
      <c r="G197" s="44"/>
      <c r="H197" s="44"/>
      <c r="I197" s="44"/>
      <c r="J197" s="47" t="s">
        <v>35</v>
      </c>
      <c r="K197" s="47"/>
      <c r="L197" s="47"/>
      <c r="M197" s="47"/>
      <c r="N197" s="47"/>
      <c r="O197" s="44"/>
      <c r="P197" s="44"/>
      <c r="Q197" s="48"/>
      <c r="R197" s="47" t="s">
        <v>35</v>
      </c>
      <c r="S197" s="47" t="s">
        <v>35</v>
      </c>
      <c r="T197" s="47"/>
      <c r="U197" s="47" t="s">
        <v>296</v>
      </c>
      <c r="V197" s="47" t="s">
        <v>296</v>
      </c>
      <c r="W197" s="47" t="s">
        <v>296</v>
      </c>
      <c r="X197" s="47" t="s">
        <v>296</v>
      </c>
      <c r="Y197" s="47" t="s">
        <v>296</v>
      </c>
      <c r="Z197" s="47" t="s">
        <v>35</v>
      </c>
      <c r="AA197" s="47" t="s">
        <v>35</v>
      </c>
      <c r="AB197" s="47"/>
      <c r="AC197" s="47" t="s">
        <v>35</v>
      </c>
      <c r="AD197" s="49"/>
      <c r="AE197" s="49"/>
      <c r="AF197" s="49" t="s">
        <v>989</v>
      </c>
      <c r="AG197" s="49" t="s">
        <v>987</v>
      </c>
      <c r="AH197" s="49" t="str">
        <f t="shared" si="0"/>
        <v>科目振替エントリ−</v>
      </c>
      <c r="AI197" s="49"/>
      <c r="AJ197" s="49"/>
      <c r="AK197" s="49"/>
      <c r="AL197" s="49" t="str">
        <f t="shared" si="6"/>
        <v>売掛金回収計画集計表</v>
      </c>
      <c r="AM197" s="49" t="s">
        <v>35</v>
      </c>
      <c r="AN197" s="49" t="s">
        <v>990</v>
      </c>
      <c r="AO197" s="51" t="str">
        <f t="shared" si="1"/>
        <v>科目振替エントリ−</v>
      </c>
      <c r="AP197" s="51" t="str">
        <f t="shared" si="2"/>
        <v>MM3080</v>
      </c>
      <c r="AQ197" s="49" t="s">
        <v>989</v>
      </c>
      <c r="AR197" s="49" t="s">
        <v>987</v>
      </c>
      <c r="AS197" s="49" t="str">
        <f t="shared" si="3"/>
        <v/>
      </c>
      <c r="AT197" s="49" t="str">
        <f t="shared" si="4"/>
        <v/>
      </c>
      <c r="AU197" s="49"/>
      <c r="AV197" s="49"/>
    </row>
    <row r="198" spans="1:48" ht="18" customHeight="1">
      <c r="A198" s="44">
        <v>196</v>
      </c>
      <c r="B198" s="52" t="s">
        <v>292</v>
      </c>
      <c r="C198" s="52" t="s">
        <v>903</v>
      </c>
      <c r="D198" s="46" t="s">
        <v>116</v>
      </c>
      <c r="E198" s="59" t="s">
        <v>991</v>
      </c>
      <c r="F198" s="44" t="s">
        <v>992</v>
      </c>
      <c r="G198" s="44"/>
      <c r="H198" s="44"/>
      <c r="I198" s="44"/>
      <c r="J198" s="47" t="s">
        <v>35</v>
      </c>
      <c r="K198" s="47"/>
      <c r="L198" s="47"/>
      <c r="M198" s="47"/>
      <c r="N198" s="47"/>
      <c r="O198" s="44"/>
      <c r="P198" s="44"/>
      <c r="Q198" s="48"/>
      <c r="R198" s="47" t="s">
        <v>35</v>
      </c>
      <c r="S198" s="47" t="s">
        <v>35</v>
      </c>
      <c r="T198" s="47"/>
      <c r="U198" s="47" t="s">
        <v>296</v>
      </c>
      <c r="V198" s="47" t="s">
        <v>296</v>
      </c>
      <c r="W198" s="47" t="s">
        <v>296</v>
      </c>
      <c r="X198" s="47" t="s">
        <v>296</v>
      </c>
      <c r="Y198" s="47" t="s">
        <v>296</v>
      </c>
      <c r="Z198" s="47" t="s">
        <v>296</v>
      </c>
      <c r="AA198" s="47" t="s">
        <v>296</v>
      </c>
      <c r="AB198" s="47"/>
      <c r="AC198" s="47" t="s">
        <v>35</v>
      </c>
      <c r="AD198" s="49"/>
      <c r="AE198" s="49"/>
      <c r="AF198" s="49" t="s">
        <v>993</v>
      </c>
      <c r="AG198" s="49" t="s">
        <v>991</v>
      </c>
      <c r="AH198" s="49" t="str">
        <f t="shared" si="0"/>
        <v>入金科目組合Ｍ保守　中止</v>
      </c>
      <c r="AI198" s="49"/>
      <c r="AJ198" s="49"/>
      <c r="AK198" s="49"/>
      <c r="AL198" s="49" t="str">
        <f t="shared" si="6"/>
        <v>発行区分一覧表</v>
      </c>
      <c r="AM198" s="49" t="s">
        <v>35</v>
      </c>
      <c r="AN198" s="49" t="s">
        <v>994</v>
      </c>
      <c r="AO198" s="51" t="str">
        <f t="shared" si="1"/>
        <v>入金科目組合Ｍ保守　中止</v>
      </c>
      <c r="AP198" s="51" t="str">
        <f t="shared" si="2"/>
        <v>MM0010</v>
      </c>
      <c r="AQ198" s="49" t="s">
        <v>993</v>
      </c>
      <c r="AR198" s="49" t="s">
        <v>991</v>
      </c>
      <c r="AS198" s="49" t="str">
        <f t="shared" si="3"/>
        <v/>
      </c>
      <c r="AT198" s="49" t="str">
        <f t="shared" si="4"/>
        <v/>
      </c>
      <c r="AU198" s="49"/>
      <c r="AV198" s="49"/>
    </row>
    <row r="199" spans="1:48" ht="18" customHeight="1">
      <c r="A199" s="44">
        <v>197</v>
      </c>
      <c r="B199" s="52" t="s">
        <v>292</v>
      </c>
      <c r="C199" s="52" t="s">
        <v>903</v>
      </c>
      <c r="D199" s="46" t="s">
        <v>116</v>
      </c>
      <c r="E199" s="59" t="s">
        <v>995</v>
      </c>
      <c r="F199" s="44" t="s">
        <v>996</v>
      </c>
      <c r="G199" s="44"/>
      <c r="H199" s="44"/>
      <c r="I199" s="44"/>
      <c r="J199" s="47" t="s">
        <v>35</v>
      </c>
      <c r="K199" s="47"/>
      <c r="L199" s="47"/>
      <c r="M199" s="47"/>
      <c r="N199" s="47"/>
      <c r="O199" s="44"/>
      <c r="P199" s="44"/>
      <c r="Q199" s="48">
        <f>VLOOKUP(E199,sheet1!$B$2:$D$3209,3,FALSE)</f>
        <v>856</v>
      </c>
      <c r="R199" s="47" t="s">
        <v>35</v>
      </c>
      <c r="S199" s="47" t="s">
        <v>35</v>
      </c>
      <c r="T199" s="47" t="s">
        <v>35</v>
      </c>
      <c r="U199" s="47" t="s">
        <v>296</v>
      </c>
      <c r="V199" s="47" t="s">
        <v>35</v>
      </c>
      <c r="W199" s="47" t="s">
        <v>296</v>
      </c>
      <c r="X199" s="47" t="s">
        <v>296</v>
      </c>
      <c r="Y199" s="47" t="s">
        <v>296</v>
      </c>
      <c r="Z199" s="47" t="s">
        <v>296</v>
      </c>
      <c r="AA199" s="47" t="s">
        <v>296</v>
      </c>
      <c r="AB199" s="47"/>
      <c r="AC199" s="47" t="s">
        <v>35</v>
      </c>
      <c r="AD199" s="49" t="str">
        <f>VLOOKUP(E199,sheet1!$B$2:$C$3209,2,FALSE)</f>
        <v>入金照会Ｖｅｒ２</v>
      </c>
      <c r="AE199" s="49"/>
      <c r="AF199" s="49" t="s">
        <v>997</v>
      </c>
      <c r="AG199" s="49" t="s">
        <v>995</v>
      </c>
      <c r="AH199" s="49" t="str">
        <f t="shared" si="0"/>
        <v>入金　照会</v>
      </c>
      <c r="AI199" s="49"/>
      <c r="AJ199" s="49"/>
      <c r="AK199" s="49"/>
      <c r="AL199" s="49" t="str">
        <f t="shared" si="6"/>
        <v/>
      </c>
      <c r="AM199" s="49" t="s">
        <v>35</v>
      </c>
      <c r="AN199" s="49"/>
      <c r="AO199" s="51" t="str">
        <f t="shared" si="1"/>
        <v>入金　照会</v>
      </c>
      <c r="AP199" s="51" t="str">
        <f t="shared" si="2"/>
        <v>MM5060</v>
      </c>
      <c r="AQ199" s="49" t="s">
        <v>998</v>
      </c>
      <c r="AR199" s="49" t="s">
        <v>995</v>
      </c>
      <c r="AS199" s="49" t="str">
        <f t="shared" si="3"/>
        <v/>
      </c>
      <c r="AT199" s="49" t="str">
        <f t="shared" si="4"/>
        <v/>
      </c>
      <c r="AU199" s="49"/>
      <c r="AV199" s="49"/>
    </row>
    <row r="200" spans="1:48" ht="18" customHeight="1">
      <c r="A200" s="44">
        <v>198</v>
      </c>
      <c r="B200" s="52" t="s">
        <v>292</v>
      </c>
      <c r="C200" s="52" t="s">
        <v>903</v>
      </c>
      <c r="D200" s="46" t="s">
        <v>116</v>
      </c>
      <c r="E200" s="59" t="s">
        <v>999</v>
      </c>
      <c r="F200" s="44" t="s">
        <v>1000</v>
      </c>
      <c r="G200" s="44"/>
      <c r="H200" s="44"/>
      <c r="I200" s="44"/>
      <c r="J200" s="47" t="s">
        <v>35</v>
      </c>
      <c r="K200" s="47"/>
      <c r="L200" s="47"/>
      <c r="M200" s="47"/>
      <c r="N200" s="47"/>
      <c r="O200" s="44"/>
      <c r="P200" s="44"/>
      <c r="Q200" s="48">
        <f>VLOOKUP(E200,sheet1!$B$2:$D$3209,3,FALSE)</f>
        <v>399</v>
      </c>
      <c r="R200" s="47" t="s">
        <v>35</v>
      </c>
      <c r="S200" s="47" t="s">
        <v>35</v>
      </c>
      <c r="T200" s="47" t="s">
        <v>35</v>
      </c>
      <c r="U200" s="47" t="s">
        <v>296</v>
      </c>
      <c r="V200" s="47" t="s">
        <v>35</v>
      </c>
      <c r="W200" s="47" t="s">
        <v>296</v>
      </c>
      <c r="X200" s="47" t="s">
        <v>296</v>
      </c>
      <c r="Y200" s="47" t="s">
        <v>296</v>
      </c>
      <c r="Z200" s="47" t="s">
        <v>35</v>
      </c>
      <c r="AA200" s="47" t="s">
        <v>296</v>
      </c>
      <c r="AB200" s="47" t="s">
        <v>35</v>
      </c>
      <c r="AC200" s="47" t="s">
        <v>35</v>
      </c>
      <c r="AD200" s="49" t="str">
        <f>VLOOKUP(E200,sheet1!$B$2:$C$3209,2,FALSE)</f>
        <v>受取手形照会</v>
      </c>
      <c r="AE200" s="49"/>
      <c r="AF200" s="49" t="s">
        <v>1001</v>
      </c>
      <c r="AG200" s="49" t="s">
        <v>999</v>
      </c>
      <c r="AH200" s="49" t="str">
        <f t="shared" si="0"/>
        <v>受取手形　照会</v>
      </c>
      <c r="AI200" s="49"/>
      <c r="AJ200" s="49"/>
      <c r="AK200" s="49"/>
      <c r="AL200" s="49" t="str">
        <f t="shared" si="6"/>
        <v/>
      </c>
      <c r="AM200" s="49" t="s">
        <v>35</v>
      </c>
      <c r="AN200" s="49"/>
      <c r="AO200" s="51" t="str">
        <f t="shared" si="1"/>
        <v>受取手形　照会</v>
      </c>
      <c r="AP200" s="51" t="str">
        <f t="shared" si="2"/>
        <v>MM1500</v>
      </c>
      <c r="AQ200" s="49" t="s">
        <v>1001</v>
      </c>
      <c r="AR200" s="49" t="s">
        <v>999</v>
      </c>
      <c r="AS200" s="49" t="str">
        <f t="shared" si="3"/>
        <v/>
      </c>
      <c r="AT200" s="49" t="str">
        <f t="shared" si="4"/>
        <v/>
      </c>
      <c r="AU200" s="49"/>
      <c r="AV200" s="49"/>
    </row>
    <row r="201" spans="1:48" ht="18" customHeight="1">
      <c r="A201" s="44">
        <v>199</v>
      </c>
      <c r="B201" s="52" t="s">
        <v>292</v>
      </c>
      <c r="C201" s="52" t="s">
        <v>903</v>
      </c>
      <c r="D201" s="46" t="s">
        <v>116</v>
      </c>
      <c r="E201" s="59" t="s">
        <v>1002</v>
      </c>
      <c r="F201" s="44" t="s">
        <v>1003</v>
      </c>
      <c r="G201" s="44"/>
      <c r="H201" s="44"/>
      <c r="I201" s="44"/>
      <c r="J201" s="47" t="s">
        <v>35</v>
      </c>
      <c r="K201" s="47"/>
      <c r="L201" s="47"/>
      <c r="M201" s="47"/>
      <c r="N201" s="47"/>
      <c r="O201" s="44"/>
      <c r="P201" s="44"/>
      <c r="Q201" s="48">
        <f>VLOOKUP(E201,sheet1!$B$2:$D$3209,3,FALSE)</f>
        <v>49</v>
      </c>
      <c r="R201" s="47" t="s">
        <v>35</v>
      </c>
      <c r="S201" s="47" t="s">
        <v>35</v>
      </c>
      <c r="T201" s="47" t="s">
        <v>35</v>
      </c>
      <c r="U201" s="47" t="s">
        <v>296</v>
      </c>
      <c r="V201" s="47" t="s">
        <v>35</v>
      </c>
      <c r="W201" s="47" t="s">
        <v>296</v>
      </c>
      <c r="X201" s="47" t="s">
        <v>296</v>
      </c>
      <c r="Y201" s="47" t="s">
        <v>296</v>
      </c>
      <c r="Z201" s="47" t="s">
        <v>35</v>
      </c>
      <c r="AA201" s="47" t="s">
        <v>296</v>
      </c>
      <c r="AB201" s="47" t="s">
        <v>35</v>
      </c>
      <c r="AC201" s="47" t="s">
        <v>35</v>
      </c>
      <c r="AD201" s="49" t="str">
        <f>VLOOKUP(E201,sheet1!$B$2:$C$3209,2,FALSE)</f>
        <v>売掛金回収会合資料作成</v>
      </c>
      <c r="AE201" s="49"/>
      <c r="AF201" s="49" t="s">
        <v>1004</v>
      </c>
      <c r="AG201" s="49" t="s">
        <v>1002</v>
      </c>
      <c r="AH201" s="49" t="str">
        <f t="shared" si="0"/>
        <v>売掛金回収会合資料</v>
      </c>
      <c r="AI201" s="49"/>
      <c r="AJ201" s="49"/>
      <c r="AK201" s="49"/>
      <c r="AL201" s="49" t="str">
        <f t="shared" si="6"/>
        <v/>
      </c>
      <c r="AM201" s="49" t="s">
        <v>35</v>
      </c>
      <c r="AN201" s="49"/>
      <c r="AO201" s="51" t="str">
        <f t="shared" si="1"/>
        <v>売掛金回収会合資料</v>
      </c>
      <c r="AP201" s="51" t="str">
        <f t="shared" si="2"/>
        <v>SA7300CD)</v>
      </c>
      <c r="AQ201" s="49" t="s">
        <v>1004</v>
      </c>
      <c r="AR201" s="49" t="s">
        <v>1005</v>
      </c>
      <c r="AS201" s="49" t="str">
        <f t="shared" si="3"/>
        <v/>
      </c>
      <c r="AT201" s="49" t="str">
        <f t="shared" si="4"/>
        <v/>
      </c>
      <c r="AU201" s="49"/>
      <c r="AV201" s="49"/>
    </row>
    <row r="202" spans="1:48" ht="18" customHeight="1">
      <c r="A202" s="44">
        <v>200</v>
      </c>
      <c r="B202" s="52" t="s">
        <v>292</v>
      </c>
      <c r="C202" s="52" t="s">
        <v>903</v>
      </c>
      <c r="D202" s="46" t="s">
        <v>116</v>
      </c>
      <c r="E202" s="59" t="s">
        <v>1006</v>
      </c>
      <c r="F202" s="44" t="s">
        <v>1007</v>
      </c>
      <c r="G202" s="44"/>
      <c r="H202" s="44"/>
      <c r="I202" s="44"/>
      <c r="J202" s="47" t="s">
        <v>35</v>
      </c>
      <c r="K202" s="47"/>
      <c r="L202" s="47"/>
      <c r="M202" s="47"/>
      <c r="N202" s="47"/>
      <c r="O202" s="44"/>
      <c r="P202" s="44"/>
      <c r="Q202" s="48">
        <f>VLOOKUP(E202,sheet1!$B$2:$D$3209,3,FALSE)</f>
        <v>785</v>
      </c>
      <c r="R202" s="47" t="s">
        <v>35</v>
      </c>
      <c r="S202" s="47" t="s">
        <v>35</v>
      </c>
      <c r="T202" s="47" t="s">
        <v>35</v>
      </c>
      <c r="U202" s="47" t="s">
        <v>296</v>
      </c>
      <c r="V202" s="47" t="s">
        <v>35</v>
      </c>
      <c r="W202" s="47" t="s">
        <v>296</v>
      </c>
      <c r="X202" s="47" t="s">
        <v>296</v>
      </c>
      <c r="Y202" s="47" t="s">
        <v>296</v>
      </c>
      <c r="Z202" s="47" t="s">
        <v>35</v>
      </c>
      <c r="AA202" s="47" t="s">
        <v>296</v>
      </c>
      <c r="AB202" s="47" t="s">
        <v>35</v>
      </c>
      <c r="AC202" s="47" t="s">
        <v>35</v>
      </c>
      <c r="AD202" s="49" t="str">
        <f>VLOOKUP(E202,sheet1!$B$2:$C$3209,2,FALSE)</f>
        <v>請求書照会</v>
      </c>
      <c r="AE202" s="49"/>
      <c r="AF202" s="49" t="s">
        <v>1008</v>
      </c>
      <c r="AG202" s="49" t="s">
        <v>1006</v>
      </c>
      <c r="AH202" s="49" t="str">
        <f t="shared" si="0"/>
        <v>請求書照会</v>
      </c>
      <c r="AI202" s="49"/>
      <c r="AJ202" s="49"/>
      <c r="AK202" s="49"/>
      <c r="AL202" s="49" t="str">
        <f t="shared" si="6"/>
        <v/>
      </c>
      <c r="AM202" s="49" t="s">
        <v>35</v>
      </c>
      <c r="AN202" s="49"/>
      <c r="AO202" s="51" t="str">
        <f t="shared" si="1"/>
        <v>請求書照会</v>
      </c>
      <c r="AP202" s="51" t="str">
        <f t="shared" si="2"/>
        <v>MM5030</v>
      </c>
      <c r="AQ202" s="49" t="s">
        <v>1008</v>
      </c>
      <c r="AR202" s="49" t="s">
        <v>1006</v>
      </c>
      <c r="AS202" s="49" t="str">
        <f t="shared" si="3"/>
        <v/>
      </c>
      <c r="AT202" s="49" t="str">
        <f t="shared" si="4"/>
        <v/>
      </c>
      <c r="AU202" s="49"/>
      <c r="AV202" s="49"/>
    </row>
    <row r="203" spans="1:48" ht="18" customHeight="1">
      <c r="A203" s="44">
        <v>201</v>
      </c>
      <c r="B203" s="52" t="s">
        <v>292</v>
      </c>
      <c r="C203" s="52" t="s">
        <v>903</v>
      </c>
      <c r="D203" s="46" t="s">
        <v>116</v>
      </c>
      <c r="E203" s="59" t="s">
        <v>1009</v>
      </c>
      <c r="F203" s="44" t="s">
        <v>1010</v>
      </c>
      <c r="G203" s="44"/>
      <c r="H203" s="44"/>
      <c r="I203" s="44"/>
      <c r="J203" s="47" t="s">
        <v>35</v>
      </c>
      <c r="K203" s="47"/>
      <c r="L203" s="47"/>
      <c r="M203" s="47"/>
      <c r="N203" s="47"/>
      <c r="O203" s="44"/>
      <c r="P203" s="44"/>
      <c r="Q203" s="48">
        <f>VLOOKUP(E203,sheet1!$B$2:$D$3209,3,FALSE)</f>
        <v>580</v>
      </c>
      <c r="R203" s="47" t="s">
        <v>35</v>
      </c>
      <c r="S203" s="47" t="s">
        <v>35</v>
      </c>
      <c r="T203" s="47" t="s">
        <v>35</v>
      </c>
      <c r="U203" s="47" t="s">
        <v>296</v>
      </c>
      <c r="V203" s="47" t="s">
        <v>35</v>
      </c>
      <c r="W203" s="47" t="s">
        <v>296</v>
      </c>
      <c r="X203" s="47" t="s">
        <v>296</v>
      </c>
      <c r="Y203" s="47" t="s">
        <v>296</v>
      </c>
      <c r="Z203" s="47" t="s">
        <v>35</v>
      </c>
      <c r="AA203" s="47" t="s">
        <v>296</v>
      </c>
      <c r="AB203" s="47" t="s">
        <v>35</v>
      </c>
      <c r="AC203" s="47" t="s">
        <v>35</v>
      </c>
      <c r="AD203" s="49" t="str">
        <f>VLOOKUP(E203,sheet1!$B$2:$C$3209,2,FALSE)</f>
        <v>回収予定一覧表</v>
      </c>
      <c r="AE203" s="49"/>
      <c r="AF203" s="49" t="s">
        <v>1011</v>
      </c>
      <c r="AG203" s="49" t="s">
        <v>1009</v>
      </c>
      <c r="AH203" s="49" t="str">
        <f t="shared" si="0"/>
        <v>回収予定一覧表</v>
      </c>
      <c r="AI203" s="49"/>
      <c r="AJ203" s="49"/>
      <c r="AK203" s="49"/>
      <c r="AL203" s="49" t="str">
        <f t="shared" si="6"/>
        <v/>
      </c>
      <c r="AM203" s="49" t="s">
        <v>35</v>
      </c>
      <c r="AN203" s="49"/>
      <c r="AO203" s="51" t="str">
        <f t="shared" si="1"/>
        <v>回収予定一覧表</v>
      </c>
      <c r="AP203" s="51" t="str">
        <f t="shared" si="2"/>
        <v>SA2350</v>
      </c>
      <c r="AQ203" s="49" t="s">
        <v>1011</v>
      </c>
      <c r="AR203" s="49" t="s">
        <v>1009</v>
      </c>
      <c r="AS203" s="49" t="str">
        <f t="shared" si="3"/>
        <v/>
      </c>
      <c r="AT203" s="49" t="str">
        <f t="shared" si="4"/>
        <v/>
      </c>
      <c r="AU203" s="49"/>
      <c r="AV203" s="49"/>
    </row>
    <row r="204" spans="1:48" ht="18" customHeight="1">
      <c r="A204" s="44">
        <v>202</v>
      </c>
      <c r="B204" s="52" t="s">
        <v>292</v>
      </c>
      <c r="C204" s="52" t="s">
        <v>903</v>
      </c>
      <c r="D204" s="46" t="s">
        <v>116</v>
      </c>
      <c r="E204" s="44" t="s">
        <v>1012</v>
      </c>
      <c r="F204" s="44" t="s">
        <v>1013</v>
      </c>
      <c r="G204" s="44"/>
      <c r="H204" s="44"/>
      <c r="I204" s="44"/>
      <c r="J204" s="47" t="s">
        <v>35</v>
      </c>
      <c r="K204" s="47"/>
      <c r="L204" s="47"/>
      <c r="M204" s="47"/>
      <c r="N204" s="47"/>
      <c r="O204" s="44"/>
      <c r="P204" s="44"/>
      <c r="Q204" s="48">
        <f>VLOOKUP(E204,sheet1!$B$2:$D$3209,3,FALSE)</f>
        <v>592</v>
      </c>
      <c r="R204" s="47" t="s">
        <v>35</v>
      </c>
      <c r="S204" s="47" t="s">
        <v>35</v>
      </c>
      <c r="T204" s="47" t="s">
        <v>35</v>
      </c>
      <c r="U204" s="47" t="s">
        <v>296</v>
      </c>
      <c r="V204" s="47" t="s">
        <v>35</v>
      </c>
      <c r="W204" s="47" t="s">
        <v>296</v>
      </c>
      <c r="X204" s="47" t="s">
        <v>296</v>
      </c>
      <c r="Y204" s="47" t="s">
        <v>296</v>
      </c>
      <c r="Z204" s="47" t="s">
        <v>35</v>
      </c>
      <c r="AA204" s="47" t="s">
        <v>296</v>
      </c>
      <c r="AB204" s="47" t="s">
        <v>35</v>
      </c>
      <c r="AC204" s="47" t="s">
        <v>35</v>
      </c>
      <c r="AD204" s="49" t="str">
        <f>VLOOKUP(E204,sheet1!$B$2:$C$3209,2,FALSE)</f>
        <v>売掛金回収計画表　ワークファイル作成</v>
      </c>
      <c r="AE204" s="49"/>
      <c r="AF204" s="49" t="s">
        <v>1014</v>
      </c>
      <c r="AG204" s="49" t="s">
        <v>1012</v>
      </c>
      <c r="AH204" s="49" t="str">
        <f t="shared" si="0"/>
        <v>売掛金回収予定表</v>
      </c>
      <c r="AI204" s="49"/>
      <c r="AJ204" s="49"/>
      <c r="AK204" s="49"/>
      <c r="AL204" s="49" t="str">
        <f t="shared" si="6"/>
        <v/>
      </c>
      <c r="AM204" s="49" t="s">
        <v>35</v>
      </c>
      <c r="AN204" s="49"/>
      <c r="AO204" s="51" t="str">
        <f t="shared" si="1"/>
        <v>売掛金回収予定表</v>
      </c>
      <c r="AP204" s="51" t="str">
        <f t="shared" si="2"/>
        <v>SA2600</v>
      </c>
      <c r="AQ204" s="49" t="s">
        <v>1014</v>
      </c>
      <c r="AR204" s="49" t="s">
        <v>1012</v>
      </c>
      <c r="AS204" s="49" t="str">
        <f t="shared" si="3"/>
        <v/>
      </c>
      <c r="AT204" s="49" t="str">
        <f t="shared" si="4"/>
        <v/>
      </c>
      <c r="AU204" s="49"/>
      <c r="AV204" s="49"/>
    </row>
    <row r="205" spans="1:48" ht="18" customHeight="1">
      <c r="A205" s="44">
        <v>203</v>
      </c>
      <c r="B205" s="52" t="s">
        <v>292</v>
      </c>
      <c r="C205" s="52" t="s">
        <v>903</v>
      </c>
      <c r="D205" s="46" t="s">
        <v>116</v>
      </c>
      <c r="E205" s="44" t="s">
        <v>116</v>
      </c>
      <c r="F205" s="44" t="s">
        <v>1015</v>
      </c>
      <c r="G205" s="44"/>
      <c r="H205" s="44"/>
      <c r="I205" s="44"/>
      <c r="J205" s="47" t="s">
        <v>35</v>
      </c>
      <c r="K205" s="47"/>
      <c r="L205" s="47"/>
      <c r="M205" s="47"/>
      <c r="N205" s="47"/>
      <c r="O205" s="44"/>
      <c r="P205" s="44"/>
      <c r="Q205" s="48" t="e">
        <f>VLOOKUP(E205,sheet1!$B$2:$D$3209,3,FALSE)</f>
        <v>#N/A</v>
      </c>
      <c r="R205" s="47" t="s">
        <v>35</v>
      </c>
      <c r="S205" s="47" t="s">
        <v>35</v>
      </c>
      <c r="T205" s="47" t="s">
        <v>35</v>
      </c>
      <c r="U205" s="47" t="s">
        <v>296</v>
      </c>
      <c r="V205" s="47" t="s">
        <v>35</v>
      </c>
      <c r="W205" s="47" t="s">
        <v>296</v>
      </c>
      <c r="X205" s="47" t="s">
        <v>296</v>
      </c>
      <c r="Y205" s="47" t="s">
        <v>296</v>
      </c>
      <c r="Z205" s="47" t="s">
        <v>35</v>
      </c>
      <c r="AA205" s="47" t="s">
        <v>296</v>
      </c>
      <c r="AB205" s="47" t="s">
        <v>35</v>
      </c>
      <c r="AC205" s="47" t="s">
        <v>35</v>
      </c>
      <c r="AD205" s="49" t="e">
        <f>VLOOKUP(E205,sheet1!$B$2:$C$3209,2,FALSE)</f>
        <v>#N/A</v>
      </c>
      <c r="AE205" s="49"/>
      <c r="AF205" s="49" t="s">
        <v>1016</v>
      </c>
      <c r="AG205" s="49" t="s">
        <v>116</v>
      </c>
      <c r="AH205" s="49" t="str">
        <f t="shared" si="0"/>
        <v>売掛金回収ﾁｪｯｸﾘｽﾄ</v>
      </c>
      <c r="AI205" s="49"/>
      <c r="AJ205" s="49"/>
      <c r="AK205" s="49"/>
      <c r="AL205" s="49" t="str">
        <f t="shared" si="6"/>
        <v/>
      </c>
      <c r="AM205" s="49" t="s">
        <v>35</v>
      </c>
      <c r="AN205" s="49"/>
      <c r="AO205" s="51" t="str">
        <f t="shared" si="1"/>
        <v>売掛金回収ﾁｪｯｸﾘｽﾄ</v>
      </c>
      <c r="AP205" s="51" t="str">
        <f t="shared" si="2"/>
        <v>反応しない</v>
      </c>
      <c r="AQ205" s="49" t="s">
        <v>1016</v>
      </c>
      <c r="AR205" s="49" t="s">
        <v>930</v>
      </c>
      <c r="AS205" s="49" t="str">
        <f t="shared" si="3"/>
        <v/>
      </c>
      <c r="AT205" s="49" t="str">
        <f t="shared" si="4"/>
        <v/>
      </c>
      <c r="AU205" s="49"/>
      <c r="AV205" s="49"/>
    </row>
    <row r="206" spans="1:48" ht="18" customHeight="1">
      <c r="A206" s="44">
        <v>204</v>
      </c>
      <c r="B206" s="52" t="s">
        <v>292</v>
      </c>
      <c r="C206" s="52" t="s">
        <v>903</v>
      </c>
      <c r="D206" s="46" t="s">
        <v>116</v>
      </c>
      <c r="E206" s="44" t="s">
        <v>1017</v>
      </c>
      <c r="F206" s="44" t="s">
        <v>1018</v>
      </c>
      <c r="G206" s="44"/>
      <c r="H206" s="44"/>
      <c r="I206" s="44"/>
      <c r="J206" s="47" t="s">
        <v>35</v>
      </c>
      <c r="K206" s="47"/>
      <c r="L206" s="47"/>
      <c r="M206" s="47"/>
      <c r="N206" s="47"/>
      <c r="O206" s="44"/>
      <c r="P206" s="44"/>
      <c r="Q206" s="48"/>
      <c r="R206" s="47"/>
      <c r="S206" s="47" t="s">
        <v>35</v>
      </c>
      <c r="T206" s="47"/>
      <c r="U206" s="47" t="s">
        <v>296</v>
      </c>
      <c r="V206" s="47" t="s">
        <v>296</v>
      </c>
      <c r="W206" s="47" t="s">
        <v>296</v>
      </c>
      <c r="X206" s="47" t="s">
        <v>296</v>
      </c>
      <c r="Y206" s="47" t="s">
        <v>296</v>
      </c>
      <c r="Z206" s="47" t="s">
        <v>296</v>
      </c>
      <c r="AA206" s="47" t="s">
        <v>296</v>
      </c>
      <c r="AB206" s="47"/>
      <c r="AC206" s="47" t="s">
        <v>35</v>
      </c>
      <c r="AD206" s="49"/>
      <c r="AE206" s="49"/>
      <c r="AF206" s="49" t="s">
        <v>1019</v>
      </c>
      <c r="AG206" s="49" t="s">
        <v>1017</v>
      </c>
      <c r="AH206" s="49" t="str">
        <f t="shared" si="0"/>
        <v>未回収ﾘｽﾄ</v>
      </c>
      <c r="AI206" s="49"/>
      <c r="AJ206" s="49"/>
      <c r="AK206" s="49"/>
      <c r="AL206" s="49" t="str">
        <f t="shared" si="6"/>
        <v/>
      </c>
      <c r="AM206" s="49" t="s">
        <v>35</v>
      </c>
      <c r="AN206" s="49"/>
      <c r="AO206" s="51" t="str">
        <f t="shared" si="1"/>
        <v>未回収ﾘｽﾄ</v>
      </c>
      <c r="AP206" s="51" t="str">
        <f t="shared" si="2"/>
        <v>SA7390</v>
      </c>
      <c r="AQ206" s="49" t="s">
        <v>1019</v>
      </c>
      <c r="AR206" s="49" t="s">
        <v>1017</v>
      </c>
      <c r="AS206" s="49" t="str">
        <f t="shared" si="3"/>
        <v/>
      </c>
      <c r="AT206" s="49" t="str">
        <f t="shared" si="4"/>
        <v/>
      </c>
      <c r="AU206" s="49"/>
      <c r="AV206" s="49"/>
    </row>
    <row r="207" spans="1:48" ht="18" customHeight="1">
      <c r="A207" s="44">
        <v>205</v>
      </c>
      <c r="B207" s="52" t="s">
        <v>292</v>
      </c>
      <c r="C207" s="52" t="s">
        <v>903</v>
      </c>
      <c r="D207" s="46" t="s">
        <v>116</v>
      </c>
      <c r="E207" s="44" t="s">
        <v>1020</v>
      </c>
      <c r="F207" s="44" t="s">
        <v>1021</v>
      </c>
      <c r="G207" s="44"/>
      <c r="H207" s="44"/>
      <c r="I207" s="44"/>
      <c r="J207" s="47" t="s">
        <v>35</v>
      </c>
      <c r="K207" s="47"/>
      <c r="L207" s="47"/>
      <c r="M207" s="47"/>
      <c r="N207" s="47"/>
      <c r="O207" s="44"/>
      <c r="P207" s="44"/>
      <c r="Q207" s="48">
        <f>VLOOKUP(E207,sheet1!$B$2:$D$3209,3,FALSE)</f>
        <v>876</v>
      </c>
      <c r="R207" s="47" t="s">
        <v>35</v>
      </c>
      <c r="S207" s="47" t="s">
        <v>35</v>
      </c>
      <c r="T207" s="47" t="s">
        <v>35</v>
      </c>
      <c r="U207" s="47" t="s">
        <v>296</v>
      </c>
      <c r="V207" s="47" t="s">
        <v>35</v>
      </c>
      <c r="W207" s="47" t="s">
        <v>296</v>
      </c>
      <c r="X207" s="47" t="s">
        <v>296</v>
      </c>
      <c r="Y207" s="47" t="s">
        <v>296</v>
      </c>
      <c r="Z207" s="47" t="s">
        <v>35</v>
      </c>
      <c r="AA207" s="47" t="s">
        <v>296</v>
      </c>
      <c r="AB207" s="47" t="s">
        <v>35</v>
      </c>
      <c r="AC207" s="47" t="s">
        <v>35</v>
      </c>
      <c r="AD207" s="49" t="str">
        <f>VLOOKUP(E207,sheet1!$B$2:$C$3209,2,FALSE)</f>
        <v>入金一覧表Ｖｅｒ２</v>
      </c>
      <c r="AE207" s="49"/>
      <c r="AF207" s="49" t="s">
        <v>1022</v>
      </c>
      <c r="AG207" s="49" t="s">
        <v>1020</v>
      </c>
      <c r="AH207" s="49" t="str">
        <f t="shared" si="0"/>
        <v>入金一覧表</v>
      </c>
      <c r="AI207" s="49"/>
      <c r="AJ207" s="49"/>
      <c r="AK207" s="49"/>
      <c r="AL207" s="49" t="str">
        <f t="shared" si="6"/>
        <v/>
      </c>
      <c r="AM207" s="49" t="s">
        <v>35</v>
      </c>
      <c r="AN207" s="49"/>
      <c r="AO207" s="51" t="str">
        <f t="shared" si="1"/>
        <v>入金一覧表</v>
      </c>
      <c r="AP207" s="51" t="str">
        <f t="shared" si="2"/>
        <v>MM5080</v>
      </c>
      <c r="AQ207" s="49" t="s">
        <v>1022</v>
      </c>
      <c r="AR207" s="49" t="s">
        <v>1020</v>
      </c>
      <c r="AS207" s="49" t="str">
        <f t="shared" si="3"/>
        <v/>
      </c>
      <c r="AT207" s="49" t="str">
        <f t="shared" si="4"/>
        <v/>
      </c>
      <c r="AU207" s="49"/>
      <c r="AV207" s="49"/>
    </row>
    <row r="208" spans="1:48" ht="18" customHeight="1">
      <c r="A208" s="44">
        <v>206</v>
      </c>
      <c r="B208" s="52" t="s">
        <v>292</v>
      </c>
      <c r="C208" s="52" t="s">
        <v>903</v>
      </c>
      <c r="D208" s="46" t="s">
        <v>116</v>
      </c>
      <c r="E208" s="44" t="s">
        <v>1023</v>
      </c>
      <c r="F208" s="44" t="s">
        <v>1024</v>
      </c>
      <c r="G208" s="44"/>
      <c r="H208" s="44"/>
      <c r="I208" s="44"/>
      <c r="J208" s="47" t="s">
        <v>35</v>
      </c>
      <c r="K208" s="47"/>
      <c r="L208" s="47"/>
      <c r="M208" s="47"/>
      <c r="N208" s="47"/>
      <c r="O208" s="44"/>
      <c r="P208" s="44"/>
      <c r="Q208" s="48">
        <f>VLOOKUP(E208,sheet1!$B$2:$D$3209,3,FALSE)</f>
        <v>2241</v>
      </c>
      <c r="R208" s="47" t="s">
        <v>35</v>
      </c>
      <c r="S208" s="47" t="s">
        <v>35</v>
      </c>
      <c r="T208" s="47" t="s">
        <v>35</v>
      </c>
      <c r="U208" s="47" t="s">
        <v>296</v>
      </c>
      <c r="V208" s="47" t="s">
        <v>35</v>
      </c>
      <c r="W208" s="47" t="s">
        <v>296</v>
      </c>
      <c r="X208" s="47" t="s">
        <v>296</v>
      </c>
      <c r="Y208" s="47" t="s">
        <v>296</v>
      </c>
      <c r="Z208" s="47" t="s">
        <v>35</v>
      </c>
      <c r="AA208" s="47" t="s">
        <v>296</v>
      </c>
      <c r="AB208" s="47" t="s">
        <v>35</v>
      </c>
      <c r="AC208" s="47" t="s">
        <v>35</v>
      </c>
      <c r="AD208" s="49" t="str">
        <f>VLOOKUP(E208,sheet1!$B$2:$C$3209,2,FALSE)</f>
        <v>入金振分一覧表</v>
      </c>
      <c r="AE208" s="49"/>
      <c r="AF208" s="49" t="s">
        <v>1025</v>
      </c>
      <c r="AG208" s="49" t="s">
        <v>1023</v>
      </c>
      <c r="AH208" s="49" t="str">
        <f t="shared" si="0"/>
        <v>入金振分一覧表</v>
      </c>
      <c r="AI208" s="49"/>
      <c r="AJ208" s="49"/>
      <c r="AK208" s="49"/>
      <c r="AL208" s="49" t="str">
        <f t="shared" si="6"/>
        <v/>
      </c>
      <c r="AM208" s="49" t="s">
        <v>35</v>
      </c>
      <c r="AN208" s="49"/>
      <c r="AO208" s="51" t="str">
        <f t="shared" si="1"/>
        <v>入金振分一覧表</v>
      </c>
      <c r="AP208" s="51" t="str">
        <f t="shared" si="2"/>
        <v>MM5020</v>
      </c>
      <c r="AQ208" s="49" t="s">
        <v>1025</v>
      </c>
      <c r="AR208" s="49" t="s">
        <v>1023</v>
      </c>
      <c r="AS208" s="49" t="str">
        <f t="shared" si="3"/>
        <v/>
      </c>
      <c r="AT208" s="49" t="str">
        <f t="shared" si="4"/>
        <v/>
      </c>
      <c r="AU208" s="49"/>
      <c r="AV208" s="49"/>
    </row>
    <row r="209" spans="1:48" ht="18" customHeight="1">
      <c r="A209" s="44">
        <v>207</v>
      </c>
      <c r="B209" s="52" t="s">
        <v>292</v>
      </c>
      <c r="C209" s="52" t="s">
        <v>903</v>
      </c>
      <c r="D209" s="46" t="s">
        <v>116</v>
      </c>
      <c r="E209" s="44" t="s">
        <v>1026</v>
      </c>
      <c r="F209" s="44" t="s">
        <v>1027</v>
      </c>
      <c r="G209" s="44"/>
      <c r="H209" s="44"/>
      <c r="I209" s="44"/>
      <c r="J209" s="47" t="s">
        <v>35</v>
      </c>
      <c r="K209" s="47"/>
      <c r="L209" s="47"/>
      <c r="M209" s="47"/>
      <c r="N209" s="47"/>
      <c r="O209" s="44"/>
      <c r="P209" s="44"/>
      <c r="Q209" s="48">
        <f>VLOOKUP(E209,sheet1!$B$2:$D$3209,3,FALSE)</f>
        <v>388</v>
      </c>
      <c r="R209" s="47" t="s">
        <v>35</v>
      </c>
      <c r="S209" s="47" t="s">
        <v>35</v>
      </c>
      <c r="T209" s="47" t="s">
        <v>35</v>
      </c>
      <c r="U209" s="47" t="s">
        <v>296</v>
      </c>
      <c r="V209" s="47" t="s">
        <v>35</v>
      </c>
      <c r="W209" s="47" t="s">
        <v>296</v>
      </c>
      <c r="X209" s="47" t="s">
        <v>296</v>
      </c>
      <c r="Y209" s="47" t="s">
        <v>296</v>
      </c>
      <c r="Z209" s="47" t="s">
        <v>35</v>
      </c>
      <c r="AA209" s="47" t="s">
        <v>296</v>
      </c>
      <c r="AB209" s="47" t="s">
        <v>35</v>
      </c>
      <c r="AC209" s="47" t="s">
        <v>35</v>
      </c>
      <c r="AD209" s="49" t="str">
        <f>VLOOKUP(E209,sheet1!$B$2:$C$3209,2,FALSE)</f>
        <v>過入金振分残リスト</v>
      </c>
      <c r="AE209" s="49"/>
      <c r="AF209" s="49" t="s">
        <v>1028</v>
      </c>
      <c r="AG209" s="49" t="s">
        <v>1026</v>
      </c>
      <c r="AH209" s="49" t="str">
        <f t="shared" si="0"/>
        <v>過入金振分残リスト</v>
      </c>
      <c r="AI209" s="49"/>
      <c r="AJ209" s="49"/>
      <c r="AK209" s="49"/>
      <c r="AL209" s="49" t="str">
        <f t="shared" si="6"/>
        <v/>
      </c>
      <c r="AM209" s="49" t="s">
        <v>35</v>
      </c>
      <c r="AN209" s="49"/>
      <c r="AO209" s="51" t="str">
        <f t="shared" si="1"/>
        <v>過入金振分残リスト</v>
      </c>
      <c r="AP209" s="51" t="str">
        <f t="shared" si="2"/>
        <v>MM5120</v>
      </c>
      <c r="AQ209" s="49" t="s">
        <v>1028</v>
      </c>
      <c r="AR209" s="49" t="s">
        <v>1026</v>
      </c>
      <c r="AS209" s="49" t="str">
        <f t="shared" si="3"/>
        <v/>
      </c>
      <c r="AT209" s="49" t="str">
        <f t="shared" si="4"/>
        <v/>
      </c>
      <c r="AU209" s="49"/>
      <c r="AV209" s="49"/>
    </row>
    <row r="210" spans="1:48" ht="18" customHeight="1">
      <c r="A210" s="44">
        <v>208</v>
      </c>
      <c r="B210" s="52" t="s">
        <v>292</v>
      </c>
      <c r="C210" s="52" t="s">
        <v>903</v>
      </c>
      <c r="D210" s="46" t="s">
        <v>116</v>
      </c>
      <c r="E210" s="44" t="s">
        <v>1029</v>
      </c>
      <c r="F210" s="44" t="s">
        <v>1030</v>
      </c>
      <c r="G210" s="44"/>
      <c r="H210" s="44"/>
      <c r="I210" s="44"/>
      <c r="J210" s="47" t="s">
        <v>35</v>
      </c>
      <c r="K210" s="47"/>
      <c r="L210" s="47"/>
      <c r="M210" s="47"/>
      <c r="N210" s="47"/>
      <c r="O210" s="44"/>
      <c r="P210" s="44"/>
      <c r="Q210" s="48">
        <f>VLOOKUP(E210,sheet1!$B$2:$D$3209,3,FALSE)</f>
        <v>2954</v>
      </c>
      <c r="R210" s="47" t="s">
        <v>35</v>
      </c>
      <c r="S210" s="47" t="s">
        <v>35</v>
      </c>
      <c r="T210" s="47" t="s">
        <v>35</v>
      </c>
      <c r="U210" s="47" t="s">
        <v>296</v>
      </c>
      <c r="V210" s="47" t="s">
        <v>35</v>
      </c>
      <c r="W210" s="47" t="s">
        <v>296</v>
      </c>
      <c r="X210" s="47" t="s">
        <v>296</v>
      </c>
      <c r="Y210" s="47" t="s">
        <v>296</v>
      </c>
      <c r="Z210" s="47" t="s">
        <v>35</v>
      </c>
      <c r="AA210" s="47" t="s">
        <v>296</v>
      </c>
      <c r="AB210" s="47" t="s">
        <v>35</v>
      </c>
      <c r="AC210" s="47" t="s">
        <v>35</v>
      </c>
      <c r="AD210" s="49" t="str">
        <f>VLOOKUP(E210,sheet1!$B$2:$C$3209,2,FALSE)</f>
        <v>売掛金元帳ＪＣＭ版</v>
      </c>
      <c r="AE210" s="49"/>
      <c r="AF210" s="49" t="s">
        <v>1031</v>
      </c>
      <c r="AG210" s="49" t="s">
        <v>1029</v>
      </c>
      <c r="AH210" s="49" t="str">
        <f t="shared" si="0"/>
        <v>売掛金元帳　＆　販売元帳</v>
      </c>
      <c r="AI210" s="49"/>
      <c r="AJ210" s="49"/>
      <c r="AK210" s="49"/>
      <c r="AL210" s="49" t="str">
        <f t="shared" si="6"/>
        <v/>
      </c>
      <c r="AM210" s="49" t="s">
        <v>35</v>
      </c>
      <c r="AN210" s="49"/>
      <c r="AO210" s="51" t="str">
        <f t="shared" si="1"/>
        <v>売掛金元帳　＆　販売元帳</v>
      </c>
      <c r="AP210" s="51" t="str">
        <f t="shared" si="2"/>
        <v>MM5100</v>
      </c>
      <c r="AQ210" s="49" t="s">
        <v>1031</v>
      </c>
      <c r="AR210" s="49" t="s">
        <v>1029</v>
      </c>
      <c r="AS210" s="49" t="str">
        <f t="shared" si="3"/>
        <v/>
      </c>
      <c r="AT210" s="49" t="str">
        <f t="shared" si="4"/>
        <v/>
      </c>
      <c r="AU210" s="49"/>
      <c r="AV210" s="49"/>
    </row>
    <row r="211" spans="1:48" ht="18" customHeight="1">
      <c r="A211" s="44">
        <v>209</v>
      </c>
      <c r="B211" s="52" t="s">
        <v>292</v>
      </c>
      <c r="C211" s="52" t="s">
        <v>903</v>
      </c>
      <c r="D211" s="46" t="s">
        <v>116</v>
      </c>
      <c r="E211" s="44" t="s">
        <v>1032</v>
      </c>
      <c r="F211" s="44" t="s">
        <v>1033</v>
      </c>
      <c r="G211" s="44"/>
      <c r="H211" s="44"/>
      <c r="I211" s="44"/>
      <c r="J211" s="47" t="s">
        <v>35</v>
      </c>
      <c r="K211" s="47"/>
      <c r="L211" s="47"/>
      <c r="M211" s="47"/>
      <c r="N211" s="47"/>
      <c r="O211" s="44"/>
      <c r="P211" s="44"/>
      <c r="Q211" s="48">
        <f>VLOOKUP(E211,sheet1!$B$2:$D$3209,3,FALSE)</f>
        <v>744</v>
      </c>
      <c r="R211" s="47" t="s">
        <v>35</v>
      </c>
      <c r="S211" s="47" t="s">
        <v>35</v>
      </c>
      <c r="T211" s="47" t="s">
        <v>35</v>
      </c>
      <c r="U211" s="47" t="s">
        <v>296</v>
      </c>
      <c r="V211" s="47" t="s">
        <v>35</v>
      </c>
      <c r="W211" s="47" t="s">
        <v>296</v>
      </c>
      <c r="X211" s="47" t="s">
        <v>296</v>
      </c>
      <c r="Y211" s="47" t="s">
        <v>296</v>
      </c>
      <c r="Z211" s="47" t="s">
        <v>35</v>
      </c>
      <c r="AA211" s="47" t="s">
        <v>296</v>
      </c>
      <c r="AB211" s="47" t="s">
        <v>35</v>
      </c>
      <c r="AC211" s="47" t="s">
        <v>35</v>
      </c>
      <c r="AD211" s="49" t="str">
        <f>VLOOKUP(E211,sheet1!$B$2:$C$3209,2,FALSE)</f>
        <v>売掛金回収計画表　ワークファイル作成</v>
      </c>
      <c r="AE211" s="49"/>
      <c r="AF211" s="49" t="s">
        <v>1034</v>
      </c>
      <c r="AG211" s="49" t="s">
        <v>1032</v>
      </c>
      <c r="AH211" s="49" t="str">
        <f t="shared" si="0"/>
        <v>売掛金回収計画表</v>
      </c>
      <c r="AI211" s="49"/>
      <c r="AJ211" s="49"/>
      <c r="AK211" s="49"/>
      <c r="AL211" s="49" t="str">
        <f t="shared" si="6"/>
        <v/>
      </c>
      <c r="AM211" s="49" t="s">
        <v>35</v>
      </c>
      <c r="AN211" s="49"/>
      <c r="AO211" s="51" t="str">
        <f t="shared" si="1"/>
        <v>売掛金回収計画表</v>
      </c>
      <c r="AP211" s="51" t="str">
        <f t="shared" si="2"/>
        <v>SA2380</v>
      </c>
      <c r="AQ211" s="49" t="s">
        <v>1034</v>
      </c>
      <c r="AR211" s="49" t="s">
        <v>1032</v>
      </c>
      <c r="AS211" s="49" t="str">
        <f t="shared" si="3"/>
        <v/>
      </c>
      <c r="AT211" s="49" t="str">
        <f t="shared" si="4"/>
        <v/>
      </c>
      <c r="AU211" s="49"/>
      <c r="AV211" s="49"/>
    </row>
    <row r="212" spans="1:48" ht="18" customHeight="1">
      <c r="A212" s="44">
        <v>210</v>
      </c>
      <c r="B212" s="52" t="s">
        <v>292</v>
      </c>
      <c r="C212" s="52" t="s">
        <v>903</v>
      </c>
      <c r="D212" s="46" t="s">
        <v>116</v>
      </c>
      <c r="E212" s="59" t="s">
        <v>1035</v>
      </c>
      <c r="F212" s="44" t="s">
        <v>1036</v>
      </c>
      <c r="G212" s="44"/>
      <c r="H212" s="44"/>
      <c r="I212" s="44"/>
      <c r="J212" s="47" t="s">
        <v>35</v>
      </c>
      <c r="K212" s="47"/>
      <c r="L212" s="47"/>
      <c r="M212" s="47"/>
      <c r="N212" s="47"/>
      <c r="O212" s="44"/>
      <c r="P212" s="44"/>
      <c r="Q212" s="48">
        <f>VLOOKUP(E212,sheet1!$B$2:$D$3209,3,FALSE)</f>
        <v>616</v>
      </c>
      <c r="R212" s="47" t="s">
        <v>35</v>
      </c>
      <c r="S212" s="47" t="s">
        <v>35</v>
      </c>
      <c r="T212" s="47" t="s">
        <v>35</v>
      </c>
      <c r="U212" s="47" t="s">
        <v>296</v>
      </c>
      <c r="V212" s="47" t="s">
        <v>35</v>
      </c>
      <c r="W212" s="47" t="s">
        <v>296</v>
      </c>
      <c r="X212" s="47" t="s">
        <v>296</v>
      </c>
      <c r="Y212" s="47" t="s">
        <v>296</v>
      </c>
      <c r="Z212" s="47" t="s">
        <v>35</v>
      </c>
      <c r="AA212" s="47" t="s">
        <v>296</v>
      </c>
      <c r="AB212" s="47" t="s">
        <v>35</v>
      </c>
      <c r="AC212" s="47" t="s">
        <v>35</v>
      </c>
      <c r="AD212" s="49" t="str">
        <f>VLOOKUP(E212,sheet1!$B$2:$C$3209,2,FALSE)</f>
        <v>売掛金回収計画集計表　ワークファイル作成</v>
      </c>
      <c r="AE212" s="49"/>
      <c r="AF212" s="49" t="s">
        <v>1037</v>
      </c>
      <c r="AG212" s="49" t="s">
        <v>1035</v>
      </c>
      <c r="AH212" s="49" t="str">
        <f t="shared" si="0"/>
        <v>売掛金回収計画集計表</v>
      </c>
      <c r="AI212" s="49"/>
      <c r="AJ212" s="49"/>
      <c r="AK212" s="49"/>
      <c r="AL212" s="49" t="str">
        <f t="shared" si="6"/>
        <v/>
      </c>
      <c r="AM212" s="49" t="s">
        <v>35</v>
      </c>
      <c r="AN212" s="49"/>
      <c r="AO212" s="51" t="str">
        <f t="shared" si="1"/>
        <v>売掛金回収計画集計表</v>
      </c>
      <c r="AP212" s="51" t="str">
        <f t="shared" si="2"/>
        <v>SA2385</v>
      </c>
      <c r="AQ212" s="49" t="s">
        <v>1037</v>
      </c>
      <c r="AR212" s="49" t="s">
        <v>1035</v>
      </c>
      <c r="AS212" s="49" t="str">
        <f t="shared" si="3"/>
        <v/>
      </c>
      <c r="AT212" s="49" t="str">
        <f t="shared" si="4"/>
        <v/>
      </c>
      <c r="AU212" s="49"/>
      <c r="AV212" s="49"/>
    </row>
    <row r="213" spans="1:48" ht="18" customHeight="1">
      <c r="A213" s="44">
        <v>211</v>
      </c>
      <c r="B213" s="52" t="s">
        <v>292</v>
      </c>
      <c r="C213" s="52" t="s">
        <v>903</v>
      </c>
      <c r="D213" s="53" t="s">
        <v>116</v>
      </c>
      <c r="E213" s="60" t="s">
        <v>1038</v>
      </c>
      <c r="F213" s="45" t="s">
        <v>1039</v>
      </c>
      <c r="G213" s="45"/>
      <c r="H213" s="45"/>
      <c r="I213" s="45"/>
      <c r="J213" s="61" t="s">
        <v>35</v>
      </c>
      <c r="K213" s="61"/>
      <c r="L213" s="61"/>
      <c r="M213" s="61"/>
      <c r="N213" s="61"/>
      <c r="O213" s="45"/>
      <c r="P213" s="45"/>
      <c r="Q213" s="62">
        <f>VLOOKUP(E213,sheet1!$B$2:$D$3209,3,FALSE)</f>
        <v>633</v>
      </c>
      <c r="R213" s="61" t="s">
        <v>35</v>
      </c>
      <c r="S213" s="47" t="s">
        <v>35</v>
      </c>
      <c r="T213" s="61" t="s">
        <v>35</v>
      </c>
      <c r="U213" s="47" t="s">
        <v>296</v>
      </c>
      <c r="V213" s="47" t="s">
        <v>35</v>
      </c>
      <c r="W213" s="47" t="s">
        <v>296</v>
      </c>
      <c r="X213" s="47" t="s">
        <v>296</v>
      </c>
      <c r="Y213" s="47" t="s">
        <v>296</v>
      </c>
      <c r="Z213" s="47" t="s">
        <v>35</v>
      </c>
      <c r="AA213" s="47" t="s">
        <v>296</v>
      </c>
      <c r="AB213" s="47" t="s">
        <v>35</v>
      </c>
      <c r="AC213" s="47" t="s">
        <v>35</v>
      </c>
      <c r="AD213" s="49" t="str">
        <f>VLOOKUP(E213,sheet1!$B$2:$C$3209,2,FALSE)</f>
        <v>発行区分一覧表出力</v>
      </c>
      <c r="AE213" s="49"/>
      <c r="AF213" s="49" t="s">
        <v>1040</v>
      </c>
      <c r="AG213" s="49" t="s">
        <v>1038</v>
      </c>
      <c r="AH213" s="49" t="str">
        <f t="shared" si="0"/>
        <v>発行区分一覧表</v>
      </c>
      <c r="AI213" s="49"/>
      <c r="AJ213" s="49"/>
      <c r="AK213" s="49"/>
      <c r="AL213" s="49" t="str">
        <f t="shared" si="6"/>
        <v/>
      </c>
      <c r="AM213" s="49" t="s">
        <v>35</v>
      </c>
      <c r="AN213" s="49"/>
      <c r="AO213" s="51" t="str">
        <f t="shared" si="1"/>
        <v>発行区分一覧表</v>
      </c>
      <c r="AP213" s="51" t="str">
        <f t="shared" si="2"/>
        <v>MM2071</v>
      </c>
      <c r="AQ213" s="49" t="s">
        <v>1040</v>
      </c>
      <c r="AR213" s="49" t="s">
        <v>1038</v>
      </c>
      <c r="AS213" s="49" t="str">
        <f t="shared" si="3"/>
        <v/>
      </c>
      <c r="AT213" s="49" t="str">
        <f t="shared" si="4"/>
        <v/>
      </c>
      <c r="AU213" s="49"/>
      <c r="AV213" s="49"/>
    </row>
    <row r="214" spans="1:48" ht="18" customHeight="1">
      <c r="A214" s="44">
        <v>212</v>
      </c>
      <c r="B214" s="52" t="s">
        <v>292</v>
      </c>
      <c r="C214" s="52" t="s">
        <v>903</v>
      </c>
      <c r="D214" s="53" t="s">
        <v>116</v>
      </c>
      <c r="E214" s="60"/>
      <c r="F214" s="45" t="s">
        <v>907</v>
      </c>
      <c r="G214" s="45"/>
      <c r="H214" s="45"/>
      <c r="I214" s="45"/>
      <c r="J214" s="61"/>
      <c r="K214" s="61"/>
      <c r="L214" s="61"/>
      <c r="M214" s="61"/>
      <c r="N214" s="61"/>
      <c r="O214" s="45"/>
      <c r="P214" s="45"/>
      <c r="Q214" s="62"/>
      <c r="R214" s="61"/>
      <c r="S214" s="47" t="s">
        <v>296</v>
      </c>
      <c r="T214" s="61"/>
      <c r="U214" s="47" t="s">
        <v>296</v>
      </c>
      <c r="V214" s="47" t="s">
        <v>296</v>
      </c>
      <c r="W214" s="47" t="s">
        <v>296</v>
      </c>
      <c r="X214" s="47" t="s">
        <v>296</v>
      </c>
      <c r="Y214" s="47" t="s">
        <v>296</v>
      </c>
      <c r="Z214" s="47" t="s">
        <v>296</v>
      </c>
      <c r="AA214" s="47" t="s">
        <v>296</v>
      </c>
      <c r="AB214" s="47" t="s">
        <v>35</v>
      </c>
      <c r="AC214" s="47" t="s">
        <v>296</v>
      </c>
      <c r="AD214" s="49"/>
      <c r="AE214" s="49"/>
      <c r="AF214" s="49"/>
      <c r="AG214" s="49"/>
      <c r="AH214" s="49"/>
      <c r="AI214" s="49"/>
      <c r="AJ214" s="49"/>
      <c r="AK214" s="49"/>
      <c r="AL214" s="49"/>
      <c r="AM214" s="49"/>
      <c r="AN214" s="49"/>
      <c r="AO214" s="51" t="str">
        <f t="shared" si="1"/>
        <v/>
      </c>
      <c r="AP214" s="51" t="str">
        <f t="shared" si="2"/>
        <v/>
      </c>
      <c r="AQ214" s="49"/>
      <c r="AR214" s="49"/>
      <c r="AS214" s="49" t="str">
        <f t="shared" si="3"/>
        <v/>
      </c>
      <c r="AT214" s="49" t="str">
        <f t="shared" si="4"/>
        <v/>
      </c>
      <c r="AU214" s="49"/>
      <c r="AV214" s="49"/>
    </row>
    <row r="215" spans="1:48" ht="18" customHeight="1">
      <c r="A215" s="44">
        <v>213</v>
      </c>
      <c r="B215" s="52" t="s">
        <v>292</v>
      </c>
      <c r="C215" s="52" t="s">
        <v>903</v>
      </c>
      <c r="D215" s="53" t="s">
        <v>116</v>
      </c>
      <c r="E215" s="60"/>
      <c r="F215" s="45" t="s">
        <v>966</v>
      </c>
      <c r="G215" s="45"/>
      <c r="H215" s="45"/>
      <c r="I215" s="45"/>
      <c r="J215" s="61"/>
      <c r="K215" s="61"/>
      <c r="L215" s="61"/>
      <c r="M215" s="61"/>
      <c r="N215" s="61"/>
      <c r="O215" s="45"/>
      <c r="P215" s="45"/>
      <c r="Q215" s="62"/>
      <c r="R215" s="61"/>
      <c r="S215" s="47" t="s">
        <v>296</v>
      </c>
      <c r="T215" s="61"/>
      <c r="U215" s="47" t="s">
        <v>296</v>
      </c>
      <c r="V215" s="47" t="s">
        <v>296</v>
      </c>
      <c r="W215" s="47" t="s">
        <v>296</v>
      </c>
      <c r="X215" s="47" t="s">
        <v>296</v>
      </c>
      <c r="Y215" s="47" t="s">
        <v>296</v>
      </c>
      <c r="Z215" s="47" t="s">
        <v>296</v>
      </c>
      <c r="AA215" s="47" t="s">
        <v>296</v>
      </c>
      <c r="AB215" s="47" t="s">
        <v>35</v>
      </c>
      <c r="AC215" s="47" t="s">
        <v>296</v>
      </c>
      <c r="AD215" s="49"/>
      <c r="AE215" s="49"/>
      <c r="AF215" s="49"/>
      <c r="AG215" s="49"/>
      <c r="AH215" s="49"/>
      <c r="AI215" s="49"/>
      <c r="AJ215" s="49"/>
      <c r="AK215" s="49"/>
      <c r="AL215" s="49"/>
      <c r="AM215" s="49"/>
      <c r="AN215" s="49"/>
      <c r="AO215" s="51" t="str">
        <f t="shared" si="1"/>
        <v/>
      </c>
      <c r="AP215" s="51" t="str">
        <f t="shared" si="2"/>
        <v/>
      </c>
      <c r="AQ215" s="49"/>
      <c r="AR215" s="49"/>
      <c r="AS215" s="49" t="str">
        <f t="shared" si="3"/>
        <v/>
      </c>
      <c r="AT215" s="49" t="str">
        <f t="shared" si="4"/>
        <v/>
      </c>
      <c r="AU215" s="49"/>
      <c r="AV215" s="49"/>
    </row>
    <row r="216" spans="1:48" ht="18" customHeight="1">
      <c r="A216" s="44">
        <v>214</v>
      </c>
      <c r="B216" s="52" t="s">
        <v>292</v>
      </c>
      <c r="C216" s="44" t="s">
        <v>1041</v>
      </c>
      <c r="D216" s="44" t="s">
        <v>116</v>
      </c>
      <c r="E216" s="59"/>
      <c r="F216" s="44"/>
      <c r="G216" s="44"/>
      <c r="H216" s="44"/>
      <c r="I216" s="44"/>
      <c r="J216" s="47" t="s">
        <v>35</v>
      </c>
      <c r="K216" s="47"/>
      <c r="L216" s="47"/>
      <c r="M216" s="47"/>
      <c r="N216" s="47"/>
      <c r="O216" s="44"/>
      <c r="P216" s="44"/>
      <c r="Q216" s="48"/>
      <c r="R216" s="47"/>
      <c r="S216" s="47"/>
      <c r="T216" s="47"/>
      <c r="U216" s="47"/>
      <c r="V216" s="47"/>
      <c r="W216" s="47"/>
      <c r="X216" s="47" t="s">
        <v>35</v>
      </c>
      <c r="Y216" s="47" t="s">
        <v>35</v>
      </c>
      <c r="Z216" s="47" t="s">
        <v>35</v>
      </c>
      <c r="AA216" s="47" t="s">
        <v>35</v>
      </c>
      <c r="AB216" s="47"/>
      <c r="AC216" s="47"/>
      <c r="AD216" s="63" t="e">
        <f>VLOOKUP(E216,sheet1!$B$2:$C$3209,2,FALSE)</f>
        <v>#N/A</v>
      </c>
      <c r="AE216" s="49"/>
      <c r="AF216" s="49"/>
      <c r="AG216" s="49"/>
      <c r="AH216" s="49" t="str">
        <f t="shared" ref="AH216:AH225" si="7">MID(AF216,4,100)</f>
        <v/>
      </c>
      <c r="AI216" s="49"/>
      <c r="AJ216" s="49"/>
      <c r="AK216" s="49"/>
      <c r="AL216" s="49"/>
      <c r="AM216" s="49"/>
      <c r="AN216" s="49"/>
      <c r="AO216" s="51" t="str">
        <f t="shared" si="1"/>
        <v/>
      </c>
      <c r="AP216" s="57" t="s">
        <v>1042</v>
      </c>
      <c r="AQ216" s="49" t="s">
        <v>1042</v>
      </c>
      <c r="AR216" s="49"/>
      <c r="AS216" s="49" t="str">
        <f t="shared" si="3"/>
        <v/>
      </c>
      <c r="AT216" s="49" t="str">
        <f t="shared" si="4"/>
        <v/>
      </c>
      <c r="AU216" s="49"/>
      <c r="AV216" s="49"/>
    </row>
    <row r="217" spans="1:48" ht="18" customHeight="1">
      <c r="A217" s="44">
        <v>215</v>
      </c>
      <c r="B217" s="52" t="s">
        <v>292</v>
      </c>
      <c r="C217" s="64" t="s">
        <v>1043</v>
      </c>
      <c r="D217" s="53" t="s">
        <v>116</v>
      </c>
      <c r="E217" s="65" t="s">
        <v>1044</v>
      </c>
      <c r="F217" s="66" t="s">
        <v>1045</v>
      </c>
      <c r="G217" s="66"/>
      <c r="H217" s="66"/>
      <c r="I217" s="66"/>
      <c r="J217" s="67" t="s">
        <v>35</v>
      </c>
      <c r="K217" s="67"/>
      <c r="L217" s="67"/>
      <c r="M217" s="67"/>
      <c r="N217" s="67"/>
      <c r="O217" s="66"/>
      <c r="P217" s="66"/>
      <c r="Q217" s="68">
        <f>VLOOKUP(E217,sheet1!$B$2:$D$3209,3,FALSE)</f>
        <v>654</v>
      </c>
      <c r="R217" s="67" t="s">
        <v>35</v>
      </c>
      <c r="S217" s="47" t="s">
        <v>35</v>
      </c>
      <c r="T217" s="67" t="s">
        <v>35</v>
      </c>
      <c r="U217" s="47" t="s">
        <v>296</v>
      </c>
      <c r="V217" s="47" t="s">
        <v>296</v>
      </c>
      <c r="W217" s="47" t="s">
        <v>296</v>
      </c>
      <c r="X217" s="47" t="s">
        <v>296</v>
      </c>
      <c r="Y217" s="47" t="s">
        <v>296</v>
      </c>
      <c r="Z217" s="47" t="s">
        <v>296</v>
      </c>
      <c r="AA217" s="47" t="s">
        <v>296</v>
      </c>
      <c r="AB217" s="47"/>
      <c r="AC217" s="47" t="s">
        <v>35</v>
      </c>
      <c r="AD217" s="63" t="str">
        <f>VLOOKUP(E217,sheet1!$B$2:$C$3209,2,FALSE)</f>
        <v>取立割引依頼書印刷</v>
      </c>
      <c r="AE217" s="49"/>
      <c r="AF217" s="51" t="s">
        <v>1046</v>
      </c>
      <c r="AG217" s="51" t="s">
        <v>1044</v>
      </c>
      <c r="AH217" s="49" t="str">
        <f t="shared" si="7"/>
        <v>取立割引依頼書</v>
      </c>
      <c r="AI217" s="49"/>
      <c r="AJ217" s="49"/>
      <c r="AK217" s="49"/>
      <c r="AL217" s="49"/>
      <c r="AM217" s="49"/>
      <c r="AN217" s="49"/>
      <c r="AO217" s="51" t="str">
        <f t="shared" si="1"/>
        <v>取立割引依頼書</v>
      </c>
      <c r="AP217" s="51" t="str">
        <f t="shared" ref="AP217:AP258" si="8">TRIM(AR217)</f>
        <v>MM2100</v>
      </c>
      <c r="AQ217" s="51" t="s">
        <v>1046</v>
      </c>
      <c r="AR217" s="51" t="s">
        <v>1044</v>
      </c>
      <c r="AS217" s="49" t="str">
        <f t="shared" si="3"/>
        <v/>
      </c>
      <c r="AT217" s="49" t="str">
        <f t="shared" si="4"/>
        <v/>
      </c>
      <c r="AU217" s="49"/>
      <c r="AV217" s="49"/>
    </row>
    <row r="218" spans="1:48" ht="18" customHeight="1">
      <c r="A218" s="44">
        <v>216</v>
      </c>
      <c r="B218" s="52" t="s">
        <v>292</v>
      </c>
      <c r="C218" s="52" t="s">
        <v>1043</v>
      </c>
      <c r="D218" s="53" t="s">
        <v>116</v>
      </c>
      <c r="E218" s="59" t="s">
        <v>1047</v>
      </c>
      <c r="F218" s="44" t="s">
        <v>1048</v>
      </c>
      <c r="G218" s="44"/>
      <c r="H218" s="44"/>
      <c r="I218" s="44"/>
      <c r="J218" s="47" t="s">
        <v>35</v>
      </c>
      <c r="K218" s="47"/>
      <c r="L218" s="47"/>
      <c r="M218" s="47"/>
      <c r="N218" s="47"/>
      <c r="O218" s="44"/>
      <c r="P218" s="44"/>
      <c r="Q218" s="48">
        <f>VLOOKUP(E218,sheet1!$B$2:$D$3209,3,FALSE)</f>
        <v>17</v>
      </c>
      <c r="R218" s="47" t="s">
        <v>35</v>
      </c>
      <c r="S218" s="47" t="s">
        <v>35</v>
      </c>
      <c r="T218" s="47" t="s">
        <v>35</v>
      </c>
      <c r="U218" s="47" t="s">
        <v>296</v>
      </c>
      <c r="V218" s="47" t="s">
        <v>296</v>
      </c>
      <c r="W218" s="47" t="s">
        <v>296</v>
      </c>
      <c r="X218" s="47" t="s">
        <v>296</v>
      </c>
      <c r="Y218" s="47" t="s">
        <v>296</v>
      </c>
      <c r="Z218" s="47" t="s">
        <v>296</v>
      </c>
      <c r="AA218" s="47" t="s">
        <v>296</v>
      </c>
      <c r="AB218" s="47"/>
      <c r="AC218" s="47" t="s">
        <v>35</v>
      </c>
      <c r="AD218" s="63" t="str">
        <f>VLOOKUP(E218,sheet1!$B$2:$C$3209,2,FALSE)</f>
        <v>割引手形落込明細表</v>
      </c>
      <c r="AE218" s="49"/>
      <c r="AF218" s="51" t="s">
        <v>1049</v>
      </c>
      <c r="AG218" s="51" t="s">
        <v>1047</v>
      </c>
      <c r="AH218" s="49" t="str">
        <f t="shared" si="7"/>
        <v>割引手形落込明細表</v>
      </c>
      <c r="AI218" s="49"/>
      <c r="AJ218" s="49"/>
      <c r="AK218" s="49"/>
      <c r="AL218" s="49"/>
      <c r="AM218" s="49"/>
      <c r="AN218" s="49"/>
      <c r="AO218" s="51" t="str">
        <f t="shared" si="1"/>
        <v>割引手形落込明細表</v>
      </c>
      <c r="AP218" s="51" t="str">
        <f t="shared" si="8"/>
        <v>MM1680</v>
      </c>
      <c r="AQ218" s="51" t="s">
        <v>1049</v>
      </c>
      <c r="AR218" s="51" t="s">
        <v>1050</v>
      </c>
      <c r="AS218" s="49" t="str">
        <f t="shared" si="3"/>
        <v/>
      </c>
      <c r="AT218" s="49" t="str">
        <f t="shared" si="4"/>
        <v/>
      </c>
      <c r="AU218" s="49"/>
      <c r="AV218" s="49"/>
    </row>
    <row r="219" spans="1:48" ht="18" customHeight="1">
      <c r="A219" s="44">
        <v>217</v>
      </c>
      <c r="B219" s="52" t="s">
        <v>292</v>
      </c>
      <c r="C219" s="52" t="s">
        <v>1043</v>
      </c>
      <c r="D219" s="53" t="s">
        <v>116</v>
      </c>
      <c r="E219" s="59" t="s">
        <v>1051</v>
      </c>
      <c r="F219" s="44" t="s">
        <v>1052</v>
      </c>
      <c r="G219" s="44"/>
      <c r="H219" s="44"/>
      <c r="I219" s="44"/>
      <c r="J219" s="47" t="s">
        <v>35</v>
      </c>
      <c r="K219" s="47"/>
      <c r="L219" s="47"/>
      <c r="M219" s="47"/>
      <c r="N219" s="47"/>
      <c r="O219" s="44"/>
      <c r="P219" s="44"/>
      <c r="Q219" s="48">
        <f>VLOOKUP(E219,sheet1!$B$2:$D$3209,3,FALSE)</f>
        <v>30</v>
      </c>
      <c r="R219" s="47" t="s">
        <v>35</v>
      </c>
      <c r="S219" s="47" t="s">
        <v>35</v>
      </c>
      <c r="T219" s="47" t="s">
        <v>35</v>
      </c>
      <c r="U219" s="47" t="s">
        <v>296</v>
      </c>
      <c r="V219" s="47" t="s">
        <v>296</v>
      </c>
      <c r="W219" s="47" t="s">
        <v>296</v>
      </c>
      <c r="X219" s="47" t="s">
        <v>296</v>
      </c>
      <c r="Y219" s="47" t="s">
        <v>296</v>
      </c>
      <c r="Z219" s="47" t="s">
        <v>296</v>
      </c>
      <c r="AA219" s="47" t="s">
        <v>296</v>
      </c>
      <c r="AB219" s="47"/>
      <c r="AC219" s="47" t="s">
        <v>35</v>
      </c>
      <c r="AD219" s="63" t="str">
        <f>VLOOKUP(E219,sheet1!$B$2:$C$3209,2,FALSE)</f>
        <v>受取手形明細表選択（月次・随時）</v>
      </c>
      <c r="AE219" s="49"/>
      <c r="AF219" s="51" t="s">
        <v>1053</v>
      </c>
      <c r="AG219" s="51" t="s">
        <v>1051</v>
      </c>
      <c r="AH219" s="49" t="str">
        <f t="shared" si="7"/>
        <v>受取手形明細表</v>
      </c>
      <c r="AI219" s="49"/>
      <c r="AJ219" s="49"/>
      <c r="AK219" s="49"/>
      <c r="AL219" s="49"/>
      <c r="AM219" s="49"/>
      <c r="AN219" s="49"/>
      <c r="AO219" s="51" t="str">
        <f t="shared" si="1"/>
        <v>受取手形明細表</v>
      </c>
      <c r="AP219" s="51" t="str">
        <f t="shared" si="8"/>
        <v>MM1655</v>
      </c>
      <c r="AQ219" s="51" t="s">
        <v>1053</v>
      </c>
      <c r="AR219" s="51" t="s">
        <v>1054</v>
      </c>
      <c r="AS219" s="49" t="str">
        <f t="shared" si="3"/>
        <v/>
      </c>
      <c r="AT219" s="49" t="str">
        <f t="shared" si="4"/>
        <v/>
      </c>
      <c r="AU219" s="49"/>
      <c r="AV219" s="49"/>
    </row>
    <row r="220" spans="1:48" ht="18" customHeight="1">
      <c r="A220" s="44">
        <v>218</v>
      </c>
      <c r="B220" s="52" t="s">
        <v>292</v>
      </c>
      <c r="C220" s="52" t="s">
        <v>1043</v>
      </c>
      <c r="D220" s="53" t="s">
        <v>116</v>
      </c>
      <c r="E220" s="59" t="s">
        <v>1055</v>
      </c>
      <c r="F220" s="44" t="s">
        <v>1056</v>
      </c>
      <c r="G220" s="44"/>
      <c r="H220" s="44"/>
      <c r="I220" s="44"/>
      <c r="J220" s="47" t="s">
        <v>35</v>
      </c>
      <c r="K220" s="47"/>
      <c r="L220" s="47"/>
      <c r="M220" s="47"/>
      <c r="N220" s="47"/>
      <c r="O220" s="44"/>
      <c r="P220" s="44"/>
      <c r="Q220" s="48">
        <f>VLOOKUP(E220,sheet1!$B$2:$D$3209,3,FALSE)</f>
        <v>78</v>
      </c>
      <c r="R220" s="47" t="s">
        <v>35</v>
      </c>
      <c r="S220" s="47" t="s">
        <v>35</v>
      </c>
      <c r="T220" s="47" t="s">
        <v>35</v>
      </c>
      <c r="U220" s="47" t="s">
        <v>296</v>
      </c>
      <c r="V220" s="47" t="s">
        <v>296</v>
      </c>
      <c r="W220" s="47" t="s">
        <v>296</v>
      </c>
      <c r="X220" s="47" t="s">
        <v>296</v>
      </c>
      <c r="Y220" s="47" t="s">
        <v>296</v>
      </c>
      <c r="Z220" s="47" t="s">
        <v>296</v>
      </c>
      <c r="AA220" s="47" t="s">
        <v>296</v>
      </c>
      <c r="AB220" s="47"/>
      <c r="AC220" s="47" t="s">
        <v>35</v>
      </c>
      <c r="AD220" s="63" t="str">
        <f>VLOOKUP(E220,sheet1!$B$2:$C$3209,2,FALSE)</f>
        <v>受取手形集計表</v>
      </c>
      <c r="AE220" s="49"/>
      <c r="AF220" s="51" t="s">
        <v>1057</v>
      </c>
      <c r="AG220" s="51" t="s">
        <v>1058</v>
      </c>
      <c r="AH220" s="49" t="str">
        <f t="shared" si="7"/>
        <v>受取手形集計表</v>
      </c>
      <c r="AI220" s="49"/>
      <c r="AJ220" s="49"/>
      <c r="AK220" s="49"/>
      <c r="AL220" s="49"/>
      <c r="AM220" s="49"/>
      <c r="AN220" s="49"/>
      <c r="AO220" s="51" t="str">
        <f t="shared" si="1"/>
        <v>受取手形集計表</v>
      </c>
      <c r="AP220" s="51" t="str">
        <f t="shared" si="8"/>
        <v>MM1640C</v>
      </c>
      <c r="AQ220" s="51" t="s">
        <v>1057</v>
      </c>
      <c r="AR220" s="51" t="s">
        <v>1058</v>
      </c>
      <c r="AS220" s="49" t="str">
        <f t="shared" si="3"/>
        <v/>
      </c>
      <c r="AT220" s="49" t="str">
        <f t="shared" si="4"/>
        <v/>
      </c>
      <c r="AU220" s="49"/>
      <c r="AV220" s="49"/>
    </row>
    <row r="221" spans="1:48" ht="18" customHeight="1">
      <c r="A221" s="44">
        <v>219</v>
      </c>
      <c r="B221" s="52" t="s">
        <v>292</v>
      </c>
      <c r="C221" s="52" t="s">
        <v>1043</v>
      </c>
      <c r="D221" s="53" t="s">
        <v>116</v>
      </c>
      <c r="E221" s="59" t="s">
        <v>1059</v>
      </c>
      <c r="F221" s="44" t="s">
        <v>1060</v>
      </c>
      <c r="G221" s="44"/>
      <c r="H221" s="44"/>
      <c r="I221" s="44"/>
      <c r="J221" s="47" t="s">
        <v>35</v>
      </c>
      <c r="K221" s="47"/>
      <c r="L221" s="47"/>
      <c r="M221" s="47"/>
      <c r="N221" s="47"/>
      <c r="O221" s="44"/>
      <c r="P221" s="44"/>
      <c r="Q221" s="48">
        <f>VLOOKUP(E221,sheet1!$B$2:$D$3209,3,FALSE)</f>
        <v>45</v>
      </c>
      <c r="R221" s="47" t="s">
        <v>35</v>
      </c>
      <c r="S221" s="47" t="s">
        <v>35</v>
      </c>
      <c r="T221" s="47" t="s">
        <v>35</v>
      </c>
      <c r="U221" s="47" t="s">
        <v>296</v>
      </c>
      <c r="V221" s="47" t="s">
        <v>296</v>
      </c>
      <c r="W221" s="47" t="s">
        <v>296</v>
      </c>
      <c r="X221" s="47" t="s">
        <v>296</v>
      </c>
      <c r="Y221" s="47" t="s">
        <v>296</v>
      </c>
      <c r="Z221" s="47" t="s">
        <v>296</v>
      </c>
      <c r="AA221" s="47" t="s">
        <v>296</v>
      </c>
      <c r="AB221" s="47"/>
      <c r="AC221" s="47" t="s">
        <v>35</v>
      </c>
      <c r="AD221" s="63" t="str">
        <f>VLOOKUP(E221,sheet1!$B$2:$C$3209,2,FALSE)</f>
        <v>受取手形集計表（銀行／期日別）</v>
      </c>
      <c r="AE221" s="49"/>
      <c r="AF221" s="51" t="s">
        <v>1061</v>
      </c>
      <c r="AG221" s="51" t="s">
        <v>1059</v>
      </c>
      <c r="AH221" s="49" t="str">
        <f t="shared" si="7"/>
        <v>（銀行　／期日別）</v>
      </c>
      <c r="AI221" s="49"/>
      <c r="AJ221" s="49"/>
      <c r="AK221" s="49"/>
      <c r="AL221" s="49"/>
      <c r="AM221" s="49"/>
      <c r="AN221" s="49"/>
      <c r="AO221" s="51" t="str">
        <f t="shared" si="1"/>
        <v>（銀行　／期日別）</v>
      </c>
      <c r="AP221" s="51" t="str">
        <f t="shared" si="8"/>
        <v>MM1630</v>
      </c>
      <c r="AQ221" s="51" t="s">
        <v>1061</v>
      </c>
      <c r="AR221" s="51" t="s">
        <v>1062</v>
      </c>
      <c r="AS221" s="49" t="str">
        <f t="shared" si="3"/>
        <v/>
      </c>
      <c r="AT221" s="49" t="str">
        <f t="shared" si="4"/>
        <v/>
      </c>
      <c r="AU221" s="49"/>
      <c r="AV221" s="49"/>
    </row>
    <row r="222" spans="1:48" ht="18" customHeight="1">
      <c r="A222" s="44">
        <v>220</v>
      </c>
      <c r="B222" s="52" t="s">
        <v>292</v>
      </c>
      <c r="C222" s="52" t="s">
        <v>1043</v>
      </c>
      <c r="D222" s="53" t="s">
        <v>116</v>
      </c>
      <c r="E222" s="59" t="s">
        <v>1063</v>
      </c>
      <c r="F222" s="44" t="s">
        <v>921</v>
      </c>
      <c r="G222" s="44"/>
      <c r="H222" s="44"/>
      <c r="I222" s="44"/>
      <c r="J222" s="47" t="s">
        <v>35</v>
      </c>
      <c r="K222" s="47"/>
      <c r="L222" s="47"/>
      <c r="M222" s="47"/>
      <c r="N222" s="47"/>
      <c r="O222" s="44"/>
      <c r="P222" s="44"/>
      <c r="Q222" s="48">
        <f>VLOOKUP(E222,sheet1!$B$2:$D$3209,3,FALSE)</f>
        <v>25</v>
      </c>
      <c r="R222" s="47" t="s">
        <v>35</v>
      </c>
      <c r="S222" s="47" t="s">
        <v>35</v>
      </c>
      <c r="T222" s="47" t="s">
        <v>35</v>
      </c>
      <c r="U222" s="47" t="s">
        <v>296</v>
      </c>
      <c r="V222" s="47" t="s">
        <v>296</v>
      </c>
      <c r="W222" s="47" t="s">
        <v>296</v>
      </c>
      <c r="X222" s="47" t="s">
        <v>296</v>
      </c>
      <c r="Y222" s="47" t="s">
        <v>296</v>
      </c>
      <c r="Z222" s="47" t="s">
        <v>296</v>
      </c>
      <c r="AA222" s="47" t="s">
        <v>296</v>
      </c>
      <c r="AB222" s="47"/>
      <c r="AC222" s="47" t="s">
        <v>35</v>
      </c>
      <c r="AD222" s="63" t="str">
        <f>VLOOKUP(E222,sheet1!$B$2:$C$3209,2,FALSE)</f>
        <v>受取手形得意先・期日指定一覧表</v>
      </c>
      <c r="AE222" s="49"/>
      <c r="AF222" s="51" t="s">
        <v>1064</v>
      </c>
      <c r="AG222" s="51" t="s">
        <v>1063</v>
      </c>
      <c r="AH222" s="49" t="str">
        <f t="shared" si="7"/>
        <v>（得意先／期日指定以降）</v>
      </c>
      <c r="AI222" s="49"/>
      <c r="AJ222" s="49"/>
      <c r="AK222" s="49"/>
      <c r="AL222" s="49"/>
      <c r="AM222" s="49"/>
      <c r="AN222" s="49"/>
      <c r="AO222" s="51" t="str">
        <f t="shared" si="1"/>
        <v>（得意先／期日指定以降）</v>
      </c>
      <c r="AP222" s="51" t="str">
        <f t="shared" si="8"/>
        <v>MM1620</v>
      </c>
      <c r="AQ222" s="51" t="s">
        <v>1064</v>
      </c>
      <c r="AR222" s="51" t="s">
        <v>920</v>
      </c>
      <c r="AS222" s="49" t="str">
        <f t="shared" si="3"/>
        <v/>
      </c>
      <c r="AT222" s="49" t="str">
        <f t="shared" si="4"/>
        <v/>
      </c>
      <c r="AU222" s="49"/>
      <c r="AV222" s="49"/>
    </row>
    <row r="223" spans="1:48" ht="18" customHeight="1">
      <c r="A223" s="44">
        <v>221</v>
      </c>
      <c r="B223" s="52" t="s">
        <v>292</v>
      </c>
      <c r="C223" s="52" t="s">
        <v>1043</v>
      </c>
      <c r="D223" s="53" t="s">
        <v>116</v>
      </c>
      <c r="E223" s="59" t="s">
        <v>1065</v>
      </c>
      <c r="F223" s="44" t="s">
        <v>1066</v>
      </c>
      <c r="G223" s="44"/>
      <c r="H223" s="44"/>
      <c r="I223" s="44"/>
      <c r="J223" s="47" t="s">
        <v>35</v>
      </c>
      <c r="K223" s="47"/>
      <c r="L223" s="47"/>
      <c r="M223" s="47"/>
      <c r="N223" s="47"/>
      <c r="O223" s="44"/>
      <c r="P223" s="44"/>
      <c r="Q223" s="48">
        <f>VLOOKUP(E223,sheet1!$B$2:$D$3209,3,FALSE)</f>
        <v>76</v>
      </c>
      <c r="R223" s="47" t="s">
        <v>35</v>
      </c>
      <c r="S223" s="47" t="s">
        <v>35</v>
      </c>
      <c r="T223" s="47" t="s">
        <v>35</v>
      </c>
      <c r="U223" s="47" t="s">
        <v>296</v>
      </c>
      <c r="V223" s="47" t="s">
        <v>296</v>
      </c>
      <c r="W223" s="47" t="s">
        <v>296</v>
      </c>
      <c r="X223" s="47" t="s">
        <v>296</v>
      </c>
      <c r="Y223" s="47" t="s">
        <v>296</v>
      </c>
      <c r="Z223" s="47" t="s">
        <v>296</v>
      </c>
      <c r="AA223" s="47" t="s">
        <v>296</v>
      </c>
      <c r="AB223" s="47"/>
      <c r="AC223" s="47" t="s">
        <v>35</v>
      </c>
      <c r="AD223" s="63" t="str">
        <f>VLOOKUP(E223,sheet1!$B$2:$C$3209,2,FALSE)</f>
        <v>受取手形得意先元帳</v>
      </c>
      <c r="AE223" s="49"/>
      <c r="AF223" s="51" t="s">
        <v>1067</v>
      </c>
      <c r="AG223" s="51" t="s">
        <v>1065</v>
      </c>
      <c r="AH223" s="49" t="str">
        <f t="shared" si="7"/>
        <v>受取手形得意先元帳</v>
      </c>
      <c r="AI223" s="49"/>
      <c r="AJ223" s="49"/>
      <c r="AK223" s="49"/>
      <c r="AL223" s="49"/>
      <c r="AM223" s="49"/>
      <c r="AN223" s="49"/>
      <c r="AO223" s="51" t="str">
        <f t="shared" si="1"/>
        <v>受取手形得意先元帳</v>
      </c>
      <c r="AP223" s="51" t="str">
        <f t="shared" si="8"/>
        <v>MM1670</v>
      </c>
      <c r="AQ223" s="51" t="s">
        <v>1067</v>
      </c>
      <c r="AR223" s="51" t="s">
        <v>1068</v>
      </c>
      <c r="AS223" s="49" t="str">
        <f t="shared" si="3"/>
        <v/>
      </c>
      <c r="AT223" s="49" t="str">
        <f t="shared" si="4"/>
        <v/>
      </c>
      <c r="AU223" s="49"/>
      <c r="AV223" s="49"/>
    </row>
    <row r="224" spans="1:48" ht="18" customHeight="1">
      <c r="A224" s="44">
        <v>222</v>
      </c>
      <c r="B224" s="52" t="s">
        <v>292</v>
      </c>
      <c r="C224" s="52" t="s">
        <v>1043</v>
      </c>
      <c r="D224" s="53" t="s">
        <v>116</v>
      </c>
      <c r="E224" s="59" t="s">
        <v>1069</v>
      </c>
      <c r="F224" s="44" t="s">
        <v>1070</v>
      </c>
      <c r="G224" s="44"/>
      <c r="H224" s="44"/>
      <c r="I224" s="44"/>
      <c r="J224" s="47" t="s">
        <v>35</v>
      </c>
      <c r="K224" s="47"/>
      <c r="L224" s="47"/>
      <c r="M224" s="47"/>
      <c r="N224" s="47"/>
      <c r="O224" s="44"/>
      <c r="P224" s="44"/>
      <c r="Q224" s="48">
        <f>VLOOKUP(E224,sheet1!$B$2:$D$3209,3,FALSE)</f>
        <v>65</v>
      </c>
      <c r="R224" s="47" t="s">
        <v>35</v>
      </c>
      <c r="S224" s="47" t="s">
        <v>35</v>
      </c>
      <c r="T224" s="47" t="s">
        <v>35</v>
      </c>
      <c r="U224" s="47" t="s">
        <v>296</v>
      </c>
      <c r="V224" s="47" t="s">
        <v>296</v>
      </c>
      <c r="W224" s="47" t="s">
        <v>296</v>
      </c>
      <c r="X224" s="47" t="s">
        <v>296</v>
      </c>
      <c r="Y224" s="47" t="s">
        <v>296</v>
      </c>
      <c r="Z224" s="47" t="s">
        <v>296</v>
      </c>
      <c r="AA224" s="47" t="s">
        <v>296</v>
      </c>
      <c r="AB224" s="47"/>
      <c r="AC224" s="47" t="s">
        <v>35</v>
      </c>
      <c r="AD224" s="63" t="str">
        <f>VLOOKUP(E224,sheet1!$B$2:$C$3209,2,FALSE)</f>
        <v>受取手形ﾃﾞｰﾀ(ﾀﾞｳﾝﾛｰﾄﾞ)</v>
      </c>
      <c r="AE224" s="49"/>
      <c r="AF224" s="51" t="s">
        <v>1071</v>
      </c>
      <c r="AG224" s="51" t="s">
        <v>1069</v>
      </c>
      <c r="AH224" s="49" t="str">
        <f t="shared" si="7"/>
        <v>受取手形ﾃﾞｰﾀ(ﾀﾞｳﾝﾛｰﾄﾞ)</v>
      </c>
      <c r="AI224" s="49"/>
      <c r="AJ224" s="49"/>
      <c r="AK224" s="49"/>
      <c r="AL224" s="49"/>
      <c r="AM224" s="49"/>
      <c r="AN224" s="49"/>
      <c r="AO224" s="51" t="str">
        <f t="shared" si="1"/>
        <v>受取手形ﾃﾞｰﾀ(ﾀﾞｳﾝﾛｰﾄﾞ)</v>
      </c>
      <c r="AP224" s="51" t="str">
        <f t="shared" si="8"/>
        <v>MM1690</v>
      </c>
      <c r="AQ224" s="51" t="s">
        <v>1071</v>
      </c>
      <c r="AR224" s="51" t="s">
        <v>1072</v>
      </c>
      <c r="AS224" s="49" t="str">
        <f t="shared" si="3"/>
        <v/>
      </c>
      <c r="AT224" s="49" t="str">
        <f t="shared" si="4"/>
        <v/>
      </c>
      <c r="AU224" s="49"/>
      <c r="AV224" s="49"/>
    </row>
    <row r="225" spans="1:48" ht="18" customHeight="1">
      <c r="A225" s="44">
        <v>223</v>
      </c>
      <c r="B225" s="69" t="s">
        <v>292</v>
      </c>
      <c r="C225" s="52" t="s">
        <v>1043</v>
      </c>
      <c r="D225" s="53" t="s">
        <v>116</v>
      </c>
      <c r="E225" s="59" t="s">
        <v>1073</v>
      </c>
      <c r="F225" s="44" t="s">
        <v>1074</v>
      </c>
      <c r="G225" s="44"/>
      <c r="H225" s="44"/>
      <c r="I225" s="44"/>
      <c r="J225" s="47" t="s">
        <v>35</v>
      </c>
      <c r="K225" s="47"/>
      <c r="L225" s="47"/>
      <c r="M225" s="47"/>
      <c r="N225" s="47"/>
      <c r="O225" s="44"/>
      <c r="P225" s="44"/>
      <c r="Q225" s="48">
        <f>VLOOKUP(E225,sheet1!$B$2:$D$3209,3,FALSE)</f>
        <v>663</v>
      </c>
      <c r="R225" s="47" t="s">
        <v>35</v>
      </c>
      <c r="S225" s="47" t="s">
        <v>35</v>
      </c>
      <c r="T225" s="47" t="s">
        <v>35</v>
      </c>
      <c r="U225" s="47" t="s">
        <v>296</v>
      </c>
      <c r="V225" s="47" t="s">
        <v>296</v>
      </c>
      <c r="W225" s="47" t="s">
        <v>296</v>
      </c>
      <c r="X225" s="47" t="s">
        <v>296</v>
      </c>
      <c r="Y225" s="47" t="s">
        <v>296</v>
      </c>
      <c r="Z225" s="47" t="s">
        <v>296</v>
      </c>
      <c r="AA225" s="47" t="s">
        <v>296</v>
      </c>
      <c r="AB225" s="47"/>
      <c r="AC225" s="47" t="s">
        <v>35</v>
      </c>
      <c r="AD225" s="63" t="str">
        <f>VLOOKUP(E225,sheet1!$B$2:$C$3209,2,FALSE)</f>
        <v>受取手形月次残高更新プログラム</v>
      </c>
      <c r="AE225" s="49"/>
      <c r="AF225" s="51" t="s">
        <v>1075</v>
      </c>
      <c r="AG225" s="51" t="s">
        <v>1073</v>
      </c>
      <c r="AH225" s="49" t="str">
        <f t="shared" si="7"/>
        <v>受取手形月次残高Ｆ更新</v>
      </c>
      <c r="AI225" s="49"/>
      <c r="AJ225" s="49"/>
      <c r="AK225" s="49"/>
      <c r="AL225" s="49"/>
      <c r="AM225" s="49"/>
      <c r="AN225" s="49"/>
      <c r="AO225" s="51" t="str">
        <f t="shared" si="1"/>
        <v>受取手形月次残高Ｆ更新</v>
      </c>
      <c r="AP225" s="51" t="str">
        <f t="shared" si="8"/>
        <v>MM6020</v>
      </c>
      <c r="AQ225" s="51" t="s">
        <v>1075</v>
      </c>
      <c r="AR225" s="51" t="s">
        <v>1073</v>
      </c>
      <c r="AS225" s="49" t="str">
        <f t="shared" si="3"/>
        <v/>
      </c>
      <c r="AT225" s="49" t="str">
        <f t="shared" si="4"/>
        <v/>
      </c>
      <c r="AU225" s="49"/>
      <c r="AV225" s="49"/>
    </row>
    <row r="226" spans="1:48" ht="18" customHeight="1">
      <c r="A226" s="44">
        <v>224</v>
      </c>
      <c r="B226" s="49" t="s">
        <v>1076</v>
      </c>
      <c r="C226" s="45" t="s">
        <v>293</v>
      </c>
      <c r="D226" s="53" t="s">
        <v>116</v>
      </c>
      <c r="E226" s="70" t="s">
        <v>1077</v>
      </c>
      <c r="F226" s="44" t="s">
        <v>1078</v>
      </c>
      <c r="G226" s="44"/>
      <c r="H226" s="44"/>
      <c r="I226" s="44"/>
      <c r="J226" s="47" t="s">
        <v>35</v>
      </c>
      <c r="K226" s="47"/>
      <c r="L226" s="47"/>
      <c r="M226" s="47"/>
      <c r="N226" s="47"/>
      <c r="O226" s="44"/>
      <c r="P226" s="44"/>
      <c r="Q226" s="48">
        <f>VLOOKUP(E226,sheet1!$B$2:$D$3209,3,FALSE)</f>
        <v>36</v>
      </c>
      <c r="R226" s="47" t="s">
        <v>35</v>
      </c>
      <c r="S226" s="47" t="s">
        <v>296</v>
      </c>
      <c r="T226" s="47"/>
      <c r="U226" s="47" t="s">
        <v>296</v>
      </c>
      <c r="V226" s="47" t="s">
        <v>296</v>
      </c>
      <c r="W226" s="47" t="s">
        <v>296</v>
      </c>
      <c r="X226" s="47" t="s">
        <v>296</v>
      </c>
      <c r="Y226" s="47" t="s">
        <v>296</v>
      </c>
      <c r="Z226" s="47" t="s">
        <v>296</v>
      </c>
      <c r="AA226" s="47" t="s">
        <v>296</v>
      </c>
      <c r="AB226" s="47"/>
      <c r="AC226" s="47" t="s">
        <v>35</v>
      </c>
      <c r="AD226" s="63" t="str">
        <f>VLOOKUP(E226,sheet1!$B$2:$C$3209,2,FALSE)</f>
        <v>ＱＲＹ　開示区分ﾏｽﾀｰ一覧表</v>
      </c>
      <c r="AE226" s="49"/>
      <c r="AF226" s="51" t="s">
        <v>1079</v>
      </c>
      <c r="AG226" s="51" t="s">
        <v>1080</v>
      </c>
      <c r="AH226" s="49" t="str">
        <f t="shared" ref="AH226:AH258" si="9">TRIM(MID(AF226,4,100))</f>
        <v>開示区分Ｍ　保守</v>
      </c>
      <c r="AI226" s="49"/>
      <c r="AJ226" s="49"/>
      <c r="AK226" s="49"/>
      <c r="AL226" s="49"/>
      <c r="AM226" s="49"/>
      <c r="AN226" s="49"/>
      <c r="AO226" s="51" t="str">
        <f t="shared" si="1"/>
        <v/>
      </c>
      <c r="AP226" s="51" t="str">
        <f t="shared" si="8"/>
        <v/>
      </c>
      <c r="AQ226" s="51"/>
      <c r="AR226" s="51"/>
      <c r="AS226" s="49" t="str">
        <f t="shared" si="3"/>
        <v>与信マスター</v>
      </c>
      <c r="AT226" s="49" t="str">
        <f t="shared" si="4"/>
        <v>SA0050</v>
      </c>
      <c r="AU226" s="51" t="s">
        <v>297</v>
      </c>
      <c r="AV226" s="51" t="s">
        <v>294</v>
      </c>
    </row>
    <row r="227" spans="1:48" ht="18" customHeight="1">
      <c r="A227" s="44">
        <v>225</v>
      </c>
      <c r="B227" s="71" t="s">
        <v>1076</v>
      </c>
      <c r="C227" s="52" t="s">
        <v>293</v>
      </c>
      <c r="D227" s="53" t="s">
        <v>116</v>
      </c>
      <c r="E227" s="59" t="s">
        <v>1081</v>
      </c>
      <c r="F227" s="44" t="s">
        <v>1082</v>
      </c>
      <c r="G227" s="44"/>
      <c r="H227" s="44"/>
      <c r="I227" s="44"/>
      <c r="J227" s="47" t="s">
        <v>35</v>
      </c>
      <c r="K227" s="47"/>
      <c r="L227" s="47"/>
      <c r="M227" s="47"/>
      <c r="N227" s="47"/>
      <c r="O227" s="44"/>
      <c r="P227" s="44"/>
      <c r="Q227" s="48">
        <f>VLOOKUP(E227,sheet1!$B$2:$D$3209,3,FALSE)</f>
        <v>547</v>
      </c>
      <c r="R227" s="47" t="s">
        <v>35</v>
      </c>
      <c r="S227" s="47" t="s">
        <v>296</v>
      </c>
      <c r="T227" s="47"/>
      <c r="U227" s="47" t="s">
        <v>296</v>
      </c>
      <c r="V227" s="47" t="s">
        <v>296</v>
      </c>
      <c r="W227" s="47" t="s">
        <v>296</v>
      </c>
      <c r="X227" s="47" t="s">
        <v>296</v>
      </c>
      <c r="Y227" s="47" t="s">
        <v>296</v>
      </c>
      <c r="Z227" s="47" t="s">
        <v>296</v>
      </c>
      <c r="AA227" s="47" t="s">
        <v>296</v>
      </c>
      <c r="AB227" s="47"/>
      <c r="AC227" s="47" t="s">
        <v>35</v>
      </c>
      <c r="AD227" s="63" t="str">
        <f>VLOOKUP(E227,sheet1!$B$2:$C$3209,2,FALSE)</f>
        <v>機種マスターメンテナンス</v>
      </c>
      <c r="AE227" s="49"/>
      <c r="AF227" s="51" t="s">
        <v>1083</v>
      </c>
      <c r="AG227" s="51" t="s">
        <v>1081</v>
      </c>
      <c r="AH227" s="49" t="str">
        <f t="shared" si="9"/>
        <v>機種Ｍ　保守</v>
      </c>
      <c r="AI227" s="49"/>
      <c r="AJ227" s="49"/>
      <c r="AK227" s="49"/>
      <c r="AL227" s="49"/>
      <c r="AM227" s="49"/>
      <c r="AN227" s="49"/>
      <c r="AO227" s="51" t="str">
        <f t="shared" si="1"/>
        <v/>
      </c>
      <c r="AP227" s="51" t="str">
        <f t="shared" si="8"/>
        <v/>
      </c>
      <c r="AQ227" s="51"/>
      <c r="AR227" s="51"/>
      <c r="AS227" s="49" t="str">
        <f t="shared" si="3"/>
        <v>販売価格マスター</v>
      </c>
      <c r="AT227" s="49" t="str">
        <f t="shared" si="4"/>
        <v>SA0060</v>
      </c>
      <c r="AU227" s="51" t="s">
        <v>300</v>
      </c>
      <c r="AV227" s="51" t="s">
        <v>298</v>
      </c>
    </row>
    <row r="228" spans="1:48" ht="18" customHeight="1">
      <c r="A228" s="44">
        <v>226</v>
      </c>
      <c r="B228" s="71" t="s">
        <v>1076</v>
      </c>
      <c r="C228" s="52" t="s">
        <v>293</v>
      </c>
      <c r="D228" s="53" t="s">
        <v>116</v>
      </c>
      <c r="E228" s="59" t="s">
        <v>1084</v>
      </c>
      <c r="F228" s="44" t="s">
        <v>1085</v>
      </c>
      <c r="G228" s="44"/>
      <c r="H228" s="44"/>
      <c r="I228" s="44"/>
      <c r="J228" s="47" t="s">
        <v>35</v>
      </c>
      <c r="K228" s="47"/>
      <c r="L228" s="47"/>
      <c r="M228" s="47"/>
      <c r="N228" s="47"/>
      <c r="O228" s="44"/>
      <c r="P228" s="44"/>
      <c r="Q228" s="48">
        <f>VLOOKUP(E228,sheet1!$B$2:$D$3209,3,FALSE)</f>
        <v>298</v>
      </c>
      <c r="R228" s="47" t="s">
        <v>35</v>
      </c>
      <c r="S228" s="47" t="s">
        <v>296</v>
      </c>
      <c r="T228" s="47"/>
      <c r="U228" s="47" t="s">
        <v>296</v>
      </c>
      <c r="V228" s="47" t="s">
        <v>296</v>
      </c>
      <c r="W228" s="47" t="s">
        <v>296</v>
      </c>
      <c r="X228" s="47" t="s">
        <v>296</v>
      </c>
      <c r="Y228" s="47" t="s">
        <v>296</v>
      </c>
      <c r="Z228" s="47" t="s">
        <v>296</v>
      </c>
      <c r="AA228" s="47" t="s">
        <v>296</v>
      </c>
      <c r="AB228" s="47"/>
      <c r="AC228" s="47" t="s">
        <v>35</v>
      </c>
      <c r="AD228" s="63" t="str">
        <f>VLOOKUP(E228,sheet1!$B$2:$C$3209,2,FALSE)</f>
        <v>分類ﾏｽﾀｰ保守</v>
      </c>
      <c r="AE228" s="49"/>
      <c r="AF228" s="51" t="s">
        <v>1086</v>
      </c>
      <c r="AG228" s="51" t="s">
        <v>1084</v>
      </c>
      <c r="AH228" s="49" t="str">
        <f t="shared" si="9"/>
        <v>分類Ｍ　保守</v>
      </c>
      <c r="AI228" s="49"/>
      <c r="AJ228" s="49"/>
      <c r="AK228" s="49"/>
      <c r="AL228" s="49"/>
      <c r="AM228" s="49"/>
      <c r="AN228" s="49"/>
      <c r="AO228" s="51" t="str">
        <f t="shared" si="1"/>
        <v/>
      </c>
      <c r="AP228" s="51" t="str">
        <f t="shared" si="8"/>
        <v/>
      </c>
      <c r="AQ228" s="51"/>
      <c r="AR228" s="51"/>
      <c r="AS228" s="49" t="str">
        <f t="shared" si="3"/>
        <v>値引限度率マスター</v>
      </c>
      <c r="AT228" s="49" t="str">
        <f t="shared" si="4"/>
        <v>SA0120</v>
      </c>
      <c r="AU228" s="51" t="s">
        <v>303</v>
      </c>
      <c r="AV228" s="51" t="s">
        <v>301</v>
      </c>
    </row>
    <row r="229" spans="1:48" ht="18" customHeight="1">
      <c r="A229" s="44">
        <v>227</v>
      </c>
      <c r="B229" s="71" t="s">
        <v>1076</v>
      </c>
      <c r="C229" s="52" t="s">
        <v>293</v>
      </c>
      <c r="D229" s="53" t="s">
        <v>116</v>
      </c>
      <c r="E229" s="59" t="s">
        <v>1087</v>
      </c>
      <c r="F229" s="44" t="s">
        <v>1088</v>
      </c>
      <c r="G229" s="44"/>
      <c r="H229" s="44"/>
      <c r="I229" s="44"/>
      <c r="J229" s="47" t="s">
        <v>35</v>
      </c>
      <c r="K229" s="47"/>
      <c r="L229" s="47"/>
      <c r="M229" s="47"/>
      <c r="N229" s="47"/>
      <c r="O229" s="44"/>
      <c r="P229" s="44"/>
      <c r="Q229" s="48">
        <f>VLOOKUP(E229,sheet1!$B$2:$D$3209,3,FALSE)</f>
        <v>2132</v>
      </c>
      <c r="R229" s="47" t="s">
        <v>35</v>
      </c>
      <c r="S229" s="47" t="s">
        <v>35</v>
      </c>
      <c r="T229" s="47"/>
      <c r="U229" s="47" t="s">
        <v>296</v>
      </c>
      <c r="V229" s="47" t="s">
        <v>296</v>
      </c>
      <c r="W229" s="47" t="s">
        <v>296</v>
      </c>
      <c r="X229" s="47" t="s">
        <v>296</v>
      </c>
      <c r="Y229" s="47" t="s">
        <v>296</v>
      </c>
      <c r="Z229" s="47" t="s">
        <v>296</v>
      </c>
      <c r="AA229" s="47" t="s">
        <v>296</v>
      </c>
      <c r="AB229" s="47"/>
      <c r="AC229" s="47" t="s">
        <v>35</v>
      </c>
      <c r="AD229" s="63" t="str">
        <f>VLOOKUP(E229,sheet1!$B$2:$C$3209,2,FALSE)</f>
        <v>品目マスターメンテナンス</v>
      </c>
      <c r="AE229" s="49"/>
      <c r="AF229" s="51" t="s">
        <v>1089</v>
      </c>
      <c r="AG229" s="51" t="s">
        <v>1087</v>
      </c>
      <c r="AH229" s="49" t="str">
        <f t="shared" si="9"/>
        <v>品目Ｍ　保守</v>
      </c>
      <c r="AI229" s="49"/>
      <c r="AJ229" s="49"/>
      <c r="AK229" s="49"/>
      <c r="AL229" s="49"/>
      <c r="AM229" s="49"/>
      <c r="AN229" s="49"/>
      <c r="AO229" s="51" t="str">
        <f t="shared" si="1"/>
        <v>品目Ｍ　保守</v>
      </c>
      <c r="AP229" s="51" t="str">
        <f t="shared" si="8"/>
        <v>PD0010</v>
      </c>
      <c r="AQ229" s="51" t="s">
        <v>1090</v>
      </c>
      <c r="AR229" s="51" t="s">
        <v>1087</v>
      </c>
      <c r="AS229" s="49" t="str">
        <f t="shared" si="3"/>
        <v>修理作業費マスター</v>
      </c>
      <c r="AT229" s="49" t="str">
        <f t="shared" si="4"/>
        <v>SA0080</v>
      </c>
      <c r="AU229" s="51" t="s">
        <v>306</v>
      </c>
      <c r="AV229" s="51" t="s">
        <v>304</v>
      </c>
    </row>
    <row r="230" spans="1:48" ht="18" customHeight="1">
      <c r="A230" s="44">
        <v>228</v>
      </c>
      <c r="B230" s="71" t="s">
        <v>1076</v>
      </c>
      <c r="C230" s="52" t="s">
        <v>293</v>
      </c>
      <c r="D230" s="53" t="s">
        <v>116</v>
      </c>
      <c r="E230" s="59" t="s">
        <v>1091</v>
      </c>
      <c r="F230" s="44" t="s">
        <v>1092</v>
      </c>
      <c r="G230" s="44"/>
      <c r="H230" s="44"/>
      <c r="I230" s="44"/>
      <c r="J230" s="47" t="s">
        <v>35</v>
      </c>
      <c r="K230" s="47"/>
      <c r="L230" s="47"/>
      <c r="M230" s="47"/>
      <c r="N230" s="47"/>
      <c r="O230" s="44"/>
      <c r="P230" s="44"/>
      <c r="Q230" s="48">
        <f>VLOOKUP(E230,sheet1!$B$2:$D$3209,3,FALSE)</f>
        <v>1664</v>
      </c>
      <c r="R230" s="47" t="s">
        <v>35</v>
      </c>
      <c r="S230" s="47" t="s">
        <v>35</v>
      </c>
      <c r="T230" s="47"/>
      <c r="U230" s="47" t="s">
        <v>296</v>
      </c>
      <c r="V230" s="47" t="s">
        <v>296</v>
      </c>
      <c r="W230" s="47" t="s">
        <v>296</v>
      </c>
      <c r="X230" s="47" t="s">
        <v>296</v>
      </c>
      <c r="Y230" s="47" t="s">
        <v>296</v>
      </c>
      <c r="Z230" s="47" t="s">
        <v>296</v>
      </c>
      <c r="AA230" s="47" t="s">
        <v>296</v>
      </c>
      <c r="AB230" s="47"/>
      <c r="AC230" s="47" t="s">
        <v>35</v>
      </c>
      <c r="AD230" s="63" t="str">
        <f>VLOOKUP(E230,sheet1!$B$2:$C$3209,2,FALSE)</f>
        <v>単価マスターメンテナンス</v>
      </c>
      <c r="AE230" s="49"/>
      <c r="AF230" s="51" t="s">
        <v>1093</v>
      </c>
      <c r="AG230" s="51" t="s">
        <v>1091</v>
      </c>
      <c r="AH230" s="49" t="str">
        <f t="shared" si="9"/>
        <v>単価Ｍ　保守</v>
      </c>
      <c r="AI230" s="49"/>
      <c r="AJ230" s="49"/>
      <c r="AK230" s="49"/>
      <c r="AL230" s="49"/>
      <c r="AM230" s="49"/>
      <c r="AN230" s="49"/>
      <c r="AO230" s="51" t="str">
        <f t="shared" si="1"/>
        <v>単価Ｍ　保守</v>
      </c>
      <c r="AP230" s="51" t="str">
        <f t="shared" si="8"/>
        <v>PD0170</v>
      </c>
      <c r="AQ230" s="51" t="s">
        <v>1094</v>
      </c>
      <c r="AR230" s="51" t="s">
        <v>1091</v>
      </c>
      <c r="AS230" s="49" t="str">
        <f t="shared" si="3"/>
        <v>無償保証期間マスターメンテ</v>
      </c>
      <c r="AT230" s="49" t="str">
        <f t="shared" si="4"/>
        <v>SA0210</v>
      </c>
      <c r="AU230" s="51" t="s">
        <v>309</v>
      </c>
      <c r="AV230" s="51" t="s">
        <v>307</v>
      </c>
    </row>
    <row r="231" spans="1:48" ht="18" customHeight="1">
      <c r="A231" s="44">
        <v>229</v>
      </c>
      <c r="B231" s="71" t="s">
        <v>1076</v>
      </c>
      <c r="C231" s="52" t="s">
        <v>293</v>
      </c>
      <c r="D231" s="53" t="s">
        <v>116</v>
      </c>
      <c r="E231" s="59" t="s">
        <v>1095</v>
      </c>
      <c r="F231" s="44" t="s">
        <v>1096</v>
      </c>
      <c r="G231" s="44"/>
      <c r="H231" s="44"/>
      <c r="I231" s="44"/>
      <c r="J231" s="47" t="s">
        <v>35</v>
      </c>
      <c r="K231" s="47"/>
      <c r="L231" s="47"/>
      <c r="M231" s="47"/>
      <c r="N231" s="47"/>
      <c r="O231" s="44"/>
      <c r="P231" s="44"/>
      <c r="Q231" s="48">
        <f>VLOOKUP(E231,sheet1!$B$2:$D$3209,3,FALSE)</f>
        <v>1881</v>
      </c>
      <c r="R231" s="47" t="s">
        <v>35</v>
      </c>
      <c r="S231" s="47" t="s">
        <v>35</v>
      </c>
      <c r="T231" s="47"/>
      <c r="U231" s="47" t="s">
        <v>296</v>
      </c>
      <c r="V231" s="47" t="s">
        <v>296</v>
      </c>
      <c r="W231" s="47" t="s">
        <v>296</v>
      </c>
      <c r="X231" s="47" t="s">
        <v>296</v>
      </c>
      <c r="Y231" s="47" t="s">
        <v>296</v>
      </c>
      <c r="Z231" s="47" t="s">
        <v>296</v>
      </c>
      <c r="AA231" s="47" t="s">
        <v>296</v>
      </c>
      <c r="AB231" s="47"/>
      <c r="AC231" s="47" t="s">
        <v>35</v>
      </c>
      <c r="AD231" s="63" t="str">
        <f>VLOOKUP(E231,sheet1!$B$2:$C$3209,2,FALSE)</f>
        <v>発注・受入担当マスターメンテナンス</v>
      </c>
      <c r="AE231" s="49"/>
      <c r="AF231" s="51" t="s">
        <v>1097</v>
      </c>
      <c r="AG231" s="51" t="s">
        <v>1095</v>
      </c>
      <c r="AH231" s="49" t="str">
        <f t="shared" si="9"/>
        <v>発注・受入担者Ｍ保守</v>
      </c>
      <c r="AI231" s="49"/>
      <c r="AJ231" s="49"/>
      <c r="AK231" s="49"/>
      <c r="AL231" s="49"/>
      <c r="AM231" s="49"/>
      <c r="AN231" s="49"/>
      <c r="AO231" s="51" t="str">
        <f t="shared" si="1"/>
        <v>発注・受入担者Ｍ保守</v>
      </c>
      <c r="AP231" s="51" t="str">
        <f t="shared" si="8"/>
        <v>PD0140</v>
      </c>
      <c r="AQ231" s="51" t="s">
        <v>1097</v>
      </c>
      <c r="AR231" s="51" t="s">
        <v>1095</v>
      </c>
      <c r="AS231" s="49" t="str">
        <f t="shared" si="3"/>
        <v>銀行マスタメンテナンス</v>
      </c>
      <c r="AT231" s="49" t="str">
        <f t="shared" si="4"/>
        <v>MM0020</v>
      </c>
      <c r="AU231" s="51" t="s">
        <v>312</v>
      </c>
      <c r="AV231" s="51" t="s">
        <v>310</v>
      </c>
    </row>
    <row r="232" spans="1:48" ht="18" customHeight="1">
      <c r="A232" s="44">
        <v>230</v>
      </c>
      <c r="B232" s="71" t="s">
        <v>1076</v>
      </c>
      <c r="C232" s="52" t="s">
        <v>293</v>
      </c>
      <c r="D232" s="53" t="s">
        <v>116</v>
      </c>
      <c r="E232" s="59" t="s">
        <v>1098</v>
      </c>
      <c r="F232" s="44" t="s">
        <v>1099</v>
      </c>
      <c r="G232" s="44"/>
      <c r="H232" s="44"/>
      <c r="I232" s="44"/>
      <c r="J232" s="47" t="s">
        <v>35</v>
      </c>
      <c r="K232" s="47"/>
      <c r="L232" s="47"/>
      <c r="M232" s="47"/>
      <c r="N232" s="47"/>
      <c r="O232" s="44"/>
      <c r="P232" s="44"/>
      <c r="Q232" s="48">
        <f>VLOOKUP(E232,sheet1!$B$2:$D$3209,3,FALSE)</f>
        <v>757</v>
      </c>
      <c r="R232" s="47" t="s">
        <v>35</v>
      </c>
      <c r="S232" s="47" t="s">
        <v>35</v>
      </c>
      <c r="T232" s="47"/>
      <c r="U232" s="47" t="s">
        <v>296</v>
      </c>
      <c r="V232" s="47" t="s">
        <v>296</v>
      </c>
      <c r="W232" s="47" t="s">
        <v>296</v>
      </c>
      <c r="X232" s="47" t="s">
        <v>296</v>
      </c>
      <c r="Y232" s="47" t="s">
        <v>296</v>
      </c>
      <c r="Z232" s="47" t="s">
        <v>296</v>
      </c>
      <c r="AA232" s="47" t="s">
        <v>296</v>
      </c>
      <c r="AB232" s="47"/>
      <c r="AC232" s="47" t="s">
        <v>35</v>
      </c>
      <c r="AD232" s="63" t="str">
        <f>VLOOKUP(E232,sheet1!$B$2:$C$3209,2,FALSE)</f>
        <v>工場別品目ﾏｽﾀｰ保守</v>
      </c>
      <c r="AE232" s="49"/>
      <c r="AF232" s="51" t="s">
        <v>1100</v>
      </c>
      <c r="AG232" s="51" t="s">
        <v>1098</v>
      </c>
      <c r="AH232" s="49" t="str">
        <f t="shared" si="9"/>
        <v>工場別品目Ｍ　保守</v>
      </c>
      <c r="AI232" s="49"/>
      <c r="AJ232" s="49"/>
      <c r="AK232" s="49"/>
      <c r="AL232" s="49"/>
      <c r="AM232" s="49"/>
      <c r="AN232" s="49"/>
      <c r="AO232" s="51" t="str">
        <f t="shared" si="1"/>
        <v>工場別品目Ｍ　保守</v>
      </c>
      <c r="AP232" s="51" t="str">
        <f t="shared" si="8"/>
        <v>PD0280</v>
      </c>
      <c r="AQ232" s="51" t="s">
        <v>1100</v>
      </c>
      <c r="AR232" s="51" t="s">
        <v>1098</v>
      </c>
      <c r="AS232" s="49" t="str">
        <f t="shared" si="3"/>
        <v>銀行振込口座マスター</v>
      </c>
      <c r="AT232" s="49" t="str">
        <f t="shared" si="4"/>
        <v>SA0220</v>
      </c>
      <c r="AU232" s="51" t="s">
        <v>315</v>
      </c>
      <c r="AV232" s="51" t="s">
        <v>313</v>
      </c>
    </row>
    <row r="233" spans="1:48" ht="18" customHeight="1">
      <c r="A233" s="44">
        <v>231</v>
      </c>
      <c r="B233" s="71" t="s">
        <v>1076</v>
      </c>
      <c r="C233" s="52" t="s">
        <v>293</v>
      </c>
      <c r="D233" s="53" t="s">
        <v>116</v>
      </c>
      <c r="E233" s="59" t="s">
        <v>1101</v>
      </c>
      <c r="F233" s="44" t="s">
        <v>1102</v>
      </c>
      <c r="G233" s="44"/>
      <c r="H233" s="44"/>
      <c r="I233" s="44"/>
      <c r="J233" s="47" t="s">
        <v>35</v>
      </c>
      <c r="K233" s="47"/>
      <c r="L233" s="47"/>
      <c r="M233" s="47"/>
      <c r="N233" s="47"/>
      <c r="O233" s="44"/>
      <c r="P233" s="44"/>
      <c r="Q233" s="48">
        <f>VLOOKUP(E233,sheet1!$B$2:$D$3209,3,FALSE)</f>
        <v>1766</v>
      </c>
      <c r="R233" s="47" t="s">
        <v>35</v>
      </c>
      <c r="S233" s="47" t="s">
        <v>35</v>
      </c>
      <c r="T233" s="47"/>
      <c r="U233" s="47" t="s">
        <v>296</v>
      </c>
      <c r="V233" s="47" t="s">
        <v>296</v>
      </c>
      <c r="W233" s="47" t="s">
        <v>296</v>
      </c>
      <c r="X233" s="47" t="s">
        <v>296</v>
      </c>
      <c r="Y233" s="47" t="s">
        <v>296</v>
      </c>
      <c r="Z233" s="47" t="s">
        <v>296</v>
      </c>
      <c r="AA233" s="47" t="s">
        <v>296</v>
      </c>
      <c r="AB233" s="47"/>
      <c r="AC233" s="47" t="s">
        <v>35</v>
      </c>
      <c r="AD233" s="63" t="str">
        <f>VLOOKUP(E233,sheet1!$B$2:$C$3209,2,FALSE)</f>
        <v>構成マスターメンテナンス</v>
      </c>
      <c r="AE233" s="49"/>
      <c r="AF233" s="51" t="s">
        <v>1103</v>
      </c>
      <c r="AG233" s="51" t="s">
        <v>1101</v>
      </c>
      <c r="AH233" s="49" t="str">
        <f t="shared" si="9"/>
        <v>製品構成Ｍ　保守</v>
      </c>
      <c r="AI233" s="49"/>
      <c r="AJ233" s="49"/>
      <c r="AK233" s="49"/>
      <c r="AL233" s="49"/>
      <c r="AM233" s="49"/>
      <c r="AN233" s="49"/>
      <c r="AO233" s="51" t="str">
        <f t="shared" si="1"/>
        <v>製品構成Ｍ　保守</v>
      </c>
      <c r="AP233" s="51" t="str">
        <f t="shared" si="8"/>
        <v>PD0040</v>
      </c>
      <c r="AQ233" s="51" t="s">
        <v>1103</v>
      </c>
      <c r="AR233" s="51" t="s">
        <v>1101</v>
      </c>
      <c r="AS233" s="49" t="str">
        <f t="shared" si="3"/>
        <v/>
      </c>
      <c r="AT233" s="49" t="str">
        <f t="shared" si="4"/>
        <v/>
      </c>
      <c r="AU233" s="49"/>
      <c r="AV233" s="49"/>
    </row>
    <row r="234" spans="1:48" ht="18" customHeight="1">
      <c r="A234" s="44">
        <v>232</v>
      </c>
      <c r="B234" s="71" t="s">
        <v>1076</v>
      </c>
      <c r="C234" s="52" t="s">
        <v>293</v>
      </c>
      <c r="D234" s="53" t="s">
        <v>116</v>
      </c>
      <c r="E234" s="59" t="s">
        <v>1104</v>
      </c>
      <c r="F234" s="44" t="s">
        <v>1105</v>
      </c>
      <c r="G234" s="44"/>
      <c r="H234" s="44"/>
      <c r="I234" s="44"/>
      <c r="J234" s="47" t="s">
        <v>35</v>
      </c>
      <c r="K234" s="47"/>
      <c r="L234" s="47"/>
      <c r="M234" s="47"/>
      <c r="N234" s="47"/>
      <c r="O234" s="44"/>
      <c r="P234" s="44"/>
      <c r="Q234" s="48">
        <f>VLOOKUP(E234,sheet1!$B$2:$D$3209,3,FALSE)</f>
        <v>1018</v>
      </c>
      <c r="R234" s="47" t="s">
        <v>35</v>
      </c>
      <c r="S234" s="47" t="s">
        <v>35</v>
      </c>
      <c r="T234" s="47"/>
      <c r="U234" s="47" t="s">
        <v>296</v>
      </c>
      <c r="V234" s="47" t="s">
        <v>296</v>
      </c>
      <c r="W234" s="47" t="s">
        <v>296</v>
      </c>
      <c r="X234" s="47" t="s">
        <v>296</v>
      </c>
      <c r="Y234" s="47" t="s">
        <v>296</v>
      </c>
      <c r="Z234" s="47" t="s">
        <v>296</v>
      </c>
      <c r="AA234" s="47" t="s">
        <v>296</v>
      </c>
      <c r="AB234" s="47"/>
      <c r="AC234" s="47" t="s">
        <v>35</v>
      </c>
      <c r="AD234" s="63" t="str">
        <f>VLOOKUP(E234,sheet1!$B$2:$C$3209,2,FALSE)</f>
        <v>構成補助マスターメンテナンス</v>
      </c>
      <c r="AE234" s="49"/>
      <c r="AF234" s="51" t="s">
        <v>1106</v>
      </c>
      <c r="AG234" s="51" t="s">
        <v>1104</v>
      </c>
      <c r="AH234" s="49" t="str">
        <f t="shared" si="9"/>
        <v>構成補助Ｍ　保守</v>
      </c>
      <c r="AI234" s="49"/>
      <c r="AJ234" s="49"/>
      <c r="AK234" s="49"/>
      <c r="AL234" s="49"/>
      <c r="AM234" s="49"/>
      <c r="AN234" s="49"/>
      <c r="AO234" s="51" t="str">
        <f t="shared" si="1"/>
        <v>構成補助Ｍ　保守</v>
      </c>
      <c r="AP234" s="51" t="str">
        <f t="shared" si="8"/>
        <v>PD0200</v>
      </c>
      <c r="AQ234" s="51" t="s">
        <v>1106</v>
      </c>
      <c r="AR234" s="51" t="s">
        <v>1104</v>
      </c>
      <c r="AS234" s="49" t="str">
        <f t="shared" si="3"/>
        <v/>
      </c>
      <c r="AT234" s="49" t="str">
        <f t="shared" si="4"/>
        <v/>
      </c>
      <c r="AU234" s="49"/>
      <c r="AV234" s="49"/>
    </row>
    <row r="235" spans="1:48" ht="18" customHeight="1">
      <c r="A235" s="44">
        <v>233</v>
      </c>
      <c r="B235" s="71" t="s">
        <v>1076</v>
      </c>
      <c r="C235" s="52" t="s">
        <v>293</v>
      </c>
      <c r="D235" s="53" t="s">
        <v>116</v>
      </c>
      <c r="E235" s="59" t="s">
        <v>1107</v>
      </c>
      <c r="F235" s="44" t="s">
        <v>1108</v>
      </c>
      <c r="G235" s="44"/>
      <c r="H235" s="44"/>
      <c r="I235" s="44"/>
      <c r="J235" s="47" t="s">
        <v>35</v>
      </c>
      <c r="K235" s="47"/>
      <c r="L235" s="47"/>
      <c r="M235" s="47"/>
      <c r="N235" s="47"/>
      <c r="O235" s="44"/>
      <c r="P235" s="44"/>
      <c r="Q235" s="48">
        <f>VLOOKUP(E235,sheet1!$B$2:$D$3209,3,FALSE)</f>
        <v>792</v>
      </c>
      <c r="R235" s="47" t="s">
        <v>35</v>
      </c>
      <c r="S235" s="47" t="s">
        <v>296</v>
      </c>
      <c r="T235" s="47"/>
      <c r="U235" s="47" t="s">
        <v>296</v>
      </c>
      <c r="V235" s="47" t="s">
        <v>296</v>
      </c>
      <c r="W235" s="47" t="s">
        <v>296</v>
      </c>
      <c r="X235" s="47" t="s">
        <v>296</v>
      </c>
      <c r="Y235" s="47" t="s">
        <v>296</v>
      </c>
      <c r="Z235" s="47" t="s">
        <v>296</v>
      </c>
      <c r="AA235" s="47" t="s">
        <v>296</v>
      </c>
      <c r="AB235" s="47"/>
      <c r="AC235" s="47" t="s">
        <v>35</v>
      </c>
      <c r="AD235" s="63" t="str">
        <f>VLOOKUP(E235,sheet1!$B$2:$C$3209,2,FALSE)</f>
        <v>同等品マスターメンテナンス                   6/4</v>
      </c>
      <c r="AE235" s="49"/>
      <c r="AF235" s="51" t="s">
        <v>1109</v>
      </c>
      <c r="AG235" s="51" t="s">
        <v>1107</v>
      </c>
      <c r="AH235" s="49" t="str">
        <f t="shared" si="9"/>
        <v>同等品Ｍ　保守</v>
      </c>
      <c r="AI235" s="49"/>
      <c r="AJ235" s="49"/>
      <c r="AK235" s="49"/>
      <c r="AL235" s="49"/>
      <c r="AM235" s="49"/>
      <c r="AN235" s="49"/>
      <c r="AO235" s="51" t="str">
        <f t="shared" si="1"/>
        <v/>
      </c>
      <c r="AP235" s="51" t="str">
        <f t="shared" si="8"/>
        <v/>
      </c>
      <c r="AQ235" s="49"/>
      <c r="AR235" s="49"/>
      <c r="AS235" s="49" t="str">
        <f t="shared" si="3"/>
        <v/>
      </c>
      <c r="AT235" s="49" t="str">
        <f t="shared" si="4"/>
        <v/>
      </c>
      <c r="AU235" s="49"/>
      <c r="AV235" s="49"/>
    </row>
    <row r="236" spans="1:48" ht="18" customHeight="1">
      <c r="A236" s="44">
        <v>234</v>
      </c>
      <c r="B236" s="71" t="s">
        <v>1076</v>
      </c>
      <c r="C236" s="52" t="s">
        <v>293</v>
      </c>
      <c r="D236" s="53" t="s">
        <v>116</v>
      </c>
      <c r="E236" s="44" t="s">
        <v>1110</v>
      </c>
      <c r="F236" s="44" t="s">
        <v>1111</v>
      </c>
      <c r="G236" s="44"/>
      <c r="H236" s="44"/>
      <c r="I236" s="44"/>
      <c r="J236" s="47" t="s">
        <v>35</v>
      </c>
      <c r="K236" s="47"/>
      <c r="L236" s="47"/>
      <c r="M236" s="47"/>
      <c r="N236" s="47"/>
      <c r="O236" s="44"/>
      <c r="P236" s="44"/>
      <c r="Q236" s="48">
        <f>VLOOKUP(E236,sheet1!$B$2:$D$3209,3,FALSE)</f>
        <v>938</v>
      </c>
      <c r="R236" s="47" t="s">
        <v>35</v>
      </c>
      <c r="S236" s="47" t="s">
        <v>35</v>
      </c>
      <c r="T236" s="47" t="s">
        <v>35</v>
      </c>
      <c r="U236" s="47" t="s">
        <v>296</v>
      </c>
      <c r="V236" s="47" t="s">
        <v>35</v>
      </c>
      <c r="W236" s="47" t="s">
        <v>35</v>
      </c>
      <c r="X236" s="47" t="s">
        <v>35</v>
      </c>
      <c r="Y236" s="47" t="s">
        <v>35</v>
      </c>
      <c r="Z236" s="47" t="s">
        <v>35</v>
      </c>
      <c r="AA236" s="47" t="s">
        <v>35</v>
      </c>
      <c r="AB236" s="47" t="s">
        <v>35</v>
      </c>
      <c r="AC236" s="47" t="s">
        <v>35</v>
      </c>
      <c r="AD236" s="63" t="str">
        <f>VLOOKUP(E236,sheet1!$B$2:$C$3209,2,FALSE)</f>
        <v>棚番マスターメンテナンス</v>
      </c>
      <c r="AE236" s="49"/>
      <c r="AF236" s="51" t="s">
        <v>1112</v>
      </c>
      <c r="AG236" s="51" t="s">
        <v>1110</v>
      </c>
      <c r="AH236" s="49" t="str">
        <f t="shared" si="9"/>
        <v>棚番Ｍ　保守</v>
      </c>
      <c r="AI236" s="49"/>
      <c r="AJ236" s="49"/>
      <c r="AK236" s="49"/>
      <c r="AL236" s="49"/>
      <c r="AM236" s="49"/>
      <c r="AN236" s="49"/>
      <c r="AO236" s="51" t="str">
        <f t="shared" si="1"/>
        <v>棚番Ｍ　保守</v>
      </c>
      <c r="AP236" s="51" t="str">
        <f t="shared" si="8"/>
        <v>PD0220</v>
      </c>
      <c r="AQ236" s="51" t="s">
        <v>1112</v>
      </c>
      <c r="AR236" s="51" t="s">
        <v>1110</v>
      </c>
      <c r="AS236" s="49" t="str">
        <f t="shared" si="3"/>
        <v/>
      </c>
      <c r="AT236" s="49" t="str">
        <f t="shared" si="4"/>
        <v/>
      </c>
      <c r="AU236" s="49"/>
      <c r="AV236" s="49"/>
    </row>
    <row r="237" spans="1:48" ht="18" customHeight="1">
      <c r="A237" s="44">
        <v>235</v>
      </c>
      <c r="B237" s="71" t="s">
        <v>1076</v>
      </c>
      <c r="C237" s="52" t="s">
        <v>293</v>
      </c>
      <c r="D237" s="53" t="s">
        <v>116</v>
      </c>
      <c r="E237" s="59" t="s">
        <v>1113</v>
      </c>
      <c r="F237" s="44" t="s">
        <v>1114</v>
      </c>
      <c r="G237" s="44"/>
      <c r="H237" s="44"/>
      <c r="I237" s="44"/>
      <c r="J237" s="47" t="s">
        <v>35</v>
      </c>
      <c r="K237" s="47"/>
      <c r="L237" s="47"/>
      <c r="M237" s="47"/>
      <c r="N237" s="47"/>
      <c r="O237" s="44"/>
      <c r="P237" s="44"/>
      <c r="Q237" s="48">
        <f>VLOOKUP(E237,sheet1!$B$2:$D$3209,3,FALSE)</f>
        <v>713</v>
      </c>
      <c r="R237" s="47" t="s">
        <v>35</v>
      </c>
      <c r="S237" s="47" t="s">
        <v>296</v>
      </c>
      <c r="T237" s="47"/>
      <c r="U237" s="47" t="s">
        <v>296</v>
      </c>
      <c r="V237" s="47" t="s">
        <v>296</v>
      </c>
      <c r="W237" s="47" t="s">
        <v>296</v>
      </c>
      <c r="X237" s="47" t="s">
        <v>296</v>
      </c>
      <c r="Y237" s="47" t="s">
        <v>296</v>
      </c>
      <c r="Z237" s="47" t="s">
        <v>296</v>
      </c>
      <c r="AA237" s="47" t="s">
        <v>296</v>
      </c>
      <c r="AB237" s="47"/>
      <c r="AC237" s="47" t="s">
        <v>35</v>
      </c>
      <c r="AD237" s="63" t="str">
        <f>VLOOKUP(E237,sheet1!$B$2:$C$3209,2,FALSE)</f>
        <v>引当優先順位マスターメンテナンス</v>
      </c>
      <c r="AE237" s="49"/>
      <c r="AF237" s="51" t="s">
        <v>1115</v>
      </c>
      <c r="AG237" s="51" t="s">
        <v>1113</v>
      </c>
      <c r="AH237" s="49" t="str">
        <f t="shared" si="9"/>
        <v>引当優先順位Ｍ　保守</v>
      </c>
      <c r="AI237" s="49"/>
      <c r="AJ237" s="49"/>
      <c r="AK237" s="49"/>
      <c r="AL237" s="49"/>
      <c r="AM237" s="49"/>
      <c r="AN237" s="49"/>
      <c r="AO237" s="51" t="str">
        <f t="shared" si="1"/>
        <v/>
      </c>
      <c r="AP237" s="51" t="str">
        <f t="shared" si="8"/>
        <v>PD0150</v>
      </c>
      <c r="AQ237" s="51"/>
      <c r="AR237" s="51" t="s">
        <v>1116</v>
      </c>
      <c r="AS237" s="49" t="str">
        <f t="shared" si="3"/>
        <v/>
      </c>
      <c r="AT237" s="49" t="str">
        <f t="shared" si="4"/>
        <v/>
      </c>
      <c r="AU237" s="49"/>
      <c r="AV237" s="49"/>
    </row>
    <row r="238" spans="1:48" ht="18" customHeight="1">
      <c r="A238" s="44">
        <v>236</v>
      </c>
      <c r="B238" s="71" t="s">
        <v>1076</v>
      </c>
      <c r="C238" s="52" t="s">
        <v>293</v>
      </c>
      <c r="D238" s="53" t="s">
        <v>116</v>
      </c>
      <c r="E238" s="59" t="s">
        <v>1117</v>
      </c>
      <c r="F238" s="44" t="s">
        <v>1118</v>
      </c>
      <c r="G238" s="44"/>
      <c r="H238" s="44"/>
      <c r="I238" s="44"/>
      <c r="J238" s="47" t="s">
        <v>35</v>
      </c>
      <c r="K238" s="47"/>
      <c r="L238" s="47"/>
      <c r="M238" s="47"/>
      <c r="N238" s="47"/>
      <c r="O238" s="44"/>
      <c r="P238" s="44"/>
      <c r="Q238" s="48">
        <f>VLOOKUP(E238,sheet1!$B$2:$D$3209,3,FALSE)</f>
        <v>311</v>
      </c>
      <c r="R238" s="47" t="s">
        <v>35</v>
      </c>
      <c r="S238" s="47" t="s">
        <v>296</v>
      </c>
      <c r="T238" s="47"/>
      <c r="U238" s="47" t="s">
        <v>296</v>
      </c>
      <c r="V238" s="47" t="s">
        <v>296</v>
      </c>
      <c r="W238" s="47" t="s">
        <v>296</v>
      </c>
      <c r="X238" s="47" t="s">
        <v>296</v>
      </c>
      <c r="Y238" s="47" t="s">
        <v>296</v>
      </c>
      <c r="Z238" s="47" t="s">
        <v>296</v>
      </c>
      <c r="AA238" s="47" t="s">
        <v>296</v>
      </c>
      <c r="AB238" s="47"/>
      <c r="AC238" s="47" t="s">
        <v>35</v>
      </c>
      <c r="AD238" s="63" t="str">
        <f>VLOOKUP(E238,sheet1!$B$2:$C$3209,2,FALSE)</f>
        <v>作業項目マスター保守</v>
      </c>
      <c r="AE238" s="49"/>
      <c r="AF238" s="51" t="s">
        <v>1119</v>
      </c>
      <c r="AG238" s="51" t="s">
        <v>1117</v>
      </c>
      <c r="AH238" s="49" t="str">
        <f t="shared" si="9"/>
        <v>作業項目Ｍ　保守</v>
      </c>
      <c r="AI238" s="49"/>
      <c r="AJ238" s="49"/>
      <c r="AK238" s="49"/>
      <c r="AL238" s="49"/>
      <c r="AM238" s="49"/>
      <c r="AN238" s="49"/>
      <c r="AO238" s="51" t="str">
        <f t="shared" si="1"/>
        <v/>
      </c>
      <c r="AP238" s="51" t="str">
        <f t="shared" si="8"/>
        <v/>
      </c>
      <c r="AQ238" s="51"/>
      <c r="AR238" s="51"/>
      <c r="AS238" s="49" t="str">
        <f t="shared" si="3"/>
        <v/>
      </c>
      <c r="AT238" s="49" t="str">
        <f t="shared" si="4"/>
        <v/>
      </c>
      <c r="AU238" s="49"/>
      <c r="AV238" s="49"/>
    </row>
    <row r="239" spans="1:48" ht="18" customHeight="1">
      <c r="A239" s="44">
        <v>237</v>
      </c>
      <c r="B239" s="71" t="s">
        <v>1076</v>
      </c>
      <c r="C239" s="52" t="s">
        <v>293</v>
      </c>
      <c r="D239" s="53" t="s">
        <v>116</v>
      </c>
      <c r="E239" s="59" t="s">
        <v>1120</v>
      </c>
      <c r="F239" s="44" t="s">
        <v>1121</v>
      </c>
      <c r="G239" s="44"/>
      <c r="H239" s="44"/>
      <c r="I239" s="44"/>
      <c r="J239" s="47" t="s">
        <v>35</v>
      </c>
      <c r="K239" s="47"/>
      <c r="L239" s="47"/>
      <c r="M239" s="47"/>
      <c r="N239" s="47"/>
      <c r="O239" s="44"/>
      <c r="P239" s="44"/>
      <c r="Q239" s="48">
        <f>VLOOKUP(E239,sheet1!$B$2:$D$3209,3,FALSE)</f>
        <v>15</v>
      </c>
      <c r="R239" s="47" t="s">
        <v>35</v>
      </c>
      <c r="S239" s="47" t="s">
        <v>296</v>
      </c>
      <c r="T239" s="47"/>
      <c r="U239" s="47" t="s">
        <v>296</v>
      </c>
      <c r="V239" s="47" t="s">
        <v>296</v>
      </c>
      <c r="W239" s="47" t="s">
        <v>296</v>
      </c>
      <c r="X239" s="47" t="s">
        <v>296</v>
      </c>
      <c r="Y239" s="47" t="s">
        <v>296</v>
      </c>
      <c r="Z239" s="47" t="s">
        <v>296</v>
      </c>
      <c r="AA239" s="47" t="s">
        <v>296</v>
      </c>
      <c r="AB239" s="47"/>
      <c r="AC239" s="47" t="s">
        <v>35</v>
      </c>
      <c r="AD239" s="63" t="str">
        <f>VLOOKUP(E239,sheet1!$B$2:$C$3209,2,FALSE)</f>
        <v>ＱＲＹ　摘要  ﾏｽﾀｰ一覧表</v>
      </c>
      <c r="AE239" s="49"/>
      <c r="AF239" s="51" t="s">
        <v>1122</v>
      </c>
      <c r="AG239" s="51" t="s">
        <v>1123</v>
      </c>
      <c r="AH239" s="49" t="str">
        <f t="shared" si="9"/>
        <v>摘要Ｍ　保守</v>
      </c>
      <c r="AI239" s="49"/>
      <c r="AJ239" s="49"/>
      <c r="AK239" s="49"/>
      <c r="AL239" s="49"/>
      <c r="AM239" s="49"/>
      <c r="AN239" s="49"/>
      <c r="AO239" s="51" t="str">
        <f t="shared" si="1"/>
        <v/>
      </c>
      <c r="AP239" s="51" t="str">
        <f t="shared" si="8"/>
        <v/>
      </c>
      <c r="AQ239" s="51"/>
      <c r="AR239" s="51"/>
      <c r="AS239" s="49" t="str">
        <f t="shared" si="3"/>
        <v/>
      </c>
      <c r="AT239" s="49" t="str">
        <f t="shared" si="4"/>
        <v/>
      </c>
      <c r="AU239" s="49"/>
      <c r="AV239" s="49"/>
    </row>
    <row r="240" spans="1:48" ht="18" customHeight="1">
      <c r="A240" s="44">
        <v>238</v>
      </c>
      <c r="B240" s="71" t="s">
        <v>1076</v>
      </c>
      <c r="C240" s="52" t="s">
        <v>293</v>
      </c>
      <c r="D240" s="53" t="s">
        <v>116</v>
      </c>
      <c r="E240" s="59" t="s">
        <v>1124</v>
      </c>
      <c r="F240" s="44" t="s">
        <v>1125</v>
      </c>
      <c r="G240" s="44"/>
      <c r="H240" s="44"/>
      <c r="I240" s="44"/>
      <c r="J240" s="47" t="s">
        <v>35</v>
      </c>
      <c r="K240" s="47"/>
      <c r="L240" s="47"/>
      <c r="M240" s="47"/>
      <c r="N240" s="47"/>
      <c r="O240" s="44"/>
      <c r="P240" s="44"/>
      <c r="Q240" s="48" t="e">
        <f>VLOOKUP(E240,sheet1!$B$2:$D$3209,3,FALSE)</f>
        <v>#N/A</v>
      </c>
      <c r="R240" s="47" t="s">
        <v>35</v>
      </c>
      <c r="S240" s="47" t="s">
        <v>296</v>
      </c>
      <c r="T240" s="47"/>
      <c r="U240" s="47" t="s">
        <v>296</v>
      </c>
      <c r="V240" s="47" t="s">
        <v>296</v>
      </c>
      <c r="W240" s="47" t="s">
        <v>296</v>
      </c>
      <c r="X240" s="47" t="s">
        <v>296</v>
      </c>
      <c r="Y240" s="47" t="s">
        <v>296</v>
      </c>
      <c r="Z240" s="47" t="s">
        <v>296</v>
      </c>
      <c r="AA240" s="47" t="s">
        <v>296</v>
      </c>
      <c r="AB240" s="47"/>
      <c r="AC240" s="47" t="s">
        <v>35</v>
      </c>
      <c r="AD240" s="63" t="e">
        <f>VLOOKUP(E240,sheet1!$B$2:$C$3209,2,FALSE)</f>
        <v>#N/A</v>
      </c>
      <c r="AE240" s="49"/>
      <c r="AF240" s="51" t="s">
        <v>1126</v>
      </c>
      <c r="AG240" s="51" t="s">
        <v>1124</v>
      </c>
      <c r="AH240" s="49" t="str">
        <f t="shared" si="9"/>
        <v>メニューマスター保守</v>
      </c>
      <c r="AI240" s="49"/>
      <c r="AJ240" s="49"/>
      <c r="AK240" s="49"/>
      <c r="AL240" s="49"/>
      <c r="AM240" s="49"/>
      <c r="AN240" s="49"/>
      <c r="AO240" s="51" t="str">
        <f t="shared" si="1"/>
        <v/>
      </c>
      <c r="AP240" s="51" t="str">
        <f t="shared" si="8"/>
        <v/>
      </c>
      <c r="AQ240" s="51"/>
      <c r="AR240" s="51"/>
      <c r="AS240" s="49" t="str">
        <f t="shared" si="3"/>
        <v/>
      </c>
      <c r="AT240" s="49" t="str">
        <f t="shared" si="4"/>
        <v/>
      </c>
      <c r="AU240" s="49"/>
      <c r="AV240" s="49"/>
    </row>
    <row r="241" spans="1:48" ht="18" customHeight="1">
      <c r="A241" s="44">
        <v>239</v>
      </c>
      <c r="B241" s="71" t="s">
        <v>1076</v>
      </c>
      <c r="C241" s="52" t="s">
        <v>293</v>
      </c>
      <c r="D241" s="53" t="s">
        <v>116</v>
      </c>
      <c r="E241" s="59" t="s">
        <v>1127</v>
      </c>
      <c r="F241" s="44" t="s">
        <v>1128</v>
      </c>
      <c r="G241" s="44"/>
      <c r="H241" s="44"/>
      <c r="I241" s="44"/>
      <c r="J241" s="47" t="s">
        <v>35</v>
      </c>
      <c r="K241" s="47"/>
      <c r="L241" s="47"/>
      <c r="M241" s="47"/>
      <c r="N241" s="47"/>
      <c r="O241" s="44"/>
      <c r="P241" s="44"/>
      <c r="Q241" s="48">
        <f>VLOOKUP(E241,sheet1!$B$2:$D$3209,3,FALSE)</f>
        <v>529</v>
      </c>
      <c r="R241" s="47" t="s">
        <v>35</v>
      </c>
      <c r="S241" s="47" t="s">
        <v>296</v>
      </c>
      <c r="T241" s="47"/>
      <c r="U241" s="47" t="s">
        <v>296</v>
      </c>
      <c r="V241" s="47" t="s">
        <v>296</v>
      </c>
      <c r="W241" s="47" t="s">
        <v>296</v>
      </c>
      <c r="X241" s="47" t="s">
        <v>296</v>
      </c>
      <c r="Y241" s="47" t="s">
        <v>296</v>
      </c>
      <c r="Z241" s="47" t="s">
        <v>296</v>
      </c>
      <c r="AA241" s="47" t="s">
        <v>296</v>
      </c>
      <c r="AB241" s="47"/>
      <c r="AC241" s="47" t="s">
        <v>35</v>
      </c>
      <c r="AD241" s="63" t="str">
        <f>VLOOKUP(E241,sheet1!$B$2:$C$3209,2,FALSE)</f>
        <v>品目追加情報マスタメンテナンス</v>
      </c>
      <c r="AE241" s="49"/>
      <c r="AF241" s="51" t="s">
        <v>1129</v>
      </c>
      <c r="AG241" s="51" t="s">
        <v>1127</v>
      </c>
      <c r="AH241" s="49" t="str">
        <f t="shared" si="9"/>
        <v>品目追加情報Ｍ　保守</v>
      </c>
      <c r="AI241" s="49"/>
      <c r="AJ241" s="49"/>
      <c r="AK241" s="49"/>
      <c r="AL241" s="49"/>
      <c r="AM241" s="49"/>
      <c r="AN241" s="49"/>
      <c r="AO241" s="51" t="str">
        <f t="shared" si="1"/>
        <v/>
      </c>
      <c r="AP241" s="51" t="str">
        <f t="shared" si="8"/>
        <v/>
      </c>
      <c r="AQ241" s="51"/>
      <c r="AR241" s="51"/>
      <c r="AS241" s="49" t="str">
        <f t="shared" si="3"/>
        <v/>
      </c>
      <c r="AT241" s="49" t="str">
        <f t="shared" si="4"/>
        <v/>
      </c>
      <c r="AU241" s="49"/>
      <c r="AV241" s="49"/>
    </row>
    <row r="242" spans="1:48" ht="18" customHeight="1">
      <c r="A242" s="44">
        <v>240</v>
      </c>
      <c r="B242" s="71" t="s">
        <v>1076</v>
      </c>
      <c r="C242" s="52" t="s">
        <v>293</v>
      </c>
      <c r="D242" s="53" t="s">
        <v>116</v>
      </c>
      <c r="E242" s="59" t="s">
        <v>1130</v>
      </c>
      <c r="F242" s="44" t="s">
        <v>1131</v>
      </c>
      <c r="G242" s="44"/>
      <c r="H242" s="44"/>
      <c r="I242" s="44"/>
      <c r="J242" s="47" t="s">
        <v>35</v>
      </c>
      <c r="K242" s="47"/>
      <c r="L242" s="47"/>
      <c r="M242" s="47"/>
      <c r="N242" s="47"/>
      <c r="O242" s="44"/>
      <c r="P242" s="44"/>
      <c r="Q242" s="48">
        <f>VLOOKUP(E242,sheet1!$B$2:$D$3209,3,FALSE)</f>
        <v>342</v>
      </c>
      <c r="R242" s="47" t="s">
        <v>35</v>
      </c>
      <c r="S242" s="47" t="s">
        <v>296</v>
      </c>
      <c r="T242" s="47"/>
      <c r="U242" s="47" t="s">
        <v>296</v>
      </c>
      <c r="V242" s="47" t="s">
        <v>296</v>
      </c>
      <c r="W242" s="47" t="s">
        <v>296</v>
      </c>
      <c r="X242" s="47" t="s">
        <v>296</v>
      </c>
      <c r="Y242" s="47" t="s">
        <v>296</v>
      </c>
      <c r="Z242" s="47" t="s">
        <v>296</v>
      </c>
      <c r="AA242" s="47" t="s">
        <v>296</v>
      </c>
      <c r="AB242" s="47"/>
      <c r="AC242" s="47" t="s">
        <v>35</v>
      </c>
      <c r="AD242" s="63" t="str">
        <f>VLOOKUP(E242,sheet1!$B$2:$C$3209,2,FALSE)</f>
        <v>標準変更ＰＧＭ</v>
      </c>
      <c r="AE242" s="49"/>
      <c r="AF242" s="51" t="s">
        <v>1132</v>
      </c>
      <c r="AG242" s="51" t="s">
        <v>1130</v>
      </c>
      <c r="AH242" s="49" t="str">
        <f t="shared" si="9"/>
        <v>標準変更Ｍ 保守</v>
      </c>
      <c r="AI242" s="49"/>
      <c r="AJ242" s="49"/>
      <c r="AK242" s="49"/>
      <c r="AL242" s="49"/>
      <c r="AM242" s="49"/>
      <c r="AN242" s="49"/>
      <c r="AO242" s="51" t="str">
        <f t="shared" si="1"/>
        <v/>
      </c>
      <c r="AP242" s="51" t="str">
        <f t="shared" si="8"/>
        <v/>
      </c>
      <c r="AQ242" s="51"/>
      <c r="AR242" s="51"/>
      <c r="AS242" s="49" t="str">
        <f t="shared" si="3"/>
        <v/>
      </c>
      <c r="AT242" s="49" t="str">
        <f t="shared" si="4"/>
        <v/>
      </c>
      <c r="AU242" s="49"/>
      <c r="AV242" s="49"/>
    </row>
    <row r="243" spans="1:48" ht="18" customHeight="1">
      <c r="A243" s="44">
        <v>241</v>
      </c>
      <c r="B243" s="71" t="s">
        <v>1076</v>
      </c>
      <c r="C243" s="52" t="s">
        <v>293</v>
      </c>
      <c r="D243" s="53" t="s">
        <v>116</v>
      </c>
      <c r="E243" s="59" t="s">
        <v>1116</v>
      </c>
      <c r="F243" s="44" t="s">
        <v>1133</v>
      </c>
      <c r="G243" s="44"/>
      <c r="H243" s="44"/>
      <c r="I243" s="44"/>
      <c r="J243" s="47" t="s">
        <v>35</v>
      </c>
      <c r="K243" s="47"/>
      <c r="L243" s="47"/>
      <c r="M243" s="47"/>
      <c r="N243" s="47"/>
      <c r="O243" s="44"/>
      <c r="P243" s="44"/>
      <c r="Q243" s="48">
        <f>VLOOKUP(E243,sheet1!$B$2:$D$3209,3,FALSE)</f>
        <v>593</v>
      </c>
      <c r="R243" s="47" t="s">
        <v>35</v>
      </c>
      <c r="S243" s="47" t="s">
        <v>35</v>
      </c>
      <c r="T243" s="47"/>
      <c r="U243" s="47" t="s">
        <v>296</v>
      </c>
      <c r="V243" s="47" t="s">
        <v>296</v>
      </c>
      <c r="W243" s="47" t="s">
        <v>296</v>
      </c>
      <c r="X243" s="47" t="s">
        <v>296</v>
      </c>
      <c r="Y243" s="47" t="s">
        <v>296</v>
      </c>
      <c r="Z243" s="47" t="s">
        <v>296</v>
      </c>
      <c r="AA243" s="47" t="s">
        <v>296</v>
      </c>
      <c r="AB243" s="47"/>
      <c r="AC243" s="47" t="s">
        <v>35</v>
      </c>
      <c r="AD243" s="63" t="str">
        <f>VLOOKUP(E243,sheet1!$B$2:$C$3209,2,FALSE)</f>
        <v>生産ｺﾝﾄﾛｰﾙﾏｽﾀﾒﾝﾃﾅﾝｽ（棚卸バッチ化対応）</v>
      </c>
      <c r="AE243" s="49"/>
      <c r="AF243" s="51" t="s">
        <v>1134</v>
      </c>
      <c r="AG243" s="51" t="s">
        <v>1116</v>
      </c>
      <c r="AH243" s="49" t="str">
        <f t="shared" si="9"/>
        <v>コントロールＭ　保守</v>
      </c>
      <c r="AI243" s="49"/>
      <c r="AJ243" s="49"/>
      <c r="AK243" s="49"/>
      <c r="AL243" s="49"/>
      <c r="AM243" s="49"/>
      <c r="AN243" s="49"/>
      <c r="AO243" s="51" t="str">
        <f t="shared" si="1"/>
        <v>コントロールＭ　保守</v>
      </c>
      <c r="AP243" s="51" t="str">
        <f t="shared" si="8"/>
        <v>PD0150</v>
      </c>
      <c r="AQ243" s="51" t="s">
        <v>1134</v>
      </c>
      <c r="AR243" s="51" t="s">
        <v>1116</v>
      </c>
      <c r="AS243" s="49" t="str">
        <f t="shared" si="3"/>
        <v/>
      </c>
      <c r="AT243" s="49" t="str">
        <f t="shared" si="4"/>
        <v/>
      </c>
      <c r="AU243" s="49"/>
      <c r="AV243" s="49"/>
    </row>
    <row r="244" spans="1:48" ht="18" customHeight="1">
      <c r="A244" s="44">
        <v>242</v>
      </c>
      <c r="B244" s="71" t="s">
        <v>1076</v>
      </c>
      <c r="C244" s="52" t="s">
        <v>293</v>
      </c>
      <c r="D244" s="53" t="s">
        <v>116</v>
      </c>
      <c r="E244" s="44" t="s">
        <v>592</v>
      </c>
      <c r="F244" s="44" t="s">
        <v>1135</v>
      </c>
      <c r="G244" s="44"/>
      <c r="H244" s="44"/>
      <c r="I244" s="44"/>
      <c r="J244" s="47" t="s">
        <v>35</v>
      </c>
      <c r="K244" s="47"/>
      <c r="L244" s="47"/>
      <c r="M244" s="47"/>
      <c r="N244" s="47"/>
      <c r="O244" s="44"/>
      <c r="P244" s="44"/>
      <c r="Q244" s="48">
        <f>VLOOKUP(E244,sheet1!$B$2:$D$3209,3,FALSE)</f>
        <v>1587</v>
      </c>
      <c r="R244" s="47" t="s">
        <v>35</v>
      </c>
      <c r="S244" s="47" t="s">
        <v>35</v>
      </c>
      <c r="T244" s="47" t="s">
        <v>35</v>
      </c>
      <c r="U244" s="47" t="s">
        <v>296</v>
      </c>
      <c r="V244" s="47" t="s">
        <v>35</v>
      </c>
      <c r="W244" s="47" t="s">
        <v>296</v>
      </c>
      <c r="X244" s="47" t="s">
        <v>296</v>
      </c>
      <c r="Y244" s="47" t="s">
        <v>296</v>
      </c>
      <c r="Z244" s="47" t="s">
        <v>35</v>
      </c>
      <c r="AA244" s="47" t="s">
        <v>296</v>
      </c>
      <c r="AB244" s="47" t="s">
        <v>35</v>
      </c>
      <c r="AC244" s="47" t="s">
        <v>35</v>
      </c>
      <c r="AD244" s="63" t="str">
        <f>VLOOKUP(E244,sheet1!$B$2:$C$3209,2,FALSE)</f>
        <v>取引先マスターメンテナンス</v>
      </c>
      <c r="AE244" s="49"/>
      <c r="AF244" s="51" t="s">
        <v>1136</v>
      </c>
      <c r="AG244" s="51" t="s">
        <v>592</v>
      </c>
      <c r="AH244" s="49" t="str">
        <f t="shared" si="9"/>
        <v>取引先Ｍ　保守</v>
      </c>
      <c r="AI244" s="49"/>
      <c r="AJ244" s="49"/>
      <c r="AK244" s="49"/>
      <c r="AL244" s="49"/>
      <c r="AM244" s="49"/>
      <c r="AN244" s="49"/>
      <c r="AO244" s="51" t="str">
        <f t="shared" si="1"/>
        <v>取引先Ｍ　保守</v>
      </c>
      <c r="AP244" s="51" t="str">
        <f t="shared" si="8"/>
        <v>PD0120</v>
      </c>
      <c r="AQ244" s="51" t="s">
        <v>1136</v>
      </c>
      <c r="AR244" s="51" t="s">
        <v>592</v>
      </c>
      <c r="AS244" s="49" t="str">
        <f t="shared" si="3"/>
        <v/>
      </c>
      <c r="AT244" s="49" t="str">
        <f t="shared" si="4"/>
        <v/>
      </c>
      <c r="AU244" s="49"/>
      <c r="AV244" s="49"/>
    </row>
    <row r="245" spans="1:48" ht="18" customHeight="1">
      <c r="A245" s="44">
        <v>243</v>
      </c>
      <c r="B245" s="71" t="s">
        <v>1076</v>
      </c>
      <c r="C245" s="52" t="s">
        <v>293</v>
      </c>
      <c r="D245" s="53" t="s">
        <v>116</v>
      </c>
      <c r="E245" s="59" t="s">
        <v>1137</v>
      </c>
      <c r="F245" s="44" t="s">
        <v>1138</v>
      </c>
      <c r="G245" s="44"/>
      <c r="H245" s="44"/>
      <c r="I245" s="44"/>
      <c r="J245" s="47" t="s">
        <v>35</v>
      </c>
      <c r="K245" s="47"/>
      <c r="L245" s="47"/>
      <c r="M245" s="47"/>
      <c r="N245" s="47"/>
      <c r="O245" s="44"/>
      <c r="P245" s="44"/>
      <c r="Q245" s="48">
        <f>VLOOKUP(E245,sheet1!$B$2:$D$3209,3,FALSE)</f>
        <v>1605</v>
      </c>
      <c r="R245" s="47" t="s">
        <v>35</v>
      </c>
      <c r="S245" s="47" t="s">
        <v>35</v>
      </c>
      <c r="T245" s="47"/>
      <c r="U245" s="47" t="s">
        <v>296</v>
      </c>
      <c r="V245" s="47" t="s">
        <v>296</v>
      </c>
      <c r="W245" s="47" t="s">
        <v>296</v>
      </c>
      <c r="X245" s="47" t="s">
        <v>296</v>
      </c>
      <c r="Y245" s="47" t="s">
        <v>296</v>
      </c>
      <c r="Z245" s="47" t="s">
        <v>296</v>
      </c>
      <c r="AA245" s="47" t="s">
        <v>296</v>
      </c>
      <c r="AB245" s="47"/>
      <c r="AC245" s="47" t="s">
        <v>35</v>
      </c>
      <c r="AD245" s="63" t="str">
        <f>VLOOKUP(E245,sheet1!$B$2:$C$3209,2,FALSE)</f>
        <v>仕入先マスターメンテナンス</v>
      </c>
      <c r="AE245" s="49"/>
      <c r="AF245" s="51" t="s">
        <v>1139</v>
      </c>
      <c r="AG245" s="51" t="s">
        <v>1137</v>
      </c>
      <c r="AH245" s="49" t="str">
        <f t="shared" si="9"/>
        <v>仕入先Ｍ　保守</v>
      </c>
      <c r="AI245" s="49"/>
      <c r="AJ245" s="49"/>
      <c r="AK245" s="49"/>
      <c r="AL245" s="49"/>
      <c r="AM245" s="49"/>
      <c r="AN245" s="49"/>
      <c r="AO245" s="51" t="str">
        <f t="shared" si="1"/>
        <v>仕入先Ｍ　保守</v>
      </c>
      <c r="AP245" s="51" t="str">
        <f t="shared" si="8"/>
        <v>PD0130</v>
      </c>
      <c r="AQ245" s="51" t="s">
        <v>1139</v>
      </c>
      <c r="AR245" s="51" t="s">
        <v>1137</v>
      </c>
      <c r="AS245" s="49" t="str">
        <f t="shared" si="3"/>
        <v/>
      </c>
      <c r="AT245" s="49" t="str">
        <f t="shared" si="4"/>
        <v/>
      </c>
      <c r="AU245" s="49"/>
      <c r="AV245" s="49"/>
    </row>
    <row r="246" spans="1:48" ht="18" customHeight="1">
      <c r="A246" s="44">
        <v>244</v>
      </c>
      <c r="B246" s="71" t="s">
        <v>1076</v>
      </c>
      <c r="C246" s="52" t="s">
        <v>293</v>
      </c>
      <c r="D246" s="53" t="s">
        <v>116</v>
      </c>
      <c r="E246" s="59" t="s">
        <v>351</v>
      </c>
      <c r="F246" s="44" t="s">
        <v>1140</v>
      </c>
      <c r="G246" s="44"/>
      <c r="H246" s="44"/>
      <c r="I246" s="44"/>
      <c r="J246" s="47" t="s">
        <v>35</v>
      </c>
      <c r="K246" s="47"/>
      <c r="L246" s="47"/>
      <c r="M246" s="47"/>
      <c r="N246" s="47"/>
      <c r="O246" s="44"/>
      <c r="P246" s="44"/>
      <c r="Q246" s="48">
        <f>VLOOKUP(E246,sheet1!$B$2:$D$3209,3,FALSE)</f>
        <v>1485</v>
      </c>
      <c r="R246" s="47" t="s">
        <v>35</v>
      </c>
      <c r="S246" s="47" t="s">
        <v>296</v>
      </c>
      <c r="T246" s="47" t="s">
        <v>35</v>
      </c>
      <c r="U246" s="47" t="s">
        <v>296</v>
      </c>
      <c r="V246" s="47" t="s">
        <v>35</v>
      </c>
      <c r="W246" s="47" t="s">
        <v>296</v>
      </c>
      <c r="X246" s="47" t="s">
        <v>296</v>
      </c>
      <c r="Y246" s="47" t="s">
        <v>296</v>
      </c>
      <c r="Z246" s="47" t="s">
        <v>35</v>
      </c>
      <c r="AA246" s="47" t="s">
        <v>296</v>
      </c>
      <c r="AB246" s="47" t="s">
        <v>35</v>
      </c>
      <c r="AC246" s="47" t="s">
        <v>35</v>
      </c>
      <c r="AD246" s="63"/>
      <c r="AE246" s="49"/>
      <c r="AF246" s="51" t="s">
        <v>1141</v>
      </c>
      <c r="AG246" s="51" t="s">
        <v>351</v>
      </c>
      <c r="AH246" s="49" t="str">
        <f t="shared" si="9"/>
        <v>得意先Ｍ　保守</v>
      </c>
      <c r="AI246" s="49"/>
      <c r="AJ246" s="49"/>
      <c r="AK246" s="49"/>
      <c r="AL246" s="49"/>
      <c r="AM246" s="49"/>
      <c r="AN246" s="49"/>
      <c r="AO246" s="51" t="str">
        <f t="shared" si="1"/>
        <v/>
      </c>
      <c r="AP246" s="51" t="str">
        <f t="shared" si="8"/>
        <v/>
      </c>
      <c r="AQ246" s="51"/>
      <c r="AR246" s="51"/>
      <c r="AS246" s="49" t="str">
        <f t="shared" si="3"/>
        <v/>
      </c>
      <c r="AT246" s="49" t="str">
        <f t="shared" si="4"/>
        <v/>
      </c>
      <c r="AU246" s="49"/>
      <c r="AV246" s="49"/>
    </row>
    <row r="247" spans="1:48" ht="18" customHeight="1">
      <c r="A247" s="44">
        <v>245</v>
      </c>
      <c r="B247" s="71" t="s">
        <v>1076</v>
      </c>
      <c r="C247" s="52" t="s">
        <v>293</v>
      </c>
      <c r="D247" s="46" t="s">
        <v>116</v>
      </c>
      <c r="E247" s="59" t="s">
        <v>1142</v>
      </c>
      <c r="F247" s="44" t="s">
        <v>1143</v>
      </c>
      <c r="G247" s="44"/>
      <c r="H247" s="44"/>
      <c r="I247" s="44"/>
      <c r="J247" s="47" t="s">
        <v>35</v>
      </c>
      <c r="K247" s="47"/>
      <c r="L247" s="47"/>
      <c r="M247" s="47"/>
      <c r="N247" s="47"/>
      <c r="O247" s="44"/>
      <c r="P247" s="44"/>
      <c r="Q247" s="48">
        <f>VLOOKUP(E247,sheet1!$B$2:$D$3209,3,FALSE)</f>
        <v>939</v>
      </c>
      <c r="R247" s="47" t="s">
        <v>35</v>
      </c>
      <c r="S247" s="47" t="s">
        <v>35</v>
      </c>
      <c r="T247" s="47"/>
      <c r="U247" s="47" t="s">
        <v>296</v>
      </c>
      <c r="V247" s="47" t="s">
        <v>296</v>
      </c>
      <c r="W247" s="47" t="s">
        <v>296</v>
      </c>
      <c r="X247" s="47" t="s">
        <v>296</v>
      </c>
      <c r="Y247" s="47" t="s">
        <v>296</v>
      </c>
      <c r="Z247" s="47" t="s">
        <v>296</v>
      </c>
      <c r="AA247" s="47" t="s">
        <v>296</v>
      </c>
      <c r="AB247" s="47"/>
      <c r="AC247" s="47" t="s">
        <v>35</v>
      </c>
      <c r="AD247" s="63" t="str">
        <f>VLOOKUP(E247,sheet1!$B$2:$C$3209,2,FALSE)</f>
        <v>その他マスターメンテナンス                  JCM</v>
      </c>
      <c r="AE247" s="49"/>
      <c r="AF247" s="51" t="s">
        <v>1144</v>
      </c>
      <c r="AG247" s="51" t="s">
        <v>1142</v>
      </c>
      <c r="AH247" s="49" t="str">
        <f t="shared" si="9"/>
        <v>その他情報Ｍ　保守</v>
      </c>
      <c r="AI247" s="49"/>
      <c r="AJ247" s="49"/>
      <c r="AK247" s="49"/>
      <c r="AL247" s="49"/>
      <c r="AM247" s="49"/>
      <c r="AN247" s="49"/>
      <c r="AO247" s="51" t="str">
        <f t="shared" si="1"/>
        <v>その他情報Ｍ　保守</v>
      </c>
      <c r="AP247" s="51" t="str">
        <f t="shared" si="8"/>
        <v>PD0135</v>
      </c>
      <c r="AQ247" s="51" t="s">
        <v>1144</v>
      </c>
      <c r="AR247" s="51" t="s">
        <v>1142</v>
      </c>
      <c r="AS247" s="49" t="str">
        <f t="shared" si="3"/>
        <v/>
      </c>
      <c r="AT247" s="49" t="str">
        <f t="shared" si="4"/>
        <v/>
      </c>
      <c r="AU247" s="49"/>
      <c r="AV247" s="49"/>
    </row>
    <row r="248" spans="1:48" ht="18" customHeight="1">
      <c r="A248" s="44">
        <v>246</v>
      </c>
      <c r="B248" s="71" t="s">
        <v>1076</v>
      </c>
      <c r="C248" s="52" t="s">
        <v>293</v>
      </c>
      <c r="D248" s="46" t="s">
        <v>116</v>
      </c>
      <c r="E248" s="59" t="s">
        <v>1145</v>
      </c>
      <c r="F248" s="44" t="s">
        <v>1146</v>
      </c>
      <c r="G248" s="44"/>
      <c r="H248" s="44"/>
      <c r="I248" s="44"/>
      <c r="J248" s="47" t="s">
        <v>35</v>
      </c>
      <c r="K248" s="47"/>
      <c r="L248" s="47"/>
      <c r="M248" s="47"/>
      <c r="N248" s="47"/>
      <c r="O248" s="44"/>
      <c r="P248" s="44"/>
      <c r="Q248" s="48">
        <f>VLOOKUP(E248,sheet1!$B$2:$D$3209,3,FALSE)</f>
        <v>1055</v>
      </c>
      <c r="R248" s="47" t="s">
        <v>35</v>
      </c>
      <c r="S248" s="47" t="s">
        <v>296</v>
      </c>
      <c r="T248" s="47"/>
      <c r="U248" s="47" t="s">
        <v>296</v>
      </c>
      <c r="V248" s="47" t="s">
        <v>296</v>
      </c>
      <c r="W248" s="47" t="s">
        <v>296</v>
      </c>
      <c r="X248" s="47" t="s">
        <v>296</v>
      </c>
      <c r="Y248" s="47" t="s">
        <v>296</v>
      </c>
      <c r="Z248" s="47" t="s">
        <v>296</v>
      </c>
      <c r="AA248" s="47" t="s">
        <v>296</v>
      </c>
      <c r="AB248" s="47"/>
      <c r="AC248" s="47" t="s">
        <v>35</v>
      </c>
      <c r="AD248" s="63" t="str">
        <f>VLOOKUP(E248,sheet1!$B$2:$C$3209,2,FALSE)</f>
        <v>工場・課・関連マスターメンテナンス           6/4</v>
      </c>
      <c r="AE248" s="49"/>
      <c r="AF248" s="51" t="s">
        <v>1147</v>
      </c>
      <c r="AG248" s="51" t="s">
        <v>1145</v>
      </c>
      <c r="AH248" s="49" t="str">
        <f t="shared" si="9"/>
        <v>組織Ｍ　保守</v>
      </c>
      <c r="AI248" s="49"/>
      <c r="AJ248" s="49"/>
      <c r="AK248" s="49"/>
      <c r="AL248" s="49"/>
      <c r="AM248" s="49"/>
      <c r="AN248" s="49"/>
      <c r="AO248" s="51" t="str">
        <f t="shared" si="1"/>
        <v/>
      </c>
      <c r="AP248" s="51" t="str">
        <f t="shared" si="8"/>
        <v/>
      </c>
      <c r="AQ248" s="51"/>
      <c r="AR248" s="51"/>
      <c r="AS248" s="49" t="str">
        <f t="shared" si="3"/>
        <v/>
      </c>
      <c r="AT248" s="49" t="str">
        <f t="shared" si="4"/>
        <v/>
      </c>
      <c r="AU248" s="49"/>
      <c r="AV248" s="49"/>
    </row>
    <row r="249" spans="1:48" ht="18" customHeight="1">
      <c r="A249" s="44">
        <v>247</v>
      </c>
      <c r="B249" s="71" t="s">
        <v>1076</v>
      </c>
      <c r="C249" s="52" t="s">
        <v>293</v>
      </c>
      <c r="D249" s="46" t="s">
        <v>116</v>
      </c>
      <c r="E249" s="44" t="s">
        <v>1148</v>
      </c>
      <c r="F249" s="44" t="s">
        <v>1149</v>
      </c>
      <c r="G249" s="44"/>
      <c r="H249" s="44"/>
      <c r="I249" s="44"/>
      <c r="J249" s="47" t="s">
        <v>35</v>
      </c>
      <c r="K249" s="47"/>
      <c r="L249" s="47"/>
      <c r="M249" s="47"/>
      <c r="N249" s="47"/>
      <c r="O249" s="44"/>
      <c r="P249" s="44"/>
      <c r="Q249" s="48">
        <f>VLOOKUP(E249,sheet1!$B$2:$D$3209,3,FALSE)</f>
        <v>484</v>
      </c>
      <c r="R249" s="47" t="s">
        <v>35</v>
      </c>
      <c r="S249" s="47" t="s">
        <v>35</v>
      </c>
      <c r="T249" s="47" t="s">
        <v>35</v>
      </c>
      <c r="U249" s="47" t="s">
        <v>296</v>
      </c>
      <c r="V249" s="47" t="s">
        <v>35</v>
      </c>
      <c r="W249" s="47" t="s">
        <v>35</v>
      </c>
      <c r="X249" s="47" t="s">
        <v>35</v>
      </c>
      <c r="Y249" s="47" t="s">
        <v>35</v>
      </c>
      <c r="Z249" s="47" t="s">
        <v>35</v>
      </c>
      <c r="AA249" s="47" t="s">
        <v>35</v>
      </c>
      <c r="AB249" s="47" t="s">
        <v>35</v>
      </c>
      <c r="AC249" s="47" t="s">
        <v>35</v>
      </c>
      <c r="AD249" s="63" t="str">
        <f>VLOOKUP(E249,sheet1!$B$2:$C$3209,2,FALSE)</f>
        <v>ﾏｽﾀﾒﾝﾃNO.01&lt;申請№取得&gt;</v>
      </c>
      <c r="AE249" s="49"/>
      <c r="AF249" s="51" t="s">
        <v>1150</v>
      </c>
      <c r="AG249" s="51" t="s">
        <v>1148</v>
      </c>
      <c r="AH249" s="49" t="str">
        <f t="shared" si="9"/>
        <v>マスターＭ申請</v>
      </c>
      <c r="AI249" s="49"/>
      <c r="AJ249" s="49"/>
      <c r="AK249" s="49"/>
      <c r="AL249" s="49"/>
      <c r="AM249" s="49"/>
      <c r="AN249" s="49"/>
      <c r="AO249" s="51" t="str">
        <f t="shared" si="1"/>
        <v>マスターＭ申請</v>
      </c>
      <c r="AP249" s="51" t="str">
        <f t="shared" si="8"/>
        <v>PD9150</v>
      </c>
      <c r="AQ249" s="51" t="s">
        <v>1150</v>
      </c>
      <c r="AR249" s="51" t="s">
        <v>559</v>
      </c>
      <c r="AS249" s="49" t="str">
        <f t="shared" si="3"/>
        <v/>
      </c>
      <c r="AT249" s="49" t="str">
        <f t="shared" si="4"/>
        <v/>
      </c>
      <c r="AU249" s="49"/>
      <c r="AV249" s="49"/>
    </row>
    <row r="250" spans="1:48" ht="18" customHeight="1">
      <c r="A250" s="44">
        <v>248</v>
      </c>
      <c r="B250" s="71" t="s">
        <v>1076</v>
      </c>
      <c r="C250" s="52" t="s">
        <v>293</v>
      </c>
      <c r="D250" s="53" t="s">
        <v>116</v>
      </c>
      <c r="E250" s="44" t="s">
        <v>1151</v>
      </c>
      <c r="F250" s="44" t="s">
        <v>1152</v>
      </c>
      <c r="G250" s="44"/>
      <c r="H250" s="44"/>
      <c r="I250" s="44"/>
      <c r="J250" s="47" t="s">
        <v>35</v>
      </c>
      <c r="K250" s="47"/>
      <c r="L250" s="47"/>
      <c r="M250" s="47"/>
      <c r="N250" s="47"/>
      <c r="O250" s="44"/>
      <c r="P250" s="44"/>
      <c r="Q250" s="48">
        <f>VLOOKUP(E250,sheet1!$B$2:$D$3209,3,FALSE)</f>
        <v>1563</v>
      </c>
      <c r="R250" s="47" t="s">
        <v>35</v>
      </c>
      <c r="S250" s="47" t="s">
        <v>35</v>
      </c>
      <c r="T250" s="47" t="s">
        <v>35</v>
      </c>
      <c r="U250" s="47" t="s">
        <v>296</v>
      </c>
      <c r="V250" s="47" t="s">
        <v>35</v>
      </c>
      <c r="W250" s="47" t="s">
        <v>35</v>
      </c>
      <c r="X250" s="47" t="s">
        <v>35</v>
      </c>
      <c r="Y250" s="47" t="s">
        <v>35</v>
      </c>
      <c r="Z250" s="47" t="s">
        <v>35</v>
      </c>
      <c r="AA250" s="47" t="s">
        <v>35</v>
      </c>
      <c r="AB250" s="47" t="s">
        <v>35</v>
      </c>
      <c r="AC250" s="47" t="s">
        <v>35</v>
      </c>
      <c r="AD250" s="63" t="str">
        <f>VLOOKUP(E250,sheet1!$B$2:$C$3209,2,FALSE)</f>
        <v>ﾏｽﾀﾒﾝﾃNO.11&lt;承認&gt;</v>
      </c>
      <c r="AE250" s="49"/>
      <c r="AF250" s="51" t="s">
        <v>1153</v>
      </c>
      <c r="AG250" s="51" t="s">
        <v>1151</v>
      </c>
      <c r="AH250" s="49" t="str">
        <f t="shared" si="9"/>
        <v>マスターＭ承認</v>
      </c>
      <c r="AI250" s="49"/>
      <c r="AJ250" s="49"/>
      <c r="AK250" s="49"/>
      <c r="AL250" s="49"/>
      <c r="AM250" s="49"/>
      <c r="AN250" s="49"/>
      <c r="AO250" s="51" t="str">
        <f t="shared" si="1"/>
        <v>マスターＭ承認</v>
      </c>
      <c r="AP250" s="51" t="str">
        <f t="shared" si="8"/>
        <v>PD9150</v>
      </c>
      <c r="AQ250" s="51" t="s">
        <v>1153</v>
      </c>
      <c r="AR250" s="51" t="s">
        <v>559</v>
      </c>
      <c r="AS250" s="49" t="str">
        <f t="shared" si="3"/>
        <v/>
      </c>
      <c r="AT250" s="49" t="str">
        <f t="shared" si="4"/>
        <v/>
      </c>
      <c r="AU250" s="49"/>
      <c r="AV250" s="49"/>
    </row>
    <row r="251" spans="1:48" ht="18" customHeight="1">
      <c r="A251" s="44">
        <v>249</v>
      </c>
      <c r="B251" s="71" t="s">
        <v>1076</v>
      </c>
      <c r="C251" s="52" t="s">
        <v>293</v>
      </c>
      <c r="D251" s="53" t="s">
        <v>116</v>
      </c>
      <c r="E251" s="44" t="s">
        <v>1154</v>
      </c>
      <c r="F251" s="44" t="s">
        <v>1155</v>
      </c>
      <c r="G251" s="44"/>
      <c r="H251" s="44"/>
      <c r="I251" s="44"/>
      <c r="J251" s="47" t="s">
        <v>35</v>
      </c>
      <c r="K251" s="47"/>
      <c r="L251" s="47"/>
      <c r="M251" s="47"/>
      <c r="N251" s="47"/>
      <c r="O251" s="44"/>
      <c r="P251" s="44"/>
      <c r="Q251" s="48">
        <f>VLOOKUP(E251,sheet1!$B$2:$D$3209,3,FALSE)</f>
        <v>1516</v>
      </c>
      <c r="R251" s="47" t="s">
        <v>35</v>
      </c>
      <c r="S251" s="47" t="s">
        <v>35</v>
      </c>
      <c r="T251" s="47" t="s">
        <v>35</v>
      </c>
      <c r="U251" s="47" t="s">
        <v>296</v>
      </c>
      <c r="V251" s="47" t="s">
        <v>35</v>
      </c>
      <c r="W251" s="47" t="s">
        <v>35</v>
      </c>
      <c r="X251" s="47" t="s">
        <v>35</v>
      </c>
      <c r="Y251" s="47" t="s">
        <v>35</v>
      </c>
      <c r="Z251" s="47" t="s">
        <v>35</v>
      </c>
      <c r="AA251" s="47" t="s">
        <v>35</v>
      </c>
      <c r="AB251" s="47" t="s">
        <v>35</v>
      </c>
      <c r="AC251" s="47" t="s">
        <v>35</v>
      </c>
      <c r="AD251" s="63" t="str">
        <f>VLOOKUP(E251,sheet1!$B$2:$C$3209,2,FALSE)</f>
        <v>ﾏｽﾀﾒﾝﾃNO.12&lt;申請書印刷&gt;</v>
      </c>
      <c r="AE251" s="49"/>
      <c r="AF251" s="51" t="s">
        <v>1156</v>
      </c>
      <c r="AG251" s="51" t="s">
        <v>1154</v>
      </c>
      <c r="AH251" s="49" t="str">
        <f t="shared" si="9"/>
        <v>マスターＭ申請書発行</v>
      </c>
      <c r="AI251" s="49"/>
      <c r="AJ251" s="49"/>
      <c r="AK251" s="49"/>
      <c r="AL251" s="49"/>
      <c r="AM251" s="49"/>
      <c r="AN251" s="49"/>
      <c r="AO251" s="51" t="str">
        <f t="shared" si="1"/>
        <v>マスターＭ申請書発行</v>
      </c>
      <c r="AP251" s="51" t="str">
        <f t="shared" si="8"/>
        <v>PD9150</v>
      </c>
      <c r="AQ251" s="51" t="s">
        <v>1156</v>
      </c>
      <c r="AR251" s="51" t="s">
        <v>559</v>
      </c>
      <c r="AS251" s="49" t="str">
        <f t="shared" si="3"/>
        <v/>
      </c>
      <c r="AT251" s="49" t="str">
        <f t="shared" si="4"/>
        <v/>
      </c>
      <c r="AU251" s="49"/>
      <c r="AV251" s="49"/>
    </row>
    <row r="252" spans="1:48" ht="18" customHeight="1">
      <c r="A252" s="44">
        <v>250</v>
      </c>
      <c r="B252" s="71" t="s">
        <v>1076</v>
      </c>
      <c r="C252" s="52" t="s">
        <v>293</v>
      </c>
      <c r="D252" s="53" t="s">
        <v>116</v>
      </c>
      <c r="E252" s="59" t="s">
        <v>1157</v>
      </c>
      <c r="F252" s="44" t="s">
        <v>1158</v>
      </c>
      <c r="G252" s="44"/>
      <c r="H252" s="44"/>
      <c r="I252" s="44"/>
      <c r="J252" s="47" t="s">
        <v>35</v>
      </c>
      <c r="K252" s="47"/>
      <c r="L252" s="47"/>
      <c r="M252" s="47"/>
      <c r="N252" s="47"/>
      <c r="O252" s="44"/>
      <c r="P252" s="44"/>
      <c r="Q252" s="48">
        <f>VLOOKUP(E252,sheet1!$B$2:$D$3209,3,FALSE)</f>
        <v>824</v>
      </c>
      <c r="R252" s="47" t="s">
        <v>35</v>
      </c>
      <c r="S252" s="47" t="s">
        <v>296</v>
      </c>
      <c r="T252" s="47"/>
      <c r="U252" s="47" t="s">
        <v>296</v>
      </c>
      <c r="V252" s="47" t="s">
        <v>296</v>
      </c>
      <c r="W252" s="47" t="s">
        <v>296</v>
      </c>
      <c r="X252" s="47" t="s">
        <v>296</v>
      </c>
      <c r="Y252" s="47" t="s">
        <v>296</v>
      </c>
      <c r="Z252" s="47" t="s">
        <v>296</v>
      </c>
      <c r="AA252" s="47" t="s">
        <v>296</v>
      </c>
      <c r="AB252" s="47"/>
      <c r="AC252" s="47" t="s">
        <v>35</v>
      </c>
      <c r="AD252" s="63" t="str">
        <f>VLOOKUP(E252,sheet1!$B$2:$C$3209,2,FALSE)</f>
        <v>パスワードマスターメンテナンス</v>
      </c>
      <c r="AE252" s="49"/>
      <c r="AF252" s="51" t="s">
        <v>1159</v>
      </c>
      <c r="AG252" s="51" t="s">
        <v>1157</v>
      </c>
      <c r="AH252" s="49" t="str">
        <f t="shared" si="9"/>
        <v>パスワードＭ　保守</v>
      </c>
      <c r="AI252" s="49"/>
      <c r="AJ252" s="49"/>
      <c r="AK252" s="49"/>
      <c r="AL252" s="49"/>
      <c r="AM252" s="49"/>
      <c r="AN252" s="49"/>
      <c r="AO252" s="51" t="str">
        <f t="shared" si="1"/>
        <v/>
      </c>
      <c r="AP252" s="51" t="str">
        <f t="shared" si="8"/>
        <v/>
      </c>
      <c r="AQ252" s="51"/>
      <c r="AR252" s="51"/>
      <c r="AS252" s="49" t="str">
        <f t="shared" si="3"/>
        <v/>
      </c>
      <c r="AT252" s="49" t="str">
        <f t="shared" si="4"/>
        <v/>
      </c>
      <c r="AU252" s="49"/>
      <c r="AV252" s="49"/>
    </row>
    <row r="253" spans="1:48" ht="18" customHeight="1">
      <c r="A253" s="44">
        <v>251</v>
      </c>
      <c r="B253" s="71" t="s">
        <v>1076</v>
      </c>
      <c r="C253" s="52" t="s">
        <v>293</v>
      </c>
      <c r="D253" s="53" t="s">
        <v>116</v>
      </c>
      <c r="E253" s="44" t="s">
        <v>1160</v>
      </c>
      <c r="F253" s="44" t="s">
        <v>1161</v>
      </c>
      <c r="G253" s="44"/>
      <c r="H253" s="44"/>
      <c r="I253" s="44"/>
      <c r="J253" s="47" t="s">
        <v>35</v>
      </c>
      <c r="K253" s="47"/>
      <c r="L253" s="47"/>
      <c r="M253" s="47"/>
      <c r="N253" s="47"/>
      <c r="O253" s="44"/>
      <c r="P253" s="44"/>
      <c r="Q253" s="48">
        <f>VLOOKUP(E253,sheet1!$B$2:$D$3209,3,FALSE)</f>
        <v>15</v>
      </c>
      <c r="R253" s="47" t="s">
        <v>35</v>
      </c>
      <c r="S253" s="47" t="s">
        <v>296</v>
      </c>
      <c r="T253" s="47"/>
      <c r="U253" s="47" t="s">
        <v>296</v>
      </c>
      <c r="V253" s="47" t="s">
        <v>296</v>
      </c>
      <c r="W253" s="47" t="s">
        <v>296</v>
      </c>
      <c r="X253" s="47" t="s">
        <v>296</v>
      </c>
      <c r="Y253" s="47" t="s">
        <v>296</v>
      </c>
      <c r="Z253" s="47" t="s">
        <v>296</v>
      </c>
      <c r="AA253" s="47" t="s">
        <v>296</v>
      </c>
      <c r="AB253" s="47"/>
      <c r="AC253" s="47" t="s">
        <v>35</v>
      </c>
      <c r="AD253" s="63" t="str">
        <f>VLOOKUP(E253,sheet1!$B$2:$C$3209,2,FALSE)</f>
        <v>ＱＲＹ　OUTQﾌｧｲﾙ    一覧表</v>
      </c>
      <c r="AE253" s="49"/>
      <c r="AF253" s="51" t="s">
        <v>1162</v>
      </c>
      <c r="AG253" s="51" t="s">
        <v>1163</v>
      </c>
      <c r="AH253" s="49" t="str">
        <f t="shared" si="9"/>
        <v>ＯＵＴＱﾌｧｲﾙ　保守</v>
      </c>
      <c r="AI253" s="49"/>
      <c r="AJ253" s="49"/>
      <c r="AK253" s="49"/>
      <c r="AL253" s="49"/>
      <c r="AM253" s="49"/>
      <c r="AN253" s="49"/>
      <c r="AO253" s="51" t="str">
        <f t="shared" si="1"/>
        <v/>
      </c>
      <c r="AP253" s="51" t="str">
        <f t="shared" si="8"/>
        <v/>
      </c>
      <c r="AQ253" s="51"/>
      <c r="AR253" s="51"/>
      <c r="AS253" s="49" t="str">
        <f t="shared" si="3"/>
        <v/>
      </c>
      <c r="AT253" s="49" t="str">
        <f t="shared" si="4"/>
        <v/>
      </c>
      <c r="AU253" s="49"/>
      <c r="AV253" s="49"/>
    </row>
    <row r="254" spans="1:48" ht="18" customHeight="1">
      <c r="A254" s="44">
        <v>252</v>
      </c>
      <c r="B254" s="71" t="s">
        <v>1076</v>
      </c>
      <c r="C254" s="52" t="s">
        <v>293</v>
      </c>
      <c r="D254" s="53" t="s">
        <v>116</v>
      </c>
      <c r="E254" s="44" t="s">
        <v>1164</v>
      </c>
      <c r="F254" s="44" t="s">
        <v>1165</v>
      </c>
      <c r="G254" s="44"/>
      <c r="H254" s="44"/>
      <c r="I254" s="44"/>
      <c r="J254" s="47" t="s">
        <v>35</v>
      </c>
      <c r="K254" s="47"/>
      <c r="L254" s="47"/>
      <c r="M254" s="47"/>
      <c r="N254" s="47"/>
      <c r="O254" s="44"/>
      <c r="P254" s="44"/>
      <c r="Q254" s="48">
        <f>VLOOKUP(E254,sheet1!$B$2:$D$3209,3,FALSE)</f>
        <v>434</v>
      </c>
      <c r="R254" s="47" t="s">
        <v>35</v>
      </c>
      <c r="S254" s="47" t="s">
        <v>296</v>
      </c>
      <c r="T254" s="47"/>
      <c r="U254" s="47" t="s">
        <v>296</v>
      </c>
      <c r="V254" s="47" t="s">
        <v>296</v>
      </c>
      <c r="W254" s="47" t="s">
        <v>296</v>
      </c>
      <c r="X254" s="47" t="s">
        <v>296</v>
      </c>
      <c r="Y254" s="47" t="s">
        <v>296</v>
      </c>
      <c r="Z254" s="47" t="s">
        <v>296</v>
      </c>
      <c r="AA254" s="47" t="s">
        <v>296</v>
      </c>
      <c r="AB254" s="47"/>
      <c r="AC254" s="47" t="s">
        <v>35</v>
      </c>
      <c r="AD254" s="63" t="str">
        <f>VLOOKUP(E254,sheet1!$B$2:$C$3209,2,FALSE)</f>
        <v>税率マスターメンテナンス</v>
      </c>
      <c r="AE254" s="49"/>
      <c r="AF254" s="51" t="s">
        <v>1166</v>
      </c>
      <c r="AG254" s="51" t="s">
        <v>1164</v>
      </c>
      <c r="AH254" s="49" t="str">
        <f t="shared" si="9"/>
        <v>税率Ｍ　保守</v>
      </c>
      <c r="AI254" s="49"/>
      <c r="AJ254" s="49"/>
      <c r="AK254" s="49"/>
      <c r="AL254" s="49"/>
      <c r="AM254" s="49"/>
      <c r="AN254" s="49"/>
      <c r="AO254" s="51" t="str">
        <f t="shared" si="1"/>
        <v/>
      </c>
      <c r="AP254" s="51" t="str">
        <f t="shared" si="8"/>
        <v/>
      </c>
      <c r="AQ254" s="51"/>
      <c r="AR254" s="51"/>
      <c r="AS254" s="49" t="str">
        <f t="shared" si="3"/>
        <v/>
      </c>
      <c r="AT254" s="49" t="str">
        <f t="shared" si="4"/>
        <v/>
      </c>
      <c r="AU254" s="49"/>
      <c r="AV254" s="49"/>
    </row>
    <row r="255" spans="1:48" ht="18" customHeight="1">
      <c r="A255" s="44">
        <v>253</v>
      </c>
      <c r="B255" s="71" t="s">
        <v>1076</v>
      </c>
      <c r="C255" s="52" t="s">
        <v>293</v>
      </c>
      <c r="D255" s="53" t="s">
        <v>116</v>
      </c>
      <c r="E255" s="59" t="s">
        <v>1167</v>
      </c>
      <c r="F255" s="44" t="s">
        <v>1168</v>
      </c>
      <c r="G255" s="44"/>
      <c r="H255" s="44"/>
      <c r="I255" s="44"/>
      <c r="J255" s="47" t="s">
        <v>35</v>
      </c>
      <c r="K255" s="47"/>
      <c r="L255" s="47"/>
      <c r="M255" s="47"/>
      <c r="N255" s="47"/>
      <c r="O255" s="44"/>
      <c r="P255" s="44"/>
      <c r="Q255" s="48">
        <f>VLOOKUP(E255,sheet1!$B$2:$D$3209,3,FALSE)</f>
        <v>198</v>
      </c>
      <c r="R255" s="47" t="s">
        <v>35</v>
      </c>
      <c r="S255" s="47" t="s">
        <v>296</v>
      </c>
      <c r="T255" s="47"/>
      <c r="U255" s="47" t="s">
        <v>296</v>
      </c>
      <c r="V255" s="47" t="s">
        <v>296</v>
      </c>
      <c r="W255" s="47" t="s">
        <v>296</v>
      </c>
      <c r="X255" s="47" t="s">
        <v>296</v>
      </c>
      <c r="Y255" s="47" t="s">
        <v>296</v>
      </c>
      <c r="Z255" s="47" t="s">
        <v>296</v>
      </c>
      <c r="AA255" s="47" t="s">
        <v>296</v>
      </c>
      <c r="AB255" s="47"/>
      <c r="AC255" s="47" t="s">
        <v>35</v>
      </c>
      <c r="AD255" s="63" t="str">
        <f>VLOOKUP(E255,sheet1!$B$2:$C$3209,2,FALSE)</f>
        <v>元号ﾏｽﾀｰ保守</v>
      </c>
      <c r="AE255" s="49"/>
      <c r="AF255" s="51" t="s">
        <v>1169</v>
      </c>
      <c r="AG255" s="51" t="s">
        <v>1167</v>
      </c>
      <c r="AH255" s="49" t="str">
        <f t="shared" si="9"/>
        <v>元号Ｍ　保守</v>
      </c>
      <c r="AI255" s="49"/>
      <c r="AJ255" s="49"/>
      <c r="AK255" s="49"/>
      <c r="AL255" s="49"/>
      <c r="AM255" s="49"/>
      <c r="AN255" s="49"/>
      <c r="AO255" s="51" t="str">
        <f t="shared" si="1"/>
        <v/>
      </c>
      <c r="AP255" s="51" t="str">
        <f t="shared" si="8"/>
        <v/>
      </c>
      <c r="AQ255" s="51"/>
      <c r="AR255" s="51"/>
      <c r="AS255" s="49" t="str">
        <f t="shared" si="3"/>
        <v/>
      </c>
      <c r="AT255" s="49" t="str">
        <f t="shared" si="4"/>
        <v/>
      </c>
      <c r="AU255" s="49"/>
      <c r="AV255" s="49"/>
    </row>
    <row r="256" spans="1:48" ht="18" customHeight="1">
      <c r="A256" s="44">
        <v>254</v>
      </c>
      <c r="B256" s="71" t="s">
        <v>1076</v>
      </c>
      <c r="C256" s="52" t="s">
        <v>293</v>
      </c>
      <c r="D256" s="53" t="s">
        <v>116</v>
      </c>
      <c r="E256" s="59" t="s">
        <v>1170</v>
      </c>
      <c r="F256" s="44" t="s">
        <v>1171</v>
      </c>
      <c r="G256" s="44"/>
      <c r="H256" s="44"/>
      <c r="I256" s="44"/>
      <c r="J256" s="47" t="s">
        <v>35</v>
      </c>
      <c r="K256" s="47"/>
      <c r="L256" s="47"/>
      <c r="M256" s="47"/>
      <c r="N256" s="47"/>
      <c r="O256" s="44"/>
      <c r="P256" s="44"/>
      <c r="Q256" s="48">
        <f>VLOOKUP(E256,sheet1!$B$2:$D$3209,3,FALSE)</f>
        <v>479</v>
      </c>
      <c r="R256" s="47" t="s">
        <v>35</v>
      </c>
      <c r="S256" s="47" t="s">
        <v>296</v>
      </c>
      <c r="T256" s="47"/>
      <c r="U256" s="47" t="s">
        <v>296</v>
      </c>
      <c r="V256" s="47" t="s">
        <v>296</v>
      </c>
      <c r="W256" s="47" t="s">
        <v>296</v>
      </c>
      <c r="X256" s="47" t="s">
        <v>296</v>
      </c>
      <c r="Y256" s="47" t="s">
        <v>296</v>
      </c>
      <c r="Z256" s="47" t="s">
        <v>296</v>
      </c>
      <c r="AA256" s="47" t="s">
        <v>296</v>
      </c>
      <c r="AB256" s="47"/>
      <c r="AC256" s="47" t="s">
        <v>35</v>
      </c>
      <c r="AD256" s="63" t="str">
        <f>VLOOKUP(E256,sheet1!$B$2:$C$3209,2,FALSE)</f>
        <v>カレンダーファイル登録</v>
      </c>
      <c r="AE256" s="49"/>
      <c r="AF256" s="51" t="s">
        <v>1172</v>
      </c>
      <c r="AG256" s="51" t="s">
        <v>1170</v>
      </c>
      <c r="AH256" s="49" t="str">
        <f t="shared" si="9"/>
        <v>カレンダーＭ　登録</v>
      </c>
      <c r="AI256" s="49"/>
      <c r="AJ256" s="49"/>
      <c r="AK256" s="49"/>
      <c r="AL256" s="49"/>
      <c r="AM256" s="49"/>
      <c r="AN256" s="49"/>
      <c r="AO256" s="51" t="str">
        <f t="shared" si="1"/>
        <v/>
      </c>
      <c r="AP256" s="51" t="str">
        <f t="shared" si="8"/>
        <v/>
      </c>
      <c r="AQ256" s="51"/>
      <c r="AR256" s="51"/>
      <c r="AS256" s="49" t="str">
        <f t="shared" si="3"/>
        <v/>
      </c>
      <c r="AT256" s="49" t="str">
        <f t="shared" si="4"/>
        <v/>
      </c>
      <c r="AU256" s="49"/>
      <c r="AV256" s="49"/>
    </row>
    <row r="257" spans="1:48" ht="18" customHeight="1">
      <c r="A257" s="44">
        <v>255</v>
      </c>
      <c r="B257" s="71" t="s">
        <v>1076</v>
      </c>
      <c r="C257" s="52" t="s">
        <v>293</v>
      </c>
      <c r="D257" s="53" t="s">
        <v>116</v>
      </c>
      <c r="E257" s="59" t="s">
        <v>1173</v>
      </c>
      <c r="F257" s="44" t="s">
        <v>1174</v>
      </c>
      <c r="G257" s="44"/>
      <c r="H257" s="44"/>
      <c r="I257" s="44"/>
      <c r="J257" s="47" t="s">
        <v>35</v>
      </c>
      <c r="K257" s="47"/>
      <c r="L257" s="47"/>
      <c r="M257" s="47"/>
      <c r="N257" s="47"/>
      <c r="O257" s="44"/>
      <c r="P257" s="44"/>
      <c r="Q257" s="48">
        <f>VLOOKUP(E257,sheet1!$B$2:$D$3209,3,FALSE)</f>
        <v>340</v>
      </c>
      <c r="R257" s="47" t="s">
        <v>35</v>
      </c>
      <c r="S257" s="47" t="s">
        <v>296</v>
      </c>
      <c r="T257" s="47"/>
      <c r="U257" s="47" t="s">
        <v>296</v>
      </c>
      <c r="V257" s="47" t="s">
        <v>296</v>
      </c>
      <c r="W257" s="47" t="s">
        <v>296</v>
      </c>
      <c r="X257" s="47" t="s">
        <v>296</v>
      </c>
      <c r="Y257" s="47" t="s">
        <v>296</v>
      </c>
      <c r="Z257" s="47" t="s">
        <v>296</v>
      </c>
      <c r="AA257" s="47" t="s">
        <v>296</v>
      </c>
      <c r="AB257" s="47"/>
      <c r="AC257" s="47" t="s">
        <v>35</v>
      </c>
      <c r="AD257" s="63" t="str">
        <f>VLOOKUP(E257,sheet1!$B$2:$C$3209,2,FALSE)</f>
        <v>カレンダー　メンテナンス</v>
      </c>
      <c r="AE257" s="49"/>
      <c r="AF257" s="51" t="s">
        <v>1175</v>
      </c>
      <c r="AG257" s="51" t="s">
        <v>1173</v>
      </c>
      <c r="AH257" s="49" t="str">
        <f t="shared" si="9"/>
        <v>カレンダーＭ　保守</v>
      </c>
      <c r="AI257" s="49"/>
      <c r="AJ257" s="49"/>
      <c r="AK257" s="49"/>
      <c r="AL257" s="49"/>
      <c r="AM257" s="49"/>
      <c r="AN257" s="49"/>
      <c r="AO257" s="51" t="str">
        <f t="shared" si="1"/>
        <v/>
      </c>
      <c r="AP257" s="51" t="str">
        <f t="shared" si="8"/>
        <v/>
      </c>
      <c r="AQ257" s="51"/>
      <c r="AR257" s="51"/>
      <c r="AS257" s="49" t="str">
        <f t="shared" si="3"/>
        <v/>
      </c>
      <c r="AT257" s="49" t="str">
        <f t="shared" si="4"/>
        <v/>
      </c>
      <c r="AU257" s="49"/>
      <c r="AV257" s="49"/>
    </row>
    <row r="258" spans="1:48" ht="18" customHeight="1">
      <c r="A258" s="44">
        <v>256</v>
      </c>
      <c r="B258" s="71" t="s">
        <v>1076</v>
      </c>
      <c r="C258" s="52" t="s">
        <v>293</v>
      </c>
      <c r="D258" s="53" t="s">
        <v>116</v>
      </c>
      <c r="E258" s="60" t="s">
        <v>1176</v>
      </c>
      <c r="F258" s="45" t="s">
        <v>1177</v>
      </c>
      <c r="G258" s="44"/>
      <c r="H258" s="44"/>
      <c r="I258" s="44"/>
      <c r="J258" s="47" t="s">
        <v>35</v>
      </c>
      <c r="K258" s="47"/>
      <c r="L258" s="47"/>
      <c r="M258" s="47"/>
      <c r="N258" s="47"/>
      <c r="O258" s="44"/>
      <c r="P258" s="44"/>
      <c r="Q258" s="48">
        <f>VLOOKUP(E258,sheet1!$B$2:$D$3209,3,FALSE)</f>
        <v>487</v>
      </c>
      <c r="R258" s="47" t="s">
        <v>35</v>
      </c>
      <c r="S258" s="47" t="s">
        <v>296</v>
      </c>
      <c r="T258" s="47"/>
      <c r="U258" s="47" t="s">
        <v>296</v>
      </c>
      <c r="V258" s="47" t="s">
        <v>296</v>
      </c>
      <c r="W258" s="47" t="s">
        <v>296</v>
      </c>
      <c r="X258" s="47" t="s">
        <v>296</v>
      </c>
      <c r="Y258" s="47" t="s">
        <v>296</v>
      </c>
      <c r="Z258" s="47" t="s">
        <v>296</v>
      </c>
      <c r="AA258" s="47" t="s">
        <v>296</v>
      </c>
      <c r="AB258" s="47"/>
      <c r="AC258" s="47" t="s">
        <v>35</v>
      </c>
      <c r="AD258" s="63" t="str">
        <f>VLOOKUP(E258,sheet1!$B$2:$C$3209,2,FALSE)</f>
        <v>お知らせマスタメンテナンス</v>
      </c>
      <c r="AE258" s="49"/>
      <c r="AF258" s="51" t="s">
        <v>1178</v>
      </c>
      <c r="AG258" s="51" t="s">
        <v>1176</v>
      </c>
      <c r="AH258" s="49" t="str">
        <f t="shared" si="9"/>
        <v>お知らせマスタ　保守</v>
      </c>
      <c r="AI258" s="49"/>
      <c r="AJ258" s="49"/>
      <c r="AK258" s="49"/>
      <c r="AL258" s="49"/>
      <c r="AM258" s="49"/>
      <c r="AN258" s="49"/>
      <c r="AO258" s="51" t="str">
        <f t="shared" ref="AO258" si="10">TRIM(MIDB(AQ258,4,99))</f>
        <v/>
      </c>
      <c r="AP258" s="51" t="str">
        <f t="shared" si="8"/>
        <v/>
      </c>
      <c r="AQ258" s="51"/>
      <c r="AR258" s="51"/>
      <c r="AS258" s="49" t="str">
        <f t="shared" ref="AS258" si="11">TRIM(MID(AU258,4,99))</f>
        <v/>
      </c>
      <c r="AT258" s="49" t="str">
        <f t="shared" ref="AT258" si="12">TRIM(AV258)</f>
        <v/>
      </c>
      <c r="AU258" s="49"/>
      <c r="AV258" s="49"/>
    </row>
    <row r="259" spans="1:48" ht="18" customHeight="1">
      <c r="A259" s="44">
        <v>257</v>
      </c>
      <c r="B259" s="71" t="s">
        <v>1076</v>
      </c>
      <c r="C259" s="52" t="s">
        <v>293</v>
      </c>
      <c r="D259" s="53" t="s">
        <v>116</v>
      </c>
      <c r="E259" s="60" t="s">
        <v>1179</v>
      </c>
      <c r="F259" s="45" t="s">
        <v>1180</v>
      </c>
      <c r="G259" s="44"/>
      <c r="H259" s="44"/>
      <c r="I259" s="44"/>
      <c r="J259" s="47" t="s">
        <v>35</v>
      </c>
      <c r="K259" s="47"/>
      <c r="L259" s="47"/>
      <c r="M259" s="47"/>
      <c r="N259" s="47"/>
      <c r="O259" s="44"/>
      <c r="P259" s="44"/>
      <c r="Q259" s="48">
        <f>VLOOKUP(E259,sheet1!$B$2:$D$3209,3,FALSE)</f>
        <v>219</v>
      </c>
      <c r="R259" s="47"/>
      <c r="S259" s="47"/>
      <c r="T259" s="47"/>
      <c r="U259" s="47"/>
      <c r="V259" s="47"/>
      <c r="W259" s="47"/>
      <c r="X259" s="47"/>
      <c r="Y259" s="47"/>
      <c r="Z259" s="47"/>
      <c r="AA259" s="47" t="s">
        <v>35</v>
      </c>
      <c r="AB259" s="47"/>
      <c r="AC259" s="47"/>
      <c r="AD259" s="63"/>
      <c r="AE259" s="49"/>
      <c r="AF259" s="51"/>
      <c r="AG259" s="51"/>
      <c r="AH259" s="49"/>
      <c r="AI259" s="49"/>
      <c r="AJ259" s="49"/>
      <c r="AK259" s="49"/>
      <c r="AL259" s="49"/>
      <c r="AM259" s="49"/>
      <c r="AN259" s="49"/>
      <c r="AO259" s="51"/>
      <c r="AP259" s="51"/>
      <c r="AQ259" s="51"/>
      <c r="AR259" s="51"/>
      <c r="AS259" s="49"/>
      <c r="AT259" s="49"/>
      <c r="AU259" s="49"/>
      <c r="AV259" s="49"/>
    </row>
    <row r="260" spans="1:48" ht="18" customHeight="1">
      <c r="A260" s="44">
        <v>258</v>
      </c>
      <c r="B260" s="71" t="s">
        <v>1076</v>
      </c>
      <c r="C260" s="52" t="s">
        <v>293</v>
      </c>
      <c r="D260" s="53" t="s">
        <v>116</v>
      </c>
      <c r="E260" s="60" t="s">
        <v>1181</v>
      </c>
      <c r="F260" s="45" t="s">
        <v>1182</v>
      </c>
      <c r="G260" s="44"/>
      <c r="H260" s="44"/>
      <c r="I260" s="44"/>
      <c r="J260" s="47" t="s">
        <v>35</v>
      </c>
      <c r="K260" s="47"/>
      <c r="L260" s="47"/>
      <c r="M260" s="47"/>
      <c r="N260" s="47"/>
      <c r="O260" s="44"/>
      <c r="P260" s="44"/>
      <c r="Q260" s="48">
        <f>VLOOKUP(E260,sheet1!$B$2:$D$3209,3,FALSE)</f>
        <v>219</v>
      </c>
      <c r="R260" s="47"/>
      <c r="S260" s="47"/>
      <c r="T260" s="47"/>
      <c r="U260" s="47"/>
      <c r="V260" s="47"/>
      <c r="W260" s="47"/>
      <c r="X260" s="47"/>
      <c r="Y260" s="47"/>
      <c r="Z260" s="47"/>
      <c r="AA260" s="47" t="s">
        <v>35</v>
      </c>
      <c r="AB260" s="47"/>
      <c r="AC260" s="47"/>
      <c r="AD260" s="63"/>
      <c r="AE260" s="49"/>
      <c r="AF260" s="51"/>
      <c r="AG260" s="51"/>
      <c r="AH260" s="49"/>
      <c r="AI260" s="49"/>
      <c r="AJ260" s="49"/>
      <c r="AK260" s="49"/>
      <c r="AL260" s="49"/>
      <c r="AM260" s="49"/>
      <c r="AN260" s="49"/>
      <c r="AO260" s="51"/>
      <c r="AP260" s="51"/>
      <c r="AQ260" s="51"/>
      <c r="AR260" s="51"/>
      <c r="AS260" s="49"/>
      <c r="AT260" s="49"/>
      <c r="AU260" s="49"/>
      <c r="AV260" s="49"/>
    </row>
    <row r="261" spans="1:48" ht="18" customHeight="1">
      <c r="A261" s="44">
        <v>259</v>
      </c>
      <c r="B261" s="71" t="s">
        <v>1076</v>
      </c>
      <c r="C261" s="52" t="s">
        <v>293</v>
      </c>
      <c r="D261" s="53" t="s">
        <v>116</v>
      </c>
      <c r="E261" s="60" t="s">
        <v>1183</v>
      </c>
      <c r="F261" s="45" t="s">
        <v>1184</v>
      </c>
      <c r="G261" s="44"/>
      <c r="H261" s="44"/>
      <c r="I261" s="44"/>
      <c r="J261" s="47" t="s">
        <v>35</v>
      </c>
      <c r="K261" s="47"/>
      <c r="L261" s="47"/>
      <c r="M261" s="47"/>
      <c r="N261" s="47"/>
      <c r="O261" s="44"/>
      <c r="P261" s="44"/>
      <c r="Q261" s="48">
        <f>VLOOKUP(E261,sheet1!$B$2:$D$3209,3,FALSE)</f>
        <v>212</v>
      </c>
      <c r="R261" s="47"/>
      <c r="S261" s="47"/>
      <c r="T261" s="47"/>
      <c r="U261" s="47"/>
      <c r="V261" s="47"/>
      <c r="W261" s="47"/>
      <c r="X261" s="47"/>
      <c r="Y261" s="47"/>
      <c r="Z261" s="47"/>
      <c r="AA261" s="47" t="s">
        <v>35</v>
      </c>
      <c r="AB261" s="47"/>
      <c r="AC261" s="47"/>
      <c r="AD261" s="63"/>
      <c r="AE261" s="49"/>
      <c r="AF261" s="51"/>
      <c r="AG261" s="51"/>
      <c r="AH261" s="49"/>
      <c r="AI261" s="49"/>
      <c r="AJ261" s="49"/>
      <c r="AK261" s="49"/>
      <c r="AL261" s="49"/>
      <c r="AM261" s="49"/>
      <c r="AN261" s="49"/>
      <c r="AO261" s="51"/>
      <c r="AP261" s="51"/>
      <c r="AQ261" s="51"/>
      <c r="AR261" s="51"/>
      <c r="AS261" s="49"/>
      <c r="AT261" s="49"/>
      <c r="AU261" s="49"/>
      <c r="AV261" s="49"/>
    </row>
    <row r="262" spans="1:48" ht="18" customHeight="1">
      <c r="A262" s="44">
        <v>260</v>
      </c>
      <c r="B262" s="71" t="s">
        <v>1076</v>
      </c>
      <c r="C262" s="45" t="s">
        <v>460</v>
      </c>
      <c r="D262" s="53" t="s">
        <v>116</v>
      </c>
      <c r="E262" s="59" t="s">
        <v>1077</v>
      </c>
      <c r="F262" s="44" t="s">
        <v>1185</v>
      </c>
      <c r="G262" s="44"/>
      <c r="H262" s="44"/>
      <c r="I262" s="44"/>
      <c r="J262" s="47" t="s">
        <v>35</v>
      </c>
      <c r="K262" s="47"/>
      <c r="L262" s="47"/>
      <c r="M262" s="47"/>
      <c r="N262" s="47"/>
      <c r="O262" s="44"/>
      <c r="P262" s="44"/>
      <c r="Q262" s="48">
        <f>VLOOKUP(E262,sheet1!$B$2:$D$3209,3,FALSE)</f>
        <v>36</v>
      </c>
      <c r="R262" s="47" t="s">
        <v>35</v>
      </c>
      <c r="S262" s="47" t="s">
        <v>35</v>
      </c>
      <c r="T262" s="47" t="s">
        <v>35</v>
      </c>
      <c r="U262" s="47" t="s">
        <v>296</v>
      </c>
      <c r="V262" s="47" t="s">
        <v>35</v>
      </c>
      <c r="W262" s="47" t="s">
        <v>35</v>
      </c>
      <c r="X262" s="47" t="s">
        <v>35</v>
      </c>
      <c r="Y262" s="47" t="s">
        <v>35</v>
      </c>
      <c r="Z262" s="47" t="s">
        <v>35</v>
      </c>
      <c r="AA262" s="47" t="s">
        <v>35</v>
      </c>
      <c r="AB262" s="47" t="s">
        <v>35</v>
      </c>
      <c r="AC262" s="47" t="s">
        <v>35</v>
      </c>
      <c r="AD262" s="63" t="str">
        <f>VLOOKUP(E262,sheet1!$B$2:$C$3209,2,FALSE)</f>
        <v>ＱＲＹ　開示区分ﾏｽﾀｰ一覧表</v>
      </c>
      <c r="AE262" s="49"/>
      <c r="AF262" s="51" t="s">
        <v>1186</v>
      </c>
      <c r="AG262" s="51" t="s">
        <v>1077</v>
      </c>
      <c r="AH262" s="49" t="str">
        <f t="shared" ref="AH262:AH296" si="13">TRIM(MID(AF262,4,100))</f>
        <v>開示区分Ｍ　一覧表</v>
      </c>
      <c r="AI262" s="49"/>
      <c r="AJ262" s="49"/>
      <c r="AK262" s="49"/>
      <c r="AL262" s="49" t="str">
        <f t="shared" ref="AL262:AL282" si="14">TRIM(AN262)</f>
        <v>開示区分Ｍ　一覧表</v>
      </c>
      <c r="AM262" s="49" t="s">
        <v>35</v>
      </c>
      <c r="AN262" s="49" t="s">
        <v>1187</v>
      </c>
      <c r="AO262" s="51" t="str">
        <f t="shared" ref="AO262:AO297" si="15">TRIM(MIDB(AQ262,4,99))</f>
        <v>開示区分Ｍ　一覧表</v>
      </c>
      <c r="AP262" s="51" t="str">
        <f t="shared" ref="AP262:AP297" si="16">TRIM(AR262)</f>
        <v>PD9060</v>
      </c>
      <c r="AQ262" s="51" t="s">
        <v>1186</v>
      </c>
      <c r="AR262" s="51" t="s">
        <v>1188</v>
      </c>
      <c r="AS262" s="49" t="str">
        <f t="shared" ref="AS262:AS393" si="17">TRIM(MID(AU262,4,99))</f>
        <v/>
      </c>
      <c r="AT262" s="49" t="str">
        <f t="shared" ref="AT262:AT393" si="18">TRIM(AV262)</f>
        <v/>
      </c>
      <c r="AU262" s="49"/>
      <c r="AV262" s="49"/>
    </row>
    <row r="263" spans="1:48" ht="18" customHeight="1">
      <c r="A263" s="44">
        <v>261</v>
      </c>
      <c r="B263" s="71" t="s">
        <v>1076</v>
      </c>
      <c r="C263" s="52" t="s">
        <v>460</v>
      </c>
      <c r="D263" s="53" t="s">
        <v>116</v>
      </c>
      <c r="E263" s="59" t="s">
        <v>1189</v>
      </c>
      <c r="F263" s="44" t="s">
        <v>1190</v>
      </c>
      <c r="G263" s="44"/>
      <c r="H263" s="44"/>
      <c r="I263" s="44"/>
      <c r="J263" s="47" t="s">
        <v>35</v>
      </c>
      <c r="K263" s="47"/>
      <c r="L263" s="47"/>
      <c r="M263" s="47"/>
      <c r="N263" s="47"/>
      <c r="O263" s="44"/>
      <c r="P263" s="44"/>
      <c r="Q263" s="48">
        <f>VLOOKUP(E263,sheet1!$B$2:$D$3209,3,FALSE)</f>
        <v>160</v>
      </c>
      <c r="R263" s="47" t="s">
        <v>35</v>
      </c>
      <c r="S263" s="47" t="s">
        <v>35</v>
      </c>
      <c r="T263" s="47" t="s">
        <v>35</v>
      </c>
      <c r="U263" s="47" t="s">
        <v>296</v>
      </c>
      <c r="V263" s="47" t="s">
        <v>35</v>
      </c>
      <c r="W263" s="47" t="s">
        <v>35</v>
      </c>
      <c r="X263" s="47" t="s">
        <v>35</v>
      </c>
      <c r="Y263" s="47" t="s">
        <v>35</v>
      </c>
      <c r="Z263" s="47" t="s">
        <v>35</v>
      </c>
      <c r="AA263" s="47" t="s">
        <v>35</v>
      </c>
      <c r="AB263" s="47" t="s">
        <v>35</v>
      </c>
      <c r="AC263" s="47" t="s">
        <v>35</v>
      </c>
      <c r="AD263" s="63" t="str">
        <f>VLOOKUP(E263,sheet1!$B$2:$C$3209,2,FALSE)</f>
        <v>機種マスター一覧表                          JCM</v>
      </c>
      <c r="AE263" s="49"/>
      <c r="AF263" s="51" t="s">
        <v>1191</v>
      </c>
      <c r="AG263" s="51" t="s">
        <v>1189</v>
      </c>
      <c r="AH263" s="49" t="str">
        <f t="shared" si="13"/>
        <v>機種Ｍ　一覧表</v>
      </c>
      <c r="AI263" s="49"/>
      <c r="AJ263" s="49"/>
      <c r="AK263" s="49"/>
      <c r="AL263" s="49" t="str">
        <f t="shared" si="14"/>
        <v>機種Ｍ　一覧表</v>
      </c>
      <c r="AM263" s="49" t="s">
        <v>35</v>
      </c>
      <c r="AN263" s="49" t="s">
        <v>1192</v>
      </c>
      <c r="AO263" s="51" t="str">
        <f t="shared" si="15"/>
        <v>機種Ｍ　一覧表</v>
      </c>
      <c r="AP263" s="51" t="str">
        <f t="shared" si="16"/>
        <v>PD9060</v>
      </c>
      <c r="AQ263" s="51" t="s">
        <v>1191</v>
      </c>
      <c r="AR263" s="51" t="s">
        <v>1188</v>
      </c>
      <c r="AS263" s="49" t="str">
        <f t="shared" si="17"/>
        <v/>
      </c>
      <c r="AT263" s="49" t="str">
        <f t="shared" si="18"/>
        <v/>
      </c>
      <c r="AU263" s="49"/>
      <c r="AV263" s="49"/>
    </row>
    <row r="264" spans="1:48" ht="18" customHeight="1">
      <c r="A264" s="44">
        <v>262</v>
      </c>
      <c r="B264" s="71" t="s">
        <v>1076</v>
      </c>
      <c r="C264" s="52" t="s">
        <v>460</v>
      </c>
      <c r="D264" s="53" t="s">
        <v>116</v>
      </c>
      <c r="E264" s="59" t="s">
        <v>1193</v>
      </c>
      <c r="F264" s="44" t="s">
        <v>1194</v>
      </c>
      <c r="G264" s="44"/>
      <c r="H264" s="44"/>
      <c r="I264" s="44"/>
      <c r="J264" s="47" t="s">
        <v>35</v>
      </c>
      <c r="K264" s="47"/>
      <c r="L264" s="47"/>
      <c r="M264" s="47"/>
      <c r="N264" s="47"/>
      <c r="O264" s="44"/>
      <c r="P264" s="44"/>
      <c r="Q264" s="48">
        <f>VLOOKUP(E264,sheet1!$B$2:$D$3209,3,FALSE)</f>
        <v>15</v>
      </c>
      <c r="R264" s="47" t="s">
        <v>35</v>
      </c>
      <c r="S264" s="47" t="s">
        <v>35</v>
      </c>
      <c r="T264" s="47" t="s">
        <v>35</v>
      </c>
      <c r="U264" s="47" t="s">
        <v>296</v>
      </c>
      <c r="V264" s="47" t="s">
        <v>35</v>
      </c>
      <c r="W264" s="47" t="s">
        <v>35</v>
      </c>
      <c r="X264" s="47" t="s">
        <v>35</v>
      </c>
      <c r="Y264" s="47" t="s">
        <v>35</v>
      </c>
      <c r="Z264" s="47" t="s">
        <v>35</v>
      </c>
      <c r="AA264" s="47" t="s">
        <v>35</v>
      </c>
      <c r="AB264" s="47" t="s">
        <v>35</v>
      </c>
      <c r="AC264" s="47" t="s">
        <v>35</v>
      </c>
      <c r="AD264" s="63" t="str">
        <f>VLOOKUP(E264,sheet1!$B$2:$C$3209,2,FALSE)</f>
        <v>ＱＲＹ　分類ｺｰﾄﾞﾏｽﾀｰ一覧表</v>
      </c>
      <c r="AE264" s="49"/>
      <c r="AF264" s="51" t="s">
        <v>1195</v>
      </c>
      <c r="AG264" s="51" t="s">
        <v>1193</v>
      </c>
      <c r="AH264" s="49" t="str">
        <f t="shared" si="13"/>
        <v>分類Ｍ　一覧表</v>
      </c>
      <c r="AI264" s="49"/>
      <c r="AJ264" s="49"/>
      <c r="AK264" s="49"/>
      <c r="AL264" s="49" t="str">
        <f t="shared" si="14"/>
        <v>分類Ｍ　一覧表</v>
      </c>
      <c r="AM264" s="49" t="s">
        <v>35</v>
      </c>
      <c r="AN264" s="49" t="s">
        <v>1196</v>
      </c>
      <c r="AO264" s="51" t="str">
        <f t="shared" si="15"/>
        <v>分類Ｍ　一覧表</v>
      </c>
      <c r="AP264" s="51" t="str">
        <f t="shared" si="16"/>
        <v>PD9060</v>
      </c>
      <c r="AQ264" s="51" t="s">
        <v>1195</v>
      </c>
      <c r="AR264" s="51" t="s">
        <v>1188</v>
      </c>
      <c r="AS264" s="49" t="str">
        <f t="shared" si="17"/>
        <v/>
      </c>
      <c r="AT264" s="49" t="str">
        <f t="shared" si="18"/>
        <v/>
      </c>
      <c r="AU264" s="49"/>
      <c r="AV264" s="49"/>
    </row>
    <row r="265" spans="1:48" ht="18" customHeight="1">
      <c r="A265" s="44">
        <v>263</v>
      </c>
      <c r="B265" s="71" t="s">
        <v>1076</v>
      </c>
      <c r="C265" s="52" t="s">
        <v>460</v>
      </c>
      <c r="D265" s="53" t="s">
        <v>116</v>
      </c>
      <c r="E265" s="44" t="s">
        <v>1197</v>
      </c>
      <c r="F265" s="44" t="s">
        <v>1198</v>
      </c>
      <c r="G265" s="44"/>
      <c r="H265" s="44"/>
      <c r="I265" s="44"/>
      <c r="J265" s="47" t="s">
        <v>35</v>
      </c>
      <c r="K265" s="47"/>
      <c r="L265" s="47"/>
      <c r="M265" s="47"/>
      <c r="N265" s="47"/>
      <c r="O265" s="44"/>
      <c r="P265" s="44"/>
      <c r="Q265" s="48">
        <f>VLOOKUP(E265,sheet1!$B$2:$D$3209,3,FALSE)</f>
        <v>516</v>
      </c>
      <c r="R265" s="47" t="s">
        <v>35</v>
      </c>
      <c r="S265" s="47" t="s">
        <v>35</v>
      </c>
      <c r="T265" s="47" t="s">
        <v>35</v>
      </c>
      <c r="U265" s="47" t="s">
        <v>296</v>
      </c>
      <c r="V265" s="47" t="s">
        <v>35</v>
      </c>
      <c r="W265" s="47" t="s">
        <v>35</v>
      </c>
      <c r="X265" s="47" t="s">
        <v>35</v>
      </c>
      <c r="Y265" s="47" t="s">
        <v>35</v>
      </c>
      <c r="Z265" s="47" t="s">
        <v>35</v>
      </c>
      <c r="AA265" s="47" t="s">
        <v>35</v>
      </c>
      <c r="AB265" s="47" t="s">
        <v>35</v>
      </c>
      <c r="AC265" s="47" t="s">
        <v>35</v>
      </c>
      <c r="AD265" s="63" t="str">
        <f>VLOOKUP(E265,sheet1!$B$2:$C$3209,2,FALSE)</f>
        <v>品目マスター一覧表                          JCM</v>
      </c>
      <c r="AE265" s="49"/>
      <c r="AF265" s="51" t="s">
        <v>1199</v>
      </c>
      <c r="AG265" s="51" t="s">
        <v>1197</v>
      </c>
      <c r="AH265" s="49" t="str">
        <f t="shared" si="13"/>
        <v>品目Ｍ　一覧表</v>
      </c>
      <c r="AI265" s="49"/>
      <c r="AJ265" s="49"/>
      <c r="AK265" s="49"/>
      <c r="AL265" s="49" t="str">
        <f t="shared" si="14"/>
        <v>品目Ｍ　一覧表</v>
      </c>
      <c r="AM265" s="49" t="s">
        <v>35</v>
      </c>
      <c r="AN265" s="49" t="s">
        <v>1200</v>
      </c>
      <c r="AO265" s="51" t="str">
        <f t="shared" si="15"/>
        <v>品目Ｍ　一覧表</v>
      </c>
      <c r="AP265" s="51" t="str">
        <f t="shared" si="16"/>
        <v>PD1010</v>
      </c>
      <c r="AQ265" s="51" t="s">
        <v>1199</v>
      </c>
      <c r="AR265" s="51" t="s">
        <v>1197</v>
      </c>
      <c r="AS265" s="49" t="str">
        <f t="shared" si="17"/>
        <v/>
      </c>
      <c r="AT265" s="49" t="str">
        <f t="shared" si="18"/>
        <v/>
      </c>
      <c r="AU265" s="49"/>
      <c r="AV265" s="49"/>
    </row>
    <row r="266" spans="1:48" ht="18" customHeight="1">
      <c r="A266" s="44">
        <v>264</v>
      </c>
      <c r="B266" s="71" t="s">
        <v>1076</v>
      </c>
      <c r="C266" s="52" t="s">
        <v>460</v>
      </c>
      <c r="D266" s="53" t="s">
        <v>116</v>
      </c>
      <c r="E266" s="59" t="s">
        <v>1201</v>
      </c>
      <c r="F266" s="44" t="s">
        <v>1202</v>
      </c>
      <c r="G266" s="44"/>
      <c r="H266" s="44"/>
      <c r="I266" s="44"/>
      <c r="J266" s="47" t="s">
        <v>35</v>
      </c>
      <c r="K266" s="47"/>
      <c r="L266" s="47"/>
      <c r="M266" s="47"/>
      <c r="N266" s="47"/>
      <c r="O266" s="44"/>
      <c r="P266" s="44"/>
      <c r="Q266" s="48">
        <f>VLOOKUP(E266,sheet1!$B$2:$D$3209,3,FALSE)</f>
        <v>723</v>
      </c>
      <c r="R266" s="47" t="s">
        <v>35</v>
      </c>
      <c r="S266" s="47" t="s">
        <v>35</v>
      </c>
      <c r="T266" s="47" t="s">
        <v>35</v>
      </c>
      <c r="U266" s="47" t="s">
        <v>296</v>
      </c>
      <c r="V266" s="47" t="s">
        <v>35</v>
      </c>
      <c r="W266" s="47" t="s">
        <v>35</v>
      </c>
      <c r="X266" s="47" t="s">
        <v>35</v>
      </c>
      <c r="Y266" s="47" t="s">
        <v>35</v>
      </c>
      <c r="Z266" s="47" t="s">
        <v>35</v>
      </c>
      <c r="AA266" s="47" t="s">
        <v>35</v>
      </c>
      <c r="AB266" s="47" t="s">
        <v>35</v>
      </c>
      <c r="AC266" s="47" t="s">
        <v>35</v>
      </c>
      <c r="AD266" s="63" t="str">
        <f>VLOOKUP(E266,sheet1!$B$2:$C$3209,2,FALSE)</f>
        <v>部品表作成指示</v>
      </c>
      <c r="AE266" s="49"/>
      <c r="AF266" s="51" t="s">
        <v>1203</v>
      </c>
      <c r="AG266" s="51" t="s">
        <v>1201</v>
      </c>
      <c r="AH266" s="49" t="str">
        <f t="shared" si="13"/>
        <v>部品表　出力</v>
      </c>
      <c r="AI266" s="49"/>
      <c r="AJ266" s="49"/>
      <c r="AK266" s="49"/>
      <c r="AL266" s="49" t="str">
        <f t="shared" si="14"/>
        <v>部品表　出力</v>
      </c>
      <c r="AM266" s="49" t="s">
        <v>35</v>
      </c>
      <c r="AN266" s="49" t="s">
        <v>1204</v>
      </c>
      <c r="AO266" s="51" t="str">
        <f t="shared" si="15"/>
        <v>部品表　出力</v>
      </c>
      <c r="AP266" s="51" t="str">
        <f t="shared" si="16"/>
        <v>PD1050</v>
      </c>
      <c r="AQ266" s="51" t="s">
        <v>1203</v>
      </c>
      <c r="AR266" s="51" t="s">
        <v>1201</v>
      </c>
      <c r="AS266" s="49" t="str">
        <f t="shared" si="17"/>
        <v/>
      </c>
      <c r="AT266" s="49" t="str">
        <f t="shared" si="18"/>
        <v/>
      </c>
      <c r="AU266" s="49"/>
      <c r="AV266" s="49"/>
    </row>
    <row r="267" spans="1:48" ht="18" customHeight="1">
      <c r="A267" s="44">
        <v>265</v>
      </c>
      <c r="B267" s="71" t="s">
        <v>1076</v>
      </c>
      <c r="C267" s="52" t="s">
        <v>460</v>
      </c>
      <c r="D267" s="53" t="s">
        <v>116</v>
      </c>
      <c r="E267" s="59" t="s">
        <v>1205</v>
      </c>
      <c r="F267" s="44" t="s">
        <v>1206</v>
      </c>
      <c r="G267" s="44"/>
      <c r="H267" s="44"/>
      <c r="I267" s="44"/>
      <c r="J267" s="47" t="s">
        <v>35</v>
      </c>
      <c r="K267" s="47"/>
      <c r="L267" s="47"/>
      <c r="M267" s="47"/>
      <c r="N267" s="47"/>
      <c r="O267" s="44"/>
      <c r="P267" s="44"/>
      <c r="Q267" s="48">
        <f>VLOOKUP(E267,sheet1!$B$2:$D$3209,3,FALSE)</f>
        <v>401</v>
      </c>
      <c r="R267" s="47" t="s">
        <v>35</v>
      </c>
      <c r="S267" s="47" t="s">
        <v>35</v>
      </c>
      <c r="T267" s="47" t="s">
        <v>35</v>
      </c>
      <c r="U267" s="47" t="s">
        <v>296</v>
      </c>
      <c r="V267" s="47" t="s">
        <v>35</v>
      </c>
      <c r="W267" s="47" t="s">
        <v>35</v>
      </c>
      <c r="X267" s="47" t="s">
        <v>35</v>
      </c>
      <c r="Y267" s="47" t="s">
        <v>35</v>
      </c>
      <c r="Z267" s="47" t="s">
        <v>35</v>
      </c>
      <c r="AA267" s="47" t="s">
        <v>35</v>
      </c>
      <c r="AB267" s="47" t="s">
        <v>35</v>
      </c>
      <c r="AC267" s="47" t="s">
        <v>35</v>
      </c>
      <c r="AD267" s="63" t="str">
        <f>VLOOKUP(E267,sheet1!$B$2:$C$3209,2,FALSE)</f>
        <v>同等品マスター一覧表                        JCM</v>
      </c>
      <c r="AE267" s="49"/>
      <c r="AF267" s="51" t="s">
        <v>1207</v>
      </c>
      <c r="AG267" s="51" t="s">
        <v>1205</v>
      </c>
      <c r="AH267" s="49" t="str">
        <f t="shared" si="13"/>
        <v>同等品Ｍ　一覧表</v>
      </c>
      <c r="AI267" s="49"/>
      <c r="AJ267" s="49"/>
      <c r="AK267" s="49"/>
      <c r="AL267" s="49" t="str">
        <f t="shared" si="14"/>
        <v>同等品Ｍ　一覧表</v>
      </c>
      <c r="AM267" s="49" t="s">
        <v>35</v>
      </c>
      <c r="AN267" s="49" t="s">
        <v>1208</v>
      </c>
      <c r="AO267" s="51" t="str">
        <f t="shared" si="15"/>
        <v>同等品Ｍ　一覧表</v>
      </c>
      <c r="AP267" s="51" t="str">
        <f t="shared" si="16"/>
        <v>PD1120</v>
      </c>
      <c r="AQ267" s="51" t="s">
        <v>1207</v>
      </c>
      <c r="AR267" s="51" t="s">
        <v>1205</v>
      </c>
      <c r="AS267" s="49" t="str">
        <f t="shared" si="17"/>
        <v/>
      </c>
      <c r="AT267" s="49" t="str">
        <f t="shared" si="18"/>
        <v/>
      </c>
      <c r="AU267" s="49"/>
      <c r="AV267" s="49"/>
    </row>
    <row r="268" spans="1:48" ht="18" customHeight="1">
      <c r="A268" s="44">
        <v>266</v>
      </c>
      <c r="B268" s="71" t="s">
        <v>1076</v>
      </c>
      <c r="C268" s="52" t="s">
        <v>460</v>
      </c>
      <c r="D268" s="53" t="s">
        <v>116</v>
      </c>
      <c r="E268" s="59" t="s">
        <v>1209</v>
      </c>
      <c r="F268" s="44" t="s">
        <v>1210</v>
      </c>
      <c r="G268" s="44"/>
      <c r="H268" s="44"/>
      <c r="I268" s="44"/>
      <c r="J268" s="47" t="s">
        <v>35</v>
      </c>
      <c r="K268" s="47"/>
      <c r="L268" s="47"/>
      <c r="M268" s="47"/>
      <c r="N268" s="47"/>
      <c r="O268" s="44"/>
      <c r="P268" s="44"/>
      <c r="Q268" s="48">
        <f>VLOOKUP(E268,sheet1!$B$2:$D$3209,3,FALSE)</f>
        <v>817</v>
      </c>
      <c r="R268" s="47" t="s">
        <v>35</v>
      </c>
      <c r="S268" s="47" t="s">
        <v>35</v>
      </c>
      <c r="T268" s="47" t="s">
        <v>35</v>
      </c>
      <c r="U268" s="47" t="s">
        <v>296</v>
      </c>
      <c r="V268" s="47" t="s">
        <v>35</v>
      </c>
      <c r="W268" s="47" t="s">
        <v>35</v>
      </c>
      <c r="X268" s="47" t="s">
        <v>35</v>
      </c>
      <c r="Y268" s="47" t="s">
        <v>35</v>
      </c>
      <c r="Z268" s="47" t="s">
        <v>35</v>
      </c>
      <c r="AA268" s="47" t="s">
        <v>35</v>
      </c>
      <c r="AB268" s="47" t="s">
        <v>35</v>
      </c>
      <c r="AC268" s="47" t="s">
        <v>35</v>
      </c>
      <c r="AD268" s="63" t="str">
        <f>VLOOKUP(E268,sheet1!$B$2:$C$3209,2,FALSE)</f>
        <v>発注・受入担当者マスター一覧表              JCM</v>
      </c>
      <c r="AE268" s="49"/>
      <c r="AF268" s="51" t="s">
        <v>1211</v>
      </c>
      <c r="AG268" s="51" t="s">
        <v>1209</v>
      </c>
      <c r="AH268" s="49" t="str">
        <f t="shared" si="13"/>
        <v>発注・受入担者Ｍ一覧</v>
      </c>
      <c r="AI268" s="49"/>
      <c r="AJ268" s="49"/>
      <c r="AK268" s="49"/>
      <c r="AL268" s="49" t="str">
        <f t="shared" si="14"/>
        <v>発注・受入担者Ｍ一覧</v>
      </c>
      <c r="AM268" s="49" t="s">
        <v>35</v>
      </c>
      <c r="AN268" s="49" t="s">
        <v>1210</v>
      </c>
      <c r="AO268" s="51" t="str">
        <f t="shared" si="15"/>
        <v>発注・受入担者Ｍ一覧</v>
      </c>
      <c r="AP268" s="51" t="str">
        <f t="shared" si="16"/>
        <v>PD1180</v>
      </c>
      <c r="AQ268" s="51" t="s">
        <v>1211</v>
      </c>
      <c r="AR268" s="51" t="s">
        <v>1209</v>
      </c>
      <c r="AS268" s="49" t="str">
        <f t="shared" si="17"/>
        <v/>
      </c>
      <c r="AT268" s="49" t="str">
        <f t="shared" si="18"/>
        <v/>
      </c>
      <c r="AU268" s="49"/>
      <c r="AV268" s="49"/>
    </row>
    <row r="269" spans="1:48" ht="18" customHeight="1">
      <c r="A269" s="44">
        <v>267</v>
      </c>
      <c r="B269" s="71" t="s">
        <v>1076</v>
      </c>
      <c r="C269" s="52" t="s">
        <v>460</v>
      </c>
      <c r="D269" s="53" t="s">
        <v>116</v>
      </c>
      <c r="E269" s="59" t="s">
        <v>1212</v>
      </c>
      <c r="F269" s="44" t="s">
        <v>1213</v>
      </c>
      <c r="G269" s="44"/>
      <c r="H269" s="44"/>
      <c r="I269" s="44"/>
      <c r="J269" s="47" t="s">
        <v>35</v>
      </c>
      <c r="K269" s="47"/>
      <c r="L269" s="47"/>
      <c r="M269" s="47"/>
      <c r="N269" s="47"/>
      <c r="O269" s="44"/>
      <c r="P269" s="44"/>
      <c r="Q269" s="48">
        <f>VLOOKUP(E269,sheet1!$B$2:$D$3209,3,FALSE)</f>
        <v>26</v>
      </c>
      <c r="R269" s="47" t="s">
        <v>35</v>
      </c>
      <c r="S269" s="47" t="s">
        <v>35</v>
      </c>
      <c r="T269" s="47"/>
      <c r="U269" s="47" t="s">
        <v>296</v>
      </c>
      <c r="V269" s="47" t="s">
        <v>296</v>
      </c>
      <c r="W269" s="47" t="s">
        <v>35</v>
      </c>
      <c r="X269" s="47" t="s">
        <v>296</v>
      </c>
      <c r="Y269" s="47" t="s">
        <v>296</v>
      </c>
      <c r="Z269" s="47" t="s">
        <v>296</v>
      </c>
      <c r="AA269" s="47" t="s">
        <v>296</v>
      </c>
      <c r="AB269" s="47"/>
      <c r="AC269" s="47" t="s">
        <v>35</v>
      </c>
      <c r="AD269" s="63"/>
      <c r="AE269" s="49"/>
      <c r="AF269" s="51" t="s">
        <v>1214</v>
      </c>
      <c r="AG269" s="51" t="s">
        <v>1212</v>
      </c>
      <c r="AH269" s="49" t="str">
        <f t="shared" si="13"/>
        <v>品目ﾏｽﾀﾀﾞｳﾝﾛｰﾄﾞ</v>
      </c>
      <c r="AI269" s="49"/>
      <c r="AJ269" s="49"/>
      <c r="AK269" s="49"/>
      <c r="AL269" s="49" t="str">
        <f t="shared" si="14"/>
        <v>単価Ｍ　品番順一覧表</v>
      </c>
      <c r="AM269" s="49" t="s">
        <v>35</v>
      </c>
      <c r="AN269" s="49" t="s">
        <v>1215</v>
      </c>
      <c r="AO269" s="51" t="str">
        <f t="shared" si="15"/>
        <v>品目ﾏｽﾀﾀﾞｳﾝﾛｰﾄﾞ</v>
      </c>
      <c r="AP269" s="51" t="str">
        <f t="shared" si="16"/>
        <v>PD1340</v>
      </c>
      <c r="AQ269" s="51" t="s">
        <v>1216</v>
      </c>
      <c r="AR269" s="51" t="s">
        <v>1217</v>
      </c>
      <c r="AS269" s="49" t="str">
        <f t="shared" si="17"/>
        <v/>
      </c>
      <c r="AT269" s="49" t="str">
        <f t="shared" si="18"/>
        <v/>
      </c>
      <c r="AU269" s="49"/>
      <c r="AV269" s="49"/>
    </row>
    <row r="270" spans="1:48" ht="18" customHeight="1">
      <c r="A270" s="44">
        <v>268</v>
      </c>
      <c r="B270" s="71" t="s">
        <v>1076</v>
      </c>
      <c r="C270" s="52" t="s">
        <v>460</v>
      </c>
      <c r="D270" s="53" t="s">
        <v>116</v>
      </c>
      <c r="E270" s="59" t="s">
        <v>1218</v>
      </c>
      <c r="F270" s="44" t="s">
        <v>1215</v>
      </c>
      <c r="G270" s="44"/>
      <c r="H270" s="44"/>
      <c r="I270" s="44"/>
      <c r="J270" s="47" t="s">
        <v>35</v>
      </c>
      <c r="K270" s="47"/>
      <c r="L270" s="47"/>
      <c r="M270" s="47"/>
      <c r="N270" s="47"/>
      <c r="O270" s="44"/>
      <c r="P270" s="44"/>
      <c r="Q270" s="48">
        <f>VLOOKUP(E270,sheet1!$B$2:$D$3209,3,FALSE)</f>
        <v>58</v>
      </c>
      <c r="R270" s="47" t="s">
        <v>35</v>
      </c>
      <c r="S270" s="47" t="s">
        <v>35</v>
      </c>
      <c r="T270" s="47" t="s">
        <v>35</v>
      </c>
      <c r="U270" s="47" t="s">
        <v>296</v>
      </c>
      <c r="V270" s="47" t="s">
        <v>35</v>
      </c>
      <c r="W270" s="47" t="s">
        <v>35</v>
      </c>
      <c r="X270" s="47" t="s">
        <v>35</v>
      </c>
      <c r="Y270" s="47" t="s">
        <v>35</v>
      </c>
      <c r="Z270" s="47" t="s">
        <v>35</v>
      </c>
      <c r="AA270" s="47" t="s">
        <v>35</v>
      </c>
      <c r="AB270" s="47" t="s">
        <v>35</v>
      </c>
      <c r="AC270" s="47" t="s">
        <v>35</v>
      </c>
      <c r="AD270" s="63" t="str">
        <f>VLOOKUP(E270,sheet1!$B$2:$C$3209,2,FALSE)</f>
        <v>単価マスター一覧表（品目タイプ）セレクト画面</v>
      </c>
      <c r="AE270" s="49"/>
      <c r="AF270" s="51" t="s">
        <v>1219</v>
      </c>
      <c r="AG270" s="51" t="s">
        <v>1218</v>
      </c>
      <c r="AH270" s="49" t="str">
        <f t="shared" si="13"/>
        <v>単価Ｍ　品番順一覧表</v>
      </c>
      <c r="AI270" s="49"/>
      <c r="AJ270" s="49"/>
      <c r="AK270" s="49"/>
      <c r="AL270" s="49" t="str">
        <f t="shared" si="14"/>
        <v>単価Ｍ　取引先一覧表</v>
      </c>
      <c r="AM270" s="49" t="s">
        <v>35</v>
      </c>
      <c r="AN270" s="49" t="s">
        <v>1220</v>
      </c>
      <c r="AO270" s="51" t="str">
        <f t="shared" si="15"/>
        <v>単価Ｍ　品番順一覧表</v>
      </c>
      <c r="AP270" s="51" t="str">
        <f t="shared" si="16"/>
        <v>PD1210</v>
      </c>
      <c r="AQ270" s="51" t="s">
        <v>1219</v>
      </c>
      <c r="AR270" s="51" t="s">
        <v>1221</v>
      </c>
      <c r="AS270" s="49" t="str">
        <f t="shared" si="17"/>
        <v/>
      </c>
      <c r="AT270" s="49" t="str">
        <f t="shared" si="18"/>
        <v/>
      </c>
      <c r="AU270" s="49"/>
      <c r="AV270" s="49"/>
    </row>
    <row r="271" spans="1:48" ht="18" customHeight="1">
      <c r="A271" s="44">
        <v>269</v>
      </c>
      <c r="B271" s="71" t="s">
        <v>1076</v>
      </c>
      <c r="C271" s="52" t="s">
        <v>460</v>
      </c>
      <c r="D271" s="53" t="s">
        <v>116</v>
      </c>
      <c r="E271" s="59" t="s">
        <v>1222</v>
      </c>
      <c r="F271" s="44" t="s">
        <v>1220</v>
      </c>
      <c r="G271" s="44"/>
      <c r="H271" s="44"/>
      <c r="I271" s="44"/>
      <c r="J271" s="47" t="s">
        <v>35</v>
      </c>
      <c r="K271" s="47"/>
      <c r="L271" s="47"/>
      <c r="M271" s="47"/>
      <c r="N271" s="47"/>
      <c r="O271" s="44"/>
      <c r="P271" s="44"/>
      <c r="Q271" s="48">
        <f>VLOOKUP(E271,sheet1!$B$2:$D$3209,3,FALSE)</f>
        <v>561</v>
      </c>
      <c r="R271" s="47" t="s">
        <v>35</v>
      </c>
      <c r="S271" s="47" t="s">
        <v>35</v>
      </c>
      <c r="T271" s="47" t="s">
        <v>35</v>
      </c>
      <c r="U271" s="47" t="s">
        <v>296</v>
      </c>
      <c r="V271" s="47" t="s">
        <v>35</v>
      </c>
      <c r="W271" s="47" t="s">
        <v>35</v>
      </c>
      <c r="X271" s="47" t="s">
        <v>35</v>
      </c>
      <c r="Y271" s="47" t="s">
        <v>35</v>
      </c>
      <c r="Z271" s="47" t="s">
        <v>35</v>
      </c>
      <c r="AA271" s="47" t="s">
        <v>35</v>
      </c>
      <c r="AB271" s="47" t="s">
        <v>35</v>
      </c>
      <c r="AC271" s="47" t="s">
        <v>35</v>
      </c>
      <c r="AD271" s="63" t="str">
        <f>VLOOKUP(E271,sheet1!$B$2:$C$3209,2,FALSE)</f>
        <v>単価ﾏｽﾀｰ一覧表（仕入先別）                JCM</v>
      </c>
      <c r="AE271" s="49"/>
      <c r="AF271" s="51" t="s">
        <v>1223</v>
      </c>
      <c r="AG271" s="51" t="s">
        <v>1222</v>
      </c>
      <c r="AH271" s="49" t="str">
        <f t="shared" si="13"/>
        <v>単価Ｍ　取引先一覧表</v>
      </c>
      <c r="AI271" s="49"/>
      <c r="AJ271" s="49"/>
      <c r="AK271" s="49"/>
      <c r="AL271" s="49" t="str">
        <f t="shared" si="14"/>
        <v>仮単価　一覧表</v>
      </c>
      <c r="AM271" s="49" t="s">
        <v>35</v>
      </c>
      <c r="AN271" s="49" t="s">
        <v>1224</v>
      </c>
      <c r="AO271" s="51" t="str">
        <f t="shared" si="15"/>
        <v>単価Ｍ　取引先一覧表</v>
      </c>
      <c r="AP271" s="51" t="str">
        <f t="shared" si="16"/>
        <v>PD1220</v>
      </c>
      <c r="AQ271" s="51" t="s">
        <v>1223</v>
      </c>
      <c r="AR271" s="51" t="s">
        <v>1222</v>
      </c>
      <c r="AS271" s="49" t="str">
        <f t="shared" si="17"/>
        <v/>
      </c>
      <c r="AT271" s="49" t="str">
        <f t="shared" si="18"/>
        <v/>
      </c>
      <c r="AU271" s="49"/>
      <c r="AV271" s="49"/>
    </row>
    <row r="272" spans="1:48" ht="18" customHeight="1">
      <c r="A272" s="44">
        <v>270</v>
      </c>
      <c r="B272" s="71" t="s">
        <v>1076</v>
      </c>
      <c r="C272" s="52" t="s">
        <v>460</v>
      </c>
      <c r="D272" s="53" t="s">
        <v>116</v>
      </c>
      <c r="E272" s="59" t="s">
        <v>1225</v>
      </c>
      <c r="F272" s="44" t="s">
        <v>1226</v>
      </c>
      <c r="G272" s="44"/>
      <c r="H272" s="44"/>
      <c r="I272" s="44"/>
      <c r="J272" s="47" t="s">
        <v>35</v>
      </c>
      <c r="K272" s="47"/>
      <c r="L272" s="47"/>
      <c r="M272" s="47"/>
      <c r="N272" s="47"/>
      <c r="O272" s="44"/>
      <c r="P272" s="44"/>
      <c r="Q272" s="48">
        <f>VLOOKUP(E272,sheet1!$B$2:$D$3209,3,FALSE)</f>
        <v>34</v>
      </c>
      <c r="R272" s="47" t="s">
        <v>35</v>
      </c>
      <c r="S272" s="47" t="s">
        <v>35</v>
      </c>
      <c r="T272" s="47" t="s">
        <v>35</v>
      </c>
      <c r="U272" s="47" t="s">
        <v>296</v>
      </c>
      <c r="V272" s="47" t="s">
        <v>35</v>
      </c>
      <c r="W272" s="47" t="s">
        <v>35</v>
      </c>
      <c r="X272" s="47" t="s">
        <v>35</v>
      </c>
      <c r="Y272" s="47" t="s">
        <v>35</v>
      </c>
      <c r="Z272" s="47" t="s">
        <v>35</v>
      </c>
      <c r="AA272" s="47" t="s">
        <v>35</v>
      </c>
      <c r="AB272" s="47" t="s">
        <v>35</v>
      </c>
      <c r="AC272" s="47" t="s">
        <v>35</v>
      </c>
      <c r="AD272" s="63" t="str">
        <f>VLOOKUP(E272,sheet1!$B$2:$C$3209,2,FALSE)</f>
        <v>仮単価ﾏｽﾀｰ一覧表</v>
      </c>
      <c r="AE272" s="49"/>
      <c r="AF272" s="51" t="s">
        <v>1227</v>
      </c>
      <c r="AG272" s="51" t="s">
        <v>1225</v>
      </c>
      <c r="AH272" s="49" t="str">
        <f t="shared" si="13"/>
        <v>仮単価　一覧表</v>
      </c>
      <c r="AI272" s="49"/>
      <c r="AJ272" s="49"/>
      <c r="AK272" s="49"/>
      <c r="AL272" s="49" t="str">
        <f t="shared" si="14"/>
        <v>構成補助Ｍ　一覧表</v>
      </c>
      <c r="AM272" s="49" t="s">
        <v>35</v>
      </c>
      <c r="AN272" s="49" t="s">
        <v>1228</v>
      </c>
      <c r="AO272" s="51" t="str">
        <f t="shared" si="15"/>
        <v>仮単価　一覧表</v>
      </c>
      <c r="AP272" s="51" t="str">
        <f t="shared" si="16"/>
        <v>PD1230</v>
      </c>
      <c r="AQ272" s="51" t="s">
        <v>1227</v>
      </c>
      <c r="AR272" s="51" t="s">
        <v>1229</v>
      </c>
      <c r="AS272" s="49" t="str">
        <f t="shared" si="17"/>
        <v/>
      </c>
      <c r="AT272" s="49" t="str">
        <f t="shared" si="18"/>
        <v/>
      </c>
      <c r="AU272" s="49"/>
      <c r="AV272" s="49"/>
    </row>
    <row r="273" spans="1:48" ht="18" customHeight="1">
      <c r="A273" s="44">
        <v>271</v>
      </c>
      <c r="B273" s="71" t="s">
        <v>1076</v>
      </c>
      <c r="C273" s="52" t="s">
        <v>460</v>
      </c>
      <c r="D273" s="53" t="s">
        <v>116</v>
      </c>
      <c r="E273" s="59" t="s">
        <v>1230</v>
      </c>
      <c r="F273" s="44" t="s">
        <v>1231</v>
      </c>
      <c r="G273" s="44"/>
      <c r="H273" s="44"/>
      <c r="I273" s="44"/>
      <c r="J273" s="47" t="s">
        <v>35</v>
      </c>
      <c r="K273" s="47"/>
      <c r="L273" s="47"/>
      <c r="M273" s="47"/>
      <c r="N273" s="47"/>
      <c r="O273" s="44"/>
      <c r="P273" s="44"/>
      <c r="Q273" s="48">
        <f>VLOOKUP(E273,sheet1!$B$2:$D$3209,3,FALSE)</f>
        <v>643</v>
      </c>
      <c r="R273" s="47" t="s">
        <v>35</v>
      </c>
      <c r="S273" s="47" t="s">
        <v>35</v>
      </c>
      <c r="T273" s="47" t="s">
        <v>35</v>
      </c>
      <c r="U273" s="47" t="s">
        <v>296</v>
      </c>
      <c r="V273" s="47" t="s">
        <v>35</v>
      </c>
      <c r="W273" s="47" t="s">
        <v>35</v>
      </c>
      <c r="X273" s="47" t="s">
        <v>35</v>
      </c>
      <c r="Y273" s="47" t="s">
        <v>35</v>
      </c>
      <c r="Z273" s="47" t="s">
        <v>35</v>
      </c>
      <c r="AA273" s="47" t="s">
        <v>35</v>
      </c>
      <c r="AB273" s="47" t="s">
        <v>35</v>
      </c>
      <c r="AC273" s="47" t="s">
        <v>35</v>
      </c>
      <c r="AD273" s="63" t="str">
        <f>VLOOKUP(E273,sheet1!$B$2:$C$3209,2,FALSE)</f>
        <v>構成補助マスター一覧表                      JCM</v>
      </c>
      <c r="AE273" s="49"/>
      <c r="AF273" s="51" t="s">
        <v>1232</v>
      </c>
      <c r="AG273" s="51" t="s">
        <v>1230</v>
      </c>
      <c r="AH273" s="49" t="str">
        <f t="shared" si="13"/>
        <v>構成補助Ｍ　一覧表</v>
      </c>
      <c r="AI273" s="49"/>
      <c r="AJ273" s="49"/>
      <c r="AK273" s="49"/>
      <c r="AL273" s="49" t="str">
        <f t="shared" si="14"/>
        <v>棚番Ｍ　一覧表</v>
      </c>
      <c r="AM273" s="49" t="s">
        <v>35</v>
      </c>
      <c r="AN273" s="49" t="s">
        <v>1233</v>
      </c>
      <c r="AO273" s="51" t="str">
        <f t="shared" si="15"/>
        <v>構成補助Ｍ　一覧表</v>
      </c>
      <c r="AP273" s="51" t="str">
        <f t="shared" si="16"/>
        <v>PD1250</v>
      </c>
      <c r="AQ273" s="51" t="s">
        <v>1232</v>
      </c>
      <c r="AR273" s="51" t="s">
        <v>1230</v>
      </c>
      <c r="AS273" s="49" t="str">
        <f t="shared" si="17"/>
        <v/>
      </c>
      <c r="AT273" s="49" t="str">
        <f t="shared" si="18"/>
        <v/>
      </c>
      <c r="AU273" s="49"/>
      <c r="AV273" s="49"/>
    </row>
    <row r="274" spans="1:48" ht="18" customHeight="1">
      <c r="A274" s="44">
        <v>272</v>
      </c>
      <c r="B274" s="71" t="s">
        <v>1076</v>
      </c>
      <c r="C274" s="52" t="s">
        <v>460</v>
      </c>
      <c r="D274" s="53" t="s">
        <v>116</v>
      </c>
      <c r="E274" s="59" t="s">
        <v>1234</v>
      </c>
      <c r="F274" s="44" t="s">
        <v>1235</v>
      </c>
      <c r="G274" s="44"/>
      <c r="H274" s="44"/>
      <c r="I274" s="44"/>
      <c r="J274" s="47" t="s">
        <v>35</v>
      </c>
      <c r="K274" s="47"/>
      <c r="L274" s="47"/>
      <c r="M274" s="47"/>
      <c r="N274" s="47"/>
      <c r="O274" s="44"/>
      <c r="P274" s="44"/>
      <c r="Q274" s="48">
        <f>VLOOKUP(E274,sheet1!$B$2:$D$3209,3,FALSE)</f>
        <v>443</v>
      </c>
      <c r="R274" s="47" t="s">
        <v>35</v>
      </c>
      <c r="S274" s="47" t="s">
        <v>296</v>
      </c>
      <c r="T274" s="47" t="s">
        <v>35</v>
      </c>
      <c r="U274" s="47" t="s">
        <v>296</v>
      </c>
      <c r="V274" s="47" t="s">
        <v>35</v>
      </c>
      <c r="W274" s="47" t="s">
        <v>35</v>
      </c>
      <c r="X274" s="47" t="s">
        <v>35</v>
      </c>
      <c r="Y274" s="47" t="s">
        <v>35</v>
      </c>
      <c r="Z274" s="47" t="s">
        <v>35</v>
      </c>
      <c r="AA274" s="47" t="s">
        <v>35</v>
      </c>
      <c r="AB274" s="47"/>
      <c r="AC274" s="47" t="s">
        <v>296</v>
      </c>
      <c r="AD274" s="63" t="str">
        <f>VLOOKUP(E274,sheet1!$B$2:$C$3209,2,FALSE)</f>
        <v>棚番ﾏｽﾀｰ一覧表                            JCM</v>
      </c>
      <c r="AE274" s="49"/>
      <c r="AF274" s="51" t="s">
        <v>1236</v>
      </c>
      <c r="AG274" s="51" t="s">
        <v>1234</v>
      </c>
      <c r="AH274" s="49" t="str">
        <f t="shared" si="13"/>
        <v>棚番A 一覧表</v>
      </c>
      <c r="AI274" s="49"/>
      <c r="AJ274" s="49"/>
      <c r="AK274" s="49"/>
      <c r="AL274" s="49" t="str">
        <f t="shared" si="14"/>
        <v>引当優先順位Ｍ一覧表</v>
      </c>
      <c r="AM274" s="49" t="s">
        <v>35</v>
      </c>
      <c r="AN274" s="49" t="s">
        <v>1237</v>
      </c>
      <c r="AO274" s="51" t="str">
        <f t="shared" si="15"/>
        <v>棚番Ｍ　一覧表</v>
      </c>
      <c r="AP274" s="51" t="str">
        <f t="shared" si="16"/>
        <v>PD1270</v>
      </c>
      <c r="AQ274" s="51" t="s">
        <v>1238</v>
      </c>
      <c r="AR274" s="51" t="s">
        <v>1234</v>
      </c>
      <c r="AS274" s="49" t="str">
        <f t="shared" si="17"/>
        <v/>
      </c>
      <c r="AT274" s="49" t="str">
        <f t="shared" si="18"/>
        <v/>
      </c>
      <c r="AU274" s="49"/>
      <c r="AV274" s="49"/>
    </row>
    <row r="275" spans="1:48" ht="18" customHeight="1">
      <c r="A275" s="44">
        <v>273</v>
      </c>
      <c r="B275" s="71" t="s">
        <v>1076</v>
      </c>
      <c r="C275" s="52" t="s">
        <v>460</v>
      </c>
      <c r="D275" s="53" t="s">
        <v>116</v>
      </c>
      <c r="E275" s="59" t="s">
        <v>1239</v>
      </c>
      <c r="F275" s="44" t="s">
        <v>1237</v>
      </c>
      <c r="G275" s="44"/>
      <c r="H275" s="44"/>
      <c r="I275" s="44"/>
      <c r="J275" s="47" t="s">
        <v>35</v>
      </c>
      <c r="K275" s="47"/>
      <c r="L275" s="47"/>
      <c r="M275" s="47"/>
      <c r="N275" s="47"/>
      <c r="O275" s="44"/>
      <c r="P275" s="44"/>
      <c r="Q275" s="48">
        <f>VLOOKUP(E275,sheet1!$B$2:$D$3209,3,FALSE)</f>
        <v>377</v>
      </c>
      <c r="R275" s="47" t="s">
        <v>35</v>
      </c>
      <c r="S275" s="47" t="s">
        <v>35</v>
      </c>
      <c r="T275" s="47" t="s">
        <v>35</v>
      </c>
      <c r="U275" s="47" t="s">
        <v>296</v>
      </c>
      <c r="V275" s="47" t="s">
        <v>35</v>
      </c>
      <c r="W275" s="47" t="s">
        <v>35</v>
      </c>
      <c r="X275" s="47" t="s">
        <v>35</v>
      </c>
      <c r="Y275" s="47" t="s">
        <v>35</v>
      </c>
      <c r="Z275" s="47" t="s">
        <v>35</v>
      </c>
      <c r="AA275" s="47" t="s">
        <v>35</v>
      </c>
      <c r="AB275" s="47" t="s">
        <v>35</v>
      </c>
      <c r="AC275" s="47" t="s">
        <v>35</v>
      </c>
      <c r="AD275" s="63" t="str">
        <f>VLOOKUP(E275,sheet1!$B$2:$C$3209,2,FALSE)</f>
        <v>引当優先順位ﾏｽﾀｰ一覧表                    JCM</v>
      </c>
      <c r="AE275" s="49"/>
      <c r="AF275" s="51" t="s">
        <v>1240</v>
      </c>
      <c r="AG275" s="51" t="s">
        <v>1239</v>
      </c>
      <c r="AH275" s="49" t="str">
        <f t="shared" si="13"/>
        <v>引当優先順位Ｍ一覧表</v>
      </c>
      <c r="AI275" s="49"/>
      <c r="AJ275" s="49"/>
      <c r="AK275" s="49"/>
      <c r="AL275" s="49" t="str">
        <f t="shared" si="14"/>
        <v>製番付構成比較一覧表</v>
      </c>
      <c r="AM275" s="49" t="s">
        <v>35</v>
      </c>
      <c r="AN275" s="49" t="s">
        <v>1241</v>
      </c>
      <c r="AO275" s="51" t="str">
        <f t="shared" si="15"/>
        <v>引当優先順位Ｍ一覧表</v>
      </c>
      <c r="AP275" s="51" t="str">
        <f t="shared" si="16"/>
        <v>PD1271</v>
      </c>
      <c r="AQ275" s="51" t="s">
        <v>1240</v>
      </c>
      <c r="AR275" s="51" t="s">
        <v>1239</v>
      </c>
      <c r="AS275" s="49" t="str">
        <f t="shared" si="17"/>
        <v/>
      </c>
      <c r="AT275" s="49" t="str">
        <f t="shared" si="18"/>
        <v/>
      </c>
      <c r="AU275" s="49"/>
      <c r="AV275" s="49"/>
    </row>
    <row r="276" spans="1:48" ht="18" customHeight="1">
      <c r="A276" s="44">
        <v>274</v>
      </c>
      <c r="B276" s="71" t="s">
        <v>1076</v>
      </c>
      <c r="C276" s="52" t="s">
        <v>460</v>
      </c>
      <c r="D276" s="53" t="s">
        <v>116</v>
      </c>
      <c r="E276" s="59" t="s">
        <v>1242</v>
      </c>
      <c r="F276" s="44" t="s">
        <v>1241</v>
      </c>
      <c r="G276" s="44"/>
      <c r="H276" s="44"/>
      <c r="I276" s="44"/>
      <c r="J276" s="47" t="s">
        <v>35</v>
      </c>
      <c r="K276" s="47"/>
      <c r="L276" s="47"/>
      <c r="M276" s="47"/>
      <c r="N276" s="47"/>
      <c r="O276" s="44"/>
      <c r="P276" s="44"/>
      <c r="Q276" s="48">
        <f>VLOOKUP(E276,sheet1!$B$2:$D$3209,3,FALSE)</f>
        <v>44</v>
      </c>
      <c r="R276" s="47" t="s">
        <v>35</v>
      </c>
      <c r="S276" s="47" t="s">
        <v>35</v>
      </c>
      <c r="T276" s="47" t="s">
        <v>35</v>
      </c>
      <c r="U276" s="47" t="s">
        <v>296</v>
      </c>
      <c r="V276" s="47" t="s">
        <v>35</v>
      </c>
      <c r="W276" s="47" t="s">
        <v>35</v>
      </c>
      <c r="X276" s="47" t="s">
        <v>35</v>
      </c>
      <c r="Y276" s="47" t="s">
        <v>35</v>
      </c>
      <c r="Z276" s="47" t="s">
        <v>35</v>
      </c>
      <c r="AA276" s="47" t="s">
        <v>35</v>
      </c>
      <c r="AB276" s="47" t="s">
        <v>35</v>
      </c>
      <c r="AC276" s="47" t="s">
        <v>35</v>
      </c>
      <c r="AD276" s="63" t="str">
        <f>VLOOKUP(E276,sheet1!$B$2:$C$3209,2,FALSE)</f>
        <v>製番付構成・マスター比較表</v>
      </c>
      <c r="AE276" s="49"/>
      <c r="AF276" s="51" t="s">
        <v>1243</v>
      </c>
      <c r="AG276" s="51" t="s">
        <v>1244</v>
      </c>
      <c r="AH276" s="49" t="str">
        <f t="shared" si="13"/>
        <v>製番付構成比較一覧表</v>
      </c>
      <c r="AI276" s="49"/>
      <c r="AJ276" s="49"/>
      <c r="AK276" s="49"/>
      <c r="AL276" s="49" t="str">
        <f t="shared" si="14"/>
        <v>部構成比較表 印刷</v>
      </c>
      <c r="AM276" s="49" t="s">
        <v>35</v>
      </c>
      <c r="AN276" s="49" t="s">
        <v>1245</v>
      </c>
      <c r="AO276" s="51" t="str">
        <f t="shared" si="15"/>
        <v>製番付構成比較一覧表</v>
      </c>
      <c r="AP276" s="51" t="str">
        <f t="shared" si="16"/>
        <v>PD1280</v>
      </c>
      <c r="AQ276" s="51" t="s">
        <v>1243</v>
      </c>
      <c r="AR276" s="51" t="s">
        <v>1244</v>
      </c>
      <c r="AS276" s="49" t="str">
        <f t="shared" si="17"/>
        <v/>
      </c>
      <c r="AT276" s="49" t="str">
        <f t="shared" si="18"/>
        <v/>
      </c>
      <c r="AU276" s="49"/>
      <c r="AV276" s="49"/>
    </row>
    <row r="277" spans="1:48" ht="18" customHeight="1">
      <c r="A277" s="44">
        <v>275</v>
      </c>
      <c r="B277" s="71" t="s">
        <v>1076</v>
      </c>
      <c r="C277" s="52" t="s">
        <v>460</v>
      </c>
      <c r="D277" s="53" t="s">
        <v>116</v>
      </c>
      <c r="E277" s="59" t="s">
        <v>1246</v>
      </c>
      <c r="F277" s="44" t="s">
        <v>1247</v>
      </c>
      <c r="G277" s="44"/>
      <c r="H277" s="44"/>
      <c r="I277" s="44"/>
      <c r="J277" s="47" t="s">
        <v>35</v>
      </c>
      <c r="K277" s="47"/>
      <c r="L277" s="47"/>
      <c r="M277" s="47"/>
      <c r="N277" s="47"/>
      <c r="O277" s="44"/>
      <c r="P277" s="44"/>
      <c r="Q277" s="48">
        <f>VLOOKUP(E277,sheet1!$B$2:$D$3209,3,FALSE)</f>
        <v>746</v>
      </c>
      <c r="R277" s="47" t="s">
        <v>35</v>
      </c>
      <c r="S277" s="47" t="s">
        <v>35</v>
      </c>
      <c r="T277" s="47" t="s">
        <v>35</v>
      </c>
      <c r="U277" s="47" t="s">
        <v>296</v>
      </c>
      <c r="V277" s="47" t="s">
        <v>35</v>
      </c>
      <c r="W277" s="47" t="s">
        <v>35</v>
      </c>
      <c r="X277" s="47" t="s">
        <v>35</v>
      </c>
      <c r="Y277" s="47" t="s">
        <v>35</v>
      </c>
      <c r="Z277" s="47" t="s">
        <v>35</v>
      </c>
      <c r="AA277" s="47" t="s">
        <v>35</v>
      </c>
      <c r="AB277" s="47" t="s">
        <v>35</v>
      </c>
      <c r="AC277" s="47" t="s">
        <v>35</v>
      </c>
      <c r="AD277" s="63" t="str">
        <f>VLOOKUP(E277,sheet1!$B$2:$C$3209,2,FALSE)</f>
        <v>部品構成比較表指示</v>
      </c>
      <c r="AE277" s="49"/>
      <c r="AF277" s="51" t="s">
        <v>1248</v>
      </c>
      <c r="AG277" s="51" t="s">
        <v>1246</v>
      </c>
      <c r="AH277" s="49" t="str">
        <f t="shared" si="13"/>
        <v>部構成比較表 印刷</v>
      </c>
      <c r="AI277" s="49"/>
      <c r="AJ277" s="49"/>
      <c r="AK277" s="49"/>
      <c r="AL277" s="49" t="str">
        <f t="shared" si="14"/>
        <v>取引先Ｍ　一覧表</v>
      </c>
      <c r="AM277" s="49" t="s">
        <v>35</v>
      </c>
      <c r="AN277" s="49" t="s">
        <v>1249</v>
      </c>
      <c r="AO277" s="51" t="str">
        <f t="shared" si="15"/>
        <v>部構成比較表 印刷</v>
      </c>
      <c r="AP277" s="51" t="str">
        <f t="shared" si="16"/>
        <v>PD1090</v>
      </c>
      <c r="AQ277" s="51" t="s">
        <v>1248</v>
      </c>
      <c r="AR277" s="51" t="s">
        <v>1246</v>
      </c>
      <c r="AS277" s="49" t="str">
        <f t="shared" si="17"/>
        <v/>
      </c>
      <c r="AT277" s="49" t="str">
        <f t="shared" si="18"/>
        <v/>
      </c>
      <c r="AU277" s="49"/>
      <c r="AV277" s="49"/>
    </row>
    <row r="278" spans="1:48" ht="18" customHeight="1">
      <c r="A278" s="44">
        <v>276</v>
      </c>
      <c r="B278" s="71" t="s">
        <v>1076</v>
      </c>
      <c r="C278" s="52" t="s">
        <v>460</v>
      </c>
      <c r="D278" s="53" t="s">
        <v>116</v>
      </c>
      <c r="E278" s="59" t="s">
        <v>1250</v>
      </c>
      <c r="F278" s="44" t="s">
        <v>1251</v>
      </c>
      <c r="G278" s="44"/>
      <c r="H278" s="44"/>
      <c r="I278" s="44"/>
      <c r="J278" s="47" t="s">
        <v>35</v>
      </c>
      <c r="K278" s="47"/>
      <c r="L278" s="47"/>
      <c r="M278" s="47"/>
      <c r="N278" s="47"/>
      <c r="O278" s="44"/>
      <c r="P278" s="44"/>
      <c r="Q278" s="48">
        <f>VLOOKUP(E278,sheet1!$B$2:$D$3209,3,FALSE)</f>
        <v>25</v>
      </c>
      <c r="R278" s="47" t="s">
        <v>35</v>
      </c>
      <c r="S278" s="47" t="s">
        <v>296</v>
      </c>
      <c r="T278" s="47"/>
      <c r="U278" s="47" t="s">
        <v>296</v>
      </c>
      <c r="V278" s="47" t="s">
        <v>296</v>
      </c>
      <c r="W278" s="47" t="s">
        <v>296</v>
      </c>
      <c r="X278" s="47" t="s">
        <v>296</v>
      </c>
      <c r="Y278" s="47" t="s">
        <v>296</v>
      </c>
      <c r="Z278" s="47" t="s">
        <v>296</v>
      </c>
      <c r="AA278" s="47" t="s">
        <v>296</v>
      </c>
      <c r="AB278" s="47"/>
      <c r="AC278" s="47" t="s">
        <v>35</v>
      </c>
      <c r="AD278" s="63" t="str">
        <f>VLOOKUP(E278,sheet1!$B$2:$C$3209,2,FALSE)</f>
        <v>生産中機種使用品目使途</v>
      </c>
      <c r="AE278" s="49"/>
      <c r="AF278" s="51" t="s">
        <v>1252</v>
      </c>
      <c r="AG278" s="51" t="s">
        <v>1250</v>
      </c>
      <c r="AH278" s="49" t="str">
        <f t="shared" si="13"/>
        <v>生産中機種使用品目使途</v>
      </c>
      <c r="AI278" s="49"/>
      <c r="AJ278" s="49"/>
      <c r="AK278" s="49"/>
      <c r="AL278" s="49" t="str">
        <f t="shared" si="14"/>
        <v>仕入先Ｍ　一覧表</v>
      </c>
      <c r="AM278" s="49" t="s">
        <v>35</v>
      </c>
      <c r="AN278" s="49" t="s">
        <v>1253</v>
      </c>
      <c r="AO278" s="51" t="str">
        <f t="shared" si="15"/>
        <v/>
      </c>
      <c r="AP278" s="51" t="str">
        <f t="shared" si="16"/>
        <v/>
      </c>
      <c r="AQ278" s="51"/>
      <c r="AR278" s="51"/>
      <c r="AS278" s="49" t="str">
        <f t="shared" si="17"/>
        <v/>
      </c>
      <c r="AT278" s="49" t="str">
        <f t="shared" si="18"/>
        <v/>
      </c>
      <c r="AU278" s="49"/>
      <c r="AV278" s="49"/>
    </row>
    <row r="279" spans="1:48" ht="18" customHeight="1">
      <c r="A279" s="44">
        <v>277</v>
      </c>
      <c r="B279" s="71" t="s">
        <v>1076</v>
      </c>
      <c r="C279" s="52" t="s">
        <v>460</v>
      </c>
      <c r="D279" s="53" t="s">
        <v>116</v>
      </c>
      <c r="E279" s="70" t="s">
        <v>1254</v>
      </c>
      <c r="F279" s="44" t="s">
        <v>1255</v>
      </c>
      <c r="G279" s="44"/>
      <c r="H279" s="44"/>
      <c r="I279" s="44"/>
      <c r="J279" s="47" t="s">
        <v>35</v>
      </c>
      <c r="K279" s="47"/>
      <c r="L279" s="47"/>
      <c r="M279" s="47"/>
      <c r="N279" s="47"/>
      <c r="O279" s="44"/>
      <c r="P279" s="44"/>
      <c r="Q279" s="48" t="e">
        <f>VLOOKUP(E279,sheet1!$B$2:$D$3209,3,FALSE)</f>
        <v>#N/A</v>
      </c>
      <c r="R279" s="47" t="s">
        <v>35</v>
      </c>
      <c r="S279" s="47" t="s">
        <v>296</v>
      </c>
      <c r="T279" s="47"/>
      <c r="U279" s="47" t="s">
        <v>296</v>
      </c>
      <c r="V279" s="47" t="s">
        <v>296</v>
      </c>
      <c r="W279" s="47" t="s">
        <v>296</v>
      </c>
      <c r="X279" s="47" t="s">
        <v>296</v>
      </c>
      <c r="Y279" s="47" t="s">
        <v>296</v>
      </c>
      <c r="Z279" s="47" t="s">
        <v>296</v>
      </c>
      <c r="AA279" s="47" t="s">
        <v>296</v>
      </c>
      <c r="AB279" s="47"/>
      <c r="AC279" s="47" t="s">
        <v>35</v>
      </c>
      <c r="AD279" s="63" t="e">
        <f>VLOOKUP(E279,sheet1!$B$2:$C$3209,2,FALSE)</f>
        <v>#N/A</v>
      </c>
      <c r="AE279" s="49"/>
      <c r="AF279" s="51" t="s">
        <v>1256</v>
      </c>
      <c r="AG279" s="51" t="s">
        <v>1254</v>
      </c>
      <c r="AH279" s="49" t="str">
        <f t="shared" si="13"/>
        <v>ｺﾝﾄﾛｰﾙＭ　一覧表</v>
      </c>
      <c r="AI279" s="49"/>
      <c r="AJ279" s="49"/>
      <c r="AK279" s="49"/>
      <c r="AL279" s="49" t="str">
        <f t="shared" si="14"/>
        <v>組織Ｍ　一覧表</v>
      </c>
      <c r="AM279" s="49" t="s">
        <v>35</v>
      </c>
      <c r="AN279" s="49" t="s">
        <v>1257</v>
      </c>
      <c r="AO279" s="51" t="str">
        <f t="shared" si="15"/>
        <v/>
      </c>
      <c r="AP279" s="51" t="str">
        <f t="shared" si="16"/>
        <v/>
      </c>
      <c r="AQ279" s="51"/>
      <c r="AR279" s="51"/>
      <c r="AS279" s="49" t="str">
        <f t="shared" si="17"/>
        <v/>
      </c>
      <c r="AT279" s="49" t="str">
        <f t="shared" si="18"/>
        <v/>
      </c>
      <c r="AU279" s="49"/>
      <c r="AV279" s="49"/>
    </row>
    <row r="280" spans="1:48" ht="18" customHeight="1">
      <c r="A280" s="44">
        <v>278</v>
      </c>
      <c r="B280" s="71" t="s">
        <v>1076</v>
      </c>
      <c r="C280" s="52" t="s">
        <v>460</v>
      </c>
      <c r="D280" s="53" t="s">
        <v>116</v>
      </c>
      <c r="E280" s="59" t="s">
        <v>1258</v>
      </c>
      <c r="F280" s="44" t="s">
        <v>1259</v>
      </c>
      <c r="G280" s="44"/>
      <c r="H280" s="44"/>
      <c r="I280" s="44"/>
      <c r="J280" s="47" t="s">
        <v>35</v>
      </c>
      <c r="K280" s="47"/>
      <c r="L280" s="47"/>
      <c r="M280" s="47"/>
      <c r="N280" s="47"/>
      <c r="O280" s="44"/>
      <c r="P280" s="44"/>
      <c r="Q280" s="48">
        <f>VLOOKUP(E280,sheet1!$B$2:$D$3209,3,FALSE)</f>
        <v>384</v>
      </c>
      <c r="R280" s="47" t="s">
        <v>35</v>
      </c>
      <c r="S280" s="47" t="s">
        <v>35</v>
      </c>
      <c r="T280" s="47" t="s">
        <v>35</v>
      </c>
      <c r="U280" s="47" t="s">
        <v>296</v>
      </c>
      <c r="V280" s="47" t="s">
        <v>35</v>
      </c>
      <c r="W280" s="47" t="s">
        <v>35</v>
      </c>
      <c r="X280" s="47" t="s">
        <v>35</v>
      </c>
      <c r="Y280" s="47" t="s">
        <v>35</v>
      </c>
      <c r="Z280" s="47" t="s">
        <v>35</v>
      </c>
      <c r="AA280" s="47" t="s">
        <v>35</v>
      </c>
      <c r="AB280" s="47" t="s">
        <v>35</v>
      </c>
      <c r="AC280" s="47" t="s">
        <v>35</v>
      </c>
      <c r="AD280" s="63" t="str">
        <f>VLOOKUP(E280,sheet1!$B$2:$C$3209,2,FALSE)</f>
        <v>取引先マスター一覧表                        JCM</v>
      </c>
      <c r="AE280" s="49"/>
      <c r="AF280" s="51" t="s">
        <v>1260</v>
      </c>
      <c r="AG280" s="51" t="s">
        <v>1258</v>
      </c>
      <c r="AH280" s="49" t="str">
        <f t="shared" si="13"/>
        <v>取引先Ｍ　一覧表</v>
      </c>
      <c r="AI280" s="49"/>
      <c r="AJ280" s="49"/>
      <c r="AK280" s="49"/>
      <c r="AL280" s="49" t="str">
        <f t="shared" si="14"/>
        <v>税率Ｍ　一覧表</v>
      </c>
      <c r="AM280" s="49" t="s">
        <v>35</v>
      </c>
      <c r="AN280" s="49" t="s">
        <v>1261</v>
      </c>
      <c r="AO280" s="51" t="str">
        <f t="shared" si="15"/>
        <v>取引先Ｍ　一覧表</v>
      </c>
      <c r="AP280" s="51" t="str">
        <f t="shared" si="16"/>
        <v>PD1130</v>
      </c>
      <c r="AQ280" s="51" t="s">
        <v>1260</v>
      </c>
      <c r="AR280" s="51" t="s">
        <v>1258</v>
      </c>
      <c r="AS280" s="49" t="str">
        <f t="shared" si="17"/>
        <v/>
      </c>
      <c r="AT280" s="49" t="str">
        <f t="shared" si="18"/>
        <v/>
      </c>
      <c r="AU280" s="49"/>
      <c r="AV280" s="49"/>
    </row>
    <row r="281" spans="1:48" ht="18" customHeight="1">
      <c r="A281" s="44">
        <v>279</v>
      </c>
      <c r="B281" s="71" t="s">
        <v>1076</v>
      </c>
      <c r="C281" s="52" t="s">
        <v>460</v>
      </c>
      <c r="D281" s="53" t="s">
        <v>116</v>
      </c>
      <c r="E281" s="59" t="s">
        <v>1262</v>
      </c>
      <c r="F281" s="44" t="s">
        <v>1263</v>
      </c>
      <c r="G281" s="44"/>
      <c r="H281" s="44"/>
      <c r="I281" s="44"/>
      <c r="J281" s="47" t="s">
        <v>35</v>
      </c>
      <c r="K281" s="47"/>
      <c r="L281" s="47"/>
      <c r="M281" s="47"/>
      <c r="N281" s="47"/>
      <c r="O281" s="44"/>
      <c r="P281" s="44"/>
      <c r="Q281" s="48">
        <f>VLOOKUP(E281,sheet1!$B$2:$D$3209,3,FALSE)</f>
        <v>546</v>
      </c>
      <c r="R281" s="47" t="s">
        <v>35</v>
      </c>
      <c r="S281" s="47" t="s">
        <v>35</v>
      </c>
      <c r="T281" s="47" t="s">
        <v>35</v>
      </c>
      <c r="U281" s="47" t="s">
        <v>296</v>
      </c>
      <c r="V281" s="47" t="s">
        <v>35</v>
      </c>
      <c r="W281" s="47" t="s">
        <v>35</v>
      </c>
      <c r="X281" s="47" t="s">
        <v>35</v>
      </c>
      <c r="Y281" s="47" t="s">
        <v>35</v>
      </c>
      <c r="Z281" s="47" t="s">
        <v>35</v>
      </c>
      <c r="AA281" s="47" t="s">
        <v>35</v>
      </c>
      <c r="AB281" s="47" t="s">
        <v>35</v>
      </c>
      <c r="AC281" s="47" t="s">
        <v>35</v>
      </c>
      <c r="AD281" s="63" t="str">
        <f>VLOOKUP(E281,sheet1!$B$2:$C$3209,2,FALSE)</f>
        <v>仕入先マスター一覧表                        JCM</v>
      </c>
      <c r="AE281" s="49"/>
      <c r="AF281" s="51" t="s">
        <v>1264</v>
      </c>
      <c r="AG281" s="51" t="s">
        <v>1262</v>
      </c>
      <c r="AH281" s="49" t="str">
        <f t="shared" si="13"/>
        <v>仕入先Ｍ　一覧表</v>
      </c>
      <c r="AI281" s="49"/>
      <c r="AJ281" s="49"/>
      <c r="AK281" s="49"/>
      <c r="AL281" s="49" t="str">
        <f t="shared" si="14"/>
        <v>作業項目Ｍ　一覧表</v>
      </c>
      <c r="AM281" s="49" t="s">
        <v>35</v>
      </c>
      <c r="AN281" s="49" t="s">
        <v>1265</v>
      </c>
      <c r="AO281" s="51" t="str">
        <f t="shared" si="15"/>
        <v>仕入先Ｍ　一覧表</v>
      </c>
      <c r="AP281" s="51" t="str">
        <f t="shared" si="16"/>
        <v>PD1160</v>
      </c>
      <c r="AQ281" s="51" t="s">
        <v>1264</v>
      </c>
      <c r="AR281" s="51" t="s">
        <v>1262</v>
      </c>
      <c r="AS281" s="49" t="str">
        <f t="shared" si="17"/>
        <v/>
      </c>
      <c r="AT281" s="49" t="str">
        <f t="shared" si="18"/>
        <v/>
      </c>
      <c r="AU281" s="49"/>
      <c r="AV281" s="49"/>
    </row>
    <row r="282" spans="1:48" ht="18" customHeight="1">
      <c r="A282" s="44">
        <v>280</v>
      </c>
      <c r="B282" s="71" t="s">
        <v>1076</v>
      </c>
      <c r="C282" s="52" t="s">
        <v>460</v>
      </c>
      <c r="D282" s="53" t="s">
        <v>116</v>
      </c>
      <c r="E282" s="59" t="s">
        <v>1266</v>
      </c>
      <c r="F282" s="44" t="s">
        <v>1267</v>
      </c>
      <c r="G282" s="44"/>
      <c r="H282" s="44"/>
      <c r="I282" s="44"/>
      <c r="J282" s="47" t="s">
        <v>35</v>
      </c>
      <c r="K282" s="47"/>
      <c r="L282" s="47"/>
      <c r="M282" s="47"/>
      <c r="N282" s="47"/>
      <c r="O282" s="44"/>
      <c r="P282" s="44"/>
      <c r="Q282" s="48">
        <f>VLOOKUP(E282,sheet1!$B$2:$D$3209,3,FALSE)</f>
        <v>246</v>
      </c>
      <c r="R282" s="47" t="s">
        <v>35</v>
      </c>
      <c r="S282" s="47" t="s">
        <v>35</v>
      </c>
      <c r="T282" s="47" t="s">
        <v>35</v>
      </c>
      <c r="U282" s="47" t="s">
        <v>296</v>
      </c>
      <c r="V282" s="47" t="s">
        <v>35</v>
      </c>
      <c r="W282" s="47" t="s">
        <v>35</v>
      </c>
      <c r="X282" s="47" t="s">
        <v>35</v>
      </c>
      <c r="Y282" s="47" t="s">
        <v>35</v>
      </c>
      <c r="Z282" s="47" t="s">
        <v>35</v>
      </c>
      <c r="AA282" s="47" t="s">
        <v>35</v>
      </c>
      <c r="AB282" s="47" t="s">
        <v>35</v>
      </c>
      <c r="AC282" s="47" t="s">
        <v>35</v>
      </c>
      <c r="AD282" s="63" t="str">
        <f>VLOOKUP(E282,sheet1!$B$2:$C$3209,2,FALSE)</f>
        <v>組織マスター一覧表                          JCM</v>
      </c>
      <c r="AE282" s="49"/>
      <c r="AF282" s="51" t="s">
        <v>1268</v>
      </c>
      <c r="AG282" s="51" t="s">
        <v>1266</v>
      </c>
      <c r="AH282" s="49" t="str">
        <f t="shared" si="13"/>
        <v>組織Ｍ　一覧表</v>
      </c>
      <c r="AI282" s="49"/>
      <c r="AJ282" s="49"/>
      <c r="AK282" s="49"/>
      <c r="AL282" s="49" t="str">
        <f t="shared" si="14"/>
        <v>摘要Ｍ　一覧表</v>
      </c>
      <c r="AM282" s="49" t="s">
        <v>35</v>
      </c>
      <c r="AN282" s="49" t="s">
        <v>1269</v>
      </c>
      <c r="AO282" s="51" t="str">
        <f t="shared" si="15"/>
        <v>組織Ｍ　一覧表</v>
      </c>
      <c r="AP282" s="51" t="str">
        <f t="shared" si="16"/>
        <v>PD9060</v>
      </c>
      <c r="AQ282" s="51" t="s">
        <v>1268</v>
      </c>
      <c r="AR282" s="51" t="s">
        <v>1188</v>
      </c>
      <c r="AS282" s="49" t="str">
        <f t="shared" si="17"/>
        <v/>
      </c>
      <c r="AT282" s="49" t="str">
        <f t="shared" si="18"/>
        <v/>
      </c>
      <c r="AU282" s="49"/>
      <c r="AV282" s="49"/>
    </row>
    <row r="283" spans="1:48" ht="18" customHeight="1">
      <c r="A283" s="44">
        <v>281</v>
      </c>
      <c r="B283" s="71" t="s">
        <v>1076</v>
      </c>
      <c r="C283" s="52" t="s">
        <v>460</v>
      </c>
      <c r="D283" s="53" t="s">
        <v>116</v>
      </c>
      <c r="E283" s="59" t="s">
        <v>1270</v>
      </c>
      <c r="F283" s="44" t="s">
        <v>1271</v>
      </c>
      <c r="G283" s="44"/>
      <c r="H283" s="44"/>
      <c r="I283" s="44"/>
      <c r="J283" s="47" t="s">
        <v>35</v>
      </c>
      <c r="K283" s="47"/>
      <c r="L283" s="47"/>
      <c r="M283" s="47"/>
      <c r="N283" s="47"/>
      <c r="O283" s="44"/>
      <c r="P283" s="44"/>
      <c r="Q283" s="48">
        <f>VLOOKUP(E283,sheet1!$B$2:$D$3209,3,FALSE)</f>
        <v>270</v>
      </c>
      <c r="R283" s="47" t="s">
        <v>35</v>
      </c>
      <c r="S283" s="47" t="s">
        <v>296</v>
      </c>
      <c r="T283" s="47" t="s">
        <v>35</v>
      </c>
      <c r="U283" s="47" t="s">
        <v>296</v>
      </c>
      <c r="V283" s="47" t="s">
        <v>296</v>
      </c>
      <c r="W283" s="47" t="s">
        <v>296</v>
      </c>
      <c r="X283" s="47" t="s">
        <v>296</v>
      </c>
      <c r="Y283" s="47" t="s">
        <v>296</v>
      </c>
      <c r="Z283" s="47" t="s">
        <v>296</v>
      </c>
      <c r="AA283" s="47" t="s">
        <v>296</v>
      </c>
      <c r="AB283" s="47"/>
      <c r="AC283" s="47" t="s">
        <v>35</v>
      </c>
      <c r="AD283" s="63" t="str">
        <f>VLOOKUP(E283,sheet1!$B$2:$C$3209,2,FALSE)</f>
        <v>パスワードマスター一覧表                    JCM</v>
      </c>
      <c r="AE283" s="49"/>
      <c r="AF283" s="51" t="s">
        <v>1272</v>
      </c>
      <c r="AG283" s="51" t="s">
        <v>1270</v>
      </c>
      <c r="AH283" s="49" t="str">
        <f t="shared" si="13"/>
        <v>パスワードＭ　一覧表</v>
      </c>
      <c r="AI283" s="49"/>
      <c r="AJ283" s="49"/>
      <c r="AK283" s="49"/>
      <c r="AL283" s="49"/>
      <c r="AM283" s="49"/>
      <c r="AN283" s="49"/>
      <c r="AO283" s="51" t="str">
        <f t="shared" si="15"/>
        <v/>
      </c>
      <c r="AP283" s="51" t="str">
        <f t="shared" si="16"/>
        <v/>
      </c>
      <c r="AQ283" s="51"/>
      <c r="AR283" s="51"/>
      <c r="AS283" s="49" t="str">
        <f t="shared" si="17"/>
        <v/>
      </c>
      <c r="AT283" s="49" t="str">
        <f t="shared" si="18"/>
        <v/>
      </c>
      <c r="AU283" s="49"/>
      <c r="AV283" s="49"/>
    </row>
    <row r="284" spans="1:48" ht="18" customHeight="1">
      <c r="A284" s="44">
        <v>282</v>
      </c>
      <c r="B284" s="71" t="s">
        <v>1076</v>
      </c>
      <c r="C284" s="52" t="s">
        <v>460</v>
      </c>
      <c r="D284" s="46" t="s">
        <v>116</v>
      </c>
      <c r="E284" s="59" t="s">
        <v>1160</v>
      </c>
      <c r="F284" s="44" t="s">
        <v>1273</v>
      </c>
      <c r="G284" s="44"/>
      <c r="H284" s="44"/>
      <c r="I284" s="44"/>
      <c r="J284" s="47" t="s">
        <v>35</v>
      </c>
      <c r="K284" s="47"/>
      <c r="L284" s="47"/>
      <c r="M284" s="47"/>
      <c r="N284" s="47"/>
      <c r="O284" s="44"/>
      <c r="P284" s="44"/>
      <c r="Q284" s="48">
        <f>VLOOKUP(E284,sheet1!$B$2:$D$3209,3,FALSE)</f>
        <v>15</v>
      </c>
      <c r="R284" s="47" t="s">
        <v>35</v>
      </c>
      <c r="S284" s="47" t="s">
        <v>296</v>
      </c>
      <c r="T284" s="47" t="s">
        <v>35</v>
      </c>
      <c r="U284" s="47" t="s">
        <v>296</v>
      </c>
      <c r="V284" s="47" t="s">
        <v>296</v>
      </c>
      <c r="W284" s="47" t="s">
        <v>296</v>
      </c>
      <c r="X284" s="47" t="s">
        <v>296</v>
      </c>
      <c r="Y284" s="47" t="s">
        <v>296</v>
      </c>
      <c r="Z284" s="47" t="s">
        <v>296</v>
      </c>
      <c r="AA284" s="47" t="s">
        <v>296</v>
      </c>
      <c r="AB284" s="47"/>
      <c r="AC284" s="47" t="s">
        <v>35</v>
      </c>
      <c r="AD284" s="63" t="str">
        <f>VLOOKUP(E284,sheet1!$B$2:$C$3209,2,FALSE)</f>
        <v>ＱＲＹ　OUTQﾌｧｲﾙ    一覧表</v>
      </c>
      <c r="AE284" s="49"/>
      <c r="AF284" s="51" t="s">
        <v>1274</v>
      </c>
      <c r="AG284" s="51" t="s">
        <v>1160</v>
      </c>
      <c r="AH284" s="49" t="str">
        <f t="shared" si="13"/>
        <v>ＯＵＴＱﾌｧｲﾙ一覧表</v>
      </c>
      <c r="AI284" s="49"/>
      <c r="AJ284" s="49"/>
      <c r="AK284" s="49"/>
      <c r="AL284" s="49"/>
      <c r="AM284" s="49"/>
      <c r="AN284" s="49"/>
      <c r="AO284" s="51" t="str">
        <f t="shared" si="15"/>
        <v/>
      </c>
      <c r="AP284" s="51" t="str">
        <f t="shared" si="16"/>
        <v/>
      </c>
      <c r="AQ284" s="51"/>
      <c r="AR284" s="51"/>
      <c r="AS284" s="49" t="str">
        <f t="shared" si="17"/>
        <v/>
      </c>
      <c r="AT284" s="49" t="str">
        <f t="shared" si="18"/>
        <v/>
      </c>
      <c r="AU284" s="49"/>
      <c r="AV284" s="49"/>
    </row>
    <row r="285" spans="1:48" ht="18" customHeight="1">
      <c r="A285" s="44">
        <v>283</v>
      </c>
      <c r="B285" s="71" t="s">
        <v>1076</v>
      </c>
      <c r="C285" s="52" t="s">
        <v>460</v>
      </c>
      <c r="D285" s="46" t="s">
        <v>116</v>
      </c>
      <c r="E285" s="59" t="s">
        <v>1275</v>
      </c>
      <c r="F285" s="44" t="s">
        <v>1276</v>
      </c>
      <c r="G285" s="44"/>
      <c r="H285" s="44"/>
      <c r="I285" s="44"/>
      <c r="J285" s="47" t="s">
        <v>35</v>
      </c>
      <c r="K285" s="47"/>
      <c r="L285" s="47"/>
      <c r="M285" s="47"/>
      <c r="N285" s="47"/>
      <c r="O285" s="44"/>
      <c r="P285" s="44"/>
      <c r="Q285" s="48">
        <f>VLOOKUP(E285,sheet1!$B$2:$D$3209,3,FALSE)</f>
        <v>15</v>
      </c>
      <c r="R285" s="47" t="s">
        <v>35</v>
      </c>
      <c r="S285" s="47" t="s">
        <v>35</v>
      </c>
      <c r="T285" s="47" t="s">
        <v>35</v>
      </c>
      <c r="U285" s="47" t="s">
        <v>296</v>
      </c>
      <c r="V285" s="47" t="s">
        <v>296</v>
      </c>
      <c r="W285" s="47" t="s">
        <v>35</v>
      </c>
      <c r="X285" s="47" t="s">
        <v>35</v>
      </c>
      <c r="Y285" s="47" t="s">
        <v>35</v>
      </c>
      <c r="Z285" s="47" t="s">
        <v>35</v>
      </c>
      <c r="AA285" s="47" t="s">
        <v>35</v>
      </c>
      <c r="AB285" s="47" t="s">
        <v>35</v>
      </c>
      <c r="AC285" s="47" t="s">
        <v>35</v>
      </c>
      <c r="AD285" s="63" t="str">
        <f>VLOOKUP(E285,sheet1!$B$2:$C$3209,2,FALSE)</f>
        <v>ＱＲＹ　税率  ﾏｽﾀｰ一覧表</v>
      </c>
      <c r="AE285" s="49"/>
      <c r="AF285" s="51" t="s">
        <v>1277</v>
      </c>
      <c r="AG285" s="51" t="s">
        <v>1275</v>
      </c>
      <c r="AH285" s="49" t="str">
        <f t="shared" si="13"/>
        <v>税率Ｍ　一覧表</v>
      </c>
      <c r="AI285" s="49"/>
      <c r="AJ285" s="49"/>
      <c r="AK285" s="49"/>
      <c r="AL285" s="49"/>
      <c r="AM285" s="49"/>
      <c r="AN285" s="49"/>
      <c r="AO285" s="51" t="str">
        <f t="shared" si="15"/>
        <v>税率Ｍ　一覧表</v>
      </c>
      <c r="AP285" s="51" t="str">
        <f t="shared" si="16"/>
        <v>PD9060</v>
      </c>
      <c r="AQ285" s="51" t="s">
        <v>1277</v>
      </c>
      <c r="AR285" s="51" t="s">
        <v>1188</v>
      </c>
      <c r="AS285" s="49" t="str">
        <f t="shared" si="17"/>
        <v/>
      </c>
      <c r="AT285" s="49" t="str">
        <f t="shared" si="18"/>
        <v/>
      </c>
      <c r="AU285" s="49"/>
      <c r="AV285" s="49"/>
    </row>
    <row r="286" spans="1:48" ht="18" customHeight="1">
      <c r="A286" s="44">
        <v>284</v>
      </c>
      <c r="B286" s="71" t="s">
        <v>1076</v>
      </c>
      <c r="C286" s="52" t="s">
        <v>460</v>
      </c>
      <c r="D286" s="46" t="s">
        <v>116</v>
      </c>
      <c r="E286" s="59" t="s">
        <v>1278</v>
      </c>
      <c r="F286" s="44" t="s">
        <v>1279</v>
      </c>
      <c r="G286" s="44"/>
      <c r="H286" s="44"/>
      <c r="I286" s="44"/>
      <c r="J286" s="47" t="s">
        <v>35</v>
      </c>
      <c r="K286" s="47"/>
      <c r="L286" s="47"/>
      <c r="M286" s="47"/>
      <c r="N286" s="47"/>
      <c r="O286" s="44"/>
      <c r="P286" s="44"/>
      <c r="Q286" s="48">
        <f>VLOOKUP(E286,sheet1!$B$2:$D$3209,3,FALSE)</f>
        <v>15</v>
      </c>
      <c r="R286" s="47" t="s">
        <v>35</v>
      </c>
      <c r="S286" s="47" t="s">
        <v>35</v>
      </c>
      <c r="T286" s="47" t="s">
        <v>35</v>
      </c>
      <c r="U286" s="47" t="s">
        <v>296</v>
      </c>
      <c r="V286" s="47" t="s">
        <v>296</v>
      </c>
      <c r="W286" s="47" t="s">
        <v>35</v>
      </c>
      <c r="X286" s="47" t="s">
        <v>35</v>
      </c>
      <c r="Y286" s="47" t="s">
        <v>35</v>
      </c>
      <c r="Z286" s="47" t="s">
        <v>35</v>
      </c>
      <c r="AA286" s="47" t="s">
        <v>35</v>
      </c>
      <c r="AB286" s="47" t="s">
        <v>35</v>
      </c>
      <c r="AC286" s="47" t="s">
        <v>35</v>
      </c>
      <c r="AD286" s="63" t="str">
        <f>VLOOKUP(E286,sheet1!$B$2:$C$3209,2,FALSE)</f>
        <v>ＱＲＹ　作業項目ﾏｽﾀｰ一覧表</v>
      </c>
      <c r="AE286" s="49"/>
      <c r="AF286" s="51" t="s">
        <v>1280</v>
      </c>
      <c r="AG286" s="51" t="s">
        <v>1278</v>
      </c>
      <c r="AH286" s="49" t="str">
        <f t="shared" si="13"/>
        <v>作業項目Ｍ　一覧表</v>
      </c>
      <c r="AI286" s="49"/>
      <c r="AJ286" s="49"/>
      <c r="AK286" s="49"/>
      <c r="AL286" s="49"/>
      <c r="AM286" s="49"/>
      <c r="AN286" s="49"/>
      <c r="AO286" s="51" t="str">
        <f t="shared" si="15"/>
        <v>作業項目Ｍ　一覧表</v>
      </c>
      <c r="AP286" s="51" t="str">
        <f t="shared" si="16"/>
        <v>PD9060</v>
      </c>
      <c r="AQ286" s="51" t="s">
        <v>1280</v>
      </c>
      <c r="AR286" s="51" t="s">
        <v>1188</v>
      </c>
      <c r="AS286" s="49" t="str">
        <f t="shared" si="17"/>
        <v/>
      </c>
      <c r="AT286" s="49" t="str">
        <f t="shared" si="18"/>
        <v/>
      </c>
      <c r="AU286" s="49"/>
      <c r="AV286" s="49"/>
    </row>
    <row r="287" spans="1:48" ht="18" customHeight="1">
      <c r="A287" s="44">
        <v>285</v>
      </c>
      <c r="B287" s="71" t="s">
        <v>1076</v>
      </c>
      <c r="C287" s="52" t="s">
        <v>460</v>
      </c>
      <c r="D287" s="46" t="s">
        <v>116</v>
      </c>
      <c r="E287" s="44" t="s">
        <v>1120</v>
      </c>
      <c r="F287" s="44" t="s">
        <v>1281</v>
      </c>
      <c r="G287" s="44"/>
      <c r="H287" s="44"/>
      <c r="I287" s="44"/>
      <c r="J287" s="47" t="s">
        <v>35</v>
      </c>
      <c r="K287" s="47"/>
      <c r="L287" s="47"/>
      <c r="M287" s="47"/>
      <c r="N287" s="47"/>
      <c r="O287" s="44"/>
      <c r="P287" s="44"/>
      <c r="Q287" s="48">
        <f>VLOOKUP(E287,sheet1!$B$2:$D$3209,3,FALSE)</f>
        <v>15</v>
      </c>
      <c r="R287" s="47" t="s">
        <v>35</v>
      </c>
      <c r="S287" s="47" t="s">
        <v>35</v>
      </c>
      <c r="T287" s="47" t="s">
        <v>35</v>
      </c>
      <c r="U287" s="47" t="s">
        <v>296</v>
      </c>
      <c r="V287" s="47" t="s">
        <v>296</v>
      </c>
      <c r="W287" s="47" t="s">
        <v>35</v>
      </c>
      <c r="X287" s="47" t="s">
        <v>35</v>
      </c>
      <c r="Y287" s="47" t="s">
        <v>35</v>
      </c>
      <c r="Z287" s="47" t="s">
        <v>35</v>
      </c>
      <c r="AA287" s="47" t="s">
        <v>35</v>
      </c>
      <c r="AB287" s="47" t="s">
        <v>35</v>
      </c>
      <c r="AC287" s="47" t="s">
        <v>35</v>
      </c>
      <c r="AD287" s="63" t="str">
        <f>VLOOKUP(E287,sheet1!$B$2:$C$3209,2,FALSE)</f>
        <v>ＱＲＹ　摘要  ﾏｽﾀｰ一覧表</v>
      </c>
      <c r="AE287" s="49"/>
      <c r="AF287" s="51" t="s">
        <v>1282</v>
      </c>
      <c r="AG287" s="51" t="s">
        <v>1120</v>
      </c>
      <c r="AH287" s="49" t="str">
        <f t="shared" si="13"/>
        <v>摘要Ｍ　一覧表</v>
      </c>
      <c r="AI287" s="49"/>
      <c r="AJ287" s="49"/>
      <c r="AK287" s="49"/>
      <c r="AL287" s="49"/>
      <c r="AM287" s="49"/>
      <c r="AN287" s="49"/>
      <c r="AO287" s="51" t="str">
        <f t="shared" si="15"/>
        <v>摘要Ｍ　一覧表</v>
      </c>
      <c r="AP287" s="51" t="str">
        <f t="shared" si="16"/>
        <v>PD9060</v>
      </c>
      <c r="AQ287" s="51" t="s">
        <v>1282</v>
      </c>
      <c r="AR287" s="51" t="s">
        <v>1188</v>
      </c>
      <c r="AS287" s="49" t="str">
        <f t="shared" si="17"/>
        <v/>
      </c>
      <c r="AT287" s="49" t="str">
        <f t="shared" si="18"/>
        <v/>
      </c>
      <c r="AU287" s="49"/>
      <c r="AV287" s="49"/>
    </row>
    <row r="288" spans="1:48" ht="18" customHeight="1">
      <c r="A288" s="44">
        <v>286</v>
      </c>
      <c r="B288" s="71" t="s">
        <v>1076</v>
      </c>
      <c r="C288" s="52" t="s">
        <v>460</v>
      </c>
      <c r="D288" s="46" t="s">
        <v>116</v>
      </c>
      <c r="E288" s="44" t="s">
        <v>1283</v>
      </c>
      <c r="F288" s="44" t="s">
        <v>1284</v>
      </c>
      <c r="G288" s="44"/>
      <c r="H288" s="44"/>
      <c r="I288" s="44"/>
      <c r="J288" s="47" t="s">
        <v>35</v>
      </c>
      <c r="K288" s="47"/>
      <c r="L288" s="47"/>
      <c r="M288" s="47"/>
      <c r="N288" s="47"/>
      <c r="O288" s="44"/>
      <c r="P288" s="44"/>
      <c r="Q288" s="48" t="e">
        <f>VLOOKUP(E288,sheet1!$B$2:$D$3209,3,FALSE)</f>
        <v>#N/A</v>
      </c>
      <c r="R288" s="47" t="s">
        <v>35</v>
      </c>
      <c r="S288" s="47" t="s">
        <v>296</v>
      </c>
      <c r="T288" s="47"/>
      <c r="U288" s="47" t="s">
        <v>296</v>
      </c>
      <c r="V288" s="47" t="s">
        <v>296</v>
      </c>
      <c r="W288" s="47" t="s">
        <v>296</v>
      </c>
      <c r="X288" s="47" t="s">
        <v>296</v>
      </c>
      <c r="Y288" s="47" t="s">
        <v>296</v>
      </c>
      <c r="Z288" s="47" t="s">
        <v>296</v>
      </c>
      <c r="AA288" s="47" t="s">
        <v>296</v>
      </c>
      <c r="AB288" s="47"/>
      <c r="AC288" s="47" t="s">
        <v>35</v>
      </c>
      <c r="AD288" s="63" t="e">
        <f>VLOOKUP(E288,sheet1!$B$2:$C$3209,2,FALSE)</f>
        <v>#N/A</v>
      </c>
      <c r="AE288" s="49"/>
      <c r="AF288" s="51" t="s">
        <v>1285</v>
      </c>
      <c r="AG288" s="51" t="s">
        <v>1283</v>
      </c>
      <c r="AH288" s="49" t="str">
        <f t="shared" si="13"/>
        <v>開示区分関わるﾁｪｯｸ</v>
      </c>
      <c r="AI288" s="49"/>
      <c r="AJ288" s="49"/>
      <c r="AK288" s="49"/>
      <c r="AL288" s="49"/>
      <c r="AM288" s="49"/>
      <c r="AN288" s="49"/>
      <c r="AO288" s="51" t="str">
        <f t="shared" si="15"/>
        <v/>
      </c>
      <c r="AP288" s="51" t="str">
        <f t="shared" si="16"/>
        <v/>
      </c>
      <c r="AQ288" s="51"/>
      <c r="AR288" s="51"/>
      <c r="AS288" s="49" t="str">
        <f t="shared" si="17"/>
        <v/>
      </c>
      <c r="AT288" s="49" t="str">
        <f t="shared" si="18"/>
        <v/>
      </c>
      <c r="AU288" s="49"/>
      <c r="AV288" s="49"/>
    </row>
    <row r="289" spans="1:48" ht="18" customHeight="1">
      <c r="A289" s="44">
        <v>287</v>
      </c>
      <c r="B289" s="71" t="s">
        <v>1076</v>
      </c>
      <c r="C289" s="45" t="s">
        <v>382</v>
      </c>
      <c r="D289" s="46" t="s">
        <v>116</v>
      </c>
      <c r="E289" s="44" t="s">
        <v>1286</v>
      </c>
      <c r="F289" s="44" t="s">
        <v>1287</v>
      </c>
      <c r="G289" s="44"/>
      <c r="H289" s="44"/>
      <c r="I289" s="44"/>
      <c r="J289" s="47" t="s">
        <v>35</v>
      </c>
      <c r="K289" s="47"/>
      <c r="L289" s="47"/>
      <c r="M289" s="47"/>
      <c r="N289" s="47"/>
      <c r="O289" s="44"/>
      <c r="P289" s="44"/>
      <c r="Q289" s="48">
        <f>VLOOKUP(E289,sheet1!$B$2:$D$3209,3,FALSE)</f>
        <v>784</v>
      </c>
      <c r="R289" s="47" t="s">
        <v>35</v>
      </c>
      <c r="S289" s="47" t="s">
        <v>35</v>
      </c>
      <c r="T289" s="47" t="s">
        <v>35</v>
      </c>
      <c r="U289" s="47" t="s">
        <v>296</v>
      </c>
      <c r="V289" s="47" t="s">
        <v>35</v>
      </c>
      <c r="W289" s="47" t="s">
        <v>35</v>
      </c>
      <c r="X289" s="47" t="s">
        <v>35</v>
      </c>
      <c r="Y289" s="47" t="s">
        <v>35</v>
      </c>
      <c r="Z289" s="47" t="s">
        <v>35</v>
      </c>
      <c r="AA289" s="47" t="s">
        <v>35</v>
      </c>
      <c r="AB289" s="47" t="s">
        <v>35</v>
      </c>
      <c r="AC289" s="47" t="s">
        <v>35</v>
      </c>
      <c r="AD289" s="63" t="str">
        <f>VLOOKUP(E289,sheet1!$B$2:$C$3209,2,FALSE)</f>
        <v>品目マスター照会</v>
      </c>
      <c r="AE289" s="49"/>
      <c r="AF289" s="49" t="s">
        <v>1288</v>
      </c>
      <c r="AG289" s="49" t="s">
        <v>1286</v>
      </c>
      <c r="AH289" s="49" t="str">
        <f t="shared" si="13"/>
        <v>品目Ｍ　照会</v>
      </c>
      <c r="AI289" s="49"/>
      <c r="AJ289" s="49"/>
      <c r="AK289" s="49"/>
      <c r="AL289" s="49" t="str">
        <f t="shared" ref="AL289:AL297" si="19">TRIM(AN289)</f>
        <v>品目Ｍ　照会</v>
      </c>
      <c r="AM289" s="49" t="s">
        <v>35</v>
      </c>
      <c r="AN289" s="49" t="s">
        <v>1289</v>
      </c>
      <c r="AO289" s="51" t="str">
        <f t="shared" si="15"/>
        <v>品目Ｍ　照会</v>
      </c>
      <c r="AP289" s="51" t="str">
        <f t="shared" si="16"/>
        <v>PD2010</v>
      </c>
      <c r="AQ289" s="51" t="s">
        <v>1290</v>
      </c>
      <c r="AR289" s="51" t="s">
        <v>1286</v>
      </c>
      <c r="AS289" s="49" t="str">
        <f t="shared" si="17"/>
        <v/>
      </c>
      <c r="AT289" s="49" t="str">
        <f t="shared" si="18"/>
        <v/>
      </c>
      <c r="AU289" s="49"/>
      <c r="AV289" s="49"/>
    </row>
    <row r="290" spans="1:48" ht="18" customHeight="1">
      <c r="A290" s="44">
        <v>288</v>
      </c>
      <c r="B290" s="71" t="s">
        <v>1076</v>
      </c>
      <c r="C290" s="52" t="s">
        <v>382</v>
      </c>
      <c r="D290" s="46" t="s">
        <v>116</v>
      </c>
      <c r="E290" s="44" t="s">
        <v>1291</v>
      </c>
      <c r="F290" s="44" t="s">
        <v>1292</v>
      </c>
      <c r="G290" s="44"/>
      <c r="H290" s="44"/>
      <c r="I290" s="44"/>
      <c r="J290" s="47" t="s">
        <v>35</v>
      </c>
      <c r="K290" s="47"/>
      <c r="L290" s="47"/>
      <c r="M290" s="47"/>
      <c r="N290" s="47"/>
      <c r="O290" s="44"/>
      <c r="P290" s="44"/>
      <c r="Q290" s="48">
        <f>VLOOKUP(E290,sheet1!$B$2:$D$3209,3,FALSE)</f>
        <v>465</v>
      </c>
      <c r="R290" s="47" t="s">
        <v>35</v>
      </c>
      <c r="S290" s="47" t="s">
        <v>35</v>
      </c>
      <c r="T290" s="47" t="s">
        <v>35</v>
      </c>
      <c r="U290" s="47" t="s">
        <v>296</v>
      </c>
      <c r="V290" s="47" t="s">
        <v>35</v>
      </c>
      <c r="W290" s="47" t="s">
        <v>35</v>
      </c>
      <c r="X290" s="47" t="s">
        <v>35</v>
      </c>
      <c r="Y290" s="47" t="s">
        <v>35</v>
      </c>
      <c r="Z290" s="47" t="s">
        <v>35</v>
      </c>
      <c r="AA290" s="47" t="s">
        <v>35</v>
      </c>
      <c r="AB290" s="47" t="s">
        <v>35</v>
      </c>
      <c r="AC290" s="47" t="s">
        <v>35</v>
      </c>
      <c r="AD290" s="63" t="str">
        <f>VLOOKUP(E290,sheet1!$B$2:$C$3209,2,FALSE)</f>
        <v>構成マスター照会（正／全）</v>
      </c>
      <c r="AE290" s="49"/>
      <c r="AF290" s="49" t="s">
        <v>1293</v>
      </c>
      <c r="AG290" s="49" t="s">
        <v>1291</v>
      </c>
      <c r="AH290" s="49" t="str">
        <f t="shared" si="13"/>
        <v>部品表　照会</v>
      </c>
      <c r="AI290" s="49"/>
      <c r="AJ290" s="49"/>
      <c r="AK290" s="49"/>
      <c r="AL290" s="49" t="str">
        <f t="shared" si="19"/>
        <v>部品表　照会</v>
      </c>
      <c r="AM290" s="49" t="s">
        <v>35</v>
      </c>
      <c r="AN290" s="49" t="s">
        <v>1294</v>
      </c>
      <c r="AO290" s="51" t="str">
        <f t="shared" si="15"/>
        <v>部品表　照会</v>
      </c>
      <c r="AP290" s="51" t="str">
        <f t="shared" si="16"/>
        <v>PD2045</v>
      </c>
      <c r="AQ290" s="51" t="s">
        <v>1295</v>
      </c>
      <c r="AR290" s="51" t="s">
        <v>1296</v>
      </c>
      <c r="AS290" s="49" t="str">
        <f t="shared" si="17"/>
        <v/>
      </c>
      <c r="AT290" s="49" t="str">
        <f t="shared" si="18"/>
        <v/>
      </c>
      <c r="AU290" s="49"/>
      <c r="AV290" s="49"/>
    </row>
    <row r="291" spans="1:48" ht="18" customHeight="1">
      <c r="A291" s="44">
        <v>289</v>
      </c>
      <c r="B291" s="71" t="s">
        <v>1076</v>
      </c>
      <c r="C291" s="52" t="s">
        <v>382</v>
      </c>
      <c r="D291" s="46" t="s">
        <v>116</v>
      </c>
      <c r="E291" s="44" t="s">
        <v>1297</v>
      </c>
      <c r="F291" s="44" t="s">
        <v>1298</v>
      </c>
      <c r="G291" s="44"/>
      <c r="H291" s="44"/>
      <c r="I291" s="44"/>
      <c r="J291" s="47" t="s">
        <v>35</v>
      </c>
      <c r="K291" s="47"/>
      <c r="L291" s="47"/>
      <c r="M291" s="47"/>
      <c r="N291" s="47"/>
      <c r="O291" s="44"/>
      <c r="P291" s="44"/>
      <c r="Q291" s="48">
        <f>VLOOKUP(E291,sheet1!$B$2:$D$3209,3,FALSE)</f>
        <v>497</v>
      </c>
      <c r="R291" s="47" t="s">
        <v>35</v>
      </c>
      <c r="S291" s="47" t="s">
        <v>35</v>
      </c>
      <c r="T291" s="47" t="s">
        <v>35</v>
      </c>
      <c r="U291" s="47" t="s">
        <v>296</v>
      </c>
      <c r="V291" s="47" t="s">
        <v>35</v>
      </c>
      <c r="W291" s="47" t="s">
        <v>35</v>
      </c>
      <c r="X291" s="47" t="s">
        <v>35</v>
      </c>
      <c r="Y291" s="47" t="s">
        <v>35</v>
      </c>
      <c r="Z291" s="47" t="s">
        <v>35</v>
      </c>
      <c r="AA291" s="47" t="s">
        <v>35</v>
      </c>
      <c r="AB291" s="47" t="s">
        <v>35</v>
      </c>
      <c r="AC291" s="47" t="s">
        <v>35</v>
      </c>
      <c r="AD291" s="63" t="str">
        <f>VLOOKUP(E291,sheet1!$B$2:$C$3209,2,FALSE)</f>
        <v>最終使途照会</v>
      </c>
      <c r="AE291" s="49"/>
      <c r="AF291" s="49" t="s">
        <v>1299</v>
      </c>
      <c r="AG291" s="49" t="s">
        <v>1297</v>
      </c>
      <c r="AH291" s="49" t="str">
        <f t="shared" si="13"/>
        <v>最終使途　照会</v>
      </c>
      <c r="AI291" s="49"/>
      <c r="AJ291" s="49"/>
      <c r="AK291" s="49"/>
      <c r="AL291" s="49" t="str">
        <f t="shared" si="19"/>
        <v>最終使途　照会</v>
      </c>
      <c r="AM291" s="49" t="s">
        <v>35</v>
      </c>
      <c r="AN291" s="49" t="s">
        <v>1300</v>
      </c>
      <c r="AO291" s="51" t="str">
        <f t="shared" si="15"/>
        <v>最終使途　照会</v>
      </c>
      <c r="AP291" s="51" t="str">
        <f t="shared" si="16"/>
        <v>PD2080</v>
      </c>
      <c r="AQ291" s="51" t="s">
        <v>1301</v>
      </c>
      <c r="AR291" s="51" t="s">
        <v>1297</v>
      </c>
      <c r="AS291" s="49" t="str">
        <f t="shared" si="17"/>
        <v/>
      </c>
      <c r="AT291" s="49" t="str">
        <f t="shared" si="18"/>
        <v/>
      </c>
      <c r="AU291" s="49"/>
      <c r="AV291" s="49"/>
    </row>
    <row r="292" spans="1:48" ht="18" customHeight="1">
      <c r="A292" s="44">
        <v>290</v>
      </c>
      <c r="B292" s="71" t="s">
        <v>1076</v>
      </c>
      <c r="C292" s="52" t="s">
        <v>382</v>
      </c>
      <c r="D292" s="46" t="s">
        <v>116</v>
      </c>
      <c r="E292" s="44" t="s">
        <v>1302</v>
      </c>
      <c r="F292" s="44" t="s">
        <v>1303</v>
      </c>
      <c r="G292" s="44"/>
      <c r="H292" s="44"/>
      <c r="I292" s="44"/>
      <c r="J292" s="47" t="s">
        <v>35</v>
      </c>
      <c r="K292" s="47"/>
      <c r="L292" s="47"/>
      <c r="M292" s="47"/>
      <c r="N292" s="47"/>
      <c r="O292" s="44"/>
      <c r="P292" s="44"/>
      <c r="Q292" s="48">
        <f>VLOOKUP(E292,sheet1!$B$2:$D$3209,3,FALSE)</f>
        <v>735</v>
      </c>
      <c r="R292" s="47" t="s">
        <v>35</v>
      </c>
      <c r="S292" s="47" t="s">
        <v>35</v>
      </c>
      <c r="T292" s="47" t="s">
        <v>35</v>
      </c>
      <c r="U292" s="47" t="s">
        <v>296</v>
      </c>
      <c r="V292" s="47" t="s">
        <v>35</v>
      </c>
      <c r="W292" s="47" t="s">
        <v>35</v>
      </c>
      <c r="X292" s="47" t="s">
        <v>35</v>
      </c>
      <c r="Y292" s="47" t="s">
        <v>35</v>
      </c>
      <c r="Z292" s="47" t="s">
        <v>35</v>
      </c>
      <c r="AA292" s="47" t="s">
        <v>35</v>
      </c>
      <c r="AB292" s="47" t="s">
        <v>35</v>
      </c>
      <c r="AC292" s="47" t="s">
        <v>35</v>
      </c>
      <c r="AD292" s="63" t="str">
        <f>VLOOKUP(E292,sheet1!$B$2:$C$3209,2,FALSE)</f>
        <v>部品構成比較指示</v>
      </c>
      <c r="AE292" s="49"/>
      <c r="AF292" s="49" t="s">
        <v>1304</v>
      </c>
      <c r="AG292" s="49" t="s">
        <v>1302</v>
      </c>
      <c r="AH292" s="49" t="str">
        <f t="shared" si="13"/>
        <v>部品構成比較表　作成</v>
      </c>
      <c r="AI292" s="49"/>
      <c r="AJ292" s="49"/>
      <c r="AK292" s="49"/>
      <c r="AL292" s="49" t="str">
        <f t="shared" si="19"/>
        <v>部品構成比較表　作成</v>
      </c>
      <c r="AM292" s="49" t="s">
        <v>35</v>
      </c>
      <c r="AN292" s="49" t="s">
        <v>1305</v>
      </c>
      <c r="AO292" s="51" t="str">
        <f t="shared" si="15"/>
        <v>部品構成比較表　作成</v>
      </c>
      <c r="AP292" s="51" t="str">
        <f t="shared" si="16"/>
        <v>PD2090</v>
      </c>
      <c r="AQ292" s="51" t="s">
        <v>1306</v>
      </c>
      <c r="AR292" s="51" t="s">
        <v>1302</v>
      </c>
      <c r="AS292" s="49" t="str">
        <f t="shared" si="17"/>
        <v/>
      </c>
      <c r="AT292" s="49" t="str">
        <f t="shared" si="18"/>
        <v/>
      </c>
      <c r="AU292" s="49"/>
      <c r="AV292" s="49"/>
    </row>
    <row r="293" spans="1:48" ht="18" customHeight="1">
      <c r="A293" s="44">
        <v>291</v>
      </c>
      <c r="B293" s="71" t="s">
        <v>1076</v>
      </c>
      <c r="C293" s="52" t="s">
        <v>382</v>
      </c>
      <c r="D293" s="46" t="s">
        <v>116</v>
      </c>
      <c r="E293" s="44" t="s">
        <v>1307</v>
      </c>
      <c r="F293" s="44" t="s">
        <v>1308</v>
      </c>
      <c r="G293" s="44"/>
      <c r="H293" s="44"/>
      <c r="I293" s="44"/>
      <c r="J293" s="47" t="s">
        <v>35</v>
      </c>
      <c r="K293" s="47"/>
      <c r="L293" s="47"/>
      <c r="M293" s="47"/>
      <c r="N293" s="47"/>
      <c r="O293" s="44"/>
      <c r="P293" s="44"/>
      <c r="Q293" s="48">
        <f>VLOOKUP(E293,sheet1!$B$2:$D$3209,3,FALSE)</f>
        <v>345</v>
      </c>
      <c r="R293" s="47" t="s">
        <v>35</v>
      </c>
      <c r="S293" s="47" t="s">
        <v>35</v>
      </c>
      <c r="T293" s="47" t="s">
        <v>35</v>
      </c>
      <c r="U293" s="47" t="s">
        <v>296</v>
      </c>
      <c r="V293" s="47" t="s">
        <v>35</v>
      </c>
      <c r="W293" s="47" t="s">
        <v>35</v>
      </c>
      <c r="X293" s="47" t="s">
        <v>35</v>
      </c>
      <c r="Y293" s="47" t="s">
        <v>35</v>
      </c>
      <c r="Z293" s="47" t="s">
        <v>35</v>
      </c>
      <c r="AA293" s="47" t="s">
        <v>35</v>
      </c>
      <c r="AB293" s="47" t="s">
        <v>35</v>
      </c>
      <c r="AC293" s="47" t="s">
        <v>35</v>
      </c>
      <c r="AD293" s="63" t="str">
        <f>VLOOKUP(E293,sheet1!$B$2:$C$3209,2,FALSE)</f>
        <v>同等品マスター照会</v>
      </c>
      <c r="AE293" s="49"/>
      <c r="AF293" s="49" t="s">
        <v>1309</v>
      </c>
      <c r="AG293" s="49" t="s">
        <v>1307</v>
      </c>
      <c r="AH293" s="49" t="str">
        <f t="shared" si="13"/>
        <v>同等品Ｍ　照会</v>
      </c>
      <c r="AI293" s="49"/>
      <c r="AJ293" s="49"/>
      <c r="AK293" s="49"/>
      <c r="AL293" s="49" t="str">
        <f t="shared" si="19"/>
        <v>同等品Ｍ　照会</v>
      </c>
      <c r="AM293" s="49" t="s">
        <v>35</v>
      </c>
      <c r="AN293" s="49" t="s">
        <v>1310</v>
      </c>
      <c r="AO293" s="51" t="str">
        <f t="shared" si="15"/>
        <v>同等品Ｍ　照会</v>
      </c>
      <c r="AP293" s="51" t="str">
        <f t="shared" si="16"/>
        <v>PD2150</v>
      </c>
      <c r="AQ293" s="51" t="s">
        <v>1311</v>
      </c>
      <c r="AR293" s="51" t="s">
        <v>1307</v>
      </c>
      <c r="AS293" s="49" t="str">
        <f t="shared" si="17"/>
        <v/>
      </c>
      <c r="AT293" s="49" t="str">
        <f t="shared" si="18"/>
        <v/>
      </c>
      <c r="AU293" s="49"/>
      <c r="AV293" s="49"/>
    </row>
    <row r="294" spans="1:48" ht="18" customHeight="1">
      <c r="A294" s="44">
        <v>292</v>
      </c>
      <c r="B294" s="71" t="s">
        <v>1076</v>
      </c>
      <c r="C294" s="52" t="s">
        <v>382</v>
      </c>
      <c r="D294" s="46" t="s">
        <v>116</v>
      </c>
      <c r="E294" s="44" t="s">
        <v>1312</v>
      </c>
      <c r="F294" s="44" t="s">
        <v>1313</v>
      </c>
      <c r="G294" s="44"/>
      <c r="H294" s="44"/>
      <c r="I294" s="44"/>
      <c r="J294" s="47" t="s">
        <v>35</v>
      </c>
      <c r="K294" s="47"/>
      <c r="L294" s="47"/>
      <c r="M294" s="47"/>
      <c r="N294" s="47"/>
      <c r="O294" s="44"/>
      <c r="P294" s="44"/>
      <c r="Q294" s="48">
        <f>VLOOKUP(E294,sheet1!$B$2:$D$3209,3,FALSE)</f>
        <v>266</v>
      </c>
      <c r="R294" s="47" t="s">
        <v>35</v>
      </c>
      <c r="S294" s="47" t="s">
        <v>35</v>
      </c>
      <c r="T294" s="47" t="s">
        <v>35</v>
      </c>
      <c r="U294" s="47" t="s">
        <v>296</v>
      </c>
      <c r="V294" s="47" t="s">
        <v>35</v>
      </c>
      <c r="W294" s="47" t="s">
        <v>35</v>
      </c>
      <c r="X294" s="47" t="s">
        <v>35</v>
      </c>
      <c r="Y294" s="47" t="s">
        <v>35</v>
      </c>
      <c r="Z294" s="47" t="s">
        <v>35</v>
      </c>
      <c r="AA294" s="47" t="s">
        <v>35</v>
      </c>
      <c r="AB294" s="47" t="s">
        <v>35</v>
      </c>
      <c r="AC294" s="47" t="s">
        <v>35</v>
      </c>
      <c r="AD294" s="63" t="str">
        <f>VLOOKUP(E294,sheet1!$B$2:$C$3209,2,FALSE)</f>
        <v>課マスター検索                               6/4</v>
      </c>
      <c r="AE294" s="49"/>
      <c r="AF294" s="49" t="s">
        <v>1314</v>
      </c>
      <c r="AG294" s="49" t="s">
        <v>1312</v>
      </c>
      <c r="AH294" s="49" t="str">
        <f t="shared" si="13"/>
        <v>組織Ｍ　照会</v>
      </c>
      <c r="AI294" s="49"/>
      <c r="AJ294" s="49"/>
      <c r="AK294" s="49"/>
      <c r="AL294" s="49" t="str">
        <f t="shared" si="19"/>
        <v>組織Ｍ　照会</v>
      </c>
      <c r="AM294" s="49" t="s">
        <v>35</v>
      </c>
      <c r="AN294" s="49" t="s">
        <v>1315</v>
      </c>
      <c r="AO294" s="51" t="str">
        <f t="shared" si="15"/>
        <v>組織Ｍ　照会</v>
      </c>
      <c r="AP294" s="51" t="str">
        <f t="shared" si="16"/>
        <v>PD2120</v>
      </c>
      <c r="AQ294" s="51" t="s">
        <v>1316</v>
      </c>
      <c r="AR294" s="51" t="s">
        <v>1317</v>
      </c>
      <c r="AS294" s="49" t="str">
        <f t="shared" si="17"/>
        <v/>
      </c>
      <c r="AT294" s="49" t="str">
        <f t="shared" si="18"/>
        <v/>
      </c>
      <c r="AU294" s="49"/>
      <c r="AV294" s="49"/>
    </row>
    <row r="295" spans="1:48" ht="18" customHeight="1">
      <c r="A295" s="44">
        <v>293</v>
      </c>
      <c r="B295" s="71" t="s">
        <v>1076</v>
      </c>
      <c r="C295" s="52" t="s">
        <v>382</v>
      </c>
      <c r="D295" s="46" t="s">
        <v>116</v>
      </c>
      <c r="E295" s="44" t="s">
        <v>1307</v>
      </c>
      <c r="F295" s="44" t="s">
        <v>1318</v>
      </c>
      <c r="G295" s="44"/>
      <c r="H295" s="44"/>
      <c r="I295" s="44"/>
      <c r="J295" s="47" t="s">
        <v>35</v>
      </c>
      <c r="K295" s="47"/>
      <c r="L295" s="47"/>
      <c r="M295" s="47"/>
      <c r="N295" s="47"/>
      <c r="O295" s="44"/>
      <c r="P295" s="44"/>
      <c r="Q295" s="48">
        <f>VLOOKUP(E295,sheet1!$B$2:$D$3209,3,FALSE)</f>
        <v>345</v>
      </c>
      <c r="R295" s="47" t="s">
        <v>35</v>
      </c>
      <c r="S295" s="47" t="s">
        <v>35</v>
      </c>
      <c r="T295" s="47" t="s">
        <v>35</v>
      </c>
      <c r="U295" s="47" t="s">
        <v>296</v>
      </c>
      <c r="V295" s="47" t="s">
        <v>35</v>
      </c>
      <c r="W295" s="47" t="s">
        <v>35</v>
      </c>
      <c r="X295" s="47" t="s">
        <v>35</v>
      </c>
      <c r="Y295" s="47" t="s">
        <v>35</v>
      </c>
      <c r="Z295" s="47" t="s">
        <v>35</v>
      </c>
      <c r="AA295" s="47" t="s">
        <v>35</v>
      </c>
      <c r="AB295" s="47" t="s">
        <v>35</v>
      </c>
      <c r="AC295" s="47" t="s">
        <v>35</v>
      </c>
      <c r="AD295" s="63" t="str">
        <f>VLOOKUP(E295,sheet1!$B$2:$C$3209,2,FALSE)</f>
        <v>同等品マスター照会</v>
      </c>
      <c r="AE295" s="49"/>
      <c r="AF295" s="49" t="s">
        <v>1319</v>
      </c>
      <c r="AG295" s="49" t="s">
        <v>1307</v>
      </c>
      <c r="AH295" s="49" t="str">
        <f t="shared" si="13"/>
        <v>棚番Ｍ　照会</v>
      </c>
      <c r="AI295" s="49"/>
      <c r="AJ295" s="49"/>
      <c r="AK295" s="49"/>
      <c r="AL295" s="49" t="str">
        <f t="shared" si="19"/>
        <v>棚番Ｍ　照会</v>
      </c>
      <c r="AM295" s="49" t="s">
        <v>35</v>
      </c>
      <c r="AN295" s="49" t="s">
        <v>1320</v>
      </c>
      <c r="AO295" s="51" t="str">
        <f t="shared" si="15"/>
        <v>棚番Ｍ　照会</v>
      </c>
      <c r="AP295" s="51" t="str">
        <f t="shared" si="16"/>
        <v>PD2280</v>
      </c>
      <c r="AQ295" s="51" t="s">
        <v>1321</v>
      </c>
      <c r="AR295" s="51" t="s">
        <v>1322</v>
      </c>
      <c r="AS295" s="49" t="str">
        <f t="shared" si="17"/>
        <v/>
      </c>
      <c r="AT295" s="49" t="str">
        <f t="shared" si="18"/>
        <v/>
      </c>
      <c r="AU295" s="49"/>
      <c r="AV295" s="49"/>
    </row>
    <row r="296" spans="1:48" ht="18" customHeight="1">
      <c r="A296" s="44">
        <v>294</v>
      </c>
      <c r="B296" s="71" t="s">
        <v>1076</v>
      </c>
      <c r="C296" s="52" t="s">
        <v>382</v>
      </c>
      <c r="D296" s="46" t="s">
        <v>116</v>
      </c>
      <c r="E296" s="44" t="s">
        <v>1323</v>
      </c>
      <c r="F296" s="44" t="s">
        <v>1324</v>
      </c>
      <c r="G296" s="44"/>
      <c r="H296" s="44"/>
      <c r="I296" s="44"/>
      <c r="J296" s="47" t="s">
        <v>35</v>
      </c>
      <c r="K296" s="47"/>
      <c r="L296" s="47"/>
      <c r="M296" s="47"/>
      <c r="N296" s="47"/>
      <c r="O296" s="44"/>
      <c r="P296" s="44"/>
      <c r="Q296" s="48">
        <f>VLOOKUP(E296,sheet1!$B$2:$D$3209,3,FALSE)</f>
        <v>352</v>
      </c>
      <c r="R296" s="47" t="s">
        <v>35</v>
      </c>
      <c r="S296" s="47" t="s">
        <v>35</v>
      </c>
      <c r="T296" s="47" t="s">
        <v>35</v>
      </c>
      <c r="U296" s="47" t="s">
        <v>296</v>
      </c>
      <c r="V296" s="47" t="s">
        <v>35</v>
      </c>
      <c r="W296" s="47" t="s">
        <v>35</v>
      </c>
      <c r="X296" s="47" t="s">
        <v>35</v>
      </c>
      <c r="Y296" s="47" t="s">
        <v>35</v>
      </c>
      <c r="Z296" s="47" t="s">
        <v>35</v>
      </c>
      <c r="AA296" s="47" t="s">
        <v>35</v>
      </c>
      <c r="AB296" s="47" t="s">
        <v>35</v>
      </c>
      <c r="AC296" s="47" t="s">
        <v>35</v>
      </c>
      <c r="AD296" s="63" t="str">
        <f>VLOOKUP(E296,sheet1!$B$2:$C$3209,2,FALSE)</f>
        <v>引当優先順位マスター照会</v>
      </c>
      <c r="AE296" s="49"/>
      <c r="AF296" s="49" t="s">
        <v>1325</v>
      </c>
      <c r="AG296" s="49" t="s">
        <v>1323</v>
      </c>
      <c r="AH296" s="49" t="str">
        <f t="shared" si="13"/>
        <v>引当優先順位Ｍ　照会</v>
      </c>
      <c r="AI296" s="49"/>
      <c r="AJ296" s="49"/>
      <c r="AK296" s="49"/>
      <c r="AL296" s="49" t="str">
        <f t="shared" si="19"/>
        <v>引当優先順位Ｍ　照会</v>
      </c>
      <c r="AM296" s="49" t="s">
        <v>35</v>
      </c>
      <c r="AN296" s="49" t="s">
        <v>1326</v>
      </c>
      <c r="AO296" s="51" t="str">
        <f t="shared" si="15"/>
        <v>引当優先順位Ｍ　照会</v>
      </c>
      <c r="AP296" s="51" t="str">
        <f t="shared" si="16"/>
        <v>PD2281</v>
      </c>
      <c r="AQ296" s="51" t="s">
        <v>1327</v>
      </c>
      <c r="AR296" s="51" t="s">
        <v>1323</v>
      </c>
      <c r="AS296" s="49" t="str">
        <f t="shared" si="17"/>
        <v/>
      </c>
      <c r="AT296" s="49" t="str">
        <f t="shared" si="18"/>
        <v/>
      </c>
      <c r="AU296" s="49"/>
      <c r="AV296" s="49"/>
    </row>
    <row r="297" spans="1:48" ht="18" customHeight="1">
      <c r="A297" s="44">
        <v>295</v>
      </c>
      <c r="B297" s="71" t="s">
        <v>1076</v>
      </c>
      <c r="C297" s="52" t="s">
        <v>382</v>
      </c>
      <c r="D297" s="46" t="s">
        <v>116</v>
      </c>
      <c r="E297" s="44" t="s">
        <v>1328</v>
      </c>
      <c r="F297" s="44" t="s">
        <v>1329</v>
      </c>
      <c r="G297" s="44"/>
      <c r="H297" s="44"/>
      <c r="I297" s="44"/>
      <c r="J297" s="47" t="s">
        <v>35</v>
      </c>
      <c r="K297" s="47"/>
      <c r="L297" s="47"/>
      <c r="M297" s="47"/>
      <c r="N297" s="47"/>
      <c r="O297" s="44"/>
      <c r="P297" s="44"/>
      <c r="Q297" s="48">
        <f>VLOOKUP(E297,sheet1!$B$2:$D$3209,3,FALSE)</f>
        <v>401</v>
      </c>
      <c r="R297" s="47" t="s">
        <v>35</v>
      </c>
      <c r="S297" s="47" t="s">
        <v>296</v>
      </c>
      <c r="T297" s="47"/>
      <c r="U297" s="47" t="s">
        <v>296</v>
      </c>
      <c r="V297" s="47" t="s">
        <v>296</v>
      </c>
      <c r="W297" s="47" t="s">
        <v>296</v>
      </c>
      <c r="X297" s="47" t="s">
        <v>296</v>
      </c>
      <c r="Y297" s="47" t="s">
        <v>296</v>
      </c>
      <c r="Z297" s="47" t="s">
        <v>296</v>
      </c>
      <c r="AA297" s="47" t="s">
        <v>296</v>
      </c>
      <c r="AB297" s="47"/>
      <c r="AC297" s="47" t="s">
        <v>35</v>
      </c>
      <c r="AD297" s="63" t="str">
        <f>VLOOKUP(E297,sheet1!$B$2:$C$3209,2,FALSE)</f>
        <v>標準原価変更影響金額照会</v>
      </c>
      <c r="AE297" s="49"/>
      <c r="AF297" s="49" t="s">
        <v>1330</v>
      </c>
      <c r="AG297" s="49" t="s">
        <v>1328</v>
      </c>
      <c r="AH297" s="49" t="str">
        <f>TRIM(MID(AF299,4,100))</f>
        <v>標準原価変更金額　照会</v>
      </c>
      <c r="AI297" s="49"/>
      <c r="AJ297" s="49"/>
      <c r="AK297" s="49"/>
      <c r="AL297" s="49" t="str">
        <f t="shared" si="19"/>
        <v>端末名称 照会</v>
      </c>
      <c r="AM297" s="49" t="s">
        <v>35</v>
      </c>
      <c r="AN297" s="49" t="s">
        <v>1331</v>
      </c>
      <c r="AO297" s="51" t="str">
        <f t="shared" si="15"/>
        <v>標準原価影響金額　照会</v>
      </c>
      <c r="AP297" s="51" t="str">
        <f t="shared" si="16"/>
        <v>SA5080</v>
      </c>
      <c r="AQ297" s="51" t="s">
        <v>1332</v>
      </c>
      <c r="AR297" s="51" t="s">
        <v>424</v>
      </c>
      <c r="AS297" s="49" t="str">
        <f t="shared" si="17"/>
        <v/>
      </c>
      <c r="AT297" s="49" t="str">
        <f t="shared" si="18"/>
        <v/>
      </c>
      <c r="AU297" s="49"/>
      <c r="AV297" s="49"/>
    </row>
    <row r="298" spans="1:48" ht="18" customHeight="1">
      <c r="A298" s="44">
        <v>296</v>
      </c>
      <c r="B298" s="71" t="s">
        <v>1076</v>
      </c>
      <c r="C298" s="52" t="s">
        <v>382</v>
      </c>
      <c r="D298" s="46" t="s">
        <v>116</v>
      </c>
      <c r="E298" s="44" t="s">
        <v>1328</v>
      </c>
      <c r="F298" s="44" t="s">
        <v>1333</v>
      </c>
      <c r="G298" s="44"/>
      <c r="H298" s="44"/>
      <c r="I298" s="44"/>
      <c r="J298" s="47" t="s">
        <v>35</v>
      </c>
      <c r="K298" s="47"/>
      <c r="L298" s="47"/>
      <c r="M298" s="47"/>
      <c r="N298" s="47"/>
      <c r="O298" s="44"/>
      <c r="P298" s="44"/>
      <c r="Q298" s="48"/>
      <c r="R298" s="47"/>
      <c r="S298" s="47" t="s">
        <v>35</v>
      </c>
      <c r="T298" s="47"/>
      <c r="U298" s="47" t="s">
        <v>296</v>
      </c>
      <c r="V298" s="47" t="s">
        <v>296</v>
      </c>
      <c r="W298" s="47" t="s">
        <v>296</v>
      </c>
      <c r="X298" s="47" t="s">
        <v>296</v>
      </c>
      <c r="Y298" s="47" t="s">
        <v>296</v>
      </c>
      <c r="Z298" s="47" t="s">
        <v>296</v>
      </c>
      <c r="AA298" s="47" t="s">
        <v>296</v>
      </c>
      <c r="AB298" s="47"/>
      <c r="AC298" s="47" t="s">
        <v>296</v>
      </c>
      <c r="AD298" s="63"/>
      <c r="AE298" s="49"/>
      <c r="AF298" s="49"/>
      <c r="AG298" s="49"/>
      <c r="AH298" s="49"/>
      <c r="AI298" s="49"/>
      <c r="AJ298" s="49"/>
      <c r="AK298" s="49"/>
      <c r="AL298" s="49"/>
      <c r="AM298" s="49"/>
      <c r="AN298" s="49"/>
      <c r="AO298" s="51"/>
      <c r="AP298" s="51"/>
      <c r="AQ298" s="51"/>
      <c r="AR298" s="51"/>
      <c r="AS298" s="49" t="str">
        <f t="shared" si="17"/>
        <v/>
      </c>
      <c r="AT298" s="49" t="str">
        <f t="shared" si="18"/>
        <v/>
      </c>
      <c r="AU298" s="49"/>
      <c r="AV298" s="49"/>
    </row>
    <row r="299" spans="1:48" ht="18" customHeight="1">
      <c r="A299" s="44">
        <v>297</v>
      </c>
      <c r="B299" s="71" t="s">
        <v>1076</v>
      </c>
      <c r="C299" s="52" t="s">
        <v>382</v>
      </c>
      <c r="D299" s="46" t="s">
        <v>116</v>
      </c>
      <c r="E299" s="44" t="s">
        <v>424</v>
      </c>
      <c r="F299" s="44" t="s">
        <v>1334</v>
      </c>
      <c r="G299" s="44"/>
      <c r="H299" s="44"/>
      <c r="I299" s="44"/>
      <c r="J299" s="47" t="s">
        <v>35</v>
      </c>
      <c r="K299" s="47"/>
      <c r="L299" s="47"/>
      <c r="M299" s="47"/>
      <c r="N299" s="47"/>
      <c r="O299" s="44"/>
      <c r="P299" s="44"/>
      <c r="Q299" s="48">
        <f>VLOOKUP(E299,sheet1!$B$2:$D$3209,3,FALSE)</f>
        <v>89</v>
      </c>
      <c r="R299" s="47" t="s">
        <v>35</v>
      </c>
      <c r="S299" s="47" t="s">
        <v>35</v>
      </c>
      <c r="T299" s="47" t="s">
        <v>35</v>
      </c>
      <c r="U299" s="47" t="s">
        <v>296</v>
      </c>
      <c r="V299" s="47" t="s">
        <v>35</v>
      </c>
      <c r="W299" s="47" t="s">
        <v>35</v>
      </c>
      <c r="X299" s="47" t="s">
        <v>35</v>
      </c>
      <c r="Y299" s="47" t="s">
        <v>35</v>
      </c>
      <c r="Z299" s="47" t="s">
        <v>35</v>
      </c>
      <c r="AA299" s="47" t="s">
        <v>35</v>
      </c>
      <c r="AB299" s="47" t="s">
        <v>35</v>
      </c>
      <c r="AC299" s="47" t="s">
        <v>35</v>
      </c>
      <c r="AD299" s="63" t="str">
        <f>VLOOKUP(E299,sheet1!$B$2:$C$3209,2,FALSE)</f>
        <v>端末名称照会</v>
      </c>
      <c r="AE299" s="49"/>
      <c r="AF299" s="49" t="s">
        <v>1335</v>
      </c>
      <c r="AG299" s="49" t="s">
        <v>424</v>
      </c>
      <c r="AH299" s="49" t="str">
        <f>TRIM(MID(AF297,4,100))</f>
        <v>端末名称 照会</v>
      </c>
      <c r="AI299" s="49"/>
      <c r="AJ299" s="49"/>
      <c r="AK299" s="49"/>
      <c r="AL299" s="49" t="str">
        <f t="shared" ref="AL299:AL306" si="20">TRIM(AN299)</f>
        <v>取引先Ｍ　照会</v>
      </c>
      <c r="AM299" s="49" t="s">
        <v>35</v>
      </c>
      <c r="AN299" s="49" t="s">
        <v>1336</v>
      </c>
      <c r="AO299" s="51" t="str">
        <f t="shared" ref="AO299:AO393" si="21">TRIM(MIDB(AQ299,4,99))</f>
        <v>端末名称 照会</v>
      </c>
      <c r="AP299" s="51" t="str">
        <f t="shared" ref="AP299:AP393" si="22">TRIM(AR299)</f>
        <v>PD2350</v>
      </c>
      <c r="AQ299" s="51" t="s">
        <v>1337</v>
      </c>
      <c r="AR299" s="51" t="s">
        <v>1328</v>
      </c>
      <c r="AS299" s="49" t="str">
        <f t="shared" si="17"/>
        <v/>
      </c>
      <c r="AT299" s="49" t="str">
        <f t="shared" si="18"/>
        <v/>
      </c>
      <c r="AU299" s="49"/>
      <c r="AV299" s="49"/>
    </row>
    <row r="300" spans="1:48" ht="18" customHeight="1">
      <c r="A300" s="44">
        <v>298</v>
      </c>
      <c r="B300" s="71" t="s">
        <v>1076</v>
      </c>
      <c r="C300" s="52" t="s">
        <v>382</v>
      </c>
      <c r="D300" s="46" t="s">
        <v>116</v>
      </c>
      <c r="E300" s="44" t="s">
        <v>434</v>
      </c>
      <c r="F300" s="44" t="s">
        <v>1338</v>
      </c>
      <c r="G300" s="44"/>
      <c r="H300" s="44"/>
      <c r="I300" s="44"/>
      <c r="J300" s="47" t="s">
        <v>35</v>
      </c>
      <c r="K300" s="47"/>
      <c r="L300" s="47"/>
      <c r="M300" s="47"/>
      <c r="N300" s="47"/>
      <c r="O300" s="44"/>
      <c r="P300" s="44"/>
      <c r="Q300" s="48">
        <f>VLOOKUP(E300,sheet1!$B$2:$D$3209,3,FALSE)</f>
        <v>895</v>
      </c>
      <c r="R300" s="47" t="s">
        <v>35</v>
      </c>
      <c r="S300" s="47" t="s">
        <v>35</v>
      </c>
      <c r="T300" s="47" t="s">
        <v>35</v>
      </c>
      <c r="U300" s="47" t="s">
        <v>296</v>
      </c>
      <c r="V300" s="47" t="s">
        <v>35</v>
      </c>
      <c r="W300" s="47" t="s">
        <v>35</v>
      </c>
      <c r="X300" s="47" t="s">
        <v>35</v>
      </c>
      <c r="Y300" s="47" t="s">
        <v>35</v>
      </c>
      <c r="Z300" s="47" t="s">
        <v>35</v>
      </c>
      <c r="AA300" s="47" t="s">
        <v>35</v>
      </c>
      <c r="AB300" s="47" t="s">
        <v>35</v>
      </c>
      <c r="AC300" s="47" t="s">
        <v>35</v>
      </c>
      <c r="AD300" s="63" t="str">
        <f>VLOOKUP(E300,sheet1!$B$2:$C$3209,2,FALSE)</f>
        <v>取引先マスター照会</v>
      </c>
      <c r="AE300" s="49"/>
      <c r="AF300" s="49" t="s">
        <v>1339</v>
      </c>
      <c r="AG300" s="49" t="s">
        <v>434</v>
      </c>
      <c r="AH300" s="49" t="str">
        <f t="shared" ref="AH300:AH393" si="23">TRIM(MID(AF300,4,100))</f>
        <v>取引先Ｍ　照会</v>
      </c>
      <c r="AI300" s="49"/>
      <c r="AJ300" s="49"/>
      <c r="AK300" s="49"/>
      <c r="AL300" s="49" t="str">
        <f t="shared" si="20"/>
        <v>仕入先Ｍ　照会</v>
      </c>
      <c r="AM300" s="49" t="s">
        <v>35</v>
      </c>
      <c r="AN300" s="49" t="s">
        <v>1340</v>
      </c>
      <c r="AO300" s="51" t="str">
        <f t="shared" si="21"/>
        <v>取引先Ｍ　照会</v>
      </c>
      <c r="AP300" s="51" t="str">
        <f t="shared" si="22"/>
        <v>PD2170</v>
      </c>
      <c r="AQ300" s="51" t="s">
        <v>1341</v>
      </c>
      <c r="AR300" s="51" t="s">
        <v>434</v>
      </c>
      <c r="AS300" s="49" t="str">
        <f t="shared" si="17"/>
        <v/>
      </c>
      <c r="AT300" s="49" t="str">
        <f t="shared" si="18"/>
        <v/>
      </c>
      <c r="AU300" s="49"/>
      <c r="AV300" s="49"/>
    </row>
    <row r="301" spans="1:48" ht="18" customHeight="1">
      <c r="A301" s="44">
        <v>299</v>
      </c>
      <c r="B301" s="71" t="s">
        <v>1076</v>
      </c>
      <c r="C301" s="52" t="s">
        <v>382</v>
      </c>
      <c r="D301" s="46" t="s">
        <v>116</v>
      </c>
      <c r="E301" s="44" t="s">
        <v>1342</v>
      </c>
      <c r="F301" s="44" t="s">
        <v>1343</v>
      </c>
      <c r="G301" s="44"/>
      <c r="H301" s="44"/>
      <c r="I301" s="44"/>
      <c r="J301" s="47" t="s">
        <v>35</v>
      </c>
      <c r="K301" s="47"/>
      <c r="L301" s="47"/>
      <c r="M301" s="47"/>
      <c r="N301" s="47"/>
      <c r="O301" s="44"/>
      <c r="P301" s="44"/>
      <c r="Q301" s="48">
        <f>VLOOKUP(E301,sheet1!$B$2:$D$3209,3,FALSE)</f>
        <v>683</v>
      </c>
      <c r="R301" s="47" t="s">
        <v>35</v>
      </c>
      <c r="S301" s="47" t="s">
        <v>35</v>
      </c>
      <c r="T301" s="47" t="s">
        <v>35</v>
      </c>
      <c r="U301" s="47" t="s">
        <v>296</v>
      </c>
      <c r="V301" s="47" t="s">
        <v>35</v>
      </c>
      <c r="W301" s="47" t="s">
        <v>35</v>
      </c>
      <c r="X301" s="47" t="s">
        <v>35</v>
      </c>
      <c r="Y301" s="47" t="s">
        <v>35</v>
      </c>
      <c r="Z301" s="47" t="s">
        <v>35</v>
      </c>
      <c r="AA301" s="47" t="s">
        <v>35</v>
      </c>
      <c r="AB301" s="47" t="s">
        <v>35</v>
      </c>
      <c r="AC301" s="47" t="s">
        <v>35</v>
      </c>
      <c r="AD301" s="63" t="str">
        <f>VLOOKUP(E301,sheet1!$B$2:$C$3209,2,FALSE)</f>
        <v>仕入先マスター照会</v>
      </c>
      <c r="AE301" s="49"/>
      <c r="AF301" s="49" t="s">
        <v>1344</v>
      </c>
      <c r="AG301" s="49" t="s">
        <v>1342</v>
      </c>
      <c r="AH301" s="49" t="str">
        <f t="shared" si="23"/>
        <v>仕入先Ｍ　照会</v>
      </c>
      <c r="AI301" s="49"/>
      <c r="AJ301" s="49"/>
      <c r="AK301" s="49"/>
      <c r="AL301" s="49" t="str">
        <f t="shared" si="20"/>
        <v>発注受入担当者Ｍ　照会</v>
      </c>
      <c r="AM301" s="49" t="s">
        <v>35</v>
      </c>
      <c r="AN301" s="49" t="s">
        <v>1345</v>
      </c>
      <c r="AO301" s="51" t="str">
        <f t="shared" si="21"/>
        <v>仕入先Ｍ　照会</v>
      </c>
      <c r="AP301" s="51" t="str">
        <f t="shared" si="22"/>
        <v>PD2210</v>
      </c>
      <c r="AQ301" s="51" t="s">
        <v>1346</v>
      </c>
      <c r="AR301" s="51" t="s">
        <v>1342</v>
      </c>
      <c r="AS301" s="49" t="str">
        <f t="shared" si="17"/>
        <v/>
      </c>
      <c r="AT301" s="49" t="str">
        <f t="shared" si="18"/>
        <v/>
      </c>
      <c r="AU301" s="49"/>
      <c r="AV301" s="49"/>
    </row>
    <row r="302" spans="1:48" ht="18" customHeight="1">
      <c r="A302" s="44">
        <v>300</v>
      </c>
      <c r="B302" s="71" t="s">
        <v>1076</v>
      </c>
      <c r="C302" s="52" t="s">
        <v>382</v>
      </c>
      <c r="D302" s="46" t="s">
        <v>116</v>
      </c>
      <c r="E302" s="44" t="s">
        <v>1347</v>
      </c>
      <c r="F302" s="44" t="s">
        <v>1345</v>
      </c>
      <c r="G302" s="44"/>
      <c r="H302" s="44"/>
      <c r="I302" s="44"/>
      <c r="J302" s="47" t="s">
        <v>35</v>
      </c>
      <c r="K302" s="47"/>
      <c r="L302" s="47"/>
      <c r="M302" s="47"/>
      <c r="N302" s="47"/>
      <c r="O302" s="44"/>
      <c r="P302" s="44"/>
      <c r="Q302" s="48">
        <f>VLOOKUP(E302,sheet1!$B$2:$D$3209,3,FALSE)</f>
        <v>469</v>
      </c>
      <c r="R302" s="47" t="s">
        <v>35</v>
      </c>
      <c r="S302" s="47" t="s">
        <v>35</v>
      </c>
      <c r="T302" s="47" t="s">
        <v>35</v>
      </c>
      <c r="U302" s="47" t="s">
        <v>296</v>
      </c>
      <c r="V302" s="47" t="s">
        <v>35</v>
      </c>
      <c r="W302" s="47" t="s">
        <v>35</v>
      </c>
      <c r="X302" s="47" t="s">
        <v>35</v>
      </c>
      <c r="Y302" s="47" t="s">
        <v>35</v>
      </c>
      <c r="Z302" s="47" t="s">
        <v>35</v>
      </c>
      <c r="AA302" s="47" t="s">
        <v>35</v>
      </c>
      <c r="AB302" s="47" t="s">
        <v>35</v>
      </c>
      <c r="AC302" s="47" t="s">
        <v>35</v>
      </c>
      <c r="AD302" s="63" t="str">
        <f>VLOOKUP(E302,sheet1!$B$2:$C$3209,2,FALSE)</f>
        <v>発注・受入担当者マスター照会</v>
      </c>
      <c r="AE302" s="49"/>
      <c r="AF302" s="49" t="s">
        <v>1348</v>
      </c>
      <c r="AG302" s="49" t="s">
        <v>1347</v>
      </c>
      <c r="AH302" s="49" t="str">
        <f t="shared" si="23"/>
        <v>発注受入担当者Ｍ　照会</v>
      </c>
      <c r="AI302" s="49"/>
      <c r="AJ302" s="49"/>
      <c r="AK302" s="49"/>
      <c r="AL302" s="49" t="str">
        <f t="shared" si="20"/>
        <v>単価Ｍ（品目　別）照会</v>
      </c>
      <c r="AM302" s="49" t="s">
        <v>35</v>
      </c>
      <c r="AN302" s="49" t="s">
        <v>1349</v>
      </c>
      <c r="AO302" s="51" t="str">
        <f t="shared" si="21"/>
        <v>発注受入担当者Ｍ　照会</v>
      </c>
      <c r="AP302" s="51" t="str">
        <f t="shared" si="22"/>
        <v>PD2230</v>
      </c>
      <c r="AQ302" s="51" t="s">
        <v>1350</v>
      </c>
      <c r="AR302" s="51" t="s">
        <v>1347</v>
      </c>
      <c r="AS302" s="49" t="str">
        <f t="shared" si="17"/>
        <v/>
      </c>
      <c r="AT302" s="49" t="str">
        <f t="shared" si="18"/>
        <v/>
      </c>
      <c r="AU302" s="49"/>
      <c r="AV302" s="49"/>
    </row>
    <row r="303" spans="1:48" ht="18" customHeight="1">
      <c r="A303" s="44">
        <v>301</v>
      </c>
      <c r="B303" s="71" t="s">
        <v>1076</v>
      </c>
      <c r="C303" s="52" t="s">
        <v>382</v>
      </c>
      <c r="D303" s="46" t="s">
        <v>116</v>
      </c>
      <c r="E303" s="44" t="s">
        <v>1351</v>
      </c>
      <c r="F303" s="44" t="s">
        <v>1349</v>
      </c>
      <c r="G303" s="44"/>
      <c r="H303" s="44"/>
      <c r="I303" s="44"/>
      <c r="J303" s="47" t="s">
        <v>35</v>
      </c>
      <c r="K303" s="47"/>
      <c r="L303" s="47"/>
      <c r="M303" s="47"/>
      <c r="N303" s="47"/>
      <c r="O303" s="44"/>
      <c r="P303" s="44"/>
      <c r="Q303" s="48">
        <f>VLOOKUP(E303,sheet1!$B$2:$D$3209,3,FALSE)</f>
        <v>664</v>
      </c>
      <c r="R303" s="47" t="s">
        <v>35</v>
      </c>
      <c r="S303" s="47" t="s">
        <v>35</v>
      </c>
      <c r="T303" s="47" t="s">
        <v>35</v>
      </c>
      <c r="U303" s="47" t="s">
        <v>296</v>
      </c>
      <c r="V303" s="47" t="s">
        <v>35</v>
      </c>
      <c r="W303" s="47" t="s">
        <v>35</v>
      </c>
      <c r="X303" s="47" t="s">
        <v>35</v>
      </c>
      <c r="Y303" s="47" t="s">
        <v>35</v>
      </c>
      <c r="Z303" s="47" t="s">
        <v>35</v>
      </c>
      <c r="AA303" s="47" t="s">
        <v>35</v>
      </c>
      <c r="AB303" s="47" t="s">
        <v>35</v>
      </c>
      <c r="AC303" s="47" t="s">
        <v>35</v>
      </c>
      <c r="AD303" s="63" t="str">
        <f>VLOOKUP(E303,sheet1!$B$2:$C$3209,2,FALSE)</f>
        <v>単価マスター照会（品目ｺｰﾄﾞ別）</v>
      </c>
      <c r="AE303" s="49"/>
      <c r="AF303" s="49" t="s">
        <v>1352</v>
      </c>
      <c r="AG303" s="49" t="s">
        <v>1351</v>
      </c>
      <c r="AH303" s="49" t="str">
        <f t="shared" si="23"/>
        <v>単価Ｍ（品目　別）照会</v>
      </c>
      <c r="AI303" s="49"/>
      <c r="AJ303" s="49"/>
      <c r="AK303" s="49"/>
      <c r="AL303" s="49" t="str">
        <f t="shared" si="20"/>
        <v>単価Ｍ（取引先別）照会</v>
      </c>
      <c r="AM303" s="49" t="s">
        <v>35</v>
      </c>
      <c r="AN303" s="49" t="s">
        <v>1353</v>
      </c>
      <c r="AO303" s="51" t="str">
        <f t="shared" si="21"/>
        <v>単価Ｍ（品目　別）照会</v>
      </c>
      <c r="AP303" s="51" t="str">
        <f t="shared" si="22"/>
        <v>PD2250</v>
      </c>
      <c r="AQ303" s="51" t="s">
        <v>1354</v>
      </c>
      <c r="AR303" s="51" t="s">
        <v>1351</v>
      </c>
      <c r="AS303" s="49" t="str">
        <f t="shared" si="17"/>
        <v/>
      </c>
      <c r="AT303" s="49" t="str">
        <f t="shared" si="18"/>
        <v/>
      </c>
      <c r="AU303" s="49"/>
      <c r="AV303" s="49"/>
    </row>
    <row r="304" spans="1:48" ht="18" customHeight="1">
      <c r="A304" s="44">
        <v>302</v>
      </c>
      <c r="B304" s="71" t="s">
        <v>1076</v>
      </c>
      <c r="C304" s="52" t="s">
        <v>382</v>
      </c>
      <c r="D304" s="46" t="s">
        <v>116</v>
      </c>
      <c r="E304" s="44" t="s">
        <v>1355</v>
      </c>
      <c r="F304" s="44" t="s">
        <v>1353</v>
      </c>
      <c r="G304" s="44"/>
      <c r="H304" s="44"/>
      <c r="I304" s="44"/>
      <c r="J304" s="47" t="s">
        <v>35</v>
      </c>
      <c r="K304" s="47"/>
      <c r="L304" s="47"/>
      <c r="M304" s="47"/>
      <c r="N304" s="47"/>
      <c r="O304" s="44"/>
      <c r="P304" s="44"/>
      <c r="Q304" s="48">
        <f>VLOOKUP(E304,sheet1!$B$2:$D$3209,3,FALSE)</f>
        <v>647</v>
      </c>
      <c r="R304" s="47" t="s">
        <v>35</v>
      </c>
      <c r="S304" s="47" t="s">
        <v>35</v>
      </c>
      <c r="T304" s="47" t="s">
        <v>35</v>
      </c>
      <c r="U304" s="47" t="s">
        <v>296</v>
      </c>
      <c r="V304" s="47" t="s">
        <v>35</v>
      </c>
      <c r="W304" s="47" t="s">
        <v>35</v>
      </c>
      <c r="X304" s="47" t="s">
        <v>35</v>
      </c>
      <c r="Y304" s="47" t="s">
        <v>35</v>
      </c>
      <c r="Z304" s="47" t="s">
        <v>35</v>
      </c>
      <c r="AA304" s="47" t="s">
        <v>35</v>
      </c>
      <c r="AB304" s="47" t="s">
        <v>35</v>
      </c>
      <c r="AC304" s="47" t="s">
        <v>35</v>
      </c>
      <c r="AD304" s="63" t="str">
        <f>VLOOKUP(E304,sheet1!$B$2:$C$3209,2,FALSE)</f>
        <v>単価マスター照会（取引先別）</v>
      </c>
      <c r="AE304" s="49"/>
      <c r="AF304" s="49" t="s">
        <v>1356</v>
      </c>
      <c r="AG304" s="49" t="s">
        <v>1355</v>
      </c>
      <c r="AH304" s="49" t="str">
        <f t="shared" si="23"/>
        <v>単価Ｍ（取引先別）照会</v>
      </c>
      <c r="AI304" s="49"/>
      <c r="AJ304" s="49"/>
      <c r="AK304" s="49"/>
      <c r="AL304" s="49" t="str">
        <f t="shared" si="20"/>
        <v>構成補助Ｍ　照会</v>
      </c>
      <c r="AM304" s="49" t="s">
        <v>35</v>
      </c>
      <c r="AN304" s="49" t="s">
        <v>1357</v>
      </c>
      <c r="AO304" s="51" t="str">
        <f t="shared" si="21"/>
        <v>単価Ｍ（取引先別）照会</v>
      </c>
      <c r="AP304" s="51" t="str">
        <f t="shared" si="22"/>
        <v>PD2251</v>
      </c>
      <c r="AQ304" s="51" t="s">
        <v>1358</v>
      </c>
      <c r="AR304" s="51" t="s">
        <v>1355</v>
      </c>
      <c r="AS304" s="49" t="str">
        <f t="shared" si="17"/>
        <v/>
      </c>
      <c r="AT304" s="49" t="str">
        <f t="shared" si="18"/>
        <v/>
      </c>
      <c r="AU304" s="49"/>
      <c r="AV304" s="49"/>
    </row>
    <row r="305" spans="1:48" ht="18" customHeight="1">
      <c r="A305" s="44">
        <v>303</v>
      </c>
      <c r="B305" s="71" t="s">
        <v>1076</v>
      </c>
      <c r="C305" s="52" t="s">
        <v>382</v>
      </c>
      <c r="D305" s="46" t="s">
        <v>116</v>
      </c>
      <c r="E305" s="44" t="s">
        <v>1359</v>
      </c>
      <c r="F305" s="44" t="s">
        <v>1360</v>
      </c>
      <c r="G305" s="44"/>
      <c r="H305" s="44"/>
      <c r="I305" s="44"/>
      <c r="J305" s="47" t="s">
        <v>35</v>
      </c>
      <c r="K305" s="47"/>
      <c r="L305" s="47"/>
      <c r="M305" s="47"/>
      <c r="N305" s="47"/>
      <c r="O305" s="44"/>
      <c r="P305" s="44"/>
      <c r="Q305" s="48">
        <f>VLOOKUP(E305,sheet1!$B$2:$D$3209,3,FALSE)</f>
        <v>645</v>
      </c>
      <c r="R305" s="47" t="s">
        <v>35</v>
      </c>
      <c r="S305" s="47" t="s">
        <v>35</v>
      </c>
      <c r="T305" s="47" t="s">
        <v>35</v>
      </c>
      <c r="U305" s="47" t="s">
        <v>296</v>
      </c>
      <c r="V305" s="47" t="s">
        <v>35</v>
      </c>
      <c r="W305" s="47" t="s">
        <v>35</v>
      </c>
      <c r="X305" s="47" t="s">
        <v>35</v>
      </c>
      <c r="Y305" s="47" t="s">
        <v>35</v>
      </c>
      <c r="Z305" s="47" t="s">
        <v>35</v>
      </c>
      <c r="AA305" s="47" t="s">
        <v>35</v>
      </c>
      <c r="AB305" s="47" t="s">
        <v>35</v>
      </c>
      <c r="AC305" s="47" t="s">
        <v>35</v>
      </c>
      <c r="AD305" s="63" t="str">
        <f>VLOOKUP(E305,sheet1!$B$2:$C$3209,2,FALSE)</f>
        <v>構成補助マスター照会</v>
      </c>
      <c r="AE305" s="49"/>
      <c r="AF305" s="49" t="s">
        <v>1361</v>
      </c>
      <c r="AG305" s="49" t="s">
        <v>1359</v>
      </c>
      <c r="AH305" s="49" t="str">
        <f t="shared" si="23"/>
        <v>構成補助Ｍ　照会</v>
      </c>
      <c r="AI305" s="49"/>
      <c r="AJ305" s="49"/>
      <c r="AK305" s="49"/>
      <c r="AL305" s="49" t="str">
        <f t="shared" si="20"/>
        <v>Ｍメンテ履歴　照会</v>
      </c>
      <c r="AM305" s="49" t="s">
        <v>35</v>
      </c>
      <c r="AN305" s="49" t="s">
        <v>1362</v>
      </c>
      <c r="AO305" s="51" t="str">
        <f t="shared" si="21"/>
        <v>構成補助Ｍ　照会</v>
      </c>
      <c r="AP305" s="51" t="str">
        <f t="shared" si="22"/>
        <v>PD2270</v>
      </c>
      <c r="AQ305" s="51" t="s">
        <v>1363</v>
      </c>
      <c r="AR305" s="51" t="s">
        <v>1359</v>
      </c>
      <c r="AS305" s="49" t="str">
        <f t="shared" si="17"/>
        <v/>
      </c>
      <c r="AT305" s="49" t="str">
        <f t="shared" si="18"/>
        <v/>
      </c>
      <c r="AU305" s="49"/>
      <c r="AV305" s="49"/>
    </row>
    <row r="306" spans="1:48" ht="18" customHeight="1">
      <c r="A306" s="44">
        <v>304</v>
      </c>
      <c r="B306" s="71" t="s">
        <v>1076</v>
      </c>
      <c r="C306" s="52" t="s">
        <v>382</v>
      </c>
      <c r="D306" s="46" t="s">
        <v>116</v>
      </c>
      <c r="E306" s="44" t="s">
        <v>1364</v>
      </c>
      <c r="F306" s="44" t="s">
        <v>1365</v>
      </c>
      <c r="G306" s="44"/>
      <c r="H306" s="44"/>
      <c r="I306" s="44"/>
      <c r="J306" s="47" t="s">
        <v>35</v>
      </c>
      <c r="K306" s="47"/>
      <c r="L306" s="47"/>
      <c r="M306" s="47"/>
      <c r="N306" s="47"/>
      <c r="O306" s="44"/>
      <c r="P306" s="44"/>
      <c r="Q306" s="48">
        <f>VLOOKUP(E306,sheet1!$B$2:$D$3209,3,FALSE)</f>
        <v>397</v>
      </c>
      <c r="R306" s="47" t="s">
        <v>35</v>
      </c>
      <c r="S306" s="47" t="s">
        <v>35</v>
      </c>
      <c r="T306" s="47" t="s">
        <v>35</v>
      </c>
      <c r="U306" s="47" t="s">
        <v>296</v>
      </c>
      <c r="V306" s="47" t="s">
        <v>35</v>
      </c>
      <c r="W306" s="47" t="s">
        <v>35</v>
      </c>
      <c r="X306" s="47" t="s">
        <v>296</v>
      </c>
      <c r="Y306" s="47" t="s">
        <v>296</v>
      </c>
      <c r="Z306" s="47" t="s">
        <v>35</v>
      </c>
      <c r="AA306" s="47" t="s">
        <v>35</v>
      </c>
      <c r="AB306" s="47"/>
      <c r="AC306" s="47" t="s">
        <v>35</v>
      </c>
      <c r="AD306" s="63" t="str">
        <f>VLOOKUP(E306,sheet1!$B$2:$C$3209,2,FALSE)</f>
        <v>工場別品目ﾏｽﾀｰ照会</v>
      </c>
      <c r="AE306" s="49"/>
      <c r="AF306" s="49" t="s">
        <v>1366</v>
      </c>
      <c r="AG306" s="49" t="s">
        <v>1364</v>
      </c>
      <c r="AH306" s="49" t="str">
        <f t="shared" si="23"/>
        <v>工場別品目Ｍ　照会</v>
      </c>
      <c r="AI306" s="49"/>
      <c r="AJ306" s="49"/>
      <c r="AK306" s="49"/>
      <c r="AL306" s="49" t="str">
        <f t="shared" si="20"/>
        <v>その他取引先Ｍ　照会</v>
      </c>
      <c r="AM306" s="49" t="s">
        <v>35</v>
      </c>
      <c r="AN306" s="49" t="s">
        <v>1367</v>
      </c>
      <c r="AO306" s="51" t="str">
        <f t="shared" si="21"/>
        <v>工場別品目Ｍ　照会</v>
      </c>
      <c r="AP306" s="51" t="str">
        <f t="shared" si="22"/>
        <v>PD2300</v>
      </c>
      <c r="AQ306" s="51" t="s">
        <v>1368</v>
      </c>
      <c r="AR306" s="51" t="s">
        <v>1364</v>
      </c>
      <c r="AS306" s="49" t="str">
        <f t="shared" si="17"/>
        <v/>
      </c>
      <c r="AT306" s="49" t="str">
        <f t="shared" si="18"/>
        <v/>
      </c>
      <c r="AU306" s="49"/>
      <c r="AV306" s="49"/>
    </row>
    <row r="307" spans="1:48" ht="18" customHeight="1">
      <c r="A307" s="44">
        <v>305</v>
      </c>
      <c r="B307" s="71" t="s">
        <v>1076</v>
      </c>
      <c r="C307" s="52" t="s">
        <v>382</v>
      </c>
      <c r="D307" s="46" t="s">
        <v>116</v>
      </c>
      <c r="E307" s="44" t="s">
        <v>1323</v>
      </c>
      <c r="F307" s="44" t="s">
        <v>1369</v>
      </c>
      <c r="G307" s="44"/>
      <c r="H307" s="44"/>
      <c r="I307" s="44"/>
      <c r="J307" s="47" t="s">
        <v>35</v>
      </c>
      <c r="K307" s="47"/>
      <c r="L307" s="47"/>
      <c r="M307" s="47"/>
      <c r="N307" s="47"/>
      <c r="O307" s="44"/>
      <c r="P307" s="44"/>
      <c r="Q307" s="48">
        <f>VLOOKUP(E307,sheet1!$B$2:$D$3209,3,FALSE)</f>
        <v>352</v>
      </c>
      <c r="R307" s="47" t="s">
        <v>35</v>
      </c>
      <c r="S307" s="47" t="s">
        <v>35</v>
      </c>
      <c r="T307" s="47" t="s">
        <v>35</v>
      </c>
      <c r="U307" s="47" t="s">
        <v>296</v>
      </c>
      <c r="V307" s="47" t="s">
        <v>35</v>
      </c>
      <c r="W307" s="47" t="s">
        <v>35</v>
      </c>
      <c r="X307" s="47" t="s">
        <v>35</v>
      </c>
      <c r="Y307" s="47" t="s">
        <v>35</v>
      </c>
      <c r="Z307" s="47" t="s">
        <v>35</v>
      </c>
      <c r="AA307" s="47" t="s">
        <v>296</v>
      </c>
      <c r="AB307" s="47" t="s">
        <v>35</v>
      </c>
      <c r="AC307" s="47" t="s">
        <v>35</v>
      </c>
      <c r="AD307" s="63" t="str">
        <f>VLOOKUP(E307,sheet1!$B$2:$C$3209,2,FALSE)</f>
        <v>引当優先順位マスター照会</v>
      </c>
      <c r="AE307" s="49"/>
      <c r="AF307" s="49" t="s">
        <v>1370</v>
      </c>
      <c r="AG307" s="49" t="s">
        <v>1323</v>
      </c>
      <c r="AH307" s="49" t="str">
        <f t="shared" si="23"/>
        <v>Ｍメンテ履歴　照会</v>
      </c>
      <c r="AI307" s="49"/>
      <c r="AJ307" s="49"/>
      <c r="AK307" s="49"/>
      <c r="AL307" s="49"/>
      <c r="AM307" s="49"/>
      <c r="AN307" s="49"/>
      <c r="AO307" s="51" t="str">
        <f t="shared" si="21"/>
        <v>Ｍメンテ履歴　照会</v>
      </c>
      <c r="AP307" s="51" t="str">
        <f t="shared" si="22"/>
        <v/>
      </c>
      <c r="AQ307" s="51" t="s">
        <v>1371</v>
      </c>
      <c r="AR307" s="51"/>
      <c r="AS307" s="49" t="str">
        <f t="shared" si="17"/>
        <v/>
      </c>
      <c r="AT307" s="49" t="str">
        <f t="shared" si="18"/>
        <v/>
      </c>
      <c r="AU307" s="49"/>
      <c r="AV307" s="49"/>
    </row>
    <row r="308" spans="1:48" ht="18" customHeight="1">
      <c r="A308" s="44">
        <v>306</v>
      </c>
      <c r="B308" s="71" t="s">
        <v>1076</v>
      </c>
      <c r="C308" s="52" t="s">
        <v>382</v>
      </c>
      <c r="D308" s="46" t="s">
        <v>116</v>
      </c>
      <c r="E308" s="44" t="s">
        <v>1372</v>
      </c>
      <c r="F308" s="44" t="s">
        <v>1373</v>
      </c>
      <c r="G308" s="44"/>
      <c r="H308" s="44"/>
      <c r="I308" s="44"/>
      <c r="J308" s="47" t="s">
        <v>35</v>
      </c>
      <c r="K308" s="47"/>
      <c r="L308" s="47"/>
      <c r="M308" s="47"/>
      <c r="N308" s="47"/>
      <c r="O308" s="44"/>
      <c r="P308" s="44"/>
      <c r="Q308" s="48">
        <f>VLOOKUP(E308,sheet1!$B$2:$D$3209,3,FALSE)</f>
        <v>198</v>
      </c>
      <c r="R308" s="47" t="s">
        <v>35</v>
      </c>
      <c r="S308" s="47" t="s">
        <v>296</v>
      </c>
      <c r="T308" s="47"/>
      <c r="U308" s="47" t="s">
        <v>296</v>
      </c>
      <c r="V308" s="47" t="s">
        <v>296</v>
      </c>
      <c r="W308" s="47" t="s">
        <v>296</v>
      </c>
      <c r="X308" s="47" t="s">
        <v>296</v>
      </c>
      <c r="Y308" s="47" t="s">
        <v>296</v>
      </c>
      <c r="Z308" s="47" t="s">
        <v>296</v>
      </c>
      <c r="AA308" s="47" t="s">
        <v>296</v>
      </c>
      <c r="AB308" s="47"/>
      <c r="AC308" s="47" t="s">
        <v>35</v>
      </c>
      <c r="AD308" s="63" t="str">
        <f>VLOOKUP(E308,sheet1!$B$2:$C$3209,2,FALSE)</f>
        <v>新規登録後　品目コード確認</v>
      </c>
      <c r="AE308" s="49"/>
      <c r="AF308" s="49" t="s">
        <v>1374</v>
      </c>
      <c r="AG308" s="49" t="s">
        <v>1372</v>
      </c>
      <c r="AH308" s="49" t="str">
        <f t="shared" si="23"/>
        <v>申請No.別品目　照会</v>
      </c>
      <c r="AI308" s="49"/>
      <c r="AJ308" s="49"/>
      <c r="AK308" s="49"/>
      <c r="AL308" s="49"/>
      <c r="AM308" s="49"/>
      <c r="AN308" s="49"/>
      <c r="AO308" s="51" t="str">
        <f t="shared" si="21"/>
        <v/>
      </c>
      <c r="AP308" s="51" t="str">
        <f t="shared" si="22"/>
        <v/>
      </c>
      <c r="AQ308" s="51"/>
      <c r="AR308" s="51"/>
      <c r="AS308" s="49" t="str">
        <f t="shared" si="17"/>
        <v/>
      </c>
      <c r="AT308" s="49" t="str">
        <f t="shared" si="18"/>
        <v/>
      </c>
      <c r="AU308" s="49"/>
      <c r="AV308" s="49"/>
    </row>
    <row r="309" spans="1:48" ht="18" customHeight="1">
      <c r="A309" s="44">
        <v>307</v>
      </c>
      <c r="B309" s="71" t="s">
        <v>1076</v>
      </c>
      <c r="C309" s="52" t="s">
        <v>382</v>
      </c>
      <c r="D309" s="46" t="s">
        <v>116</v>
      </c>
      <c r="E309" s="44" t="s">
        <v>1375</v>
      </c>
      <c r="F309" s="44" t="s">
        <v>1376</v>
      </c>
      <c r="G309" s="44"/>
      <c r="H309" s="44"/>
      <c r="I309" s="44"/>
      <c r="J309" s="47" t="s">
        <v>35</v>
      </c>
      <c r="K309" s="47"/>
      <c r="L309" s="47"/>
      <c r="M309" s="47"/>
      <c r="N309" s="47"/>
      <c r="O309" s="44"/>
      <c r="P309" s="44"/>
      <c r="Q309" s="48">
        <f>VLOOKUP(E309,sheet1!$B$2:$D$3209,3,FALSE)</f>
        <v>605</v>
      </c>
      <c r="R309" s="47" t="s">
        <v>35</v>
      </c>
      <c r="S309" s="47" t="s">
        <v>35</v>
      </c>
      <c r="T309" s="47" t="s">
        <v>35</v>
      </c>
      <c r="U309" s="47" t="s">
        <v>296</v>
      </c>
      <c r="V309" s="47" t="s">
        <v>35</v>
      </c>
      <c r="W309" s="47" t="s">
        <v>35</v>
      </c>
      <c r="X309" s="47" t="s">
        <v>35</v>
      </c>
      <c r="Y309" s="47" t="s">
        <v>35</v>
      </c>
      <c r="Z309" s="47" t="s">
        <v>35</v>
      </c>
      <c r="AA309" s="47" t="s">
        <v>296</v>
      </c>
      <c r="AB309" s="47" t="s">
        <v>35</v>
      </c>
      <c r="AC309" s="47" t="s">
        <v>35</v>
      </c>
      <c r="AD309" s="63" t="str">
        <f>VLOOKUP(E309,sheet1!$B$2:$C$3209,2,FALSE)</f>
        <v>その他マスター照会</v>
      </c>
      <c r="AE309" s="49"/>
      <c r="AF309" s="49" t="s">
        <v>1377</v>
      </c>
      <c r="AG309" s="49" t="s">
        <v>1375</v>
      </c>
      <c r="AH309" s="49" t="str">
        <f t="shared" si="23"/>
        <v>その他取引先Ｍ　照会</v>
      </c>
      <c r="AI309" s="49"/>
      <c r="AJ309" s="49"/>
      <c r="AK309" s="49"/>
      <c r="AL309" s="49"/>
      <c r="AM309" s="49"/>
      <c r="AN309" s="49"/>
      <c r="AO309" s="51" t="str">
        <f t="shared" si="21"/>
        <v>その他取引先Ｍ　照会</v>
      </c>
      <c r="AP309" s="51" t="str">
        <f t="shared" si="22"/>
        <v>PD2225</v>
      </c>
      <c r="AQ309" s="51" t="s">
        <v>1378</v>
      </c>
      <c r="AR309" s="51" t="s">
        <v>1375</v>
      </c>
      <c r="AS309" s="49" t="str">
        <f t="shared" si="17"/>
        <v/>
      </c>
      <c r="AT309" s="49" t="str">
        <f t="shared" si="18"/>
        <v/>
      </c>
      <c r="AU309" s="49"/>
      <c r="AV309" s="49"/>
    </row>
    <row r="310" spans="1:48" ht="18" customHeight="1">
      <c r="A310" s="44">
        <v>308</v>
      </c>
      <c r="B310" s="71" t="s">
        <v>1076</v>
      </c>
      <c r="C310" s="53" t="s">
        <v>1379</v>
      </c>
      <c r="D310" s="46" t="s">
        <v>116</v>
      </c>
      <c r="E310" s="44" t="s">
        <v>1380</v>
      </c>
      <c r="F310" s="44" t="s">
        <v>1381</v>
      </c>
      <c r="G310" s="44"/>
      <c r="H310" s="44"/>
      <c r="I310" s="44"/>
      <c r="J310" s="47" t="s">
        <v>35</v>
      </c>
      <c r="K310" s="47"/>
      <c r="L310" s="47"/>
      <c r="M310" s="47"/>
      <c r="N310" s="47"/>
      <c r="O310" s="44"/>
      <c r="P310" s="44"/>
      <c r="Q310" s="48">
        <f>VLOOKUP(E310,sheet1!$B$2:$D$3209,3,FALSE)</f>
        <v>441</v>
      </c>
      <c r="R310" s="47" t="s">
        <v>35</v>
      </c>
      <c r="S310" s="47" t="s">
        <v>296</v>
      </c>
      <c r="T310" s="47" t="s">
        <v>35</v>
      </c>
      <c r="U310" s="47" t="s">
        <v>296</v>
      </c>
      <c r="V310" s="47" t="s">
        <v>296</v>
      </c>
      <c r="W310" s="47" t="s">
        <v>296</v>
      </c>
      <c r="X310" s="47" t="s">
        <v>296</v>
      </c>
      <c r="Y310" s="47" t="s">
        <v>296</v>
      </c>
      <c r="Z310" s="47" t="s">
        <v>296</v>
      </c>
      <c r="AA310" s="47" t="s">
        <v>296</v>
      </c>
      <c r="AB310" s="47"/>
      <c r="AC310" s="47" t="s">
        <v>35</v>
      </c>
      <c r="AD310" s="63" t="str">
        <f>VLOOKUP(E310,sheet1!$B$2:$C$3209,2,FALSE)</f>
        <v>ＭＲＰ条件設定</v>
      </c>
      <c r="AE310" s="49"/>
      <c r="AF310" s="51" t="s">
        <v>1382</v>
      </c>
      <c r="AG310" s="51" t="s">
        <v>1380</v>
      </c>
      <c r="AH310" s="49" t="str">
        <f t="shared" si="23"/>
        <v>ＭＲＰ条件設定</v>
      </c>
      <c r="AI310" s="49"/>
      <c r="AJ310" s="49"/>
      <c r="AK310" s="49"/>
      <c r="AL310" s="49"/>
      <c r="AM310" s="49"/>
      <c r="AN310" s="49"/>
      <c r="AO310" s="51" t="str">
        <f t="shared" si="21"/>
        <v/>
      </c>
      <c r="AP310" s="51" t="str">
        <f t="shared" si="22"/>
        <v/>
      </c>
      <c r="AQ310" s="51"/>
      <c r="AR310" s="51"/>
      <c r="AS310" s="49" t="str">
        <f t="shared" si="17"/>
        <v/>
      </c>
      <c r="AT310" s="49" t="str">
        <f t="shared" si="18"/>
        <v/>
      </c>
      <c r="AU310" s="49"/>
      <c r="AV310" s="49"/>
    </row>
    <row r="311" spans="1:48" ht="18" customHeight="1">
      <c r="A311" s="44">
        <v>309</v>
      </c>
      <c r="B311" s="71" t="s">
        <v>1076</v>
      </c>
      <c r="C311" s="54" t="s">
        <v>1379</v>
      </c>
      <c r="D311" s="46" t="s">
        <v>116</v>
      </c>
      <c r="E311" s="44" t="s">
        <v>1383</v>
      </c>
      <c r="F311" s="44" t="s">
        <v>1384</v>
      </c>
      <c r="G311" s="44"/>
      <c r="H311" s="44"/>
      <c r="I311" s="44"/>
      <c r="J311" s="47" t="s">
        <v>35</v>
      </c>
      <c r="K311" s="47"/>
      <c r="L311" s="47"/>
      <c r="M311" s="47"/>
      <c r="N311" s="47"/>
      <c r="O311" s="44"/>
      <c r="P311" s="44"/>
      <c r="Q311" s="48">
        <f>VLOOKUP(E311,sheet1!$B$2:$D$3209,3,FALSE)</f>
        <v>224</v>
      </c>
      <c r="R311" s="47" t="s">
        <v>35</v>
      </c>
      <c r="S311" s="47" t="s">
        <v>296</v>
      </c>
      <c r="T311" s="47" t="s">
        <v>35</v>
      </c>
      <c r="U311" s="47" t="s">
        <v>296</v>
      </c>
      <c r="V311" s="47" t="s">
        <v>296</v>
      </c>
      <c r="W311" s="47" t="s">
        <v>296</v>
      </c>
      <c r="X311" s="47" t="s">
        <v>296</v>
      </c>
      <c r="Y311" s="47" t="s">
        <v>296</v>
      </c>
      <c r="Z311" s="47" t="s">
        <v>296</v>
      </c>
      <c r="AA311" s="47" t="s">
        <v>296</v>
      </c>
      <c r="AB311" s="47"/>
      <c r="AC311" s="47" t="s">
        <v>35</v>
      </c>
      <c r="AD311" s="63" t="str">
        <f>VLOOKUP(E311,sheet1!$B$2:$C$3209,2,FALSE)</f>
        <v>発注検討中止Ｆ設定</v>
      </c>
      <c r="AE311" s="49"/>
      <c r="AF311" s="51" t="s">
        <v>1385</v>
      </c>
      <c r="AG311" s="51" t="s">
        <v>1383</v>
      </c>
      <c r="AH311" s="49" t="str">
        <f t="shared" si="23"/>
        <v>ＭＲＰ対象外入力</v>
      </c>
      <c r="AI311" s="49"/>
      <c r="AJ311" s="49"/>
      <c r="AK311" s="49"/>
      <c r="AL311" s="49"/>
      <c r="AM311" s="49"/>
      <c r="AN311" s="49"/>
      <c r="AO311" s="51" t="str">
        <f t="shared" si="21"/>
        <v/>
      </c>
      <c r="AP311" s="51" t="str">
        <f t="shared" si="22"/>
        <v/>
      </c>
      <c r="AQ311" s="51"/>
      <c r="AR311" s="51"/>
      <c r="AS311" s="49" t="str">
        <f t="shared" si="17"/>
        <v/>
      </c>
      <c r="AT311" s="49" t="str">
        <f t="shared" si="18"/>
        <v/>
      </c>
      <c r="AU311" s="49"/>
      <c r="AV311" s="49"/>
    </row>
    <row r="312" spans="1:48" ht="18" customHeight="1">
      <c r="A312" s="44">
        <v>310</v>
      </c>
      <c r="B312" s="71" t="s">
        <v>1076</v>
      </c>
      <c r="C312" s="54" t="s">
        <v>1379</v>
      </c>
      <c r="D312" s="46" t="s">
        <v>116</v>
      </c>
      <c r="E312" s="59" t="s">
        <v>1386</v>
      </c>
      <c r="F312" s="44" t="s">
        <v>30</v>
      </c>
      <c r="G312" s="44"/>
      <c r="H312" s="44"/>
      <c r="I312" s="44"/>
      <c r="J312" s="47" t="s">
        <v>35</v>
      </c>
      <c r="K312" s="47"/>
      <c r="L312" s="47"/>
      <c r="M312" s="47"/>
      <c r="N312" s="47"/>
      <c r="O312" s="44"/>
      <c r="P312" s="44"/>
      <c r="Q312" s="48">
        <f>VLOOKUP(E312,sheet1!$B$2:$D$3209,3,FALSE)</f>
        <v>2746</v>
      </c>
      <c r="R312" s="47" t="s">
        <v>35</v>
      </c>
      <c r="S312" s="47" t="s">
        <v>296</v>
      </c>
      <c r="T312" s="47" t="s">
        <v>35</v>
      </c>
      <c r="U312" s="47" t="s">
        <v>296</v>
      </c>
      <c r="V312" s="47" t="s">
        <v>296</v>
      </c>
      <c r="W312" s="47" t="s">
        <v>296</v>
      </c>
      <c r="X312" s="47" t="s">
        <v>296</v>
      </c>
      <c r="Y312" s="47" t="s">
        <v>296</v>
      </c>
      <c r="Z312" s="47" t="s">
        <v>296</v>
      </c>
      <c r="AA312" s="47" t="s">
        <v>296</v>
      </c>
      <c r="AB312" s="47"/>
      <c r="AC312" s="47" t="s">
        <v>35</v>
      </c>
      <c r="AD312" s="63" t="str">
        <f>VLOOKUP(E312,sheet1!$B$2:$C$3209,2,FALSE)</f>
        <v>生産計画入力</v>
      </c>
      <c r="AE312" s="49"/>
      <c r="AF312" s="51" t="s">
        <v>1387</v>
      </c>
      <c r="AG312" s="51" t="s">
        <v>1386</v>
      </c>
      <c r="AH312" s="49" t="str">
        <f t="shared" si="23"/>
        <v>生産計画入力</v>
      </c>
      <c r="AI312" s="49"/>
      <c r="AJ312" s="49"/>
      <c r="AK312" s="49"/>
      <c r="AL312" s="49"/>
      <c r="AM312" s="49"/>
      <c r="AN312" s="49"/>
      <c r="AO312" s="51" t="str">
        <f t="shared" si="21"/>
        <v/>
      </c>
      <c r="AP312" s="51" t="str">
        <f t="shared" si="22"/>
        <v/>
      </c>
      <c r="AQ312" s="51"/>
      <c r="AR312" s="51"/>
      <c r="AS312" s="49" t="str">
        <f t="shared" si="17"/>
        <v/>
      </c>
      <c r="AT312" s="49" t="str">
        <f t="shared" si="18"/>
        <v/>
      </c>
      <c r="AU312" s="49"/>
      <c r="AV312" s="49"/>
    </row>
    <row r="313" spans="1:48" ht="18" customHeight="1">
      <c r="A313" s="44">
        <v>311</v>
      </c>
      <c r="B313" s="71" t="s">
        <v>1076</v>
      </c>
      <c r="C313" s="54" t="s">
        <v>1379</v>
      </c>
      <c r="D313" s="46" t="s">
        <v>116</v>
      </c>
      <c r="E313" s="44" t="s">
        <v>1388</v>
      </c>
      <c r="F313" s="44" t="s">
        <v>1389</v>
      </c>
      <c r="G313" s="44"/>
      <c r="H313" s="44"/>
      <c r="I313" s="44"/>
      <c r="J313" s="47" t="s">
        <v>35</v>
      </c>
      <c r="K313" s="47"/>
      <c r="L313" s="47"/>
      <c r="M313" s="47"/>
      <c r="N313" s="47"/>
      <c r="O313" s="44"/>
      <c r="P313" s="44"/>
      <c r="Q313" s="48">
        <f>VLOOKUP(E313,sheet1!$B$2:$D$3209,3,FALSE)</f>
        <v>2741</v>
      </c>
      <c r="R313" s="47" t="s">
        <v>35</v>
      </c>
      <c r="S313" s="47" t="s">
        <v>296</v>
      </c>
      <c r="T313" s="47" t="s">
        <v>35</v>
      </c>
      <c r="U313" s="47" t="s">
        <v>296</v>
      </c>
      <c r="V313" s="47" t="s">
        <v>296</v>
      </c>
      <c r="W313" s="47" t="s">
        <v>296</v>
      </c>
      <c r="X313" s="47" t="s">
        <v>296</v>
      </c>
      <c r="Y313" s="47" t="s">
        <v>296</v>
      </c>
      <c r="Z313" s="47" t="s">
        <v>296</v>
      </c>
      <c r="AA313" s="47" t="s">
        <v>296</v>
      </c>
      <c r="AB313" s="47"/>
      <c r="AC313" s="47" t="s">
        <v>35</v>
      </c>
      <c r="AD313" s="63" t="str">
        <f>VLOOKUP(E313,sheet1!$B$2:$C$3209,2,FALSE)</f>
        <v>製番付構成Ｆ修正 メイン</v>
      </c>
      <c r="AE313" s="49"/>
      <c r="AF313" s="51" t="s">
        <v>1390</v>
      </c>
      <c r="AG313" s="51" t="s">
        <v>1388</v>
      </c>
      <c r="AH313" s="49" t="str">
        <f t="shared" si="23"/>
        <v>製番付構成Ｆ修正</v>
      </c>
      <c r="AI313" s="49"/>
      <c r="AJ313" s="49"/>
      <c r="AK313" s="49"/>
      <c r="AL313" s="49"/>
      <c r="AM313" s="49"/>
      <c r="AN313" s="49"/>
      <c r="AO313" s="51" t="str">
        <f t="shared" si="21"/>
        <v/>
      </c>
      <c r="AP313" s="51" t="str">
        <f t="shared" si="22"/>
        <v/>
      </c>
      <c r="AQ313" s="51"/>
      <c r="AR313" s="51"/>
      <c r="AS313" s="49" t="str">
        <f t="shared" si="17"/>
        <v/>
      </c>
      <c r="AT313" s="49" t="str">
        <f t="shared" si="18"/>
        <v/>
      </c>
      <c r="AU313" s="49"/>
      <c r="AV313" s="49"/>
    </row>
    <row r="314" spans="1:48" ht="18" customHeight="1">
      <c r="A314" s="44">
        <v>312</v>
      </c>
      <c r="B314" s="71" t="s">
        <v>1076</v>
      </c>
      <c r="C314" s="54" t="s">
        <v>1379</v>
      </c>
      <c r="D314" s="46" t="s">
        <v>116</v>
      </c>
      <c r="E314" s="44" t="s">
        <v>1391</v>
      </c>
      <c r="F314" s="44" t="s">
        <v>1392</v>
      </c>
      <c r="G314" s="44"/>
      <c r="H314" s="44"/>
      <c r="I314" s="44"/>
      <c r="J314" s="47" t="s">
        <v>35</v>
      </c>
      <c r="K314" s="47"/>
      <c r="L314" s="47"/>
      <c r="M314" s="47"/>
      <c r="N314" s="47"/>
      <c r="O314" s="44"/>
      <c r="P314" s="44"/>
      <c r="Q314" s="48">
        <f>VLOOKUP(E314,sheet1!$B$2:$D$3209,3,FALSE)</f>
        <v>288</v>
      </c>
      <c r="R314" s="47" t="s">
        <v>35</v>
      </c>
      <c r="S314" s="47" t="s">
        <v>296</v>
      </c>
      <c r="T314" s="47" t="s">
        <v>35</v>
      </c>
      <c r="U314" s="47" t="s">
        <v>296</v>
      </c>
      <c r="V314" s="47" t="s">
        <v>296</v>
      </c>
      <c r="W314" s="47" t="s">
        <v>296</v>
      </c>
      <c r="X314" s="47" t="s">
        <v>296</v>
      </c>
      <c r="Y314" s="47" t="s">
        <v>296</v>
      </c>
      <c r="Z314" s="47" t="s">
        <v>296</v>
      </c>
      <c r="AA314" s="47" t="s">
        <v>296</v>
      </c>
      <c r="AB314" s="47"/>
      <c r="AC314" s="47" t="s">
        <v>35</v>
      </c>
      <c r="AD314" s="63" t="str">
        <f>VLOOKUP(E314,sheet1!$B$2:$C$3209,2,FALSE)</f>
        <v>マウント日付テーブル保守</v>
      </c>
      <c r="AE314" s="49"/>
      <c r="AF314" s="51" t="s">
        <v>1393</v>
      </c>
      <c r="AG314" s="51" t="s">
        <v>1391</v>
      </c>
      <c r="AH314" s="49" t="str">
        <f t="shared" si="23"/>
        <v>マウント日付入力</v>
      </c>
      <c r="AI314" s="49"/>
      <c r="AJ314" s="49"/>
      <c r="AK314" s="49"/>
      <c r="AL314" s="49"/>
      <c r="AM314" s="49"/>
      <c r="AN314" s="49"/>
      <c r="AO314" s="51" t="str">
        <f t="shared" si="21"/>
        <v/>
      </c>
      <c r="AP314" s="51" t="str">
        <f t="shared" si="22"/>
        <v/>
      </c>
      <c r="AQ314" s="51"/>
      <c r="AR314" s="51"/>
      <c r="AS314" s="49" t="str">
        <f t="shared" si="17"/>
        <v/>
      </c>
      <c r="AT314" s="49" t="str">
        <f t="shared" si="18"/>
        <v/>
      </c>
      <c r="AU314" s="49"/>
      <c r="AV314" s="49"/>
    </row>
    <row r="315" spans="1:48" ht="18" customHeight="1">
      <c r="A315" s="44">
        <v>313</v>
      </c>
      <c r="B315" s="71" t="s">
        <v>1076</v>
      </c>
      <c r="C315" s="54" t="s">
        <v>1379</v>
      </c>
      <c r="D315" s="46" t="s">
        <v>116</v>
      </c>
      <c r="E315" s="59" t="s">
        <v>1383</v>
      </c>
      <c r="F315" s="44" t="s">
        <v>1394</v>
      </c>
      <c r="G315" s="44"/>
      <c r="H315" s="44"/>
      <c r="I315" s="44"/>
      <c r="J315" s="47" t="s">
        <v>35</v>
      </c>
      <c r="K315" s="47"/>
      <c r="L315" s="47"/>
      <c r="M315" s="47"/>
      <c r="N315" s="47"/>
      <c r="O315" s="44"/>
      <c r="P315" s="44"/>
      <c r="Q315" s="48">
        <f>VLOOKUP(E315,sheet1!$B$2:$D$3209,3,FALSE)</f>
        <v>224</v>
      </c>
      <c r="R315" s="47" t="s">
        <v>35</v>
      </c>
      <c r="S315" s="47" t="s">
        <v>296</v>
      </c>
      <c r="T315" s="47" t="s">
        <v>35</v>
      </c>
      <c r="U315" s="47" t="s">
        <v>296</v>
      </c>
      <c r="V315" s="47" t="s">
        <v>296</v>
      </c>
      <c r="W315" s="47" t="s">
        <v>296</v>
      </c>
      <c r="X315" s="47" t="s">
        <v>296</v>
      </c>
      <c r="Y315" s="47" t="s">
        <v>296</v>
      </c>
      <c r="Z315" s="47" t="s">
        <v>296</v>
      </c>
      <c r="AA315" s="47" t="s">
        <v>296</v>
      </c>
      <c r="AB315" s="47"/>
      <c r="AC315" s="47" t="s">
        <v>35</v>
      </c>
      <c r="AD315" s="63" t="str">
        <f>VLOOKUP(E315,sheet1!$B$2:$C$3209,2,FALSE)</f>
        <v>発注検討中止Ｆ設定</v>
      </c>
      <c r="AE315" s="49"/>
      <c r="AF315" s="51" t="s">
        <v>1395</v>
      </c>
      <c r="AG315" s="51" t="s">
        <v>1383</v>
      </c>
      <c r="AH315" s="49" t="str">
        <f t="shared" si="23"/>
        <v>発注検討中止Ｆ設定</v>
      </c>
      <c r="AI315" s="49"/>
      <c r="AJ315" s="49"/>
      <c r="AK315" s="49"/>
      <c r="AL315" s="49"/>
      <c r="AM315" s="49"/>
      <c r="AN315" s="49"/>
      <c r="AO315" s="51" t="str">
        <f t="shared" si="21"/>
        <v/>
      </c>
      <c r="AP315" s="51" t="str">
        <f t="shared" si="22"/>
        <v/>
      </c>
      <c r="AQ315" s="51"/>
      <c r="AR315" s="51"/>
      <c r="AS315" s="49" t="str">
        <f t="shared" si="17"/>
        <v/>
      </c>
      <c r="AT315" s="49" t="str">
        <f t="shared" si="18"/>
        <v/>
      </c>
      <c r="AU315" s="49"/>
      <c r="AV315" s="49"/>
    </row>
    <row r="316" spans="1:48" ht="18" customHeight="1">
      <c r="A316" s="44">
        <v>314</v>
      </c>
      <c r="B316" s="71" t="s">
        <v>1076</v>
      </c>
      <c r="C316" s="54" t="s">
        <v>1379</v>
      </c>
      <c r="D316" s="46" t="s">
        <v>116</v>
      </c>
      <c r="E316" s="44" t="s">
        <v>1396</v>
      </c>
      <c r="F316" s="44" t="s">
        <v>1397</v>
      </c>
      <c r="G316" s="44"/>
      <c r="H316" s="44"/>
      <c r="I316" s="44"/>
      <c r="J316" s="47" t="s">
        <v>35</v>
      </c>
      <c r="K316" s="47"/>
      <c r="L316" s="47"/>
      <c r="M316" s="47"/>
      <c r="N316" s="47"/>
      <c r="O316" s="44"/>
      <c r="P316" s="44"/>
      <c r="Q316" s="48">
        <f>VLOOKUP(E316,sheet1!$B$2:$D$3209,3,FALSE)</f>
        <v>670</v>
      </c>
      <c r="R316" s="47" t="s">
        <v>35</v>
      </c>
      <c r="S316" s="47" t="s">
        <v>35</v>
      </c>
      <c r="T316" s="47" t="s">
        <v>35</v>
      </c>
      <c r="U316" s="47" t="s">
        <v>296</v>
      </c>
      <c r="V316" s="47" t="s">
        <v>35</v>
      </c>
      <c r="W316" s="47" t="s">
        <v>35</v>
      </c>
      <c r="X316" s="47" t="s">
        <v>35</v>
      </c>
      <c r="Y316" s="47" t="s">
        <v>35</v>
      </c>
      <c r="Z316" s="47" t="s">
        <v>35</v>
      </c>
      <c r="AA316" s="47" t="s">
        <v>35</v>
      </c>
      <c r="AB316" s="47" t="s">
        <v>35</v>
      </c>
      <c r="AC316" s="47" t="s">
        <v>35</v>
      </c>
      <c r="AD316" s="63" t="str">
        <f>VLOOKUP(E316,sheet1!$B$2:$C$3209,2,FALSE)</f>
        <v>生産計画入力照会</v>
      </c>
      <c r="AE316" s="49"/>
      <c r="AF316" s="51" t="s">
        <v>1398</v>
      </c>
      <c r="AG316" s="51" t="s">
        <v>1396</v>
      </c>
      <c r="AH316" s="49" t="str">
        <f t="shared" si="23"/>
        <v>生産計画照会</v>
      </c>
      <c r="AI316" s="49"/>
      <c r="AJ316" s="49"/>
      <c r="AK316" s="49"/>
      <c r="AL316" s="49"/>
      <c r="AM316" s="49"/>
      <c r="AN316" s="49"/>
      <c r="AO316" s="51" t="str">
        <f t="shared" si="21"/>
        <v>生産計画照会</v>
      </c>
      <c r="AP316" s="51" t="str">
        <f t="shared" si="22"/>
        <v>PD3030</v>
      </c>
      <c r="AQ316" s="51" t="s">
        <v>1398</v>
      </c>
      <c r="AR316" s="51" t="s">
        <v>1396</v>
      </c>
      <c r="AS316" s="49" t="str">
        <f t="shared" si="17"/>
        <v/>
      </c>
      <c r="AT316" s="49" t="str">
        <f t="shared" si="18"/>
        <v/>
      </c>
      <c r="AU316" s="49"/>
      <c r="AV316" s="49"/>
    </row>
    <row r="317" spans="1:48" ht="18" customHeight="1">
      <c r="A317" s="44">
        <v>315</v>
      </c>
      <c r="B317" s="71" t="s">
        <v>1076</v>
      </c>
      <c r="C317" s="54" t="s">
        <v>1379</v>
      </c>
      <c r="D317" s="46" t="s">
        <v>116</v>
      </c>
      <c r="E317" s="44" t="s">
        <v>1399</v>
      </c>
      <c r="F317" s="44" t="s">
        <v>1400</v>
      </c>
      <c r="G317" s="44"/>
      <c r="H317" s="44"/>
      <c r="I317" s="44"/>
      <c r="J317" s="47" t="s">
        <v>35</v>
      </c>
      <c r="K317" s="47"/>
      <c r="L317" s="47"/>
      <c r="M317" s="47"/>
      <c r="N317" s="47"/>
      <c r="O317" s="44"/>
      <c r="P317" s="44"/>
      <c r="Q317" s="48">
        <f>VLOOKUP(E317,sheet1!$B$2:$D$3209,3,FALSE)</f>
        <v>299</v>
      </c>
      <c r="R317" s="47" t="s">
        <v>35</v>
      </c>
      <c r="S317" s="47" t="s">
        <v>35</v>
      </c>
      <c r="T317" s="47" t="s">
        <v>35</v>
      </c>
      <c r="U317" s="47" t="s">
        <v>296</v>
      </c>
      <c r="V317" s="47" t="s">
        <v>35</v>
      </c>
      <c r="W317" s="47" t="s">
        <v>35</v>
      </c>
      <c r="X317" s="47" t="s">
        <v>35</v>
      </c>
      <c r="Y317" s="47" t="s">
        <v>35</v>
      </c>
      <c r="Z317" s="47" t="s">
        <v>35</v>
      </c>
      <c r="AA317" s="47" t="s">
        <v>35</v>
      </c>
      <c r="AB317" s="47" t="s">
        <v>35</v>
      </c>
      <c r="AC317" s="47" t="s">
        <v>35</v>
      </c>
      <c r="AD317" s="63" t="str">
        <f>VLOOKUP(E317,sheet1!$B$2:$C$3209,2,FALSE)</f>
        <v>生産計画照会(製番指定)</v>
      </c>
      <c r="AE317" s="49"/>
      <c r="AF317" s="51" t="s">
        <v>1401</v>
      </c>
      <c r="AG317" s="51" t="s">
        <v>1399</v>
      </c>
      <c r="AH317" s="49" t="str">
        <f t="shared" si="23"/>
        <v>生産計画照会（製番指定）</v>
      </c>
      <c r="AI317" s="49"/>
      <c r="AJ317" s="49"/>
      <c r="AK317" s="49"/>
      <c r="AL317" s="49"/>
      <c r="AM317" s="49"/>
      <c r="AN317" s="49"/>
      <c r="AO317" s="51" t="str">
        <f t="shared" si="21"/>
        <v>生産計画照会（製番指定）</v>
      </c>
      <c r="AP317" s="51" t="str">
        <f t="shared" si="22"/>
        <v>PD3035</v>
      </c>
      <c r="AQ317" s="51" t="s">
        <v>1401</v>
      </c>
      <c r="AR317" s="51" t="s">
        <v>1399</v>
      </c>
      <c r="AS317" s="49" t="str">
        <f t="shared" si="17"/>
        <v/>
      </c>
      <c r="AT317" s="49" t="str">
        <f t="shared" si="18"/>
        <v/>
      </c>
      <c r="AU317" s="49"/>
      <c r="AV317" s="49"/>
    </row>
    <row r="318" spans="1:48" ht="18" customHeight="1">
      <c r="A318" s="44">
        <v>316</v>
      </c>
      <c r="B318" s="71" t="s">
        <v>1076</v>
      </c>
      <c r="C318" s="54" t="s">
        <v>1379</v>
      </c>
      <c r="D318" s="46" t="s">
        <v>116</v>
      </c>
      <c r="E318" s="59" t="s">
        <v>344</v>
      </c>
      <c r="F318" s="44" t="s">
        <v>1402</v>
      </c>
      <c r="G318" s="44"/>
      <c r="H318" s="44"/>
      <c r="I318" s="44"/>
      <c r="J318" s="47"/>
      <c r="K318" s="47" t="s">
        <v>35</v>
      </c>
      <c r="L318" s="47"/>
      <c r="M318" s="47"/>
      <c r="N318" s="47"/>
      <c r="O318" s="44"/>
      <c r="P318" s="44"/>
      <c r="Q318" s="48" t="e">
        <f>VLOOKUP(E318,sheet1!$B$2:$D$3209,3,FALSE)</f>
        <v>#N/A</v>
      </c>
      <c r="R318" s="47" t="s">
        <v>35</v>
      </c>
      <c r="S318" s="47" t="s">
        <v>296</v>
      </c>
      <c r="T318" s="47" t="s">
        <v>35</v>
      </c>
      <c r="U318" s="47" t="s">
        <v>296</v>
      </c>
      <c r="V318" s="47" t="s">
        <v>35</v>
      </c>
      <c r="W318" s="47" t="s">
        <v>296</v>
      </c>
      <c r="X318" s="47" t="s">
        <v>296</v>
      </c>
      <c r="Y318" s="47" t="s">
        <v>296</v>
      </c>
      <c r="Z318" s="47" t="s">
        <v>35</v>
      </c>
      <c r="AA318" s="47" t="s">
        <v>296</v>
      </c>
      <c r="AB318" s="47"/>
      <c r="AC318" s="47" t="s">
        <v>35</v>
      </c>
      <c r="AD318" s="63" t="e">
        <f>VLOOKUP(E318,sheet1!$B$2:$C$3209,2,FALSE)</f>
        <v>#N/A</v>
      </c>
      <c r="AE318" s="49"/>
      <c r="AF318" s="51" t="s">
        <v>1403</v>
      </c>
      <c r="AG318" s="51" t="s">
        <v>344</v>
      </c>
      <c r="AH318" s="49" t="str">
        <f t="shared" si="23"/>
        <v>生産計画予実対比ダウンロード</v>
      </c>
      <c r="AI318" s="49"/>
      <c r="AJ318" s="49"/>
      <c r="AK318" s="49"/>
      <c r="AL318" s="49"/>
      <c r="AM318" s="49"/>
      <c r="AN318" s="49"/>
      <c r="AO318" s="51" t="str">
        <f t="shared" si="21"/>
        <v/>
      </c>
      <c r="AP318" s="51" t="str">
        <f t="shared" si="22"/>
        <v/>
      </c>
      <c r="AQ318" s="51"/>
      <c r="AR318" s="51"/>
      <c r="AS318" s="49" t="str">
        <f t="shared" si="17"/>
        <v/>
      </c>
      <c r="AT318" s="49" t="str">
        <f t="shared" si="18"/>
        <v/>
      </c>
      <c r="AU318" s="49"/>
      <c r="AV318" s="49"/>
    </row>
    <row r="319" spans="1:48" ht="18" customHeight="1">
      <c r="A319" s="44">
        <v>317</v>
      </c>
      <c r="B319" s="71" t="s">
        <v>1076</v>
      </c>
      <c r="C319" s="54" t="s">
        <v>1379</v>
      </c>
      <c r="D319" s="46" t="s">
        <v>116</v>
      </c>
      <c r="E319" s="44" t="s">
        <v>1404</v>
      </c>
      <c r="F319" s="44" t="s">
        <v>1405</v>
      </c>
      <c r="G319" s="44"/>
      <c r="H319" s="44"/>
      <c r="I319" s="44"/>
      <c r="J319" s="47" t="s">
        <v>35</v>
      </c>
      <c r="K319" s="47"/>
      <c r="L319" s="47"/>
      <c r="M319" s="47"/>
      <c r="N319" s="47"/>
      <c r="O319" s="44"/>
      <c r="P319" s="44"/>
      <c r="Q319" s="48">
        <f>VLOOKUP(E319,sheet1!$B$2:$D$3209,3,FALSE)</f>
        <v>394</v>
      </c>
      <c r="R319" s="47" t="s">
        <v>35</v>
      </c>
      <c r="S319" s="47" t="s">
        <v>35</v>
      </c>
      <c r="T319" s="47" t="s">
        <v>35</v>
      </c>
      <c r="U319" s="47" t="s">
        <v>296</v>
      </c>
      <c r="V319" s="47" t="s">
        <v>35</v>
      </c>
      <c r="W319" s="47" t="s">
        <v>35</v>
      </c>
      <c r="X319" s="47" t="s">
        <v>35</v>
      </c>
      <c r="Y319" s="47" t="s">
        <v>35</v>
      </c>
      <c r="Z319" s="47" t="s">
        <v>35</v>
      </c>
      <c r="AA319" s="47" t="s">
        <v>35</v>
      </c>
      <c r="AB319" s="47" t="s">
        <v>35</v>
      </c>
      <c r="AC319" s="47" t="s">
        <v>35</v>
      </c>
      <c r="AD319" s="63" t="str">
        <f>VLOOKUP(E319,sheet1!$B$2:$C$3209,2,FALSE)</f>
        <v>生産計画予定実績対比表</v>
      </c>
      <c r="AE319" s="49"/>
      <c r="AF319" s="51" t="s">
        <v>1406</v>
      </c>
      <c r="AG319" s="51" t="s">
        <v>1404</v>
      </c>
      <c r="AH319" s="49" t="str">
        <f t="shared" si="23"/>
        <v>生産計画予実対比表</v>
      </c>
      <c r="AI319" s="49"/>
      <c r="AJ319" s="49"/>
      <c r="AK319" s="49"/>
      <c r="AL319" s="49"/>
      <c r="AM319" s="49"/>
      <c r="AN319" s="49"/>
      <c r="AO319" s="51" t="str">
        <f t="shared" si="21"/>
        <v>生産計画予実対比表</v>
      </c>
      <c r="AP319" s="51" t="str">
        <f t="shared" si="22"/>
        <v>PD3050</v>
      </c>
      <c r="AQ319" s="51" t="s">
        <v>1406</v>
      </c>
      <c r="AR319" s="51" t="s">
        <v>1404</v>
      </c>
      <c r="AS319" s="49" t="str">
        <f t="shared" si="17"/>
        <v/>
      </c>
      <c r="AT319" s="49" t="str">
        <f t="shared" si="18"/>
        <v/>
      </c>
      <c r="AU319" s="49"/>
      <c r="AV319" s="49"/>
    </row>
    <row r="320" spans="1:48" ht="18" customHeight="1">
      <c r="A320" s="44">
        <v>318</v>
      </c>
      <c r="B320" s="71" t="s">
        <v>1076</v>
      </c>
      <c r="C320" s="54" t="s">
        <v>1379</v>
      </c>
      <c r="D320" s="46" t="s">
        <v>116</v>
      </c>
      <c r="E320" s="44" t="s">
        <v>1407</v>
      </c>
      <c r="F320" s="44" t="s">
        <v>1408</v>
      </c>
      <c r="G320" s="44"/>
      <c r="H320" s="44"/>
      <c r="I320" s="44"/>
      <c r="J320" s="47" t="s">
        <v>35</v>
      </c>
      <c r="K320" s="47"/>
      <c r="L320" s="47"/>
      <c r="M320" s="47"/>
      <c r="N320" s="47"/>
      <c r="O320" s="44"/>
      <c r="P320" s="44"/>
      <c r="Q320" s="48">
        <f>VLOOKUP(E320,sheet1!$B$2:$D$3209,3,FALSE)</f>
        <v>329</v>
      </c>
      <c r="R320" s="47" t="s">
        <v>35</v>
      </c>
      <c r="S320" s="47" t="s">
        <v>35</v>
      </c>
      <c r="T320" s="47" t="s">
        <v>35</v>
      </c>
      <c r="U320" s="47" t="s">
        <v>296</v>
      </c>
      <c r="V320" s="47" t="s">
        <v>35</v>
      </c>
      <c r="W320" s="47" t="s">
        <v>35</v>
      </c>
      <c r="X320" s="47" t="s">
        <v>35</v>
      </c>
      <c r="Y320" s="47" t="s">
        <v>35</v>
      </c>
      <c r="Z320" s="47" t="s">
        <v>35</v>
      </c>
      <c r="AA320" s="47" t="s">
        <v>35</v>
      </c>
      <c r="AB320" s="47" t="s">
        <v>35</v>
      </c>
      <c r="AC320" s="47" t="s">
        <v>35</v>
      </c>
      <c r="AD320" s="63" t="str">
        <f>VLOOKUP(E320,sheet1!$B$2:$C$3209,2,FALSE)</f>
        <v>製番付構成Ｆリスト</v>
      </c>
      <c r="AE320" s="49"/>
      <c r="AF320" s="51" t="s">
        <v>1409</v>
      </c>
      <c r="AG320" s="51" t="s">
        <v>1407</v>
      </c>
      <c r="AH320" s="49" t="str">
        <f t="shared" si="23"/>
        <v>製番付構成Ｆリスト</v>
      </c>
      <c r="AI320" s="49"/>
      <c r="AJ320" s="49"/>
      <c r="AK320" s="49"/>
      <c r="AL320" s="49"/>
      <c r="AM320" s="49"/>
      <c r="AN320" s="49"/>
      <c r="AO320" s="51" t="str">
        <f t="shared" si="21"/>
        <v>製番付構成Ｆリスト</v>
      </c>
      <c r="AP320" s="51" t="str">
        <f t="shared" si="22"/>
        <v>PD3026</v>
      </c>
      <c r="AQ320" s="51" t="s">
        <v>1409</v>
      </c>
      <c r="AR320" s="51" t="s">
        <v>1407</v>
      </c>
      <c r="AS320" s="49" t="str">
        <f t="shared" si="17"/>
        <v/>
      </c>
      <c r="AT320" s="49" t="str">
        <f t="shared" si="18"/>
        <v/>
      </c>
      <c r="AU320" s="49"/>
      <c r="AV320" s="49"/>
    </row>
    <row r="321" spans="1:48" ht="18" customHeight="1">
      <c r="A321" s="44">
        <v>319</v>
      </c>
      <c r="B321" s="71" t="s">
        <v>1076</v>
      </c>
      <c r="C321" s="54" t="s">
        <v>1379</v>
      </c>
      <c r="D321" s="46" t="s">
        <v>116</v>
      </c>
      <c r="E321" s="59" t="s">
        <v>1410</v>
      </c>
      <c r="F321" s="44" t="s">
        <v>1411</v>
      </c>
      <c r="G321" s="44"/>
      <c r="H321" s="44"/>
      <c r="I321" s="44"/>
      <c r="J321" s="47" t="s">
        <v>35</v>
      </c>
      <c r="K321" s="47"/>
      <c r="L321" s="47"/>
      <c r="M321" s="47"/>
      <c r="N321" s="47"/>
      <c r="O321" s="44"/>
      <c r="P321" s="44"/>
      <c r="Q321" s="48">
        <f>VLOOKUP(E321,sheet1!$B$2:$D$3209,3,FALSE)</f>
        <v>319</v>
      </c>
      <c r="R321" s="47" t="s">
        <v>35</v>
      </c>
      <c r="S321" s="47" t="s">
        <v>296</v>
      </c>
      <c r="T321" s="47" t="s">
        <v>35</v>
      </c>
      <c r="U321" s="47" t="s">
        <v>296</v>
      </c>
      <c r="V321" s="47" t="s">
        <v>296</v>
      </c>
      <c r="W321" s="47" t="s">
        <v>296</v>
      </c>
      <c r="X321" s="47" t="s">
        <v>296</v>
      </c>
      <c r="Y321" s="47" t="s">
        <v>296</v>
      </c>
      <c r="Z321" s="47" t="s">
        <v>296</v>
      </c>
      <c r="AA321" s="47" t="s">
        <v>296</v>
      </c>
      <c r="AB321" s="47"/>
      <c r="AC321" s="47" t="s">
        <v>35</v>
      </c>
      <c r="AD321" s="63" t="str">
        <f>VLOOKUP(E321,sheet1!$B$2:$C$3209,2,FALSE)</f>
        <v>製番付構成ファイル・ダウンロード</v>
      </c>
      <c r="AE321" s="49"/>
      <c r="AF321" s="51" t="s">
        <v>1412</v>
      </c>
      <c r="AG321" s="51" t="s">
        <v>1410</v>
      </c>
      <c r="AH321" s="49" t="str">
        <f t="shared" si="23"/>
        <v>製番付構成Ｆダウンロード</v>
      </c>
      <c r="AI321" s="49"/>
      <c r="AJ321" s="49"/>
      <c r="AK321" s="49"/>
      <c r="AL321" s="49"/>
      <c r="AM321" s="49"/>
      <c r="AN321" s="49"/>
      <c r="AO321" s="51" t="str">
        <f t="shared" si="21"/>
        <v/>
      </c>
      <c r="AP321" s="51" t="str">
        <f t="shared" si="22"/>
        <v/>
      </c>
      <c r="AQ321" s="51"/>
      <c r="AR321" s="51"/>
      <c r="AS321" s="49" t="str">
        <f t="shared" si="17"/>
        <v/>
      </c>
      <c r="AT321" s="49" t="str">
        <f t="shared" si="18"/>
        <v/>
      </c>
      <c r="AU321" s="49"/>
      <c r="AV321" s="49"/>
    </row>
    <row r="322" spans="1:48" ht="18" customHeight="1">
      <c r="A322" s="44">
        <v>320</v>
      </c>
      <c r="B322" s="71" t="s">
        <v>1076</v>
      </c>
      <c r="C322" s="54" t="s">
        <v>1379</v>
      </c>
      <c r="D322" s="46" t="s">
        <v>116</v>
      </c>
      <c r="E322" s="44" t="s">
        <v>1413</v>
      </c>
      <c r="F322" s="44" t="s">
        <v>1414</v>
      </c>
      <c r="G322" s="44"/>
      <c r="H322" s="44"/>
      <c r="I322" s="44"/>
      <c r="J322" s="47" t="s">
        <v>35</v>
      </c>
      <c r="K322" s="47"/>
      <c r="L322" s="47"/>
      <c r="M322" s="47"/>
      <c r="N322" s="47"/>
      <c r="O322" s="44"/>
      <c r="P322" s="44"/>
      <c r="Q322" s="48">
        <f>VLOOKUP(E322,sheet1!$B$2:$D$3209,3,FALSE)</f>
        <v>366</v>
      </c>
      <c r="R322" s="47" t="s">
        <v>35</v>
      </c>
      <c r="S322" s="47" t="s">
        <v>35</v>
      </c>
      <c r="T322" s="47" t="s">
        <v>35</v>
      </c>
      <c r="U322" s="47" t="s">
        <v>296</v>
      </c>
      <c r="V322" s="47" t="s">
        <v>296</v>
      </c>
      <c r="W322" s="47" t="s">
        <v>35</v>
      </c>
      <c r="X322" s="47" t="s">
        <v>35</v>
      </c>
      <c r="Y322" s="47" t="s">
        <v>35</v>
      </c>
      <c r="Z322" s="47" t="s">
        <v>35</v>
      </c>
      <c r="AA322" s="47" t="s">
        <v>35</v>
      </c>
      <c r="AB322" s="47" t="s">
        <v>35</v>
      </c>
      <c r="AC322" s="47" t="s">
        <v>35</v>
      </c>
      <c r="AD322" s="63" t="str">
        <f>VLOOKUP(E322,sheet1!$B$2:$C$3209,2,FALSE)</f>
        <v>改造余剰部品表(ｴｸｾﾙﾀﾞｳﾝﾛｰﾄﾞ)</v>
      </c>
      <c r="AE322" s="49"/>
      <c r="AF322" s="51" t="s">
        <v>1415</v>
      </c>
      <c r="AG322" s="51" t="s">
        <v>1413</v>
      </c>
      <c r="AH322" s="49" t="str">
        <f t="shared" si="23"/>
        <v>改造余剰品表(ｴｸｾﾙﾀﾞｳﾝﾛｰﾄﾞ)</v>
      </c>
      <c r="AI322" s="49"/>
      <c r="AJ322" s="49"/>
      <c r="AK322" s="49"/>
      <c r="AL322" s="49"/>
      <c r="AM322" s="49"/>
      <c r="AN322" s="49"/>
      <c r="AO322" s="51" t="str">
        <f t="shared" si="21"/>
        <v>改造余剰品表(ｴｸｾﾙﾀﾞｳﾝﾛｰﾄﾞ)</v>
      </c>
      <c r="AP322" s="51" t="str">
        <f t="shared" si="22"/>
        <v>PD1290</v>
      </c>
      <c r="AQ322" s="51" t="s">
        <v>1415</v>
      </c>
      <c r="AR322" s="51" t="s">
        <v>1413</v>
      </c>
      <c r="AS322" s="49" t="str">
        <f t="shared" si="17"/>
        <v/>
      </c>
      <c r="AT322" s="49" t="str">
        <f t="shared" si="18"/>
        <v/>
      </c>
      <c r="AU322" s="49"/>
      <c r="AV322" s="49"/>
    </row>
    <row r="323" spans="1:48" ht="18" customHeight="1">
      <c r="A323" s="44">
        <v>321</v>
      </c>
      <c r="B323" s="71" t="s">
        <v>1076</v>
      </c>
      <c r="C323" s="54" t="s">
        <v>1379</v>
      </c>
      <c r="D323" s="46" t="s">
        <v>116</v>
      </c>
      <c r="E323" s="59" t="s">
        <v>344</v>
      </c>
      <c r="F323" s="44" t="s">
        <v>1416</v>
      </c>
      <c r="G323" s="44"/>
      <c r="H323" s="44"/>
      <c r="I323" s="44"/>
      <c r="J323" s="47"/>
      <c r="K323" s="47" t="s">
        <v>35</v>
      </c>
      <c r="L323" s="47"/>
      <c r="M323" s="47"/>
      <c r="N323" s="47"/>
      <c r="O323" s="44"/>
      <c r="P323" s="44"/>
      <c r="Q323" s="48" t="e">
        <f>VLOOKUP(E323,sheet1!$B$2:$D$3209,3,FALSE)</f>
        <v>#N/A</v>
      </c>
      <c r="R323" s="47" t="s">
        <v>35</v>
      </c>
      <c r="S323" s="47" t="s">
        <v>296</v>
      </c>
      <c r="T323" s="47" t="s">
        <v>35</v>
      </c>
      <c r="U323" s="47" t="s">
        <v>296</v>
      </c>
      <c r="V323" s="47" t="s">
        <v>296</v>
      </c>
      <c r="W323" s="47" t="s">
        <v>296</v>
      </c>
      <c r="X323" s="47" t="s">
        <v>296</v>
      </c>
      <c r="Y323" s="47" t="s">
        <v>296</v>
      </c>
      <c r="Z323" s="47" t="s">
        <v>296</v>
      </c>
      <c r="AA323" s="47" t="s">
        <v>296</v>
      </c>
      <c r="AB323" s="47"/>
      <c r="AC323" s="47" t="s">
        <v>35</v>
      </c>
      <c r="AD323" s="63" t="e">
        <f>VLOOKUP(E323,sheet1!$B$2:$C$3209,2,FALSE)</f>
        <v>#N/A</v>
      </c>
      <c r="AE323" s="49"/>
      <c r="AF323" s="51" t="s">
        <v>1417</v>
      </c>
      <c r="AG323" s="51" t="s">
        <v>344</v>
      </c>
      <c r="AH323" s="49" t="str">
        <f t="shared" si="23"/>
        <v>生産統轄部製番表</v>
      </c>
      <c r="AI323" s="49"/>
      <c r="AJ323" s="49"/>
      <c r="AK323" s="49"/>
      <c r="AL323" s="49"/>
      <c r="AM323" s="49"/>
      <c r="AN323" s="49"/>
      <c r="AO323" s="51" t="str">
        <f t="shared" si="21"/>
        <v/>
      </c>
      <c r="AP323" s="51" t="str">
        <f t="shared" si="22"/>
        <v/>
      </c>
      <c r="AQ323" s="51"/>
      <c r="AR323" s="51"/>
      <c r="AS323" s="49" t="str">
        <f t="shared" si="17"/>
        <v/>
      </c>
      <c r="AT323" s="49" t="str">
        <f t="shared" si="18"/>
        <v/>
      </c>
      <c r="AU323" s="49"/>
      <c r="AV323" s="49"/>
    </row>
    <row r="324" spans="1:48" ht="18" customHeight="1">
      <c r="A324" s="44">
        <v>322</v>
      </c>
      <c r="B324" s="71" t="s">
        <v>1076</v>
      </c>
      <c r="C324" s="54" t="s">
        <v>1379</v>
      </c>
      <c r="D324" s="46" t="s">
        <v>116</v>
      </c>
      <c r="E324" s="44" t="s">
        <v>1418</v>
      </c>
      <c r="F324" s="44" t="s">
        <v>1419</v>
      </c>
      <c r="G324" s="44"/>
      <c r="H324" s="44"/>
      <c r="I324" s="44"/>
      <c r="J324" s="47" t="s">
        <v>35</v>
      </c>
      <c r="K324" s="47"/>
      <c r="L324" s="47"/>
      <c r="M324" s="47"/>
      <c r="N324" s="47"/>
      <c r="O324" s="44"/>
      <c r="P324" s="44"/>
      <c r="Q324" s="48">
        <f>VLOOKUP(E324,sheet1!$B$2:$D$3209,3,FALSE)</f>
        <v>444</v>
      </c>
      <c r="R324" s="47" t="s">
        <v>35</v>
      </c>
      <c r="S324" s="47" t="s">
        <v>35</v>
      </c>
      <c r="T324" s="47" t="s">
        <v>35</v>
      </c>
      <c r="U324" s="47" t="s">
        <v>296</v>
      </c>
      <c r="V324" s="47" t="s">
        <v>35</v>
      </c>
      <c r="W324" s="47" t="s">
        <v>35</v>
      </c>
      <c r="X324" s="47" t="s">
        <v>35</v>
      </c>
      <c r="Y324" s="47" t="s">
        <v>35</v>
      </c>
      <c r="Z324" s="47" t="s">
        <v>35</v>
      </c>
      <c r="AA324" s="47" t="s">
        <v>35</v>
      </c>
      <c r="AB324" s="47" t="s">
        <v>35</v>
      </c>
      <c r="AC324" s="47" t="s">
        <v>35</v>
      </c>
      <c r="AD324" s="63" t="str">
        <f>VLOOKUP(E324,sheet1!$B$2:$C$3209,2,FALSE)</f>
        <v>生産計画自動取込チェックリスト</v>
      </c>
      <c r="AE324" s="49"/>
      <c r="AF324" s="51" t="s">
        <v>1420</v>
      </c>
      <c r="AG324" s="51" t="s">
        <v>1418</v>
      </c>
      <c r="AH324" s="49" t="str">
        <f t="shared" si="23"/>
        <v>生産計画自動取込ﾁｪｯｸﾘｽﾄ</v>
      </c>
      <c r="AI324" s="49"/>
      <c r="AJ324" s="49"/>
      <c r="AK324" s="49"/>
      <c r="AL324" s="49"/>
      <c r="AM324" s="49"/>
      <c r="AN324" s="49"/>
      <c r="AO324" s="51" t="str">
        <f t="shared" si="21"/>
        <v>生産計画自動取込ﾁｪｯｸﾘｽﾄ</v>
      </c>
      <c r="AP324" s="51" t="str">
        <f t="shared" si="22"/>
        <v>PD9420</v>
      </c>
      <c r="AQ324" s="51" t="s">
        <v>1420</v>
      </c>
      <c r="AR324" s="51" t="s">
        <v>1418</v>
      </c>
      <c r="AS324" s="49" t="str">
        <f t="shared" si="17"/>
        <v/>
      </c>
      <c r="AT324" s="49" t="str">
        <f t="shared" si="18"/>
        <v/>
      </c>
      <c r="AU324" s="49"/>
      <c r="AV324" s="49"/>
    </row>
    <row r="325" spans="1:48" ht="18" customHeight="1">
      <c r="A325" s="44">
        <v>323</v>
      </c>
      <c r="B325" s="71" t="s">
        <v>1076</v>
      </c>
      <c r="C325" s="54" t="s">
        <v>1379</v>
      </c>
      <c r="D325" s="46" t="s">
        <v>116</v>
      </c>
      <c r="E325" s="59" t="s">
        <v>344</v>
      </c>
      <c r="F325" s="44" t="s">
        <v>1421</v>
      </c>
      <c r="G325" s="44"/>
      <c r="H325" s="44"/>
      <c r="I325" s="44"/>
      <c r="J325" s="47"/>
      <c r="K325" s="47" t="s">
        <v>35</v>
      </c>
      <c r="L325" s="47"/>
      <c r="M325" s="47"/>
      <c r="N325" s="47"/>
      <c r="O325" s="44"/>
      <c r="P325" s="44"/>
      <c r="Q325" s="48" t="e">
        <f>VLOOKUP(E325,sheet1!$B$2:$D$3209,3,FALSE)</f>
        <v>#N/A</v>
      </c>
      <c r="R325" s="47" t="s">
        <v>35</v>
      </c>
      <c r="S325" s="47" t="s">
        <v>296</v>
      </c>
      <c r="T325" s="47" t="s">
        <v>35</v>
      </c>
      <c r="U325" s="47" t="s">
        <v>296</v>
      </c>
      <c r="V325" s="47" t="s">
        <v>296</v>
      </c>
      <c r="W325" s="47" t="s">
        <v>296</v>
      </c>
      <c r="X325" s="47" t="s">
        <v>296</v>
      </c>
      <c r="Y325" s="47" t="s">
        <v>296</v>
      </c>
      <c r="Z325" s="47" t="s">
        <v>296</v>
      </c>
      <c r="AA325" s="47" t="s">
        <v>296</v>
      </c>
      <c r="AB325" s="47"/>
      <c r="AC325" s="47" t="s">
        <v>35</v>
      </c>
      <c r="AD325" s="63" t="e">
        <f>VLOOKUP(E325,sheet1!$B$2:$C$3209,2,FALSE)</f>
        <v>#N/A</v>
      </c>
      <c r="AE325" s="49"/>
      <c r="AF325" s="51" t="s">
        <v>1422</v>
      </c>
      <c r="AG325" s="51" t="s">
        <v>344</v>
      </c>
      <c r="AH325" s="49" t="str">
        <f t="shared" si="23"/>
        <v>ＭＲＰ対象外エラー内容照会</v>
      </c>
      <c r="AI325" s="49"/>
      <c r="AJ325" s="49"/>
      <c r="AK325" s="49"/>
      <c r="AL325" s="49"/>
      <c r="AM325" s="49"/>
      <c r="AN325" s="49"/>
      <c r="AO325" s="51" t="str">
        <f t="shared" si="21"/>
        <v/>
      </c>
      <c r="AP325" s="51" t="str">
        <f t="shared" si="22"/>
        <v/>
      </c>
      <c r="AQ325" s="51"/>
      <c r="AR325" s="51"/>
      <c r="AS325" s="49" t="str">
        <f t="shared" si="17"/>
        <v/>
      </c>
      <c r="AT325" s="49" t="str">
        <f t="shared" si="18"/>
        <v/>
      </c>
      <c r="AU325" s="49"/>
      <c r="AV325" s="49"/>
    </row>
    <row r="326" spans="1:48" ht="18" customHeight="1">
      <c r="A326" s="44">
        <v>324</v>
      </c>
      <c r="B326" s="71" t="s">
        <v>1076</v>
      </c>
      <c r="C326" s="53" t="s">
        <v>36</v>
      </c>
      <c r="D326" s="46" t="s">
        <v>116</v>
      </c>
      <c r="E326" s="44" t="s">
        <v>1423</v>
      </c>
      <c r="F326" s="44" t="s">
        <v>1424</v>
      </c>
      <c r="G326" s="44"/>
      <c r="H326" s="44"/>
      <c r="I326" s="44"/>
      <c r="J326" s="47" t="s">
        <v>35</v>
      </c>
      <c r="K326" s="47"/>
      <c r="L326" s="47"/>
      <c r="M326" s="47"/>
      <c r="N326" s="47"/>
      <c r="O326" s="44"/>
      <c r="P326" s="44"/>
      <c r="Q326" s="48">
        <f>VLOOKUP(E326,sheet1!$B$2:$D$3209,3,FALSE)</f>
        <v>220</v>
      </c>
      <c r="R326" s="47" t="s">
        <v>35</v>
      </c>
      <c r="S326" s="47" t="s">
        <v>296</v>
      </c>
      <c r="T326" s="47"/>
      <c r="U326" s="47" t="s">
        <v>296</v>
      </c>
      <c r="V326" s="47" t="s">
        <v>296</v>
      </c>
      <c r="W326" s="47" t="s">
        <v>296</v>
      </c>
      <c r="X326" s="47" t="s">
        <v>296</v>
      </c>
      <c r="Y326" s="47" t="s">
        <v>296</v>
      </c>
      <c r="Z326" s="47" t="s">
        <v>296</v>
      </c>
      <c r="AA326" s="47" t="s">
        <v>35</v>
      </c>
      <c r="AB326" s="47"/>
      <c r="AC326" s="47" t="s">
        <v>35</v>
      </c>
      <c r="AD326" s="63" t="str">
        <f>VLOOKUP(E326,sheet1!$B$2:$C$3209,2,FALSE)</f>
        <v>発注検討表出力指示</v>
      </c>
      <c r="AE326" s="49"/>
      <c r="AF326" s="51" t="s">
        <v>1425</v>
      </c>
      <c r="AG326" s="51" t="s">
        <v>1423</v>
      </c>
      <c r="AH326" s="49" t="str">
        <f t="shared" si="23"/>
        <v>発注検討表出力</v>
      </c>
      <c r="AI326" s="49"/>
      <c r="AJ326" s="49"/>
      <c r="AK326" s="49"/>
      <c r="AL326" s="49" t="str">
        <f t="shared" ref="AL326:AL381" si="24">TRIM(AN326)</f>
        <v>余剰品リスト出力</v>
      </c>
      <c r="AM326" s="49" t="s">
        <v>35</v>
      </c>
      <c r="AN326" s="49" t="s">
        <v>1426</v>
      </c>
      <c r="AO326" s="51" t="str">
        <f t="shared" si="21"/>
        <v/>
      </c>
      <c r="AP326" s="51" t="str">
        <f t="shared" si="22"/>
        <v/>
      </c>
      <c r="AQ326" s="51"/>
      <c r="AR326" s="51"/>
      <c r="AS326" s="49" t="str">
        <f t="shared" si="17"/>
        <v/>
      </c>
      <c r="AT326" s="49" t="str">
        <f t="shared" si="18"/>
        <v/>
      </c>
      <c r="AU326" s="49"/>
      <c r="AV326" s="49"/>
    </row>
    <row r="327" spans="1:48" ht="18" customHeight="1">
      <c r="A327" s="44">
        <v>325</v>
      </c>
      <c r="B327" s="71" t="s">
        <v>1076</v>
      </c>
      <c r="C327" s="54" t="s">
        <v>36</v>
      </c>
      <c r="D327" s="46" t="s">
        <v>116</v>
      </c>
      <c r="E327" s="44" t="s">
        <v>1427</v>
      </c>
      <c r="F327" s="44" t="s">
        <v>1428</v>
      </c>
      <c r="G327" s="44"/>
      <c r="H327" s="44"/>
      <c r="I327" s="44"/>
      <c r="J327" s="47" t="s">
        <v>35</v>
      </c>
      <c r="K327" s="47"/>
      <c r="L327" s="47"/>
      <c r="M327" s="47"/>
      <c r="N327" s="47"/>
      <c r="O327" s="44"/>
      <c r="P327" s="44"/>
      <c r="Q327" s="48">
        <f>VLOOKUP(E327,sheet1!$B$2:$D$3209,3,FALSE)</f>
        <v>160</v>
      </c>
      <c r="R327" s="47" t="s">
        <v>35</v>
      </c>
      <c r="S327" s="47" t="s">
        <v>35</v>
      </c>
      <c r="T327" s="47" t="s">
        <v>35</v>
      </c>
      <c r="U327" s="47" t="s">
        <v>296</v>
      </c>
      <c r="V327" s="47" t="s">
        <v>35</v>
      </c>
      <c r="W327" s="47" t="s">
        <v>35</v>
      </c>
      <c r="X327" s="47" t="s">
        <v>35</v>
      </c>
      <c r="Y327" s="47" t="s">
        <v>35</v>
      </c>
      <c r="Z327" s="47" t="s">
        <v>35</v>
      </c>
      <c r="AA327" s="47" t="s">
        <v>35</v>
      </c>
      <c r="AB327" s="47" t="s">
        <v>35</v>
      </c>
      <c r="AC327" s="47" t="s">
        <v>35</v>
      </c>
      <c r="AD327" s="63" t="str">
        <f>VLOOKUP(E327,sheet1!$B$2:$C$3209,2,FALSE)</f>
        <v>余剰品リスト出力指示</v>
      </c>
      <c r="AE327" s="49"/>
      <c r="AF327" s="51" t="s">
        <v>1429</v>
      </c>
      <c r="AG327" s="51" t="s">
        <v>1427</v>
      </c>
      <c r="AH327" s="49" t="str">
        <f t="shared" si="23"/>
        <v>余剰品リスト出力</v>
      </c>
      <c r="AI327" s="49"/>
      <c r="AJ327" s="49"/>
      <c r="AK327" s="49"/>
      <c r="AL327" s="49" t="str">
        <f t="shared" si="24"/>
        <v>個別承認</v>
      </c>
      <c r="AM327" s="49" t="s">
        <v>35</v>
      </c>
      <c r="AN327" s="49" t="s">
        <v>1430</v>
      </c>
      <c r="AO327" s="51" t="str">
        <f t="shared" si="21"/>
        <v>余剰品リスト出力</v>
      </c>
      <c r="AP327" s="51" t="str">
        <f t="shared" si="22"/>
        <v>PD3220</v>
      </c>
      <c r="AQ327" s="51" t="s">
        <v>1431</v>
      </c>
      <c r="AR327" s="51" t="s">
        <v>1427</v>
      </c>
      <c r="AS327" s="49" t="str">
        <f t="shared" si="17"/>
        <v/>
      </c>
      <c r="AT327" s="49" t="str">
        <f t="shared" si="18"/>
        <v/>
      </c>
      <c r="AU327" s="49"/>
      <c r="AV327" s="49"/>
    </row>
    <row r="328" spans="1:48" ht="18" customHeight="1">
      <c r="A328" s="44">
        <v>326</v>
      </c>
      <c r="B328" s="71" t="s">
        <v>1076</v>
      </c>
      <c r="C328" s="54" t="s">
        <v>36</v>
      </c>
      <c r="D328" s="46" t="s">
        <v>116</v>
      </c>
      <c r="E328" s="44" t="s">
        <v>1432</v>
      </c>
      <c r="F328" s="44" t="s">
        <v>1433</v>
      </c>
      <c r="G328" s="44"/>
      <c r="H328" s="44"/>
      <c r="I328" s="44"/>
      <c r="J328" s="47" t="s">
        <v>35</v>
      </c>
      <c r="K328" s="47"/>
      <c r="L328" s="47"/>
      <c r="M328" s="47"/>
      <c r="N328" s="47"/>
      <c r="O328" s="44"/>
      <c r="P328" s="44"/>
      <c r="Q328" s="48">
        <f>VLOOKUP(E328,sheet1!$B$2:$D$3209,3,FALSE)</f>
        <v>1804</v>
      </c>
      <c r="R328" s="47" t="s">
        <v>35</v>
      </c>
      <c r="S328" s="47" t="s">
        <v>296</v>
      </c>
      <c r="T328" s="47" t="s">
        <v>35</v>
      </c>
      <c r="U328" s="47" t="s">
        <v>296</v>
      </c>
      <c r="V328" s="47" t="s">
        <v>296</v>
      </c>
      <c r="W328" s="47" t="s">
        <v>296</v>
      </c>
      <c r="X328" s="47" t="s">
        <v>296</v>
      </c>
      <c r="Y328" s="47" t="s">
        <v>296</v>
      </c>
      <c r="Z328" s="47" t="s">
        <v>296</v>
      </c>
      <c r="AA328" s="47" t="s">
        <v>35</v>
      </c>
      <c r="AB328" s="47"/>
      <c r="AC328" s="47" t="s">
        <v>35</v>
      </c>
      <c r="AD328" s="63" t="str">
        <f>VLOOKUP(E328,sheet1!$B$2:$C$3209,2,FALSE)</f>
        <v>一括発注承認</v>
      </c>
      <c r="AE328" s="49"/>
      <c r="AF328" s="51" t="s">
        <v>1434</v>
      </c>
      <c r="AG328" s="51" t="s">
        <v>1432</v>
      </c>
      <c r="AH328" s="49" t="str">
        <f t="shared" si="23"/>
        <v>発注承認処理</v>
      </c>
      <c r="AI328" s="49"/>
      <c r="AJ328" s="49"/>
      <c r="AK328" s="49"/>
      <c r="AL328" s="49" t="str">
        <f t="shared" si="24"/>
        <v>個別発注（仕入）</v>
      </c>
      <c r="AM328" s="49" t="s">
        <v>35</v>
      </c>
      <c r="AN328" s="49" t="s">
        <v>1435</v>
      </c>
      <c r="AO328" s="51" t="str">
        <f t="shared" si="21"/>
        <v/>
      </c>
      <c r="AP328" s="51" t="str">
        <f t="shared" si="22"/>
        <v/>
      </c>
      <c r="AQ328" s="51"/>
      <c r="AR328" s="51"/>
      <c r="AS328" s="49" t="str">
        <f t="shared" si="17"/>
        <v/>
      </c>
      <c r="AT328" s="49" t="str">
        <f t="shared" si="18"/>
        <v/>
      </c>
      <c r="AU328" s="49"/>
      <c r="AV328" s="49"/>
    </row>
    <row r="329" spans="1:48" ht="18" customHeight="1">
      <c r="A329" s="44">
        <v>327</v>
      </c>
      <c r="B329" s="71" t="s">
        <v>1076</v>
      </c>
      <c r="C329" s="54" t="s">
        <v>36</v>
      </c>
      <c r="D329" s="46" t="s">
        <v>116</v>
      </c>
      <c r="E329" s="44" t="s">
        <v>1436</v>
      </c>
      <c r="F329" s="44" t="s">
        <v>1437</v>
      </c>
      <c r="G329" s="44"/>
      <c r="H329" s="44"/>
      <c r="I329" s="44"/>
      <c r="J329" s="47" t="s">
        <v>35</v>
      </c>
      <c r="K329" s="47"/>
      <c r="L329" s="47"/>
      <c r="M329" s="47"/>
      <c r="N329" s="47"/>
      <c r="O329" s="44"/>
      <c r="P329" s="44"/>
      <c r="Q329" s="48">
        <f>VLOOKUP(E329,sheet1!$B$2:$D$3209,3,FALSE)</f>
        <v>1331</v>
      </c>
      <c r="R329" s="47" t="s">
        <v>35</v>
      </c>
      <c r="S329" s="47" t="s">
        <v>35</v>
      </c>
      <c r="T329" s="47" t="s">
        <v>35</v>
      </c>
      <c r="U329" s="47" t="s">
        <v>296</v>
      </c>
      <c r="V329" s="47" t="s">
        <v>35</v>
      </c>
      <c r="W329" s="47" t="s">
        <v>35</v>
      </c>
      <c r="X329" s="47" t="s">
        <v>35</v>
      </c>
      <c r="Y329" s="47" t="s">
        <v>35</v>
      </c>
      <c r="Z329" s="47" t="s">
        <v>35</v>
      </c>
      <c r="AA329" s="47" t="s">
        <v>35</v>
      </c>
      <c r="AB329" s="47" t="s">
        <v>35</v>
      </c>
      <c r="AC329" s="47" t="s">
        <v>35</v>
      </c>
      <c r="AD329" s="63" t="str">
        <f>VLOOKUP(E329,sheet1!$B$2:$C$3209,2,FALSE)</f>
        <v>個別発注承認</v>
      </c>
      <c r="AE329" s="49"/>
      <c r="AF329" s="51" t="s">
        <v>1438</v>
      </c>
      <c r="AG329" s="51" t="s">
        <v>1436</v>
      </c>
      <c r="AH329" s="49" t="str">
        <f t="shared" si="23"/>
        <v>個別承認</v>
      </c>
      <c r="AI329" s="49"/>
      <c r="AJ329" s="49"/>
      <c r="AK329" s="49"/>
      <c r="AL329" s="49" t="str">
        <f t="shared" si="24"/>
        <v>個別発注（外作）</v>
      </c>
      <c r="AM329" s="49" t="s">
        <v>35</v>
      </c>
      <c r="AN329" s="49" t="s">
        <v>1439</v>
      </c>
      <c r="AO329" s="51" t="str">
        <f t="shared" si="21"/>
        <v>個別承認</v>
      </c>
      <c r="AP329" s="51" t="str">
        <f t="shared" si="22"/>
        <v>PD3280</v>
      </c>
      <c r="AQ329" s="51" t="s">
        <v>1440</v>
      </c>
      <c r="AR329" s="51" t="s">
        <v>1436</v>
      </c>
      <c r="AS329" s="49" t="str">
        <f t="shared" si="17"/>
        <v/>
      </c>
      <c r="AT329" s="49" t="str">
        <f t="shared" si="18"/>
        <v/>
      </c>
      <c r="AU329" s="49"/>
      <c r="AV329" s="49"/>
    </row>
    <row r="330" spans="1:48" ht="18" customHeight="1">
      <c r="A330" s="44">
        <v>328</v>
      </c>
      <c r="B330" s="71" t="s">
        <v>1076</v>
      </c>
      <c r="C330" s="54" t="s">
        <v>36</v>
      </c>
      <c r="D330" s="46" t="s">
        <v>116</v>
      </c>
      <c r="E330" s="44" t="s">
        <v>1441</v>
      </c>
      <c r="F330" s="44" t="s">
        <v>1442</v>
      </c>
      <c r="G330" s="44"/>
      <c r="H330" s="44"/>
      <c r="I330" s="44"/>
      <c r="J330" s="47" t="s">
        <v>35</v>
      </c>
      <c r="K330" s="47"/>
      <c r="L330" s="47"/>
      <c r="M330" s="47"/>
      <c r="N330" s="47"/>
      <c r="O330" s="44"/>
      <c r="P330" s="44"/>
      <c r="Q330" s="48">
        <f>VLOOKUP(E330,sheet1!$B$2:$D$3209,3,FALSE)</f>
        <v>2702</v>
      </c>
      <c r="R330" s="47" t="s">
        <v>35</v>
      </c>
      <c r="S330" s="47" t="s">
        <v>296</v>
      </c>
      <c r="T330" s="47" t="s">
        <v>35</v>
      </c>
      <c r="U330" s="47" t="s">
        <v>296</v>
      </c>
      <c r="V330" s="47" t="s">
        <v>35</v>
      </c>
      <c r="W330" s="47" t="s">
        <v>296</v>
      </c>
      <c r="X330" s="47" t="s">
        <v>296</v>
      </c>
      <c r="Y330" s="47" t="s">
        <v>296</v>
      </c>
      <c r="Z330" s="47" t="s">
        <v>35</v>
      </c>
      <c r="AA330" s="47" t="s">
        <v>35</v>
      </c>
      <c r="AB330" s="47" t="s">
        <v>35</v>
      </c>
      <c r="AC330" s="47" t="s">
        <v>35</v>
      </c>
      <c r="AD330" s="63" t="str">
        <f>VLOOKUP(E330,sheet1!$B$2:$C$3209,2,FALSE)</f>
        <v>個別発注入力（仕入）</v>
      </c>
      <c r="AE330" s="49"/>
      <c r="AF330" s="51" t="s">
        <v>1443</v>
      </c>
      <c r="AG330" s="51" t="s">
        <v>1441</v>
      </c>
      <c r="AH330" s="49" t="str">
        <f t="shared" si="23"/>
        <v>個別発注（仕入）</v>
      </c>
      <c r="AI330" s="49"/>
      <c r="AJ330" s="49"/>
      <c r="AK330" s="49"/>
      <c r="AL330" s="49" t="str">
        <f t="shared" si="24"/>
        <v>個別発注（経費）</v>
      </c>
      <c r="AM330" s="49" t="s">
        <v>35</v>
      </c>
      <c r="AN330" s="49" t="s">
        <v>1444</v>
      </c>
      <c r="AO330" s="51" t="str">
        <f t="shared" si="21"/>
        <v/>
      </c>
      <c r="AP330" s="51" t="str">
        <f t="shared" si="22"/>
        <v/>
      </c>
      <c r="AQ330" s="51"/>
      <c r="AR330" s="51"/>
      <c r="AS330" s="49" t="str">
        <f t="shared" si="17"/>
        <v/>
      </c>
      <c r="AT330" s="49" t="str">
        <f t="shared" si="18"/>
        <v/>
      </c>
      <c r="AU330" s="49"/>
      <c r="AV330" s="49"/>
    </row>
    <row r="331" spans="1:48" ht="18" customHeight="1">
      <c r="A331" s="44">
        <v>329</v>
      </c>
      <c r="B331" s="71" t="s">
        <v>1076</v>
      </c>
      <c r="C331" s="54" t="s">
        <v>36</v>
      </c>
      <c r="D331" s="46" t="s">
        <v>116</v>
      </c>
      <c r="E331" s="44" t="s">
        <v>1445</v>
      </c>
      <c r="F331" s="44" t="s">
        <v>1446</v>
      </c>
      <c r="G331" s="44"/>
      <c r="H331" s="44"/>
      <c r="I331" s="44"/>
      <c r="J331" s="47" t="s">
        <v>35</v>
      </c>
      <c r="K331" s="47"/>
      <c r="L331" s="47"/>
      <c r="M331" s="47"/>
      <c r="N331" s="47"/>
      <c r="O331" s="44"/>
      <c r="P331" s="44"/>
      <c r="Q331" s="48">
        <f>VLOOKUP(E331,sheet1!$B$2:$D$3209,3,FALSE)</f>
        <v>2845</v>
      </c>
      <c r="R331" s="47" t="s">
        <v>35</v>
      </c>
      <c r="S331" s="47" t="s">
        <v>296</v>
      </c>
      <c r="T331" s="47"/>
      <c r="U331" s="47" t="s">
        <v>296</v>
      </c>
      <c r="V331" s="47" t="s">
        <v>296</v>
      </c>
      <c r="W331" s="47" t="s">
        <v>296</v>
      </c>
      <c r="X331" s="47" t="s">
        <v>296</v>
      </c>
      <c r="Y331" s="47" t="s">
        <v>296</v>
      </c>
      <c r="Z331" s="47" t="s">
        <v>296</v>
      </c>
      <c r="AA331" s="47" t="s">
        <v>35</v>
      </c>
      <c r="AB331" s="47" t="s">
        <v>35</v>
      </c>
      <c r="AC331" s="47" t="s">
        <v>35</v>
      </c>
      <c r="AD331" s="63" t="str">
        <f>VLOOKUP(E331,sheet1!$B$2:$C$3209,2,FALSE)</f>
        <v>個別発注入力（外作） 新ＤＢ</v>
      </c>
      <c r="AE331" s="49"/>
      <c r="AF331" s="51" t="s">
        <v>1447</v>
      </c>
      <c r="AG331" s="51" t="s">
        <v>1445</v>
      </c>
      <c r="AH331" s="49" t="str">
        <f t="shared" si="23"/>
        <v>個別発注（外作）</v>
      </c>
      <c r="AI331" s="49"/>
      <c r="AJ331" s="49"/>
      <c r="AK331" s="49"/>
      <c r="AL331" s="49" t="str">
        <f t="shared" si="24"/>
        <v>未承認リスト作成</v>
      </c>
      <c r="AM331" s="49" t="s">
        <v>35</v>
      </c>
      <c r="AN331" s="49" t="s">
        <v>1448</v>
      </c>
      <c r="AO331" s="51" t="str">
        <f t="shared" si="21"/>
        <v/>
      </c>
      <c r="AP331" s="51" t="str">
        <f t="shared" si="22"/>
        <v/>
      </c>
      <c r="AQ331" s="51"/>
      <c r="AR331" s="51"/>
      <c r="AS331" s="49" t="str">
        <f t="shared" si="17"/>
        <v/>
      </c>
      <c r="AT331" s="49" t="str">
        <f t="shared" si="18"/>
        <v/>
      </c>
      <c r="AU331" s="49"/>
      <c r="AV331" s="49"/>
    </row>
    <row r="332" spans="1:48" ht="18" customHeight="1">
      <c r="A332" s="44">
        <v>330</v>
      </c>
      <c r="B332" s="71" t="s">
        <v>1076</v>
      </c>
      <c r="C332" s="54" t="s">
        <v>36</v>
      </c>
      <c r="D332" s="46" t="s">
        <v>116</v>
      </c>
      <c r="E332" s="44" t="s">
        <v>1449</v>
      </c>
      <c r="F332" s="44" t="s">
        <v>1450</v>
      </c>
      <c r="G332" s="44"/>
      <c r="H332" s="44"/>
      <c r="I332" s="44"/>
      <c r="J332" s="47" t="s">
        <v>35</v>
      </c>
      <c r="K332" s="47"/>
      <c r="L332" s="47"/>
      <c r="M332" s="47"/>
      <c r="N332" s="47"/>
      <c r="O332" s="44"/>
      <c r="P332" s="44"/>
      <c r="Q332" s="48">
        <f>VLOOKUP(E332,sheet1!$B$2:$D$3209,3,FALSE)</f>
        <v>2499</v>
      </c>
      <c r="R332" s="47" t="s">
        <v>35</v>
      </c>
      <c r="S332" s="47" t="s">
        <v>296</v>
      </c>
      <c r="T332" s="47"/>
      <c r="U332" s="47" t="s">
        <v>296</v>
      </c>
      <c r="V332" s="47" t="s">
        <v>296</v>
      </c>
      <c r="W332" s="47" t="s">
        <v>296</v>
      </c>
      <c r="X332" s="47" t="s">
        <v>296</v>
      </c>
      <c r="Y332" s="47" t="s">
        <v>296</v>
      </c>
      <c r="Z332" s="47" t="s">
        <v>296</v>
      </c>
      <c r="AA332" s="47" t="s">
        <v>35</v>
      </c>
      <c r="AB332" s="47"/>
      <c r="AC332" s="47" t="s">
        <v>35</v>
      </c>
      <c r="AD332" s="63" t="str">
        <f>VLOOKUP(E332,sheet1!$B$2:$C$3209,2,FALSE)</f>
        <v>個別発注入力（内作） 新ＤＢ</v>
      </c>
      <c r="AE332" s="49"/>
      <c r="AF332" s="51" t="s">
        <v>1451</v>
      </c>
      <c r="AG332" s="51" t="s">
        <v>1449</v>
      </c>
      <c r="AH332" s="49" t="str">
        <f t="shared" si="23"/>
        <v>個別発注（内作）</v>
      </c>
      <c r="AI332" s="49"/>
      <c r="AJ332" s="49"/>
      <c r="AK332" s="49"/>
      <c r="AL332" s="49" t="str">
        <f t="shared" si="24"/>
        <v>注文書作成</v>
      </c>
      <c r="AM332" s="49" t="s">
        <v>35</v>
      </c>
      <c r="AN332" s="49" t="s">
        <v>1452</v>
      </c>
      <c r="AO332" s="51" t="str">
        <f t="shared" si="21"/>
        <v/>
      </c>
      <c r="AP332" s="51" t="str">
        <f t="shared" si="22"/>
        <v/>
      </c>
      <c r="AQ332" s="51"/>
      <c r="AR332" s="51"/>
      <c r="AS332" s="49" t="str">
        <f t="shared" si="17"/>
        <v/>
      </c>
      <c r="AT332" s="49" t="str">
        <f t="shared" si="18"/>
        <v/>
      </c>
      <c r="AU332" s="49"/>
      <c r="AV332" s="49"/>
    </row>
    <row r="333" spans="1:48" ht="18" customHeight="1">
      <c r="A333" s="44">
        <v>331</v>
      </c>
      <c r="B333" s="71" t="s">
        <v>1076</v>
      </c>
      <c r="C333" s="54" t="s">
        <v>36</v>
      </c>
      <c r="D333" s="46" t="s">
        <v>116</v>
      </c>
      <c r="E333" s="44" t="s">
        <v>1453</v>
      </c>
      <c r="F333" s="44" t="s">
        <v>1454</v>
      </c>
      <c r="G333" s="44"/>
      <c r="H333" s="44"/>
      <c r="I333" s="44"/>
      <c r="J333" s="47" t="s">
        <v>35</v>
      </c>
      <c r="K333" s="47"/>
      <c r="L333" s="47"/>
      <c r="M333" s="47"/>
      <c r="N333" s="47"/>
      <c r="O333" s="44"/>
      <c r="P333" s="44"/>
      <c r="Q333" s="48">
        <f>VLOOKUP(E333,sheet1!$B$2:$D$3209,3,FALSE)</f>
        <v>2712</v>
      </c>
      <c r="R333" s="47" t="s">
        <v>35</v>
      </c>
      <c r="S333" s="47" t="s">
        <v>35</v>
      </c>
      <c r="T333" s="47" t="s">
        <v>35</v>
      </c>
      <c r="U333" s="47" t="s">
        <v>296</v>
      </c>
      <c r="V333" s="47" t="s">
        <v>35</v>
      </c>
      <c r="W333" s="47" t="s">
        <v>35</v>
      </c>
      <c r="X333" s="47" t="s">
        <v>35</v>
      </c>
      <c r="Y333" s="47" t="s">
        <v>35</v>
      </c>
      <c r="Z333" s="47" t="s">
        <v>35</v>
      </c>
      <c r="AA333" s="47" t="s">
        <v>35</v>
      </c>
      <c r="AB333" s="47" t="s">
        <v>35</v>
      </c>
      <c r="AC333" s="47" t="s">
        <v>35</v>
      </c>
      <c r="AD333" s="63" t="str">
        <f>VLOOKUP(E333,sheet1!$B$2:$C$3209,2,FALSE)</f>
        <v>個別発注入力（経費）</v>
      </c>
      <c r="AE333" s="49"/>
      <c r="AF333" s="51" t="s">
        <v>1455</v>
      </c>
      <c r="AG333" s="51" t="s">
        <v>1453</v>
      </c>
      <c r="AH333" s="49" t="str">
        <f t="shared" si="23"/>
        <v>個別発注（経費）</v>
      </c>
      <c r="AI333" s="49"/>
      <c r="AJ333" s="49"/>
      <c r="AK333" s="49"/>
      <c r="AL333" s="49" t="str">
        <f t="shared" si="24"/>
        <v>注文書再作成</v>
      </c>
      <c r="AM333" s="49" t="s">
        <v>35</v>
      </c>
      <c r="AN333" s="49" t="s">
        <v>1456</v>
      </c>
      <c r="AO333" s="51" t="str">
        <f t="shared" si="21"/>
        <v>個別発注（経費）</v>
      </c>
      <c r="AP333" s="51" t="str">
        <f t="shared" si="22"/>
        <v>PD3320</v>
      </c>
      <c r="AQ333" s="51" t="s">
        <v>1457</v>
      </c>
      <c r="AR333" s="51" t="s">
        <v>1453</v>
      </c>
      <c r="AS333" s="49" t="str">
        <f t="shared" si="17"/>
        <v/>
      </c>
      <c r="AT333" s="49" t="str">
        <f t="shared" si="18"/>
        <v/>
      </c>
      <c r="AU333" s="49"/>
      <c r="AV333" s="49"/>
    </row>
    <row r="334" spans="1:48" ht="18" customHeight="1">
      <c r="A334" s="44">
        <v>332</v>
      </c>
      <c r="B334" s="71" t="s">
        <v>1076</v>
      </c>
      <c r="C334" s="54" t="s">
        <v>36</v>
      </c>
      <c r="D334" s="46" t="s">
        <v>116</v>
      </c>
      <c r="E334" s="44" t="s">
        <v>1458</v>
      </c>
      <c r="F334" s="44" t="s">
        <v>1459</v>
      </c>
      <c r="G334" s="44"/>
      <c r="H334" s="44"/>
      <c r="I334" s="44"/>
      <c r="J334" s="47" t="s">
        <v>35</v>
      </c>
      <c r="K334" s="47"/>
      <c r="L334" s="47"/>
      <c r="M334" s="47"/>
      <c r="N334" s="47"/>
      <c r="O334" s="44"/>
      <c r="P334" s="44"/>
      <c r="Q334" s="48">
        <f>VLOOKUP(E334,sheet1!$B$2:$D$3209,3,FALSE)</f>
        <v>805</v>
      </c>
      <c r="R334" s="47" t="s">
        <v>35</v>
      </c>
      <c r="S334" s="47" t="s">
        <v>35</v>
      </c>
      <c r="T334" s="47" t="s">
        <v>35</v>
      </c>
      <c r="U334" s="47" t="s">
        <v>296</v>
      </c>
      <c r="V334" s="47" t="s">
        <v>35</v>
      </c>
      <c r="W334" s="47" t="s">
        <v>35</v>
      </c>
      <c r="X334" s="47" t="s">
        <v>35</v>
      </c>
      <c r="Y334" s="47" t="s">
        <v>35</v>
      </c>
      <c r="Z334" s="47" t="s">
        <v>35</v>
      </c>
      <c r="AA334" s="47" t="s">
        <v>35</v>
      </c>
      <c r="AB334" s="47" t="s">
        <v>35</v>
      </c>
      <c r="AC334" s="47" t="s">
        <v>35</v>
      </c>
      <c r="AD334" s="63" t="str">
        <f>VLOOKUP(E334,sheet1!$B$2:$C$3209,2,FALSE)</f>
        <v>未承認リスト         新ＤＢ</v>
      </c>
      <c r="AE334" s="49"/>
      <c r="AF334" s="51" t="s">
        <v>1460</v>
      </c>
      <c r="AG334" s="51" t="s">
        <v>1458</v>
      </c>
      <c r="AH334" s="49" t="str">
        <f t="shared" si="23"/>
        <v>未承認リスト作成</v>
      </c>
      <c r="AI334" s="49"/>
      <c r="AJ334" s="49"/>
      <c r="AK334" s="49"/>
      <c r="AL334" s="49" t="str">
        <f t="shared" si="24"/>
        <v>入荷予定入力</v>
      </c>
      <c r="AM334" s="49" t="s">
        <v>35</v>
      </c>
      <c r="AN334" s="49" t="s">
        <v>1461</v>
      </c>
      <c r="AO334" s="51" t="str">
        <f t="shared" si="21"/>
        <v>未承認リスト作成</v>
      </c>
      <c r="AP334" s="51" t="str">
        <f t="shared" si="22"/>
        <v>PD3285</v>
      </c>
      <c r="AQ334" s="51" t="s">
        <v>1462</v>
      </c>
      <c r="AR334" s="51" t="s">
        <v>1458</v>
      </c>
      <c r="AS334" s="49" t="str">
        <f t="shared" si="17"/>
        <v/>
      </c>
      <c r="AT334" s="49" t="str">
        <f t="shared" si="18"/>
        <v/>
      </c>
      <c r="AU334" s="49"/>
      <c r="AV334" s="49"/>
    </row>
    <row r="335" spans="1:48" ht="18" customHeight="1">
      <c r="A335" s="44">
        <v>333</v>
      </c>
      <c r="B335" s="71" t="s">
        <v>1076</v>
      </c>
      <c r="C335" s="54" t="s">
        <v>36</v>
      </c>
      <c r="D335" s="46" t="s">
        <v>116</v>
      </c>
      <c r="E335" s="44" t="s">
        <v>1463</v>
      </c>
      <c r="F335" s="44" t="s">
        <v>1464</v>
      </c>
      <c r="G335" s="44"/>
      <c r="H335" s="44"/>
      <c r="I335" s="44"/>
      <c r="J335" s="47" t="s">
        <v>35</v>
      </c>
      <c r="K335" s="47"/>
      <c r="L335" s="47"/>
      <c r="M335" s="47"/>
      <c r="N335" s="47"/>
      <c r="O335" s="44"/>
      <c r="P335" s="44"/>
      <c r="Q335" s="48">
        <f>VLOOKUP(E335,sheet1!$B$2:$D$3209,3,FALSE)</f>
        <v>500</v>
      </c>
      <c r="R335" s="47" t="s">
        <v>35</v>
      </c>
      <c r="S335" s="47" t="s">
        <v>35</v>
      </c>
      <c r="T335" s="47" t="s">
        <v>35</v>
      </c>
      <c r="U335" s="47" t="s">
        <v>296</v>
      </c>
      <c r="V335" s="47" t="s">
        <v>35</v>
      </c>
      <c r="W335" s="47" t="s">
        <v>35</v>
      </c>
      <c r="X335" s="47" t="s">
        <v>35</v>
      </c>
      <c r="Y335" s="47" t="s">
        <v>35</v>
      </c>
      <c r="Z335" s="47" t="s">
        <v>35</v>
      </c>
      <c r="AA335" s="47" t="s">
        <v>35</v>
      </c>
      <c r="AB335" s="47" t="s">
        <v>35</v>
      </c>
      <c r="AC335" s="47" t="s">
        <v>35</v>
      </c>
      <c r="AD335" s="63" t="str">
        <f>VLOOKUP(E335,sheet1!$B$2:$C$3209,2,FALSE)</f>
        <v>注文書発行</v>
      </c>
      <c r="AE335" s="49"/>
      <c r="AF335" s="51" t="s">
        <v>1465</v>
      </c>
      <c r="AG335" s="51" t="s">
        <v>1463</v>
      </c>
      <c r="AH335" s="49" t="str">
        <f t="shared" si="23"/>
        <v>注文書作成</v>
      </c>
      <c r="AI335" s="49"/>
      <c r="AJ335" s="49"/>
      <c r="AK335" s="49"/>
      <c r="AL335" s="49" t="str">
        <f t="shared" si="24"/>
        <v>変更通知書作成</v>
      </c>
      <c r="AM335" s="49" t="s">
        <v>35</v>
      </c>
      <c r="AN335" s="49" t="s">
        <v>1466</v>
      </c>
      <c r="AO335" s="51" t="str">
        <f t="shared" si="21"/>
        <v>注文書作成</v>
      </c>
      <c r="AP335" s="51" t="str">
        <f t="shared" si="22"/>
        <v>PD3330</v>
      </c>
      <c r="AQ335" s="51" t="s">
        <v>1467</v>
      </c>
      <c r="AR335" s="51" t="s">
        <v>1463</v>
      </c>
      <c r="AS335" s="49" t="str">
        <f t="shared" si="17"/>
        <v/>
      </c>
      <c r="AT335" s="49" t="str">
        <f t="shared" si="18"/>
        <v/>
      </c>
      <c r="AU335" s="49"/>
      <c r="AV335" s="49"/>
    </row>
    <row r="336" spans="1:48" ht="18" customHeight="1">
      <c r="A336" s="44">
        <v>334</v>
      </c>
      <c r="B336" s="71" t="s">
        <v>1076</v>
      </c>
      <c r="C336" s="54" t="s">
        <v>36</v>
      </c>
      <c r="D336" s="46" t="s">
        <v>116</v>
      </c>
      <c r="E336" s="44" t="s">
        <v>1468</v>
      </c>
      <c r="F336" s="44" t="s">
        <v>1469</v>
      </c>
      <c r="G336" s="44"/>
      <c r="H336" s="44"/>
      <c r="I336" s="44"/>
      <c r="J336" s="47" t="s">
        <v>35</v>
      </c>
      <c r="K336" s="47"/>
      <c r="L336" s="47"/>
      <c r="M336" s="47"/>
      <c r="N336" s="47"/>
      <c r="O336" s="44"/>
      <c r="P336" s="44"/>
      <c r="Q336" s="48">
        <f>VLOOKUP(E336,sheet1!$B$2:$D$3209,3,FALSE)</f>
        <v>435</v>
      </c>
      <c r="R336" s="47" t="s">
        <v>35</v>
      </c>
      <c r="S336" s="47" t="s">
        <v>35</v>
      </c>
      <c r="T336" s="47" t="s">
        <v>35</v>
      </c>
      <c r="U336" s="47" t="s">
        <v>296</v>
      </c>
      <c r="V336" s="47" t="s">
        <v>35</v>
      </c>
      <c r="W336" s="47" t="s">
        <v>35</v>
      </c>
      <c r="X336" s="47" t="s">
        <v>35</v>
      </c>
      <c r="Y336" s="47" t="s">
        <v>35</v>
      </c>
      <c r="Z336" s="47" t="s">
        <v>35</v>
      </c>
      <c r="AA336" s="47" t="s">
        <v>35</v>
      </c>
      <c r="AB336" s="47" t="s">
        <v>35</v>
      </c>
      <c r="AC336" s="47" t="s">
        <v>35</v>
      </c>
      <c r="AD336" s="63" t="str">
        <f>VLOOKUP(E336,sheet1!$B$2:$C$3209,2,FALSE)</f>
        <v>注文書再発行</v>
      </c>
      <c r="AE336" s="49"/>
      <c r="AF336" s="51" t="s">
        <v>1470</v>
      </c>
      <c r="AG336" s="51" t="s">
        <v>1468</v>
      </c>
      <c r="AH336" s="49" t="str">
        <f t="shared" si="23"/>
        <v>注文書再作成</v>
      </c>
      <c r="AI336" s="49"/>
      <c r="AJ336" s="49"/>
      <c r="AK336" s="49"/>
      <c r="AL336" s="49" t="str">
        <f t="shared" si="24"/>
        <v>変更通知書再作成</v>
      </c>
      <c r="AM336" s="49" t="s">
        <v>35</v>
      </c>
      <c r="AN336" s="49" t="s">
        <v>1471</v>
      </c>
      <c r="AO336" s="51" t="str">
        <f t="shared" si="21"/>
        <v>注文書再作成</v>
      </c>
      <c r="AP336" s="51" t="str">
        <f t="shared" si="22"/>
        <v>PD3340</v>
      </c>
      <c r="AQ336" s="51" t="s">
        <v>1472</v>
      </c>
      <c r="AR336" s="51" t="s">
        <v>1468</v>
      </c>
      <c r="AS336" s="49" t="str">
        <f t="shared" si="17"/>
        <v/>
      </c>
      <c r="AT336" s="49" t="str">
        <f t="shared" si="18"/>
        <v/>
      </c>
      <c r="AU336" s="49"/>
      <c r="AV336" s="49"/>
    </row>
    <row r="337" spans="1:48" ht="18" customHeight="1">
      <c r="A337" s="44">
        <v>335</v>
      </c>
      <c r="B337" s="71" t="s">
        <v>1076</v>
      </c>
      <c r="C337" s="54" t="s">
        <v>36</v>
      </c>
      <c r="D337" s="46" t="s">
        <v>116</v>
      </c>
      <c r="E337" s="44" t="s">
        <v>1473</v>
      </c>
      <c r="F337" s="44" t="s">
        <v>1474</v>
      </c>
      <c r="G337" s="44"/>
      <c r="H337" s="44"/>
      <c r="I337" s="44"/>
      <c r="J337" s="47" t="s">
        <v>35</v>
      </c>
      <c r="K337" s="47"/>
      <c r="L337" s="47"/>
      <c r="M337" s="47"/>
      <c r="N337" s="47"/>
      <c r="O337" s="44"/>
      <c r="P337" s="44"/>
      <c r="Q337" s="48">
        <f>VLOOKUP(E337,sheet1!$B$2:$D$3209,3,FALSE)</f>
        <v>970</v>
      </c>
      <c r="R337" s="47" t="s">
        <v>35</v>
      </c>
      <c r="S337" s="47" t="s">
        <v>35</v>
      </c>
      <c r="T337" s="47" t="s">
        <v>35</v>
      </c>
      <c r="U337" s="47" t="s">
        <v>296</v>
      </c>
      <c r="V337" s="47" t="s">
        <v>35</v>
      </c>
      <c r="W337" s="47" t="s">
        <v>35</v>
      </c>
      <c r="X337" s="47" t="s">
        <v>35</v>
      </c>
      <c r="Y337" s="47" t="s">
        <v>35</v>
      </c>
      <c r="Z337" s="47" t="s">
        <v>35</v>
      </c>
      <c r="AA337" s="47" t="s">
        <v>35</v>
      </c>
      <c r="AB337" s="47" t="s">
        <v>35</v>
      </c>
      <c r="AC337" s="47" t="s">
        <v>35</v>
      </c>
      <c r="AD337" s="63" t="str">
        <f>VLOOKUP(E337,sheet1!$B$2:$C$3209,2,FALSE)</f>
        <v>入荷予定入力</v>
      </c>
      <c r="AE337" s="49"/>
      <c r="AF337" s="51" t="s">
        <v>1475</v>
      </c>
      <c r="AG337" s="51" t="s">
        <v>1473</v>
      </c>
      <c r="AH337" s="49" t="str">
        <f t="shared" si="23"/>
        <v>入荷予定入力</v>
      </c>
      <c r="AI337" s="49"/>
      <c r="AJ337" s="49"/>
      <c r="AK337" s="49"/>
      <c r="AL337" s="49" t="str">
        <f t="shared" si="24"/>
        <v>支給予定一覧表</v>
      </c>
      <c r="AM337" s="49" t="s">
        <v>35</v>
      </c>
      <c r="AN337" s="49" t="s">
        <v>1476</v>
      </c>
      <c r="AO337" s="51" t="str">
        <f t="shared" si="21"/>
        <v>入荷予定入力</v>
      </c>
      <c r="AP337" s="51" t="str">
        <f t="shared" si="22"/>
        <v>PD4430</v>
      </c>
      <c r="AQ337" s="51" t="s">
        <v>1477</v>
      </c>
      <c r="AR337" s="51" t="s">
        <v>1473</v>
      </c>
      <c r="AS337" s="49" t="str">
        <f t="shared" si="17"/>
        <v/>
      </c>
      <c r="AT337" s="49" t="str">
        <f t="shared" si="18"/>
        <v/>
      </c>
      <c r="AU337" s="49"/>
      <c r="AV337" s="49"/>
    </row>
    <row r="338" spans="1:48" ht="18" customHeight="1">
      <c r="A338" s="44">
        <v>336</v>
      </c>
      <c r="B338" s="71" t="s">
        <v>1076</v>
      </c>
      <c r="C338" s="54" t="s">
        <v>36</v>
      </c>
      <c r="D338" s="46" t="s">
        <v>116</v>
      </c>
      <c r="E338" s="44" t="s">
        <v>1478</v>
      </c>
      <c r="F338" s="44" t="s">
        <v>1479</v>
      </c>
      <c r="G338" s="44"/>
      <c r="H338" s="44"/>
      <c r="I338" s="44"/>
      <c r="J338" s="47" t="s">
        <v>35</v>
      </c>
      <c r="K338" s="47"/>
      <c r="L338" s="47"/>
      <c r="M338" s="47"/>
      <c r="N338" s="47"/>
      <c r="O338" s="44"/>
      <c r="P338" s="44"/>
      <c r="Q338" s="48">
        <f>VLOOKUP(E338,sheet1!$B$2:$D$3209,3,FALSE)</f>
        <v>442</v>
      </c>
      <c r="R338" s="47" t="s">
        <v>35</v>
      </c>
      <c r="S338" s="47" t="s">
        <v>35</v>
      </c>
      <c r="T338" s="47" t="s">
        <v>35</v>
      </c>
      <c r="U338" s="47" t="s">
        <v>296</v>
      </c>
      <c r="V338" s="47" t="s">
        <v>35</v>
      </c>
      <c r="W338" s="47" t="s">
        <v>35</v>
      </c>
      <c r="X338" s="47" t="s">
        <v>35</v>
      </c>
      <c r="Y338" s="47" t="s">
        <v>35</v>
      </c>
      <c r="Z338" s="47" t="s">
        <v>35</v>
      </c>
      <c r="AA338" s="47" t="s">
        <v>35</v>
      </c>
      <c r="AB338" s="47" t="s">
        <v>35</v>
      </c>
      <c r="AC338" s="47" t="s">
        <v>35</v>
      </c>
      <c r="AD338" s="63" t="str">
        <f>VLOOKUP(E338,sheet1!$B$2:$C$3209,2,FALSE)</f>
        <v>変更通知書発行</v>
      </c>
      <c r="AE338" s="49"/>
      <c r="AF338" s="51" t="s">
        <v>1480</v>
      </c>
      <c r="AG338" s="51" t="s">
        <v>1478</v>
      </c>
      <c r="AH338" s="49" t="str">
        <f t="shared" si="23"/>
        <v>変更通知書作成</v>
      </c>
      <c r="AI338" s="49"/>
      <c r="AJ338" s="49"/>
      <c r="AK338" s="49"/>
      <c r="AL338" s="49" t="str">
        <f t="shared" si="24"/>
        <v>注文書メモ入力</v>
      </c>
      <c r="AM338" s="49" t="s">
        <v>35</v>
      </c>
      <c r="AN338" s="49" t="s">
        <v>1481</v>
      </c>
      <c r="AO338" s="51" t="str">
        <f t="shared" si="21"/>
        <v>変更通知書作成</v>
      </c>
      <c r="AP338" s="51" t="str">
        <f t="shared" si="22"/>
        <v>PD3450</v>
      </c>
      <c r="AQ338" s="51" t="s">
        <v>1482</v>
      </c>
      <c r="AR338" s="51" t="s">
        <v>1478</v>
      </c>
      <c r="AS338" s="49" t="str">
        <f t="shared" si="17"/>
        <v/>
      </c>
      <c r="AT338" s="49" t="str">
        <f t="shared" si="18"/>
        <v/>
      </c>
      <c r="AU338" s="49"/>
      <c r="AV338" s="49"/>
    </row>
    <row r="339" spans="1:48" ht="18" customHeight="1">
      <c r="A339" s="44">
        <v>337</v>
      </c>
      <c r="B339" s="71" t="s">
        <v>1076</v>
      </c>
      <c r="C339" s="54" t="s">
        <v>36</v>
      </c>
      <c r="D339" s="46" t="s">
        <v>116</v>
      </c>
      <c r="E339" s="44" t="s">
        <v>1483</v>
      </c>
      <c r="F339" s="44" t="s">
        <v>1484</v>
      </c>
      <c r="G339" s="44"/>
      <c r="H339" s="44"/>
      <c r="I339" s="44"/>
      <c r="J339" s="47" t="s">
        <v>35</v>
      </c>
      <c r="K339" s="47"/>
      <c r="L339" s="47"/>
      <c r="M339" s="47"/>
      <c r="N339" s="47"/>
      <c r="O339" s="44"/>
      <c r="P339" s="44"/>
      <c r="Q339" s="48">
        <f>VLOOKUP(E339,sheet1!$B$2:$D$3209,3,FALSE)</f>
        <v>169</v>
      </c>
      <c r="R339" s="47" t="s">
        <v>35</v>
      </c>
      <c r="S339" s="47" t="s">
        <v>35</v>
      </c>
      <c r="T339" s="47" t="s">
        <v>35</v>
      </c>
      <c r="U339" s="47" t="s">
        <v>296</v>
      </c>
      <c r="V339" s="47" t="s">
        <v>35</v>
      </c>
      <c r="W339" s="47" t="s">
        <v>35</v>
      </c>
      <c r="X339" s="47" t="s">
        <v>35</v>
      </c>
      <c r="Y339" s="47" t="s">
        <v>35</v>
      </c>
      <c r="Z339" s="47" t="s">
        <v>35</v>
      </c>
      <c r="AA339" s="47" t="s">
        <v>35</v>
      </c>
      <c r="AB339" s="47" t="s">
        <v>35</v>
      </c>
      <c r="AC339" s="47" t="s">
        <v>35</v>
      </c>
      <c r="AD339" s="63" t="str">
        <f>VLOOKUP(E339,sheet1!$B$2:$C$3209,2,FALSE)</f>
        <v>変更通知書再発行</v>
      </c>
      <c r="AE339" s="49"/>
      <c r="AF339" s="51" t="s">
        <v>1485</v>
      </c>
      <c r="AG339" s="51" t="s">
        <v>1483</v>
      </c>
      <c r="AH339" s="49" t="str">
        <f t="shared" si="23"/>
        <v>変更通知書再作成</v>
      </c>
      <c r="AI339" s="49"/>
      <c r="AJ339" s="49"/>
      <c r="AK339" s="49"/>
      <c r="AL339" s="49" t="str">
        <f t="shared" si="24"/>
        <v>発注残照会（仕入先別）</v>
      </c>
      <c r="AM339" s="49" t="s">
        <v>35</v>
      </c>
      <c r="AN339" s="49" t="s">
        <v>1486</v>
      </c>
      <c r="AO339" s="51" t="str">
        <f t="shared" si="21"/>
        <v>変更通知書再作成</v>
      </c>
      <c r="AP339" s="51" t="str">
        <f t="shared" si="22"/>
        <v>PD3460</v>
      </c>
      <c r="AQ339" s="51" t="s">
        <v>1487</v>
      </c>
      <c r="AR339" s="51" t="s">
        <v>1483</v>
      </c>
      <c r="AS339" s="49" t="str">
        <f t="shared" si="17"/>
        <v/>
      </c>
      <c r="AT339" s="49" t="str">
        <f t="shared" si="18"/>
        <v/>
      </c>
      <c r="AU339" s="49"/>
      <c r="AV339" s="49"/>
    </row>
    <row r="340" spans="1:48" ht="18" customHeight="1">
      <c r="A340" s="44">
        <v>338</v>
      </c>
      <c r="B340" s="71" t="s">
        <v>1076</v>
      </c>
      <c r="C340" s="54" t="s">
        <v>36</v>
      </c>
      <c r="D340" s="46" t="s">
        <v>116</v>
      </c>
      <c r="E340" s="44" t="s">
        <v>1488</v>
      </c>
      <c r="F340" s="44" t="s">
        <v>1489</v>
      </c>
      <c r="G340" s="44"/>
      <c r="H340" s="44"/>
      <c r="I340" s="44"/>
      <c r="J340" s="47" t="s">
        <v>35</v>
      </c>
      <c r="K340" s="47"/>
      <c r="L340" s="47"/>
      <c r="M340" s="47"/>
      <c r="N340" s="47"/>
      <c r="O340" s="44"/>
      <c r="P340" s="44"/>
      <c r="Q340" s="48">
        <f>VLOOKUP(E340,sheet1!$B$2:$D$3209,3,FALSE)</f>
        <v>1709</v>
      </c>
      <c r="R340" s="47" t="s">
        <v>35</v>
      </c>
      <c r="S340" s="47" t="s">
        <v>35</v>
      </c>
      <c r="T340" s="47" t="s">
        <v>35</v>
      </c>
      <c r="U340" s="47" t="s">
        <v>296</v>
      </c>
      <c r="V340" s="47" t="s">
        <v>35</v>
      </c>
      <c r="W340" s="47" t="s">
        <v>35</v>
      </c>
      <c r="X340" s="47" t="s">
        <v>35</v>
      </c>
      <c r="Y340" s="47" t="s">
        <v>35</v>
      </c>
      <c r="Z340" s="47" t="s">
        <v>35</v>
      </c>
      <c r="AA340" s="47" t="s">
        <v>35</v>
      </c>
      <c r="AB340" s="47" t="s">
        <v>35</v>
      </c>
      <c r="AC340" s="47" t="s">
        <v>35</v>
      </c>
      <c r="AD340" s="63" t="str">
        <f>VLOOKUP(E340,sheet1!$B$2:$C$3209,2,FALSE)</f>
        <v>支給予定一覧表</v>
      </c>
      <c r="AE340" s="49"/>
      <c r="AF340" s="51" t="s">
        <v>1490</v>
      </c>
      <c r="AG340" s="51" t="s">
        <v>1488</v>
      </c>
      <c r="AH340" s="49" t="str">
        <f t="shared" si="23"/>
        <v>支給予定一覧表</v>
      </c>
      <c r="AI340" s="49"/>
      <c r="AJ340" s="49"/>
      <c r="AK340" s="49"/>
      <c r="AL340" s="49" t="str">
        <f t="shared" si="24"/>
        <v>発注残照会（ライン別）</v>
      </c>
      <c r="AM340" s="49" t="s">
        <v>35</v>
      </c>
      <c r="AN340" s="49" t="s">
        <v>1491</v>
      </c>
      <c r="AO340" s="51" t="str">
        <f t="shared" si="21"/>
        <v>支給予定一覧表</v>
      </c>
      <c r="AP340" s="51" t="str">
        <f t="shared" si="22"/>
        <v>PD3495</v>
      </c>
      <c r="AQ340" s="51" t="s">
        <v>1492</v>
      </c>
      <c r="AR340" s="51" t="s">
        <v>1488</v>
      </c>
      <c r="AS340" s="49" t="str">
        <f t="shared" si="17"/>
        <v/>
      </c>
      <c r="AT340" s="49" t="str">
        <f t="shared" si="18"/>
        <v/>
      </c>
      <c r="AU340" s="49"/>
      <c r="AV340" s="49"/>
    </row>
    <row r="341" spans="1:48" ht="18" customHeight="1">
      <c r="A341" s="44">
        <v>339</v>
      </c>
      <c r="B341" s="71" t="s">
        <v>1076</v>
      </c>
      <c r="C341" s="54" t="s">
        <v>36</v>
      </c>
      <c r="D341" s="46" t="s">
        <v>116</v>
      </c>
      <c r="E341" s="44" t="s">
        <v>1493</v>
      </c>
      <c r="F341" s="44" t="s">
        <v>1494</v>
      </c>
      <c r="G341" s="44"/>
      <c r="H341" s="44"/>
      <c r="I341" s="44"/>
      <c r="J341" s="47" t="s">
        <v>35</v>
      </c>
      <c r="K341" s="47"/>
      <c r="L341" s="47"/>
      <c r="M341" s="47"/>
      <c r="N341" s="47"/>
      <c r="O341" s="44"/>
      <c r="P341" s="44"/>
      <c r="Q341" s="48">
        <f>VLOOKUP(E341,sheet1!$B$2:$D$3209,3,FALSE)</f>
        <v>837</v>
      </c>
      <c r="R341" s="47" t="s">
        <v>35</v>
      </c>
      <c r="S341" s="47" t="s">
        <v>296</v>
      </c>
      <c r="T341" s="47"/>
      <c r="U341" s="47" t="s">
        <v>296</v>
      </c>
      <c r="V341" s="47" t="s">
        <v>296</v>
      </c>
      <c r="W341" s="47" t="s">
        <v>296</v>
      </c>
      <c r="X341" s="47" t="s">
        <v>296</v>
      </c>
      <c r="Y341" s="47" t="s">
        <v>296</v>
      </c>
      <c r="Z341" s="47" t="s">
        <v>296</v>
      </c>
      <c r="AA341" s="47" t="s">
        <v>35</v>
      </c>
      <c r="AB341" s="47"/>
      <c r="AC341" s="47" t="s">
        <v>35</v>
      </c>
      <c r="AD341" s="63" t="str">
        <f>VLOOKUP(E341,sheet1!$B$2:$C$3209,2,FALSE)</f>
        <v>品目別引当状況照会</v>
      </c>
      <c r="AE341" s="49"/>
      <c r="AF341" s="51" t="s">
        <v>1495</v>
      </c>
      <c r="AG341" s="51" t="s">
        <v>1493</v>
      </c>
      <c r="AH341" s="49" t="str">
        <f t="shared" si="23"/>
        <v>品目別引当状況照会</v>
      </c>
      <c r="AI341" s="49"/>
      <c r="AJ341" s="49"/>
      <c r="AK341" s="49"/>
      <c r="AL341" s="49" t="str">
        <f t="shared" si="24"/>
        <v>発注残照会（品目　別）</v>
      </c>
      <c r="AM341" s="49" t="s">
        <v>35</v>
      </c>
      <c r="AN341" s="49" t="s">
        <v>1496</v>
      </c>
      <c r="AO341" s="51" t="str">
        <f t="shared" si="21"/>
        <v/>
      </c>
      <c r="AP341" s="51" t="str">
        <f t="shared" si="22"/>
        <v/>
      </c>
      <c r="AQ341" s="51"/>
      <c r="AR341" s="51"/>
      <c r="AS341" s="49" t="str">
        <f t="shared" si="17"/>
        <v/>
      </c>
      <c r="AT341" s="49" t="str">
        <f t="shared" si="18"/>
        <v/>
      </c>
      <c r="AU341" s="49"/>
      <c r="AV341" s="49"/>
    </row>
    <row r="342" spans="1:48" ht="18" customHeight="1">
      <c r="A342" s="44">
        <v>340</v>
      </c>
      <c r="B342" s="71" t="s">
        <v>1076</v>
      </c>
      <c r="C342" s="54" t="s">
        <v>36</v>
      </c>
      <c r="D342" s="46" t="s">
        <v>116</v>
      </c>
      <c r="E342" s="44" t="s">
        <v>1497</v>
      </c>
      <c r="F342" s="44" t="s">
        <v>1469</v>
      </c>
      <c r="G342" s="44"/>
      <c r="H342" s="44"/>
      <c r="I342" s="44"/>
      <c r="J342" s="47" t="s">
        <v>35</v>
      </c>
      <c r="K342" s="47"/>
      <c r="L342" s="47"/>
      <c r="M342" s="47"/>
      <c r="N342" s="47"/>
      <c r="O342" s="44"/>
      <c r="P342" s="44"/>
      <c r="Q342" s="48">
        <f>VLOOKUP(E342,sheet1!$B$2:$D$3209,3,FALSE)</f>
        <v>246</v>
      </c>
      <c r="R342" s="47" t="s">
        <v>35</v>
      </c>
      <c r="S342" s="47" t="s">
        <v>296</v>
      </c>
      <c r="T342" s="47"/>
      <c r="U342" s="47" t="s">
        <v>296</v>
      </c>
      <c r="V342" s="47" t="s">
        <v>296</v>
      </c>
      <c r="W342" s="47" t="s">
        <v>296</v>
      </c>
      <c r="X342" s="47" t="s">
        <v>296</v>
      </c>
      <c r="Y342" s="47" t="s">
        <v>296</v>
      </c>
      <c r="Z342" s="47" t="s">
        <v>296</v>
      </c>
      <c r="AA342" s="47" t="s">
        <v>296</v>
      </c>
      <c r="AB342" s="47" t="s">
        <v>35</v>
      </c>
      <c r="AC342" s="47" t="s">
        <v>35</v>
      </c>
      <c r="AD342" s="63" t="str">
        <f>VLOOKUP(E342,sheet1!$B$2:$C$3209,2,FALSE)</f>
        <v>注文書再発行（完了済も発行可能版）</v>
      </c>
      <c r="AE342" s="49"/>
      <c r="AF342" s="51" t="s">
        <v>1498</v>
      </c>
      <c r="AG342" s="51" t="s">
        <v>1497</v>
      </c>
      <c r="AH342" s="49" t="str">
        <f t="shared" si="23"/>
        <v>注文書再作成</v>
      </c>
      <c r="AI342" s="49"/>
      <c r="AJ342" s="49"/>
      <c r="AK342" s="49"/>
      <c r="AL342" s="49" t="str">
        <f t="shared" si="24"/>
        <v>発注残照会（担当者別）</v>
      </c>
      <c r="AM342" s="49" t="s">
        <v>35</v>
      </c>
      <c r="AN342" s="49" t="s">
        <v>1499</v>
      </c>
      <c r="AO342" s="51" t="str">
        <f t="shared" si="21"/>
        <v/>
      </c>
      <c r="AP342" s="51" t="str">
        <f t="shared" si="22"/>
        <v/>
      </c>
      <c r="AQ342" s="51"/>
      <c r="AR342" s="51"/>
      <c r="AS342" s="49" t="str">
        <f t="shared" si="17"/>
        <v/>
      </c>
      <c r="AT342" s="49" t="str">
        <f t="shared" si="18"/>
        <v/>
      </c>
      <c r="AU342" s="49"/>
      <c r="AV342" s="49"/>
    </row>
    <row r="343" spans="1:48" ht="18" customHeight="1">
      <c r="A343" s="44">
        <v>341</v>
      </c>
      <c r="B343" s="71" t="s">
        <v>1076</v>
      </c>
      <c r="C343" s="54" t="s">
        <v>36</v>
      </c>
      <c r="D343" s="46" t="s">
        <v>116</v>
      </c>
      <c r="E343" s="44" t="s">
        <v>1500</v>
      </c>
      <c r="F343" s="44" t="s">
        <v>1501</v>
      </c>
      <c r="G343" s="44"/>
      <c r="H343" s="44"/>
      <c r="I343" s="44"/>
      <c r="J343" s="47" t="s">
        <v>35</v>
      </c>
      <c r="K343" s="47"/>
      <c r="L343" s="47"/>
      <c r="M343" s="47"/>
      <c r="N343" s="47"/>
      <c r="O343" s="44"/>
      <c r="P343" s="44"/>
      <c r="Q343" s="48">
        <f>VLOOKUP(E343,sheet1!$B$2:$D$3209,3,FALSE)</f>
        <v>624</v>
      </c>
      <c r="R343" s="47" t="s">
        <v>35</v>
      </c>
      <c r="S343" s="47" t="s">
        <v>35</v>
      </c>
      <c r="T343" s="47" t="s">
        <v>35</v>
      </c>
      <c r="U343" s="47" t="s">
        <v>296</v>
      </c>
      <c r="V343" s="47" t="s">
        <v>35</v>
      </c>
      <c r="W343" s="47" t="s">
        <v>35</v>
      </c>
      <c r="X343" s="47" t="s">
        <v>35</v>
      </c>
      <c r="Y343" s="47" t="s">
        <v>35</v>
      </c>
      <c r="Z343" s="47" t="s">
        <v>35</v>
      </c>
      <c r="AA343" s="47" t="s">
        <v>35</v>
      </c>
      <c r="AB343" s="47" t="s">
        <v>35</v>
      </c>
      <c r="AC343" s="47" t="s">
        <v>35</v>
      </c>
      <c r="AD343" s="63" t="str">
        <f>VLOOKUP(E343,sheet1!$B$2:$C$3209,2,FALSE)</f>
        <v>注文書メモ欄入力</v>
      </c>
      <c r="AE343" s="49"/>
      <c r="AF343" s="51" t="s">
        <v>1502</v>
      </c>
      <c r="AG343" s="51" t="s">
        <v>1500</v>
      </c>
      <c r="AH343" s="49" t="str">
        <f t="shared" si="23"/>
        <v>注文書メモ入力</v>
      </c>
      <c r="AI343" s="49"/>
      <c r="AJ343" s="49"/>
      <c r="AK343" s="49"/>
      <c r="AL343" s="49" t="str">
        <f t="shared" si="24"/>
        <v>発注残照会（納期　別）</v>
      </c>
      <c r="AM343" s="49" t="s">
        <v>35</v>
      </c>
      <c r="AN343" s="49" t="s">
        <v>1503</v>
      </c>
      <c r="AO343" s="51" t="str">
        <f t="shared" si="21"/>
        <v>注文書メモ入力</v>
      </c>
      <c r="AP343" s="51" t="str">
        <f t="shared" si="22"/>
        <v>PD3360</v>
      </c>
      <c r="AQ343" s="51" t="s">
        <v>1502</v>
      </c>
      <c r="AR343" s="51" t="s">
        <v>1500</v>
      </c>
      <c r="AS343" s="49" t="str">
        <f t="shared" si="17"/>
        <v/>
      </c>
      <c r="AT343" s="49" t="str">
        <f t="shared" si="18"/>
        <v/>
      </c>
      <c r="AU343" s="49"/>
      <c r="AV343" s="49"/>
    </row>
    <row r="344" spans="1:48" ht="18" customHeight="1">
      <c r="A344" s="44">
        <v>342</v>
      </c>
      <c r="B344" s="71" t="s">
        <v>1076</v>
      </c>
      <c r="C344" s="54" t="s">
        <v>36</v>
      </c>
      <c r="D344" s="46" t="s">
        <v>116</v>
      </c>
      <c r="E344" s="44" t="s">
        <v>1504</v>
      </c>
      <c r="F344" s="44" t="s">
        <v>1505</v>
      </c>
      <c r="G344" s="44"/>
      <c r="H344" s="44"/>
      <c r="I344" s="44"/>
      <c r="J344" s="47" t="s">
        <v>35</v>
      </c>
      <c r="K344" s="47"/>
      <c r="L344" s="47"/>
      <c r="M344" s="47"/>
      <c r="N344" s="47"/>
      <c r="O344" s="44"/>
      <c r="P344" s="44"/>
      <c r="Q344" s="48">
        <f>VLOOKUP(E344,sheet1!$B$2:$D$3209,3,FALSE)</f>
        <v>657</v>
      </c>
      <c r="R344" s="47" t="s">
        <v>35</v>
      </c>
      <c r="S344" s="47" t="s">
        <v>35</v>
      </c>
      <c r="T344" s="47" t="s">
        <v>35</v>
      </c>
      <c r="U344" s="47" t="s">
        <v>296</v>
      </c>
      <c r="V344" s="47" t="s">
        <v>35</v>
      </c>
      <c r="W344" s="47" t="s">
        <v>35</v>
      </c>
      <c r="X344" s="47" t="s">
        <v>35</v>
      </c>
      <c r="Y344" s="47" t="s">
        <v>35</v>
      </c>
      <c r="Z344" s="47" t="s">
        <v>35</v>
      </c>
      <c r="AA344" s="47" t="s">
        <v>35</v>
      </c>
      <c r="AB344" s="47" t="s">
        <v>35</v>
      </c>
      <c r="AC344" s="47" t="s">
        <v>35</v>
      </c>
      <c r="AD344" s="63" t="str">
        <f>VLOOKUP(E344,sheet1!$B$2:$C$3209,2,FALSE)</f>
        <v>取引先別発注残照会</v>
      </c>
      <c r="AE344" s="49"/>
      <c r="AF344" s="51" t="s">
        <v>1506</v>
      </c>
      <c r="AG344" s="51" t="s">
        <v>1504</v>
      </c>
      <c r="AH344" s="49" t="str">
        <f t="shared" si="23"/>
        <v>発注残照会（仕入先別）</v>
      </c>
      <c r="AI344" s="49"/>
      <c r="AJ344" s="49"/>
      <c r="AK344" s="49"/>
      <c r="AL344" s="49" t="str">
        <f t="shared" si="24"/>
        <v>発注No.別引当状況照会</v>
      </c>
      <c r="AM344" s="49" t="s">
        <v>35</v>
      </c>
      <c r="AN344" s="49" t="s">
        <v>1507</v>
      </c>
      <c r="AO344" s="51" t="str">
        <f t="shared" si="21"/>
        <v>発注残照会（仕入先別）</v>
      </c>
      <c r="AP344" s="51" t="str">
        <f t="shared" si="22"/>
        <v>PD3500</v>
      </c>
      <c r="AQ344" s="51" t="s">
        <v>1506</v>
      </c>
      <c r="AR344" s="51" t="s">
        <v>1504</v>
      </c>
      <c r="AS344" s="49" t="str">
        <f t="shared" si="17"/>
        <v/>
      </c>
      <c r="AT344" s="49" t="str">
        <f t="shared" si="18"/>
        <v/>
      </c>
      <c r="AU344" s="49"/>
      <c r="AV344" s="49"/>
    </row>
    <row r="345" spans="1:48" ht="18" customHeight="1">
      <c r="A345" s="44">
        <v>343</v>
      </c>
      <c r="B345" s="71" t="s">
        <v>1076</v>
      </c>
      <c r="C345" s="54" t="s">
        <v>36</v>
      </c>
      <c r="D345" s="46" t="s">
        <v>116</v>
      </c>
      <c r="E345" s="44" t="s">
        <v>1508</v>
      </c>
      <c r="F345" s="44" t="s">
        <v>1509</v>
      </c>
      <c r="G345" s="44"/>
      <c r="H345" s="44"/>
      <c r="I345" s="44"/>
      <c r="J345" s="47" t="s">
        <v>35</v>
      </c>
      <c r="K345" s="47"/>
      <c r="L345" s="47"/>
      <c r="M345" s="47"/>
      <c r="N345" s="47"/>
      <c r="O345" s="44"/>
      <c r="P345" s="44"/>
      <c r="Q345" s="48">
        <f>VLOOKUP(E345,sheet1!$B$2:$D$3209,3,FALSE)</f>
        <v>622</v>
      </c>
      <c r="R345" s="47" t="s">
        <v>35</v>
      </c>
      <c r="S345" s="47" t="s">
        <v>35</v>
      </c>
      <c r="T345" s="47" t="s">
        <v>35</v>
      </c>
      <c r="U345" s="47" t="s">
        <v>296</v>
      </c>
      <c r="V345" s="47" t="s">
        <v>35</v>
      </c>
      <c r="W345" s="47" t="s">
        <v>35</v>
      </c>
      <c r="X345" s="47" t="s">
        <v>35</v>
      </c>
      <c r="Y345" s="47" t="s">
        <v>35</v>
      </c>
      <c r="Z345" s="47" t="s">
        <v>35</v>
      </c>
      <c r="AA345" s="47" t="s">
        <v>35</v>
      </c>
      <c r="AB345" s="47" t="s">
        <v>35</v>
      </c>
      <c r="AC345" s="47" t="s">
        <v>35</v>
      </c>
      <c r="AD345" s="63" t="str">
        <f>VLOOKUP(E345,sheet1!$B$2:$C$3209,2,FALSE)</f>
        <v>ライン別発注残照会</v>
      </c>
      <c r="AE345" s="49"/>
      <c r="AF345" s="51" t="s">
        <v>1510</v>
      </c>
      <c r="AG345" s="51" t="s">
        <v>1508</v>
      </c>
      <c r="AH345" s="49" t="str">
        <f t="shared" si="23"/>
        <v>発注残照会（ライン別）</v>
      </c>
      <c r="AI345" s="49"/>
      <c r="AJ345" s="49"/>
      <c r="AK345" s="49"/>
      <c r="AL345" s="49" t="str">
        <f t="shared" si="24"/>
        <v>所要量照会</v>
      </c>
      <c r="AM345" s="49" t="s">
        <v>35</v>
      </c>
      <c r="AN345" s="49" t="s">
        <v>1511</v>
      </c>
      <c r="AO345" s="51" t="str">
        <f t="shared" si="21"/>
        <v>発注残照会（ライン別）</v>
      </c>
      <c r="AP345" s="51" t="str">
        <f t="shared" si="22"/>
        <v>PD3510</v>
      </c>
      <c r="AQ345" s="51" t="s">
        <v>1510</v>
      </c>
      <c r="AR345" s="51" t="s">
        <v>1508</v>
      </c>
      <c r="AS345" s="49" t="str">
        <f t="shared" si="17"/>
        <v/>
      </c>
      <c r="AT345" s="49" t="str">
        <f t="shared" si="18"/>
        <v/>
      </c>
      <c r="AU345" s="49"/>
      <c r="AV345" s="49"/>
    </row>
    <row r="346" spans="1:48" ht="18" customHeight="1">
      <c r="A346" s="44">
        <v>344</v>
      </c>
      <c r="B346" s="71" t="s">
        <v>1076</v>
      </c>
      <c r="C346" s="54" t="s">
        <v>36</v>
      </c>
      <c r="D346" s="46" t="s">
        <v>116</v>
      </c>
      <c r="E346" s="44" t="s">
        <v>1512</v>
      </c>
      <c r="F346" s="44" t="s">
        <v>1513</v>
      </c>
      <c r="G346" s="44"/>
      <c r="H346" s="44"/>
      <c r="I346" s="44"/>
      <c r="J346" s="47" t="s">
        <v>35</v>
      </c>
      <c r="K346" s="47"/>
      <c r="L346" s="47"/>
      <c r="M346" s="47"/>
      <c r="N346" s="47"/>
      <c r="O346" s="44"/>
      <c r="P346" s="44"/>
      <c r="Q346" s="48">
        <f>VLOOKUP(E346,sheet1!$B$2:$D$3209,3,FALSE)</f>
        <v>556</v>
      </c>
      <c r="R346" s="47" t="s">
        <v>35</v>
      </c>
      <c r="S346" s="47" t="s">
        <v>35</v>
      </c>
      <c r="T346" s="47" t="s">
        <v>35</v>
      </c>
      <c r="U346" s="47" t="s">
        <v>296</v>
      </c>
      <c r="V346" s="47" t="s">
        <v>35</v>
      </c>
      <c r="W346" s="47" t="s">
        <v>35</v>
      </c>
      <c r="X346" s="47" t="s">
        <v>35</v>
      </c>
      <c r="Y346" s="47" t="s">
        <v>35</v>
      </c>
      <c r="Z346" s="47" t="s">
        <v>35</v>
      </c>
      <c r="AA346" s="47" t="s">
        <v>35</v>
      </c>
      <c r="AB346" s="47" t="s">
        <v>35</v>
      </c>
      <c r="AC346" s="47" t="s">
        <v>35</v>
      </c>
      <c r="AD346" s="63" t="str">
        <f>VLOOKUP(E346,sheet1!$B$2:$C$3209,2,FALSE)</f>
        <v>品目別発注残照会</v>
      </c>
      <c r="AE346" s="49"/>
      <c r="AF346" s="51" t="s">
        <v>1514</v>
      </c>
      <c r="AG346" s="51" t="s">
        <v>1512</v>
      </c>
      <c r="AH346" s="49" t="str">
        <f t="shared" si="23"/>
        <v>発注残照会（品目　別）</v>
      </c>
      <c r="AI346" s="49"/>
      <c r="AJ346" s="49"/>
      <c r="AK346" s="49"/>
      <c r="AL346" s="49" t="str">
        <f t="shared" si="24"/>
        <v>発注No.別発注残照会</v>
      </c>
      <c r="AM346" s="49" t="s">
        <v>35</v>
      </c>
      <c r="AN346" s="49" t="s">
        <v>1515</v>
      </c>
      <c r="AO346" s="51" t="str">
        <f t="shared" si="21"/>
        <v>発注残照会（品目　別）</v>
      </c>
      <c r="AP346" s="51" t="str">
        <f t="shared" si="22"/>
        <v>PD3520</v>
      </c>
      <c r="AQ346" s="51" t="s">
        <v>1514</v>
      </c>
      <c r="AR346" s="51" t="s">
        <v>1512</v>
      </c>
      <c r="AS346" s="49" t="str">
        <f t="shared" si="17"/>
        <v/>
      </c>
      <c r="AT346" s="49" t="str">
        <f t="shared" si="18"/>
        <v/>
      </c>
      <c r="AU346" s="49"/>
      <c r="AV346" s="49"/>
    </row>
    <row r="347" spans="1:48" ht="18" customHeight="1">
      <c r="A347" s="44">
        <v>345</v>
      </c>
      <c r="B347" s="71" t="s">
        <v>1076</v>
      </c>
      <c r="C347" s="54" t="s">
        <v>36</v>
      </c>
      <c r="D347" s="46" t="s">
        <v>116</v>
      </c>
      <c r="E347" s="44" t="s">
        <v>1516</v>
      </c>
      <c r="F347" s="44" t="s">
        <v>1517</v>
      </c>
      <c r="G347" s="44"/>
      <c r="H347" s="44"/>
      <c r="I347" s="44"/>
      <c r="J347" s="47" t="s">
        <v>35</v>
      </c>
      <c r="K347" s="47"/>
      <c r="L347" s="47"/>
      <c r="M347" s="47"/>
      <c r="N347" s="47"/>
      <c r="O347" s="44"/>
      <c r="P347" s="44"/>
      <c r="Q347" s="48">
        <f>VLOOKUP(E347,sheet1!$B$2:$D$3209,3,FALSE)</f>
        <v>660</v>
      </c>
      <c r="R347" s="47" t="s">
        <v>35</v>
      </c>
      <c r="S347" s="47" t="s">
        <v>35</v>
      </c>
      <c r="T347" s="47" t="s">
        <v>35</v>
      </c>
      <c r="U347" s="47" t="s">
        <v>296</v>
      </c>
      <c r="V347" s="47" t="s">
        <v>35</v>
      </c>
      <c r="W347" s="47" t="s">
        <v>35</v>
      </c>
      <c r="X347" s="47" t="s">
        <v>35</v>
      </c>
      <c r="Y347" s="47" t="s">
        <v>35</v>
      </c>
      <c r="Z347" s="47" t="s">
        <v>35</v>
      </c>
      <c r="AA347" s="47" t="s">
        <v>35</v>
      </c>
      <c r="AB347" s="47" t="s">
        <v>35</v>
      </c>
      <c r="AC347" s="47" t="s">
        <v>35</v>
      </c>
      <c r="AD347" s="63" t="str">
        <f>VLOOKUP(E347,sheet1!$B$2:$C$3209,2,FALSE)</f>
        <v>担当者別発注残照会</v>
      </c>
      <c r="AE347" s="49"/>
      <c r="AF347" s="51" t="s">
        <v>1518</v>
      </c>
      <c r="AG347" s="51" t="s">
        <v>1516</v>
      </c>
      <c r="AH347" s="49" t="str">
        <f t="shared" si="23"/>
        <v>発注残照会（担当者別）</v>
      </c>
      <c r="AI347" s="49"/>
      <c r="AJ347" s="49"/>
      <c r="AK347" s="49"/>
      <c r="AL347" s="49" t="str">
        <f t="shared" si="24"/>
        <v>引当状況照会</v>
      </c>
      <c r="AM347" s="49" t="s">
        <v>35</v>
      </c>
      <c r="AN347" s="49" t="s">
        <v>1519</v>
      </c>
      <c r="AO347" s="51" t="str">
        <f t="shared" si="21"/>
        <v>発注残照会（担当者別）</v>
      </c>
      <c r="AP347" s="51" t="str">
        <f t="shared" si="22"/>
        <v>PD3530</v>
      </c>
      <c r="AQ347" s="51" t="s">
        <v>1518</v>
      </c>
      <c r="AR347" s="51" t="s">
        <v>1516</v>
      </c>
      <c r="AS347" s="49" t="str">
        <f t="shared" si="17"/>
        <v/>
      </c>
      <c r="AT347" s="49" t="str">
        <f t="shared" si="18"/>
        <v/>
      </c>
      <c r="AU347" s="49"/>
      <c r="AV347" s="49"/>
    </row>
    <row r="348" spans="1:48" ht="18" customHeight="1">
      <c r="A348" s="44">
        <v>346</v>
      </c>
      <c r="B348" s="71" t="s">
        <v>1076</v>
      </c>
      <c r="C348" s="54" t="s">
        <v>36</v>
      </c>
      <c r="D348" s="46" t="s">
        <v>116</v>
      </c>
      <c r="E348" s="44" t="s">
        <v>1520</v>
      </c>
      <c r="F348" s="44" t="s">
        <v>1521</v>
      </c>
      <c r="G348" s="44"/>
      <c r="H348" s="44"/>
      <c r="I348" s="44"/>
      <c r="J348" s="47" t="s">
        <v>35</v>
      </c>
      <c r="K348" s="47"/>
      <c r="L348" s="47"/>
      <c r="M348" s="47"/>
      <c r="N348" s="47"/>
      <c r="O348" s="44"/>
      <c r="P348" s="44"/>
      <c r="Q348" s="48">
        <f>VLOOKUP(E348,sheet1!$B$2:$D$3209,3,FALSE)</f>
        <v>577</v>
      </c>
      <c r="R348" s="47" t="s">
        <v>35</v>
      </c>
      <c r="S348" s="47" t="s">
        <v>35</v>
      </c>
      <c r="T348" s="47" t="s">
        <v>35</v>
      </c>
      <c r="U348" s="47" t="s">
        <v>296</v>
      </c>
      <c r="V348" s="47" t="s">
        <v>35</v>
      </c>
      <c r="W348" s="47" t="s">
        <v>35</v>
      </c>
      <c r="X348" s="47" t="s">
        <v>35</v>
      </c>
      <c r="Y348" s="47" t="s">
        <v>35</v>
      </c>
      <c r="Z348" s="47" t="s">
        <v>35</v>
      </c>
      <c r="AA348" s="47" t="s">
        <v>35</v>
      </c>
      <c r="AB348" s="47" t="s">
        <v>35</v>
      </c>
      <c r="AC348" s="47" t="s">
        <v>35</v>
      </c>
      <c r="AD348" s="63" t="str">
        <f>VLOOKUP(E348,sheet1!$B$2:$C$3209,2,FALSE)</f>
        <v>納期別発注残照会</v>
      </c>
      <c r="AE348" s="49"/>
      <c r="AF348" s="51" t="s">
        <v>1522</v>
      </c>
      <c r="AG348" s="51" t="s">
        <v>1520</v>
      </c>
      <c r="AH348" s="49" t="str">
        <f t="shared" si="23"/>
        <v>発注残照会（納期　別）</v>
      </c>
      <c r="AI348" s="49"/>
      <c r="AJ348" s="49"/>
      <c r="AK348" s="49"/>
      <c r="AL348" s="49" t="str">
        <f t="shared" si="24"/>
        <v>発注残一覧表（仕入先別）</v>
      </c>
      <c r="AM348" s="49" t="s">
        <v>35</v>
      </c>
      <c r="AN348" s="49" t="s">
        <v>1523</v>
      </c>
      <c r="AO348" s="51" t="str">
        <f t="shared" si="21"/>
        <v>発注残照会（納期　別）</v>
      </c>
      <c r="AP348" s="51" t="str">
        <f t="shared" si="22"/>
        <v>PD3540</v>
      </c>
      <c r="AQ348" s="51" t="s">
        <v>1522</v>
      </c>
      <c r="AR348" s="51" t="s">
        <v>1520</v>
      </c>
      <c r="AS348" s="49" t="str">
        <f t="shared" si="17"/>
        <v/>
      </c>
      <c r="AT348" s="49" t="str">
        <f t="shared" si="18"/>
        <v/>
      </c>
      <c r="AU348" s="49"/>
      <c r="AV348" s="49"/>
    </row>
    <row r="349" spans="1:48" ht="18" customHeight="1">
      <c r="A349" s="44">
        <v>347</v>
      </c>
      <c r="B349" s="71" t="s">
        <v>1076</v>
      </c>
      <c r="C349" s="54" t="s">
        <v>36</v>
      </c>
      <c r="D349" s="46" t="s">
        <v>116</v>
      </c>
      <c r="E349" s="44" t="s">
        <v>1524</v>
      </c>
      <c r="F349" s="44" t="s">
        <v>1525</v>
      </c>
      <c r="G349" s="44"/>
      <c r="H349" s="44"/>
      <c r="I349" s="44"/>
      <c r="J349" s="47" t="s">
        <v>35</v>
      </c>
      <c r="K349" s="47"/>
      <c r="L349" s="47"/>
      <c r="M349" s="47"/>
      <c r="N349" s="47"/>
      <c r="O349" s="44"/>
      <c r="P349" s="44"/>
      <c r="Q349" s="48">
        <f>VLOOKUP(E349,sheet1!$B$2:$D$3209,3,FALSE)</f>
        <v>482</v>
      </c>
      <c r="R349" s="47" t="s">
        <v>35</v>
      </c>
      <c r="S349" s="47" t="s">
        <v>35</v>
      </c>
      <c r="T349" s="47" t="s">
        <v>35</v>
      </c>
      <c r="U349" s="47" t="s">
        <v>296</v>
      </c>
      <c r="V349" s="47" t="s">
        <v>35</v>
      </c>
      <c r="W349" s="47" t="s">
        <v>35</v>
      </c>
      <c r="X349" s="47" t="s">
        <v>35</v>
      </c>
      <c r="Y349" s="47" t="s">
        <v>35</v>
      </c>
      <c r="Z349" s="47" t="s">
        <v>35</v>
      </c>
      <c r="AA349" s="47" t="s">
        <v>35</v>
      </c>
      <c r="AB349" s="47" t="s">
        <v>35</v>
      </c>
      <c r="AC349" s="47" t="s">
        <v>35</v>
      </c>
      <c r="AD349" s="63" t="str">
        <f>VLOOKUP(E349,sheet1!$B$2:$C$3209,2,FALSE)</f>
        <v>発注№別引当状況照会</v>
      </c>
      <c r="AE349" s="49"/>
      <c r="AF349" s="51" t="s">
        <v>1526</v>
      </c>
      <c r="AG349" s="51" t="s">
        <v>1524</v>
      </c>
      <c r="AH349" s="49" t="str">
        <f t="shared" si="23"/>
        <v>発注No.別引当状況照会</v>
      </c>
      <c r="AI349" s="49"/>
      <c r="AJ349" s="49"/>
      <c r="AK349" s="49"/>
      <c r="AL349" s="49" t="str">
        <f t="shared" si="24"/>
        <v>発注残一覧表（担当者別）</v>
      </c>
      <c r="AM349" s="49" t="s">
        <v>35</v>
      </c>
      <c r="AN349" s="49" t="s">
        <v>1527</v>
      </c>
      <c r="AO349" s="51" t="str">
        <f t="shared" si="21"/>
        <v>発注No.別引当状況照会</v>
      </c>
      <c r="AP349" s="51" t="str">
        <f t="shared" si="22"/>
        <v>PD3600</v>
      </c>
      <c r="AQ349" s="51" t="s">
        <v>1528</v>
      </c>
      <c r="AR349" s="51" t="s">
        <v>1524</v>
      </c>
      <c r="AS349" s="49" t="str">
        <f t="shared" si="17"/>
        <v/>
      </c>
      <c r="AT349" s="49" t="str">
        <f t="shared" si="18"/>
        <v/>
      </c>
      <c r="AU349" s="49"/>
      <c r="AV349" s="49"/>
    </row>
    <row r="350" spans="1:48" ht="18" customHeight="1">
      <c r="A350" s="44">
        <v>348</v>
      </c>
      <c r="B350" s="71" t="s">
        <v>1076</v>
      </c>
      <c r="C350" s="54" t="s">
        <v>36</v>
      </c>
      <c r="D350" s="46" t="s">
        <v>116</v>
      </c>
      <c r="E350" s="44" t="s">
        <v>1529</v>
      </c>
      <c r="F350" s="44" t="s">
        <v>1530</v>
      </c>
      <c r="G350" s="44"/>
      <c r="H350" s="44"/>
      <c r="I350" s="44"/>
      <c r="J350" s="47" t="s">
        <v>35</v>
      </c>
      <c r="K350" s="47"/>
      <c r="L350" s="47"/>
      <c r="M350" s="47"/>
      <c r="N350" s="47"/>
      <c r="O350" s="44"/>
      <c r="P350" s="44"/>
      <c r="Q350" s="48">
        <f>VLOOKUP(E350,sheet1!$B$2:$D$3209,3,FALSE)</f>
        <v>818</v>
      </c>
      <c r="R350" s="47" t="s">
        <v>35</v>
      </c>
      <c r="S350" s="47" t="s">
        <v>35</v>
      </c>
      <c r="T350" s="47" t="s">
        <v>35</v>
      </c>
      <c r="U350" s="47" t="s">
        <v>296</v>
      </c>
      <c r="V350" s="47" t="s">
        <v>35</v>
      </c>
      <c r="W350" s="47" t="s">
        <v>35</v>
      </c>
      <c r="X350" s="47" t="s">
        <v>35</v>
      </c>
      <c r="Y350" s="47" t="s">
        <v>35</v>
      </c>
      <c r="Z350" s="47" t="s">
        <v>35</v>
      </c>
      <c r="AA350" s="47" t="s">
        <v>35</v>
      </c>
      <c r="AB350" s="47" t="s">
        <v>35</v>
      </c>
      <c r="AC350" s="47" t="s">
        <v>35</v>
      </c>
      <c r="AD350" s="63" t="str">
        <f>VLOOKUP(E350,sheet1!$B$2:$C$3209,2,FALSE)</f>
        <v>所要量照会</v>
      </c>
      <c r="AE350" s="49"/>
      <c r="AF350" s="51" t="s">
        <v>1531</v>
      </c>
      <c r="AG350" s="51" t="s">
        <v>1529</v>
      </c>
      <c r="AH350" s="49" t="str">
        <f t="shared" si="23"/>
        <v>所要量照会</v>
      </c>
      <c r="AI350" s="49"/>
      <c r="AJ350" s="49"/>
      <c r="AK350" s="49"/>
      <c r="AL350" s="49" t="str">
        <f t="shared" si="24"/>
        <v>発注残一覧表（品目別）</v>
      </c>
      <c r="AM350" s="49" t="s">
        <v>35</v>
      </c>
      <c r="AN350" s="49" t="s">
        <v>1532</v>
      </c>
      <c r="AO350" s="51" t="str">
        <f t="shared" si="21"/>
        <v>所要量照会</v>
      </c>
      <c r="AP350" s="51" t="str">
        <f t="shared" si="22"/>
        <v>PD3610</v>
      </c>
      <c r="AQ350" s="51" t="s">
        <v>1533</v>
      </c>
      <c r="AR350" s="51" t="s">
        <v>1529</v>
      </c>
      <c r="AS350" s="49" t="str">
        <f t="shared" si="17"/>
        <v/>
      </c>
      <c r="AT350" s="49" t="str">
        <f t="shared" si="18"/>
        <v/>
      </c>
      <c r="AU350" s="49"/>
      <c r="AV350" s="49"/>
    </row>
    <row r="351" spans="1:48" ht="18" customHeight="1">
      <c r="A351" s="44">
        <v>349</v>
      </c>
      <c r="B351" s="71" t="s">
        <v>1076</v>
      </c>
      <c r="C351" s="54" t="s">
        <v>36</v>
      </c>
      <c r="D351" s="46" t="s">
        <v>116</v>
      </c>
      <c r="E351" s="44" t="s">
        <v>1534</v>
      </c>
      <c r="F351" s="44" t="s">
        <v>1535</v>
      </c>
      <c r="G351" s="44"/>
      <c r="H351" s="44"/>
      <c r="I351" s="44"/>
      <c r="J351" s="47" t="s">
        <v>35</v>
      </c>
      <c r="K351" s="47"/>
      <c r="L351" s="47"/>
      <c r="M351" s="47"/>
      <c r="N351" s="47"/>
      <c r="O351" s="44"/>
      <c r="P351" s="44"/>
      <c r="Q351" s="48">
        <f>VLOOKUP(E351,sheet1!$B$2:$D$3209,3,FALSE)</f>
        <v>360</v>
      </c>
      <c r="R351" s="47" t="s">
        <v>35</v>
      </c>
      <c r="S351" s="47" t="s">
        <v>35</v>
      </c>
      <c r="T351" s="47" t="s">
        <v>35</v>
      </c>
      <c r="U351" s="47" t="s">
        <v>296</v>
      </c>
      <c r="V351" s="47" t="s">
        <v>35</v>
      </c>
      <c r="W351" s="47" t="s">
        <v>35</v>
      </c>
      <c r="X351" s="47" t="s">
        <v>35</v>
      </c>
      <c r="Y351" s="47" t="s">
        <v>35</v>
      </c>
      <c r="Z351" s="47" t="s">
        <v>35</v>
      </c>
      <c r="AA351" s="47" t="s">
        <v>35</v>
      </c>
      <c r="AB351" s="47" t="s">
        <v>35</v>
      </c>
      <c r="AC351" s="47" t="s">
        <v>35</v>
      </c>
      <c r="AD351" s="63" t="str">
        <f>VLOOKUP(E351,sheet1!$B$2:$C$3209,2,FALSE)</f>
        <v>発注NO別発注残照会                         JCM</v>
      </c>
      <c r="AE351" s="49"/>
      <c r="AF351" s="51" t="s">
        <v>1536</v>
      </c>
      <c r="AG351" s="51" t="s">
        <v>1534</v>
      </c>
      <c r="AH351" s="49" t="str">
        <f t="shared" si="23"/>
        <v>発注No.別発注残照会</v>
      </c>
      <c r="AI351" s="49"/>
      <c r="AJ351" s="49"/>
      <c r="AK351" s="49"/>
      <c r="AL351" s="49" t="str">
        <f t="shared" si="24"/>
        <v>部課別仕入予定一覧表</v>
      </c>
      <c r="AM351" s="49" t="s">
        <v>35</v>
      </c>
      <c r="AN351" s="49" t="s">
        <v>1537</v>
      </c>
      <c r="AO351" s="51" t="str">
        <f t="shared" si="21"/>
        <v>発注No.別発注残照会</v>
      </c>
      <c r="AP351" s="51" t="str">
        <f t="shared" si="22"/>
        <v>PD3640</v>
      </c>
      <c r="AQ351" s="51" t="s">
        <v>1536</v>
      </c>
      <c r="AR351" s="51" t="s">
        <v>1534</v>
      </c>
      <c r="AS351" s="49" t="str">
        <f t="shared" si="17"/>
        <v/>
      </c>
      <c r="AT351" s="49" t="str">
        <f t="shared" si="18"/>
        <v/>
      </c>
      <c r="AU351" s="49"/>
      <c r="AV351" s="49"/>
    </row>
    <row r="352" spans="1:48" ht="18" customHeight="1">
      <c r="A352" s="44">
        <v>350</v>
      </c>
      <c r="B352" s="71" t="s">
        <v>1076</v>
      </c>
      <c r="C352" s="54" t="s">
        <v>36</v>
      </c>
      <c r="D352" s="46" t="s">
        <v>116</v>
      </c>
      <c r="E352" s="44" t="s">
        <v>1538</v>
      </c>
      <c r="F352" s="44" t="s">
        <v>1539</v>
      </c>
      <c r="G352" s="44"/>
      <c r="H352" s="44"/>
      <c r="I352" s="44"/>
      <c r="J352" s="47" t="s">
        <v>35</v>
      </c>
      <c r="K352" s="47"/>
      <c r="L352" s="47"/>
      <c r="M352" s="47"/>
      <c r="N352" s="47"/>
      <c r="O352" s="44"/>
      <c r="P352" s="44"/>
      <c r="Q352" s="48">
        <f>VLOOKUP(E352,sheet1!$B$2:$D$3209,3,FALSE)</f>
        <v>992</v>
      </c>
      <c r="R352" s="47" t="s">
        <v>35</v>
      </c>
      <c r="S352" s="47" t="s">
        <v>35</v>
      </c>
      <c r="T352" s="47" t="s">
        <v>35</v>
      </c>
      <c r="U352" s="47" t="s">
        <v>296</v>
      </c>
      <c r="V352" s="47" t="s">
        <v>35</v>
      </c>
      <c r="W352" s="47" t="s">
        <v>35</v>
      </c>
      <c r="X352" s="47" t="s">
        <v>35</v>
      </c>
      <c r="Y352" s="47" t="s">
        <v>35</v>
      </c>
      <c r="Z352" s="47" t="s">
        <v>35</v>
      </c>
      <c r="AA352" s="47" t="s">
        <v>35</v>
      </c>
      <c r="AB352" s="47" t="s">
        <v>35</v>
      </c>
      <c r="AC352" s="47" t="s">
        <v>35</v>
      </c>
      <c r="AD352" s="63" t="str">
        <f>VLOOKUP(E352,sheet1!$B$2:$C$3209,2,FALSE)</f>
        <v>引当状況照会</v>
      </c>
      <c r="AE352" s="49"/>
      <c r="AF352" s="51" t="s">
        <v>1540</v>
      </c>
      <c r="AG352" s="51" t="s">
        <v>1538</v>
      </c>
      <c r="AH352" s="49" t="str">
        <f t="shared" si="23"/>
        <v>引当状況紹介</v>
      </c>
      <c r="AI352" s="49"/>
      <c r="AJ352" s="49"/>
      <c r="AK352" s="49"/>
      <c r="AL352" s="49" t="str">
        <f t="shared" si="24"/>
        <v>納期確認書　印刷</v>
      </c>
      <c r="AM352" s="49" t="s">
        <v>35</v>
      </c>
      <c r="AN352" s="49" t="s">
        <v>1541</v>
      </c>
      <c r="AO352" s="51" t="str">
        <f t="shared" si="21"/>
        <v>引当状況照会</v>
      </c>
      <c r="AP352" s="51" t="str">
        <f t="shared" si="22"/>
        <v>PD5250</v>
      </c>
      <c r="AQ352" s="51" t="s">
        <v>1542</v>
      </c>
      <c r="AR352" s="51" t="s">
        <v>1538</v>
      </c>
      <c r="AS352" s="49" t="str">
        <f t="shared" si="17"/>
        <v/>
      </c>
      <c r="AT352" s="49" t="str">
        <f t="shared" si="18"/>
        <v/>
      </c>
      <c r="AU352" s="49"/>
      <c r="AV352" s="49"/>
    </row>
    <row r="353" spans="1:48" ht="18" customHeight="1">
      <c r="A353" s="44">
        <v>351</v>
      </c>
      <c r="B353" s="71" t="s">
        <v>1076</v>
      </c>
      <c r="C353" s="54" t="s">
        <v>36</v>
      </c>
      <c r="D353" s="46" t="s">
        <v>116</v>
      </c>
      <c r="E353" s="44" t="s">
        <v>1543</v>
      </c>
      <c r="F353" s="44" t="s">
        <v>1544</v>
      </c>
      <c r="G353" s="44"/>
      <c r="H353" s="44"/>
      <c r="I353" s="44"/>
      <c r="J353" s="47" t="s">
        <v>35</v>
      </c>
      <c r="K353" s="47"/>
      <c r="L353" s="47"/>
      <c r="M353" s="47"/>
      <c r="N353" s="47"/>
      <c r="O353" s="44"/>
      <c r="P353" s="44"/>
      <c r="Q353" s="48">
        <f>VLOOKUP(E353,sheet1!$B$2:$D$3209,3,FALSE)</f>
        <v>714</v>
      </c>
      <c r="R353" s="47" t="s">
        <v>35</v>
      </c>
      <c r="S353" s="47" t="s">
        <v>35</v>
      </c>
      <c r="T353" s="47" t="s">
        <v>35</v>
      </c>
      <c r="U353" s="47" t="s">
        <v>296</v>
      </c>
      <c r="V353" s="47" t="s">
        <v>35</v>
      </c>
      <c r="W353" s="47" t="s">
        <v>35</v>
      </c>
      <c r="X353" s="47" t="s">
        <v>296</v>
      </c>
      <c r="Y353" s="47" t="s">
        <v>35</v>
      </c>
      <c r="Z353" s="47" t="s">
        <v>35</v>
      </c>
      <c r="AA353" s="47" t="s">
        <v>35</v>
      </c>
      <c r="AB353" s="47" t="s">
        <v>35</v>
      </c>
      <c r="AC353" s="47" t="s">
        <v>35</v>
      </c>
      <c r="AD353" s="63" t="str">
        <f>VLOOKUP(E353,sheet1!$B$2:$C$3209,2,FALSE)</f>
        <v>発注残一覧表（仕入先別）                    JCM</v>
      </c>
      <c r="AE353" s="49"/>
      <c r="AF353" s="51" t="s">
        <v>1545</v>
      </c>
      <c r="AG353" s="51" t="s">
        <v>1543</v>
      </c>
      <c r="AH353" s="49" t="str">
        <f t="shared" si="23"/>
        <v>発注残一覧表（仕入先）</v>
      </c>
      <c r="AI353" s="49"/>
      <c r="AJ353" s="49"/>
      <c r="AK353" s="49"/>
      <c r="AL353" s="49" t="str">
        <f t="shared" si="24"/>
        <v>担当者別引当状況一覧表</v>
      </c>
      <c r="AM353" s="49" t="s">
        <v>35</v>
      </c>
      <c r="AN353" s="49" t="s">
        <v>1546</v>
      </c>
      <c r="AO353" s="51" t="str">
        <f t="shared" si="21"/>
        <v>発注残一覧表（仕入先）</v>
      </c>
      <c r="AP353" s="51" t="str">
        <f t="shared" si="22"/>
        <v>PD3560</v>
      </c>
      <c r="AQ353" s="51" t="s">
        <v>1545</v>
      </c>
      <c r="AR353" s="51" t="s">
        <v>1543</v>
      </c>
      <c r="AS353" s="49" t="str">
        <f t="shared" si="17"/>
        <v/>
      </c>
      <c r="AT353" s="49" t="str">
        <f t="shared" si="18"/>
        <v/>
      </c>
      <c r="AU353" s="49"/>
      <c r="AV353" s="49"/>
    </row>
    <row r="354" spans="1:48" ht="18" customHeight="1">
      <c r="A354" s="44">
        <v>352</v>
      </c>
      <c r="B354" s="71" t="s">
        <v>1076</v>
      </c>
      <c r="C354" s="54" t="s">
        <v>36</v>
      </c>
      <c r="D354" s="46" t="s">
        <v>116</v>
      </c>
      <c r="E354" s="44" t="s">
        <v>1547</v>
      </c>
      <c r="F354" s="44" t="s">
        <v>1548</v>
      </c>
      <c r="G354" s="44"/>
      <c r="H354" s="44"/>
      <c r="I354" s="44"/>
      <c r="J354" s="47" t="s">
        <v>35</v>
      </c>
      <c r="K354" s="47"/>
      <c r="L354" s="47"/>
      <c r="M354" s="47"/>
      <c r="N354" s="47"/>
      <c r="O354" s="44"/>
      <c r="P354" s="44"/>
      <c r="Q354" s="48">
        <f>VLOOKUP(E354,sheet1!$B$2:$D$3209,3,FALSE)</f>
        <v>510</v>
      </c>
      <c r="R354" s="47" t="s">
        <v>35</v>
      </c>
      <c r="S354" s="47" t="s">
        <v>35</v>
      </c>
      <c r="T354" s="47" t="s">
        <v>35</v>
      </c>
      <c r="U354" s="47" t="s">
        <v>296</v>
      </c>
      <c r="V354" s="47" t="s">
        <v>35</v>
      </c>
      <c r="W354" s="47" t="s">
        <v>35</v>
      </c>
      <c r="X354" s="47" t="s">
        <v>296</v>
      </c>
      <c r="Y354" s="47" t="s">
        <v>35</v>
      </c>
      <c r="Z354" s="47" t="s">
        <v>35</v>
      </c>
      <c r="AA354" s="47" t="s">
        <v>35</v>
      </c>
      <c r="AB354" s="47" t="s">
        <v>35</v>
      </c>
      <c r="AC354" s="47" t="s">
        <v>35</v>
      </c>
      <c r="AD354" s="63" t="str">
        <f>VLOOKUP(E354,sheet1!$B$2:$C$3209,2,FALSE)</f>
        <v>発注残一覧表（担当者別）                    JCM</v>
      </c>
      <c r="AE354" s="49"/>
      <c r="AF354" s="51" t="s">
        <v>1549</v>
      </c>
      <c r="AG354" s="51" t="s">
        <v>1547</v>
      </c>
      <c r="AH354" s="49" t="str">
        <f t="shared" si="23"/>
        <v>発注残一覧表（担当者）</v>
      </c>
      <c r="AI354" s="49"/>
      <c r="AJ354" s="49"/>
      <c r="AK354" s="49"/>
      <c r="AL354" s="49" t="str">
        <f t="shared" si="24"/>
        <v/>
      </c>
      <c r="AM354" s="49"/>
      <c r="AN354" s="49"/>
      <c r="AO354" s="51" t="str">
        <f t="shared" si="21"/>
        <v>発注残一覧表（担当者）</v>
      </c>
      <c r="AP354" s="51" t="str">
        <f t="shared" si="22"/>
        <v>PD3580</v>
      </c>
      <c r="AQ354" s="51" t="s">
        <v>1550</v>
      </c>
      <c r="AR354" s="51" t="s">
        <v>1547</v>
      </c>
      <c r="AS354" s="49" t="str">
        <f t="shared" si="17"/>
        <v/>
      </c>
      <c r="AT354" s="49" t="str">
        <f t="shared" si="18"/>
        <v/>
      </c>
      <c r="AU354" s="49"/>
      <c r="AV354" s="49"/>
    </row>
    <row r="355" spans="1:48" ht="18" customHeight="1">
      <c r="A355" s="44">
        <v>353</v>
      </c>
      <c r="B355" s="71" t="s">
        <v>1076</v>
      </c>
      <c r="C355" s="54" t="s">
        <v>36</v>
      </c>
      <c r="D355" s="46" t="s">
        <v>116</v>
      </c>
      <c r="E355" s="44" t="s">
        <v>1551</v>
      </c>
      <c r="F355" s="44" t="s">
        <v>1552</v>
      </c>
      <c r="G355" s="44"/>
      <c r="H355" s="44"/>
      <c r="I355" s="44"/>
      <c r="J355" s="47" t="s">
        <v>35</v>
      </c>
      <c r="K355" s="47"/>
      <c r="L355" s="47"/>
      <c r="M355" s="47"/>
      <c r="N355" s="47"/>
      <c r="O355" s="44"/>
      <c r="P355" s="44"/>
      <c r="Q355" s="48">
        <f>VLOOKUP(E355,sheet1!$B$2:$D$3209,3,FALSE)</f>
        <v>713</v>
      </c>
      <c r="R355" s="47" t="s">
        <v>35</v>
      </c>
      <c r="S355" s="47" t="s">
        <v>35</v>
      </c>
      <c r="T355" s="47" t="s">
        <v>35</v>
      </c>
      <c r="U355" s="47" t="s">
        <v>296</v>
      </c>
      <c r="V355" s="47" t="s">
        <v>35</v>
      </c>
      <c r="W355" s="47" t="s">
        <v>35</v>
      </c>
      <c r="X355" s="47" t="s">
        <v>296</v>
      </c>
      <c r="Y355" s="47" t="s">
        <v>35</v>
      </c>
      <c r="Z355" s="47" t="s">
        <v>35</v>
      </c>
      <c r="AA355" s="47" t="s">
        <v>35</v>
      </c>
      <c r="AB355" s="47" t="s">
        <v>35</v>
      </c>
      <c r="AC355" s="47" t="s">
        <v>35</v>
      </c>
      <c r="AD355" s="63" t="str">
        <f>VLOOKUP(E355,sheet1!$B$2:$C$3209,2,FALSE)</f>
        <v>発注残一覧表（品目別）                      JCM</v>
      </c>
      <c r="AE355" s="49"/>
      <c r="AF355" s="51" t="s">
        <v>1553</v>
      </c>
      <c r="AG355" s="51" t="s">
        <v>1551</v>
      </c>
      <c r="AH355" s="49" t="str">
        <f t="shared" si="23"/>
        <v>発注残一覧表（品目）</v>
      </c>
      <c r="AI355" s="49"/>
      <c r="AJ355" s="49"/>
      <c r="AK355" s="49"/>
      <c r="AL355" s="49" t="str">
        <f t="shared" si="24"/>
        <v/>
      </c>
      <c r="AM355" s="49"/>
      <c r="AN355" s="49"/>
      <c r="AO355" s="51" t="str">
        <f t="shared" si="21"/>
        <v>発注残一覧表（品目）</v>
      </c>
      <c r="AP355" s="51" t="str">
        <f t="shared" si="22"/>
        <v>PD3590</v>
      </c>
      <c r="AQ355" s="51" t="s">
        <v>1554</v>
      </c>
      <c r="AR355" s="51" t="s">
        <v>1551</v>
      </c>
      <c r="AS355" s="49" t="str">
        <f t="shared" si="17"/>
        <v/>
      </c>
      <c r="AT355" s="49" t="str">
        <f t="shared" si="18"/>
        <v/>
      </c>
      <c r="AU355" s="49"/>
      <c r="AV355" s="49"/>
    </row>
    <row r="356" spans="1:48" ht="18" customHeight="1">
      <c r="A356" s="44">
        <v>354</v>
      </c>
      <c r="B356" s="71" t="s">
        <v>1076</v>
      </c>
      <c r="C356" s="54" t="s">
        <v>36</v>
      </c>
      <c r="D356" s="46" t="s">
        <v>116</v>
      </c>
      <c r="E356" s="44" t="s">
        <v>1555</v>
      </c>
      <c r="F356" s="44" t="s">
        <v>1556</v>
      </c>
      <c r="G356" s="44"/>
      <c r="H356" s="44"/>
      <c r="I356" s="44"/>
      <c r="J356" s="47" t="s">
        <v>35</v>
      </c>
      <c r="K356" s="47"/>
      <c r="L356" s="47"/>
      <c r="M356" s="47"/>
      <c r="N356" s="47"/>
      <c r="O356" s="44"/>
      <c r="P356" s="44"/>
      <c r="Q356" s="48">
        <f>VLOOKUP(E356,sheet1!$B$2:$D$3209,3,FALSE)</f>
        <v>216</v>
      </c>
      <c r="R356" s="47" t="s">
        <v>35</v>
      </c>
      <c r="S356" s="47" t="s">
        <v>35</v>
      </c>
      <c r="T356" s="47" t="s">
        <v>35</v>
      </c>
      <c r="U356" s="47" t="s">
        <v>296</v>
      </c>
      <c r="V356" s="47" t="s">
        <v>35</v>
      </c>
      <c r="W356" s="47" t="s">
        <v>35</v>
      </c>
      <c r="X356" s="47" t="s">
        <v>35</v>
      </c>
      <c r="Y356" s="47" t="s">
        <v>35</v>
      </c>
      <c r="Z356" s="47" t="s">
        <v>35</v>
      </c>
      <c r="AA356" s="47" t="s">
        <v>35</v>
      </c>
      <c r="AB356" s="47" t="s">
        <v>35</v>
      </c>
      <c r="AC356" s="47" t="s">
        <v>35</v>
      </c>
      <c r="AD356" s="63" t="str">
        <f>VLOOKUP(E356,sheet1!$B$2:$C$3209,2,FALSE)</f>
        <v>課別仕入予定一覧表出力指示</v>
      </c>
      <c r="AE356" s="49"/>
      <c r="AF356" s="51" t="s">
        <v>1557</v>
      </c>
      <c r="AG356" s="51" t="s">
        <v>1555</v>
      </c>
      <c r="AH356" s="49" t="str">
        <f t="shared" si="23"/>
        <v>部課別仕入予定一覧表</v>
      </c>
      <c r="AI356" s="49"/>
      <c r="AJ356" s="49"/>
      <c r="AK356" s="49"/>
      <c r="AL356" s="49" t="str">
        <f t="shared" si="24"/>
        <v/>
      </c>
      <c r="AM356" s="49"/>
      <c r="AN356" s="49"/>
      <c r="AO356" s="51" t="str">
        <f t="shared" si="21"/>
        <v>部課別仕入予定一覧表</v>
      </c>
      <c r="AP356" s="51" t="str">
        <f t="shared" si="22"/>
        <v>No.</v>
      </c>
      <c r="AQ356" s="51" t="s">
        <v>1558</v>
      </c>
      <c r="AR356" s="51" t="s">
        <v>257</v>
      </c>
      <c r="AS356" s="49" t="str">
        <f t="shared" si="17"/>
        <v/>
      </c>
      <c r="AT356" s="49" t="str">
        <f t="shared" si="18"/>
        <v/>
      </c>
      <c r="AU356" s="49"/>
      <c r="AV356" s="49"/>
    </row>
    <row r="357" spans="1:48" ht="18" customHeight="1">
      <c r="A357" s="44">
        <v>355</v>
      </c>
      <c r="B357" s="71" t="s">
        <v>1076</v>
      </c>
      <c r="C357" s="54" t="s">
        <v>36</v>
      </c>
      <c r="D357" s="46" t="s">
        <v>116</v>
      </c>
      <c r="E357" s="44" t="s">
        <v>1559</v>
      </c>
      <c r="F357" s="44" t="s">
        <v>1560</v>
      </c>
      <c r="G357" s="44"/>
      <c r="H357" s="44"/>
      <c r="I357" s="44"/>
      <c r="J357" s="47" t="s">
        <v>35</v>
      </c>
      <c r="K357" s="47"/>
      <c r="L357" s="47"/>
      <c r="M357" s="47"/>
      <c r="N357" s="47"/>
      <c r="O357" s="44"/>
      <c r="P357" s="44"/>
      <c r="Q357" s="48">
        <f>VLOOKUP(E357,sheet1!$B$2:$D$3209,3,FALSE)</f>
        <v>842</v>
      </c>
      <c r="R357" s="47" t="s">
        <v>35</v>
      </c>
      <c r="S357" s="47" t="s">
        <v>35</v>
      </c>
      <c r="T357" s="47" t="s">
        <v>35</v>
      </c>
      <c r="U357" s="47" t="s">
        <v>296</v>
      </c>
      <c r="V357" s="47" t="s">
        <v>35</v>
      </c>
      <c r="W357" s="47" t="s">
        <v>35</v>
      </c>
      <c r="X357" s="47" t="s">
        <v>35</v>
      </c>
      <c r="Y357" s="47" t="s">
        <v>35</v>
      </c>
      <c r="Z357" s="47" t="s">
        <v>35</v>
      </c>
      <c r="AA357" s="47" t="s">
        <v>35</v>
      </c>
      <c r="AB357" s="47" t="s">
        <v>35</v>
      </c>
      <c r="AC357" s="47" t="s">
        <v>35</v>
      </c>
      <c r="AD357" s="63" t="str">
        <f>VLOOKUP(E357,sheet1!$B$2:$C$3209,2,FALSE)</f>
        <v>納期督促状                                JCM</v>
      </c>
      <c r="AE357" s="49"/>
      <c r="AF357" s="51" t="s">
        <v>1561</v>
      </c>
      <c r="AG357" s="51" t="s">
        <v>1559</v>
      </c>
      <c r="AH357" s="49" t="str">
        <f t="shared" si="23"/>
        <v>納期確認書　印刷</v>
      </c>
      <c r="AI357" s="49"/>
      <c r="AJ357" s="49"/>
      <c r="AK357" s="49"/>
      <c r="AL357" s="49" t="str">
        <f t="shared" si="24"/>
        <v/>
      </c>
      <c r="AM357" s="49"/>
      <c r="AN357" s="49"/>
      <c r="AO357" s="51" t="str">
        <f t="shared" si="21"/>
        <v>納期確認書　印刷</v>
      </c>
      <c r="AP357" s="51" t="str">
        <f t="shared" si="22"/>
        <v>PD3660</v>
      </c>
      <c r="AQ357" s="51" t="s">
        <v>1561</v>
      </c>
      <c r="AR357" s="51" t="s">
        <v>1559</v>
      </c>
      <c r="AS357" s="49" t="str">
        <f t="shared" si="17"/>
        <v/>
      </c>
      <c r="AT357" s="49" t="str">
        <f t="shared" si="18"/>
        <v/>
      </c>
      <c r="AU357" s="49"/>
      <c r="AV357" s="49"/>
    </row>
    <row r="358" spans="1:48" ht="18" customHeight="1">
      <c r="A358" s="44">
        <v>356</v>
      </c>
      <c r="B358" s="71" t="s">
        <v>1076</v>
      </c>
      <c r="C358" s="54" t="s">
        <v>36</v>
      </c>
      <c r="D358" s="46" t="s">
        <v>116</v>
      </c>
      <c r="E358" s="44" t="s">
        <v>1562</v>
      </c>
      <c r="F358" s="44" t="s">
        <v>1563</v>
      </c>
      <c r="G358" s="44"/>
      <c r="H358" s="44"/>
      <c r="I358" s="44"/>
      <c r="J358" s="47" t="s">
        <v>35</v>
      </c>
      <c r="K358" s="47"/>
      <c r="L358" s="47"/>
      <c r="M358" s="47"/>
      <c r="N358" s="47"/>
      <c r="O358" s="44"/>
      <c r="P358" s="44"/>
      <c r="Q358" s="48">
        <f>VLOOKUP(E358,sheet1!$B$2:$D$3209,3,FALSE)</f>
        <v>371</v>
      </c>
      <c r="R358" s="47" t="s">
        <v>35</v>
      </c>
      <c r="S358" s="47" t="s">
        <v>35</v>
      </c>
      <c r="T358" s="47"/>
      <c r="U358" s="47" t="s">
        <v>296</v>
      </c>
      <c r="V358" s="47" t="s">
        <v>35</v>
      </c>
      <c r="W358" s="47" t="s">
        <v>35</v>
      </c>
      <c r="X358" s="47" t="s">
        <v>35</v>
      </c>
      <c r="Y358" s="47" t="s">
        <v>35</v>
      </c>
      <c r="Z358" s="47" t="s">
        <v>35</v>
      </c>
      <c r="AA358" s="47" t="s">
        <v>35</v>
      </c>
      <c r="AB358" s="47" t="s">
        <v>35</v>
      </c>
      <c r="AC358" s="47" t="s">
        <v>35</v>
      </c>
      <c r="AD358" s="63" t="str">
        <f>VLOOKUP(E358,sheet1!$B$2:$C$3209,2,FALSE)</f>
        <v>引当状況一覧表出力指示                     JCM</v>
      </c>
      <c r="AE358" s="49"/>
      <c r="AF358" s="51" t="s">
        <v>1564</v>
      </c>
      <c r="AG358" s="51" t="s">
        <v>1562</v>
      </c>
      <c r="AH358" s="49" t="str">
        <f t="shared" si="23"/>
        <v>担当者別引当状況一覧表</v>
      </c>
      <c r="AI358" s="49"/>
      <c r="AJ358" s="49"/>
      <c r="AK358" s="49"/>
      <c r="AL358" s="49" t="str">
        <f t="shared" si="24"/>
        <v/>
      </c>
      <c r="AM358" s="49"/>
      <c r="AN358" s="49"/>
      <c r="AO358" s="51" t="str">
        <f t="shared" si="21"/>
        <v>担当者別引当状況一覧表</v>
      </c>
      <c r="AP358" s="51" t="str">
        <f t="shared" si="22"/>
        <v>PD5270</v>
      </c>
      <c r="AQ358" s="51" t="s">
        <v>1564</v>
      </c>
      <c r="AR358" s="51" t="s">
        <v>1562</v>
      </c>
      <c r="AS358" s="49" t="str">
        <f t="shared" si="17"/>
        <v/>
      </c>
      <c r="AT358" s="49" t="str">
        <f t="shared" si="18"/>
        <v/>
      </c>
      <c r="AU358" s="49"/>
      <c r="AV358" s="49"/>
    </row>
    <row r="359" spans="1:48" ht="18" customHeight="1">
      <c r="A359" s="44">
        <v>357</v>
      </c>
      <c r="B359" s="71" t="s">
        <v>1076</v>
      </c>
      <c r="C359" s="54" t="s">
        <v>36</v>
      </c>
      <c r="D359" s="46" t="s">
        <v>116</v>
      </c>
      <c r="E359" s="44" t="s">
        <v>1565</v>
      </c>
      <c r="F359" s="44" t="s">
        <v>1566</v>
      </c>
      <c r="G359" s="44"/>
      <c r="H359" s="44"/>
      <c r="I359" s="44"/>
      <c r="J359" s="47" t="s">
        <v>35</v>
      </c>
      <c r="K359" s="47"/>
      <c r="L359" s="47"/>
      <c r="M359" s="47"/>
      <c r="N359" s="47"/>
      <c r="O359" s="44"/>
      <c r="P359" s="44"/>
      <c r="Q359" s="48">
        <f>VLOOKUP(E359,sheet1!$B$2:$D$3209,3,FALSE)</f>
        <v>733</v>
      </c>
      <c r="R359" s="47" t="s">
        <v>35</v>
      </c>
      <c r="S359" s="47" t="s">
        <v>296</v>
      </c>
      <c r="T359" s="47"/>
      <c r="U359" s="47" t="s">
        <v>296</v>
      </c>
      <c r="V359" s="47" t="s">
        <v>296</v>
      </c>
      <c r="W359" s="47" t="s">
        <v>296</v>
      </c>
      <c r="X359" s="47" t="s">
        <v>296</v>
      </c>
      <c r="Y359" s="47" t="s">
        <v>296</v>
      </c>
      <c r="Z359" s="47" t="s">
        <v>296</v>
      </c>
      <c r="AA359" s="47" t="s">
        <v>35</v>
      </c>
      <c r="AB359" s="47"/>
      <c r="AC359" s="47" t="s">
        <v>35</v>
      </c>
      <c r="AD359" s="63" t="str">
        <f>VLOOKUP(E359,sheet1!$B$2:$C$3209,2,FALSE)</f>
        <v>発注用タックシール発行               JCM</v>
      </c>
      <c r="AE359" s="49"/>
      <c r="AF359" s="51" t="s">
        <v>1567</v>
      </c>
      <c r="AG359" s="51" t="s">
        <v>1565</v>
      </c>
      <c r="AH359" s="49" t="str">
        <f t="shared" si="23"/>
        <v>発注用ﾀｯｸｼｰﾙ発行</v>
      </c>
      <c r="AI359" s="49"/>
      <c r="AJ359" s="49"/>
      <c r="AK359" s="49"/>
      <c r="AL359" s="49" t="str">
        <f t="shared" si="24"/>
        <v/>
      </c>
      <c r="AM359" s="49"/>
      <c r="AN359" s="49"/>
      <c r="AO359" s="51" t="str">
        <f t="shared" si="21"/>
        <v/>
      </c>
      <c r="AP359" s="51" t="str">
        <f t="shared" si="22"/>
        <v/>
      </c>
      <c r="AQ359" s="51"/>
      <c r="AR359" s="51"/>
      <c r="AS359" s="49" t="str">
        <f t="shared" si="17"/>
        <v/>
      </c>
      <c r="AT359" s="49" t="str">
        <f t="shared" si="18"/>
        <v/>
      </c>
      <c r="AU359" s="49"/>
      <c r="AV359" s="49"/>
    </row>
    <row r="360" spans="1:48" ht="18" customHeight="1">
      <c r="A360" s="44">
        <v>358</v>
      </c>
      <c r="B360" s="71" t="s">
        <v>1076</v>
      </c>
      <c r="C360" s="54" t="s">
        <v>36</v>
      </c>
      <c r="D360" s="46" t="s">
        <v>116</v>
      </c>
      <c r="E360" s="44" t="s">
        <v>1568</v>
      </c>
      <c r="F360" s="44" t="s">
        <v>1569</v>
      </c>
      <c r="G360" s="44"/>
      <c r="H360" s="44"/>
      <c r="I360" s="44"/>
      <c r="J360" s="47" t="s">
        <v>35</v>
      </c>
      <c r="K360" s="47"/>
      <c r="L360" s="47"/>
      <c r="M360" s="47"/>
      <c r="N360" s="47"/>
      <c r="O360" s="44"/>
      <c r="P360" s="44"/>
      <c r="Q360" s="48">
        <f>VLOOKUP(E360,sheet1!$B$2:$D$3209,3,FALSE)</f>
        <v>301</v>
      </c>
      <c r="R360" s="47" t="s">
        <v>35</v>
      </c>
      <c r="S360" s="47" t="s">
        <v>296</v>
      </c>
      <c r="T360" s="47"/>
      <c r="U360" s="47" t="s">
        <v>296</v>
      </c>
      <c r="V360" s="47" t="s">
        <v>296</v>
      </c>
      <c r="W360" s="47" t="s">
        <v>296</v>
      </c>
      <c r="X360" s="47" t="s">
        <v>296</v>
      </c>
      <c r="Y360" s="47" t="s">
        <v>296</v>
      </c>
      <c r="Z360" s="47" t="s">
        <v>296</v>
      </c>
      <c r="AA360" s="47" t="s">
        <v>35</v>
      </c>
      <c r="AB360" s="47"/>
      <c r="AC360" s="47" t="s">
        <v>35</v>
      </c>
      <c r="AD360" s="63" t="str">
        <f>VLOOKUP(E360,sheet1!$B$2:$C$3209,2,FALSE)</f>
        <v>発注単価見積書</v>
      </c>
      <c r="AE360" s="49"/>
      <c r="AF360" s="51" t="s">
        <v>1570</v>
      </c>
      <c r="AG360" s="51" t="s">
        <v>1568</v>
      </c>
      <c r="AH360" s="49" t="str">
        <f t="shared" si="23"/>
        <v>発注単価見積書　印刷</v>
      </c>
      <c r="AI360" s="49"/>
      <c r="AJ360" s="49"/>
      <c r="AK360" s="49"/>
      <c r="AL360" s="49" t="str">
        <f t="shared" si="24"/>
        <v/>
      </c>
      <c r="AM360" s="49"/>
      <c r="AN360" s="49"/>
      <c r="AO360" s="51" t="str">
        <f t="shared" si="21"/>
        <v/>
      </c>
      <c r="AP360" s="51" t="str">
        <f t="shared" si="22"/>
        <v/>
      </c>
      <c r="AQ360" s="51"/>
      <c r="AR360" s="51"/>
      <c r="AS360" s="49" t="str">
        <f t="shared" si="17"/>
        <v/>
      </c>
      <c r="AT360" s="49" t="str">
        <f t="shared" si="18"/>
        <v/>
      </c>
      <c r="AU360" s="49"/>
      <c r="AV360" s="49"/>
    </row>
    <row r="361" spans="1:48" ht="18" customHeight="1">
      <c r="A361" s="44">
        <v>359</v>
      </c>
      <c r="B361" s="71" t="s">
        <v>1076</v>
      </c>
      <c r="C361" s="45" t="s">
        <v>1571</v>
      </c>
      <c r="D361" s="46" t="s">
        <v>116</v>
      </c>
      <c r="E361" s="44" t="s">
        <v>1572</v>
      </c>
      <c r="F361" s="44" t="s">
        <v>1573</v>
      </c>
      <c r="G361" s="44"/>
      <c r="H361" s="44"/>
      <c r="I361" s="44"/>
      <c r="J361" s="47" t="s">
        <v>35</v>
      </c>
      <c r="K361" s="47"/>
      <c r="L361" s="47"/>
      <c r="M361" s="47"/>
      <c r="N361" s="47"/>
      <c r="O361" s="44"/>
      <c r="P361" s="44"/>
      <c r="Q361" s="48">
        <f>VLOOKUP(E361,sheet1!$B$2:$D$3209,3,FALSE)</f>
        <v>364</v>
      </c>
      <c r="R361" s="47" t="s">
        <v>35</v>
      </c>
      <c r="S361" s="47" t="s">
        <v>35</v>
      </c>
      <c r="T361" s="47" t="s">
        <v>35</v>
      </c>
      <c r="U361" s="47" t="s">
        <v>296</v>
      </c>
      <c r="V361" s="47" t="s">
        <v>35</v>
      </c>
      <c r="W361" s="47" t="s">
        <v>35</v>
      </c>
      <c r="X361" s="47" t="s">
        <v>35</v>
      </c>
      <c r="Y361" s="47" t="s">
        <v>35</v>
      </c>
      <c r="Z361" s="47" t="s">
        <v>35</v>
      </c>
      <c r="AA361" s="47" t="s">
        <v>296</v>
      </c>
      <c r="AB361" s="47" t="s">
        <v>35</v>
      </c>
      <c r="AC361" s="47" t="s">
        <v>35</v>
      </c>
      <c r="AD361" s="49" t="str">
        <f>VLOOKUP(E361,sheet1!$B$2:$C$3209,2,FALSE)</f>
        <v>受入入力(ﾊﾞｰｺｰﾄﾞ)</v>
      </c>
      <c r="AE361" s="49" t="s">
        <v>1574</v>
      </c>
      <c r="AF361" s="51" t="s">
        <v>1575</v>
      </c>
      <c r="AG361" s="51" t="s">
        <v>1572</v>
      </c>
      <c r="AH361" s="49" t="str">
        <f t="shared" si="23"/>
        <v>受入処理(ﾊﾞｰｺｰﾄﾞ)</v>
      </c>
      <c r="AI361" s="49"/>
      <c r="AJ361" s="49"/>
      <c r="AK361" s="49"/>
      <c r="AL361" s="49" t="str">
        <f t="shared" si="24"/>
        <v>受入処理(ﾊﾞｰｺｰﾄﾞ)</v>
      </c>
      <c r="AM361" s="49" t="s">
        <v>35</v>
      </c>
      <c r="AN361" s="49" t="s">
        <v>1573</v>
      </c>
      <c r="AO361" s="51" t="str">
        <f t="shared" si="21"/>
        <v>受入処理(ﾊﾞｰｺｰﾄﾞ)</v>
      </c>
      <c r="AP361" s="51" t="str">
        <f t="shared" si="22"/>
        <v>PD4000</v>
      </c>
      <c r="AQ361" s="51" t="s">
        <v>1575</v>
      </c>
      <c r="AR361" s="51" t="s">
        <v>1572</v>
      </c>
      <c r="AS361" s="49" t="str">
        <f t="shared" si="17"/>
        <v/>
      </c>
      <c r="AT361" s="49" t="str">
        <f t="shared" si="18"/>
        <v/>
      </c>
      <c r="AU361" s="49"/>
      <c r="AV361" s="49"/>
    </row>
    <row r="362" spans="1:48" ht="18" customHeight="1">
      <c r="A362" s="44">
        <v>360</v>
      </c>
      <c r="B362" s="71" t="s">
        <v>1076</v>
      </c>
      <c r="C362" s="52" t="s">
        <v>1571</v>
      </c>
      <c r="D362" s="46" t="s">
        <v>116</v>
      </c>
      <c r="E362" s="44" t="s">
        <v>1576</v>
      </c>
      <c r="F362" s="44" t="s">
        <v>1577</v>
      </c>
      <c r="G362" s="44"/>
      <c r="H362" s="44"/>
      <c r="I362" s="44"/>
      <c r="J362" s="47"/>
      <c r="K362" s="47"/>
      <c r="L362" s="47"/>
      <c r="M362" s="47"/>
      <c r="N362" s="47"/>
      <c r="O362" s="44"/>
      <c r="P362" s="44"/>
      <c r="Q362" s="48"/>
      <c r="R362" s="47"/>
      <c r="S362" s="47"/>
      <c r="T362" s="47"/>
      <c r="U362" s="47"/>
      <c r="V362" s="47"/>
      <c r="W362" s="47"/>
      <c r="X362" s="47"/>
      <c r="Y362" s="47"/>
      <c r="Z362" s="47"/>
      <c r="AA362" s="47" t="s">
        <v>35</v>
      </c>
      <c r="AB362" s="47"/>
      <c r="AC362" s="47"/>
      <c r="AD362" s="49" t="str">
        <f>VLOOKUP(E363,sheet1!$B$2:$C$3209,2,FALSE)</f>
        <v>受入入力</v>
      </c>
      <c r="AE362" s="49"/>
      <c r="AF362" s="51" t="s">
        <v>1578</v>
      </c>
      <c r="AG362" s="51" t="s">
        <v>1579</v>
      </c>
      <c r="AH362" s="49" t="str">
        <f t="shared" si="23"/>
        <v>受入処理</v>
      </c>
      <c r="AI362" s="49"/>
      <c r="AJ362" s="49"/>
      <c r="AK362" s="49"/>
      <c r="AL362" s="49" t="str">
        <f t="shared" si="24"/>
        <v>受入処理</v>
      </c>
      <c r="AM362" s="49" t="s">
        <v>35</v>
      </c>
      <c r="AN362" s="49" t="s">
        <v>1580</v>
      </c>
      <c r="AO362" s="51" t="str">
        <f t="shared" si="21"/>
        <v>受入処理</v>
      </c>
      <c r="AP362" s="51" t="str">
        <f t="shared" si="22"/>
        <v>PD4005</v>
      </c>
      <c r="AQ362" s="51" t="s">
        <v>1581</v>
      </c>
      <c r="AR362" s="51" t="s">
        <v>1579</v>
      </c>
      <c r="AS362" s="49" t="str">
        <f t="shared" si="17"/>
        <v/>
      </c>
      <c r="AT362" s="49" t="str">
        <f t="shared" si="18"/>
        <v/>
      </c>
      <c r="AU362" s="49"/>
      <c r="AV362" s="49"/>
    </row>
    <row r="363" spans="1:48" ht="18" customHeight="1">
      <c r="A363" s="44">
        <v>361</v>
      </c>
      <c r="B363" s="71" t="s">
        <v>1076</v>
      </c>
      <c r="C363" s="52" t="s">
        <v>1571</v>
      </c>
      <c r="D363" s="46" t="s">
        <v>116</v>
      </c>
      <c r="E363" s="44" t="s">
        <v>1579</v>
      </c>
      <c r="F363" s="44" t="s">
        <v>1582</v>
      </c>
      <c r="G363" s="44"/>
      <c r="H363" s="44"/>
      <c r="I363" s="44"/>
      <c r="J363" s="47" t="s">
        <v>35</v>
      </c>
      <c r="K363" s="47"/>
      <c r="L363" s="47"/>
      <c r="M363" s="47"/>
      <c r="N363" s="47"/>
      <c r="O363" s="44"/>
      <c r="P363" s="44"/>
      <c r="Q363" s="48">
        <f>VLOOKUP(E363,sheet1!$B$2:$D$3209,3,FALSE)</f>
        <v>463</v>
      </c>
      <c r="R363" s="47" t="s">
        <v>35</v>
      </c>
      <c r="S363" s="47" t="s">
        <v>35</v>
      </c>
      <c r="T363" s="47" t="s">
        <v>35</v>
      </c>
      <c r="U363" s="47" t="s">
        <v>296</v>
      </c>
      <c r="V363" s="47" t="s">
        <v>35</v>
      </c>
      <c r="W363" s="47" t="s">
        <v>35</v>
      </c>
      <c r="X363" s="47" t="s">
        <v>35</v>
      </c>
      <c r="Y363" s="47" t="s">
        <v>35</v>
      </c>
      <c r="Z363" s="47" t="s">
        <v>35</v>
      </c>
      <c r="AA363" s="47" t="s">
        <v>35</v>
      </c>
      <c r="AB363" s="47" t="s">
        <v>35</v>
      </c>
      <c r="AC363" s="47" t="s">
        <v>35</v>
      </c>
      <c r="AD363" s="49" t="str">
        <f>VLOOKUP(E364,sheet1!$B$2:$C$3209,2,FALSE)</f>
        <v>検収入力</v>
      </c>
      <c r="AE363" s="49"/>
      <c r="AF363" s="51" t="s">
        <v>1583</v>
      </c>
      <c r="AG363" s="51" t="s">
        <v>1584</v>
      </c>
      <c r="AH363" s="49" t="str">
        <f t="shared" si="23"/>
        <v>検収処理</v>
      </c>
      <c r="AI363" s="49"/>
      <c r="AJ363" s="49"/>
      <c r="AK363" s="49"/>
      <c r="AL363" s="49" t="str">
        <f t="shared" si="24"/>
        <v>検査状況リスト出力</v>
      </c>
      <c r="AM363" s="49" t="s">
        <v>35</v>
      </c>
      <c r="AN363" s="49" t="s">
        <v>1585</v>
      </c>
      <c r="AO363" s="51" t="str">
        <f t="shared" si="21"/>
        <v>検査状況リスト出力</v>
      </c>
      <c r="AP363" s="51" t="str">
        <f t="shared" si="22"/>
        <v>PD4040</v>
      </c>
      <c r="AQ363" s="51" t="s">
        <v>1586</v>
      </c>
      <c r="AR363" s="51" t="s">
        <v>1587</v>
      </c>
      <c r="AS363" s="49" t="str">
        <f t="shared" si="17"/>
        <v/>
      </c>
      <c r="AT363" s="49" t="str">
        <f t="shared" si="18"/>
        <v/>
      </c>
      <c r="AU363" s="49"/>
      <c r="AV363" s="49"/>
    </row>
    <row r="364" spans="1:48" ht="18" customHeight="1">
      <c r="A364" s="44">
        <v>362</v>
      </c>
      <c r="B364" s="71" t="s">
        <v>1076</v>
      </c>
      <c r="C364" s="52" t="s">
        <v>1571</v>
      </c>
      <c r="D364" s="46" t="s">
        <v>116</v>
      </c>
      <c r="E364" s="44" t="s">
        <v>1584</v>
      </c>
      <c r="F364" s="44" t="s">
        <v>1588</v>
      </c>
      <c r="G364" s="44"/>
      <c r="H364" s="44"/>
      <c r="I364" s="44"/>
      <c r="J364" s="47" t="s">
        <v>35</v>
      </c>
      <c r="K364" s="47"/>
      <c r="L364" s="47"/>
      <c r="M364" s="47"/>
      <c r="N364" s="47"/>
      <c r="O364" s="44"/>
      <c r="P364" s="44"/>
      <c r="Q364" s="48">
        <f>VLOOKUP(E364,sheet1!$B$2:$D$3209,3,FALSE)</f>
        <v>382</v>
      </c>
      <c r="R364" s="47" t="s">
        <v>35</v>
      </c>
      <c r="S364" s="47" t="s">
        <v>296</v>
      </c>
      <c r="T364" s="47"/>
      <c r="U364" s="47" t="s">
        <v>296</v>
      </c>
      <c r="V364" s="47" t="s">
        <v>296</v>
      </c>
      <c r="W364" s="47" t="s">
        <v>296</v>
      </c>
      <c r="X364" s="47" t="s">
        <v>296</v>
      </c>
      <c r="Y364" s="47" t="s">
        <v>296</v>
      </c>
      <c r="Z364" s="47" t="s">
        <v>296</v>
      </c>
      <c r="AA364" s="47" t="s">
        <v>296</v>
      </c>
      <c r="AB364" s="47"/>
      <c r="AC364" s="47" t="s">
        <v>35</v>
      </c>
      <c r="AD364" s="49" t="str">
        <f>VLOOKUP(E365,sheet1!$B$2:$C$3209,2,FALSE)</f>
        <v>検査状況リスト</v>
      </c>
      <c r="AE364" s="49"/>
      <c r="AF364" s="51" t="s">
        <v>1586</v>
      </c>
      <c r="AG364" s="51" t="s">
        <v>1587</v>
      </c>
      <c r="AH364" s="49" t="str">
        <f t="shared" si="23"/>
        <v>検査状況リスト出力</v>
      </c>
      <c r="AI364" s="49"/>
      <c r="AJ364" s="49"/>
      <c r="AK364" s="49"/>
      <c r="AL364" s="49" t="str">
        <f t="shared" si="24"/>
        <v>検査結果リスト出力</v>
      </c>
      <c r="AM364" s="49" t="s">
        <v>35</v>
      </c>
      <c r="AN364" s="49" t="s">
        <v>1589</v>
      </c>
      <c r="AO364" s="51" t="str">
        <f t="shared" si="21"/>
        <v>検査状況リスト出力</v>
      </c>
      <c r="AP364" s="51" t="str">
        <f t="shared" si="22"/>
        <v>PD4040</v>
      </c>
      <c r="AQ364" s="51" t="s">
        <v>1586</v>
      </c>
      <c r="AR364" s="51" t="s">
        <v>1587</v>
      </c>
      <c r="AS364" s="49" t="str">
        <f t="shared" si="17"/>
        <v/>
      </c>
      <c r="AT364" s="49" t="str">
        <f t="shared" si="18"/>
        <v/>
      </c>
      <c r="AU364" s="49"/>
      <c r="AV364" s="49"/>
    </row>
    <row r="365" spans="1:48" ht="18" customHeight="1">
      <c r="A365" s="44">
        <v>363</v>
      </c>
      <c r="B365" s="71" t="s">
        <v>1076</v>
      </c>
      <c r="C365" s="52" t="s">
        <v>1571</v>
      </c>
      <c r="D365" s="46" t="s">
        <v>116</v>
      </c>
      <c r="E365" s="44" t="s">
        <v>1587</v>
      </c>
      <c r="F365" s="44" t="s">
        <v>1585</v>
      </c>
      <c r="G365" s="44"/>
      <c r="H365" s="44"/>
      <c r="I365" s="44"/>
      <c r="J365" s="47" t="s">
        <v>35</v>
      </c>
      <c r="K365" s="47"/>
      <c r="L365" s="47"/>
      <c r="M365" s="47"/>
      <c r="N365" s="47"/>
      <c r="O365" s="44"/>
      <c r="P365" s="44"/>
      <c r="Q365" s="48">
        <f>VLOOKUP(E365,sheet1!$B$2:$D$3209,3,FALSE)</f>
        <v>609</v>
      </c>
      <c r="R365" s="47" t="s">
        <v>35</v>
      </c>
      <c r="S365" s="47" t="s">
        <v>35</v>
      </c>
      <c r="T365" s="47" t="s">
        <v>35</v>
      </c>
      <c r="U365" s="47" t="s">
        <v>296</v>
      </c>
      <c r="V365" s="47" t="s">
        <v>35</v>
      </c>
      <c r="W365" s="47" t="s">
        <v>35</v>
      </c>
      <c r="X365" s="47" t="s">
        <v>35</v>
      </c>
      <c r="Y365" s="47" t="s">
        <v>35</v>
      </c>
      <c r="Z365" s="47" t="s">
        <v>35</v>
      </c>
      <c r="AA365" s="47" t="s">
        <v>35</v>
      </c>
      <c r="AB365" s="47" t="s">
        <v>35</v>
      </c>
      <c r="AC365" s="47" t="s">
        <v>35</v>
      </c>
      <c r="AD365" s="49" t="str">
        <f>VLOOKUP(E366,sheet1!$B$2:$C$3209,2,FALSE)</f>
        <v>検査結果リスト</v>
      </c>
      <c r="AE365" s="49"/>
      <c r="AF365" s="51" t="s">
        <v>1590</v>
      </c>
      <c r="AG365" s="51" t="s">
        <v>1591</v>
      </c>
      <c r="AH365" s="49" t="str">
        <f t="shared" si="23"/>
        <v>検査結果リスト出力</v>
      </c>
      <c r="AI365" s="49"/>
      <c r="AJ365" s="49"/>
      <c r="AK365" s="49"/>
      <c r="AL365" s="49" t="str">
        <f t="shared" si="24"/>
        <v>返品処理</v>
      </c>
      <c r="AM365" s="49" t="s">
        <v>35</v>
      </c>
      <c r="AN365" s="49" t="s">
        <v>1592</v>
      </c>
      <c r="AO365" s="51" t="str">
        <f t="shared" si="21"/>
        <v>検査結果リスト出力</v>
      </c>
      <c r="AP365" s="51" t="str">
        <f t="shared" si="22"/>
        <v>PD4050</v>
      </c>
      <c r="AQ365" s="51" t="s">
        <v>1590</v>
      </c>
      <c r="AR365" s="51" t="s">
        <v>1591</v>
      </c>
      <c r="AS365" s="49" t="str">
        <f t="shared" si="17"/>
        <v/>
      </c>
      <c r="AT365" s="49" t="str">
        <f t="shared" si="18"/>
        <v/>
      </c>
      <c r="AU365" s="49"/>
      <c r="AV365" s="49"/>
    </row>
    <row r="366" spans="1:48" ht="18" customHeight="1">
      <c r="A366" s="44">
        <v>364</v>
      </c>
      <c r="B366" s="71" t="s">
        <v>1076</v>
      </c>
      <c r="C366" s="52" t="s">
        <v>1571</v>
      </c>
      <c r="D366" s="46" t="s">
        <v>116</v>
      </c>
      <c r="E366" s="44" t="s">
        <v>1591</v>
      </c>
      <c r="F366" s="44" t="s">
        <v>1589</v>
      </c>
      <c r="G366" s="44"/>
      <c r="H366" s="44"/>
      <c r="I366" s="44"/>
      <c r="J366" s="47" t="s">
        <v>35</v>
      </c>
      <c r="K366" s="47"/>
      <c r="L366" s="47"/>
      <c r="M366" s="47"/>
      <c r="N366" s="47"/>
      <c r="O366" s="44"/>
      <c r="P366" s="44"/>
      <c r="Q366" s="48">
        <f>VLOOKUP(E366,sheet1!$B$2:$D$3209,3,FALSE)</f>
        <v>616</v>
      </c>
      <c r="R366" s="47" t="s">
        <v>35</v>
      </c>
      <c r="S366" s="47" t="s">
        <v>35</v>
      </c>
      <c r="T366" s="47" t="s">
        <v>35</v>
      </c>
      <c r="U366" s="47" t="s">
        <v>296</v>
      </c>
      <c r="V366" s="47" t="s">
        <v>35</v>
      </c>
      <c r="W366" s="47" t="s">
        <v>35</v>
      </c>
      <c r="X366" s="47" t="s">
        <v>35</v>
      </c>
      <c r="Y366" s="47" t="s">
        <v>35</v>
      </c>
      <c r="Z366" s="47" t="s">
        <v>35</v>
      </c>
      <c r="AA366" s="47" t="s">
        <v>35</v>
      </c>
      <c r="AB366" s="47" t="s">
        <v>35</v>
      </c>
      <c r="AC366" s="47" t="s">
        <v>35</v>
      </c>
      <c r="AD366" s="49" t="str">
        <f>VLOOKUP(E367,sheet1!$B$2:$C$3209,2,FALSE)</f>
        <v>返品入力</v>
      </c>
      <c r="AE366" s="49"/>
      <c r="AF366" s="51" t="s">
        <v>1593</v>
      </c>
      <c r="AG366" s="51" t="s">
        <v>1594</v>
      </c>
      <c r="AH366" s="49" t="str">
        <f t="shared" si="23"/>
        <v>返品処理</v>
      </c>
      <c r="AI366" s="49"/>
      <c r="AJ366" s="49"/>
      <c r="AK366" s="49"/>
      <c r="AL366" s="49" t="str">
        <f t="shared" si="24"/>
        <v>経費仕入入力</v>
      </c>
      <c r="AM366" s="49" t="s">
        <v>35</v>
      </c>
      <c r="AN366" s="49" t="s">
        <v>1595</v>
      </c>
      <c r="AO366" s="51" t="str">
        <f t="shared" si="21"/>
        <v>返品処理</v>
      </c>
      <c r="AP366" s="51" t="str">
        <f t="shared" si="22"/>
        <v>PD4110</v>
      </c>
      <c r="AQ366" s="51" t="s">
        <v>1596</v>
      </c>
      <c r="AR366" s="51" t="s">
        <v>1594</v>
      </c>
      <c r="AS366" s="49" t="str">
        <f t="shared" si="17"/>
        <v/>
      </c>
      <c r="AT366" s="49" t="str">
        <f t="shared" si="18"/>
        <v/>
      </c>
      <c r="AU366" s="49"/>
      <c r="AV366" s="49"/>
    </row>
    <row r="367" spans="1:48" ht="18" customHeight="1">
      <c r="A367" s="44">
        <v>365</v>
      </c>
      <c r="B367" s="71" t="s">
        <v>1076</v>
      </c>
      <c r="C367" s="52" t="s">
        <v>1571</v>
      </c>
      <c r="D367" s="46" t="s">
        <v>116</v>
      </c>
      <c r="E367" s="44" t="s">
        <v>1594</v>
      </c>
      <c r="F367" s="44" t="s">
        <v>1597</v>
      </c>
      <c r="G367" s="44"/>
      <c r="H367" s="44"/>
      <c r="I367" s="44"/>
      <c r="J367" s="47" t="s">
        <v>35</v>
      </c>
      <c r="K367" s="47"/>
      <c r="L367" s="47"/>
      <c r="M367" s="47"/>
      <c r="N367" s="47"/>
      <c r="O367" s="44"/>
      <c r="P367" s="44"/>
      <c r="Q367" s="48">
        <f>VLOOKUP(E367,sheet1!$B$2:$D$3209,3,FALSE)</f>
        <v>3333</v>
      </c>
      <c r="R367" s="47" t="s">
        <v>35</v>
      </c>
      <c r="S367" s="47" t="s">
        <v>35</v>
      </c>
      <c r="T367" s="47" t="s">
        <v>35</v>
      </c>
      <c r="U367" s="47" t="s">
        <v>296</v>
      </c>
      <c r="V367" s="47" t="s">
        <v>35</v>
      </c>
      <c r="W367" s="47" t="s">
        <v>35</v>
      </c>
      <c r="X367" s="47" t="s">
        <v>35</v>
      </c>
      <c r="Y367" s="47" t="s">
        <v>35</v>
      </c>
      <c r="Z367" s="47" t="s">
        <v>35</v>
      </c>
      <c r="AA367" s="47" t="s">
        <v>35</v>
      </c>
      <c r="AB367" s="47" t="s">
        <v>35</v>
      </c>
      <c r="AC367" s="47" t="s">
        <v>35</v>
      </c>
      <c r="AD367" s="49" t="str">
        <f>VLOOKUP(E368,sheet1!$B$2:$C$3209,2,FALSE)</f>
        <v>修繕受入入力</v>
      </c>
      <c r="AE367" s="49"/>
      <c r="AF367" s="51" t="s">
        <v>1598</v>
      </c>
      <c r="AG367" s="51" t="s">
        <v>1599</v>
      </c>
      <c r="AH367" s="49" t="str">
        <f t="shared" si="23"/>
        <v>修繕受入入力</v>
      </c>
      <c r="AI367" s="49"/>
      <c r="AJ367" s="49"/>
      <c r="AK367" s="49"/>
      <c r="AL367" s="49" t="str">
        <f t="shared" si="24"/>
        <v>タックシール受入用</v>
      </c>
      <c r="AM367" s="49" t="s">
        <v>35</v>
      </c>
      <c r="AN367" s="49" t="s">
        <v>1600</v>
      </c>
      <c r="AO367" s="51" t="str">
        <f t="shared" si="21"/>
        <v>修繕受入入力</v>
      </c>
      <c r="AP367" s="51" t="str">
        <f t="shared" si="22"/>
        <v>PD4030</v>
      </c>
      <c r="AQ367" s="51" t="s">
        <v>1601</v>
      </c>
      <c r="AR367" s="51" t="s">
        <v>1599</v>
      </c>
      <c r="AS367" s="49" t="str">
        <f t="shared" si="17"/>
        <v/>
      </c>
      <c r="AT367" s="49" t="str">
        <f t="shared" si="18"/>
        <v/>
      </c>
      <c r="AU367" s="49"/>
      <c r="AV367" s="49"/>
    </row>
    <row r="368" spans="1:48" ht="18" customHeight="1">
      <c r="A368" s="44">
        <v>366</v>
      </c>
      <c r="B368" s="71" t="s">
        <v>1076</v>
      </c>
      <c r="C368" s="52" t="s">
        <v>1571</v>
      </c>
      <c r="D368" s="46" t="s">
        <v>116</v>
      </c>
      <c r="E368" s="44" t="s">
        <v>1599</v>
      </c>
      <c r="F368" s="44" t="s">
        <v>1602</v>
      </c>
      <c r="G368" s="44"/>
      <c r="H368" s="44"/>
      <c r="I368" s="44"/>
      <c r="J368" s="47" t="s">
        <v>35</v>
      </c>
      <c r="K368" s="47"/>
      <c r="L368" s="47"/>
      <c r="M368" s="47"/>
      <c r="N368" s="47"/>
      <c r="O368" s="44"/>
      <c r="P368" s="44"/>
      <c r="Q368" s="48">
        <f>VLOOKUP(E368,sheet1!$B$2:$D$3209,3,FALSE)</f>
        <v>3842</v>
      </c>
      <c r="R368" s="47" t="s">
        <v>35</v>
      </c>
      <c r="S368" s="47" t="s">
        <v>35</v>
      </c>
      <c r="T368" s="47" t="s">
        <v>35</v>
      </c>
      <c r="U368" s="47" t="s">
        <v>296</v>
      </c>
      <c r="V368" s="47" t="s">
        <v>35</v>
      </c>
      <c r="W368" s="47" t="s">
        <v>35</v>
      </c>
      <c r="X368" s="47" t="s">
        <v>35</v>
      </c>
      <c r="Y368" s="47" t="s">
        <v>35</v>
      </c>
      <c r="Z368" s="47" t="s">
        <v>35</v>
      </c>
      <c r="AA368" s="47" t="s">
        <v>35</v>
      </c>
      <c r="AB368" s="47" t="s">
        <v>35</v>
      </c>
      <c r="AC368" s="47" t="s">
        <v>35</v>
      </c>
      <c r="AD368" s="49" t="str">
        <f>VLOOKUP(E369,sheet1!$B$2:$C$3209,2,FALSE)</f>
        <v>経費仕入入力</v>
      </c>
      <c r="AE368" s="49"/>
      <c r="AF368" s="51" t="s">
        <v>1603</v>
      </c>
      <c r="AG368" s="51" t="s">
        <v>1604</v>
      </c>
      <c r="AH368" s="49" t="str">
        <f t="shared" si="23"/>
        <v>経費仕入入力</v>
      </c>
      <c r="AI368" s="49"/>
      <c r="AJ368" s="49"/>
      <c r="AK368" s="49"/>
      <c r="AL368" s="49" t="str">
        <f t="shared" si="24"/>
        <v>返品伝票発行</v>
      </c>
      <c r="AM368" s="49" t="s">
        <v>35</v>
      </c>
      <c r="AN368" s="49" t="s">
        <v>1605</v>
      </c>
      <c r="AO368" s="51" t="str">
        <f t="shared" si="21"/>
        <v>経費仕入入力</v>
      </c>
      <c r="AP368" s="51" t="str">
        <f t="shared" si="22"/>
        <v>PD4390</v>
      </c>
      <c r="AQ368" s="51" t="s">
        <v>1606</v>
      </c>
      <c r="AR368" s="51" t="s">
        <v>1604</v>
      </c>
      <c r="AS368" s="49" t="str">
        <f t="shared" si="17"/>
        <v/>
      </c>
      <c r="AT368" s="49" t="str">
        <f t="shared" si="18"/>
        <v/>
      </c>
      <c r="AU368" s="49"/>
      <c r="AV368" s="49"/>
    </row>
    <row r="369" spans="1:48" ht="18" customHeight="1">
      <c r="A369" s="44">
        <v>367</v>
      </c>
      <c r="B369" s="71" t="s">
        <v>1076</v>
      </c>
      <c r="C369" s="52" t="s">
        <v>1571</v>
      </c>
      <c r="D369" s="46" t="s">
        <v>116</v>
      </c>
      <c r="E369" s="44" t="s">
        <v>1604</v>
      </c>
      <c r="F369" s="44" t="s">
        <v>1607</v>
      </c>
      <c r="G369" s="44"/>
      <c r="H369" s="44"/>
      <c r="I369" s="44"/>
      <c r="J369" s="47" t="s">
        <v>35</v>
      </c>
      <c r="K369" s="47"/>
      <c r="L369" s="47"/>
      <c r="M369" s="47"/>
      <c r="N369" s="47"/>
      <c r="O369" s="44"/>
      <c r="P369" s="44"/>
      <c r="Q369" s="48">
        <f>VLOOKUP(E369,sheet1!$B$2:$D$3209,3,FALSE)</f>
        <v>1179</v>
      </c>
      <c r="R369" s="47" t="s">
        <v>35</v>
      </c>
      <c r="S369" s="47" t="s">
        <v>35</v>
      </c>
      <c r="T369" s="47" t="s">
        <v>35</v>
      </c>
      <c r="U369" s="47" t="s">
        <v>296</v>
      </c>
      <c r="V369" s="47" t="s">
        <v>35</v>
      </c>
      <c r="W369" s="47" t="s">
        <v>35</v>
      </c>
      <c r="X369" s="47" t="s">
        <v>35</v>
      </c>
      <c r="Y369" s="47" t="s">
        <v>35</v>
      </c>
      <c r="Z369" s="47" t="s">
        <v>35</v>
      </c>
      <c r="AA369" s="47" t="s">
        <v>35</v>
      </c>
      <c r="AB369" s="47" t="s">
        <v>35</v>
      </c>
      <c r="AC369" s="47" t="s">
        <v>35</v>
      </c>
      <c r="AD369" s="49" t="str">
        <f>VLOOKUP(E370,sheet1!$B$2:$C$3209,2,FALSE)</f>
        <v>タックシールＡ作成</v>
      </c>
      <c r="AE369" s="49"/>
      <c r="AF369" s="51" t="s">
        <v>1608</v>
      </c>
      <c r="AG369" s="51" t="s">
        <v>1609</v>
      </c>
      <c r="AH369" s="49" t="str">
        <f t="shared" si="23"/>
        <v>タックシール受入用</v>
      </c>
      <c r="AI369" s="49"/>
      <c r="AJ369" s="49"/>
      <c r="AK369" s="49"/>
      <c r="AL369" s="49" t="str">
        <f t="shared" si="24"/>
        <v>購入品受入日報</v>
      </c>
      <c r="AM369" s="49" t="s">
        <v>35</v>
      </c>
      <c r="AN369" s="49" t="s">
        <v>1610</v>
      </c>
      <c r="AO369" s="51" t="str">
        <f t="shared" si="21"/>
        <v>タックシール受入用</v>
      </c>
      <c r="AP369" s="51" t="str">
        <f t="shared" si="22"/>
        <v>PD4100</v>
      </c>
      <c r="AQ369" s="51" t="s">
        <v>1608</v>
      </c>
      <c r="AR369" s="51" t="s">
        <v>1609</v>
      </c>
      <c r="AS369" s="49" t="str">
        <f t="shared" si="17"/>
        <v/>
      </c>
      <c r="AT369" s="49" t="str">
        <f t="shared" si="18"/>
        <v/>
      </c>
      <c r="AU369" s="49"/>
      <c r="AV369" s="49"/>
    </row>
    <row r="370" spans="1:48" ht="18" customHeight="1">
      <c r="A370" s="44">
        <v>368</v>
      </c>
      <c r="B370" s="71" t="s">
        <v>1076</v>
      </c>
      <c r="C370" s="52" t="s">
        <v>1571</v>
      </c>
      <c r="D370" s="46" t="s">
        <v>116</v>
      </c>
      <c r="E370" s="44" t="s">
        <v>1609</v>
      </c>
      <c r="F370" s="44" t="s">
        <v>1600</v>
      </c>
      <c r="G370" s="44"/>
      <c r="H370" s="44"/>
      <c r="I370" s="44"/>
      <c r="J370" s="47" t="s">
        <v>35</v>
      </c>
      <c r="K370" s="47"/>
      <c r="L370" s="47"/>
      <c r="M370" s="47"/>
      <c r="N370" s="47"/>
      <c r="O370" s="44"/>
      <c r="P370" s="44"/>
      <c r="Q370" s="48">
        <f>VLOOKUP(E370,sheet1!$B$2:$D$3209,3,FALSE)</f>
        <v>386</v>
      </c>
      <c r="R370" s="47" t="s">
        <v>35</v>
      </c>
      <c r="S370" s="47" t="s">
        <v>35</v>
      </c>
      <c r="T370" s="47" t="s">
        <v>35</v>
      </c>
      <c r="U370" s="47" t="s">
        <v>296</v>
      </c>
      <c r="V370" s="47" t="s">
        <v>35</v>
      </c>
      <c r="W370" s="47" t="s">
        <v>35</v>
      </c>
      <c r="X370" s="47" t="s">
        <v>35</v>
      </c>
      <c r="Y370" s="47" t="s">
        <v>35</v>
      </c>
      <c r="Z370" s="47" t="s">
        <v>35</v>
      </c>
      <c r="AA370" s="47" t="s">
        <v>296</v>
      </c>
      <c r="AB370" s="47" t="s">
        <v>35</v>
      </c>
      <c r="AC370" s="47" t="s">
        <v>35</v>
      </c>
      <c r="AD370" s="49" t="str">
        <f>VLOOKUP(E371,sheet1!$B$2:$C$3209,2,FALSE)</f>
        <v>作業報告入力</v>
      </c>
      <c r="AE370" s="49"/>
      <c r="AF370" s="51" t="s">
        <v>1611</v>
      </c>
      <c r="AG370" s="51" t="s">
        <v>1612</v>
      </c>
      <c r="AH370" s="49" t="str">
        <f t="shared" si="23"/>
        <v>社内作業報告</v>
      </c>
      <c r="AI370" s="49"/>
      <c r="AJ370" s="49"/>
      <c r="AK370" s="49"/>
      <c r="AL370" s="49" t="str">
        <f t="shared" si="24"/>
        <v>外作品受入日報</v>
      </c>
      <c r="AM370" s="49" t="s">
        <v>35</v>
      </c>
      <c r="AN370" s="49" t="s">
        <v>1613</v>
      </c>
      <c r="AO370" s="51" t="str">
        <f t="shared" si="21"/>
        <v/>
      </c>
      <c r="AP370" s="51" t="str">
        <f t="shared" si="22"/>
        <v/>
      </c>
      <c r="AQ370" s="51"/>
      <c r="AR370" s="51"/>
      <c r="AS370" s="49" t="str">
        <f t="shared" si="17"/>
        <v/>
      </c>
      <c r="AT370" s="49" t="str">
        <f t="shared" si="18"/>
        <v/>
      </c>
      <c r="AU370" s="49"/>
      <c r="AV370" s="49"/>
    </row>
    <row r="371" spans="1:48" ht="18" customHeight="1">
      <c r="A371" s="44">
        <v>369</v>
      </c>
      <c r="B371" s="71" t="s">
        <v>1076</v>
      </c>
      <c r="C371" s="52" t="s">
        <v>1571</v>
      </c>
      <c r="D371" s="46" t="s">
        <v>116</v>
      </c>
      <c r="E371" s="44" t="s">
        <v>1612</v>
      </c>
      <c r="F371" s="44" t="s">
        <v>1614</v>
      </c>
      <c r="G371" s="44"/>
      <c r="H371" s="44"/>
      <c r="I371" s="44"/>
      <c r="J371" s="47" t="s">
        <v>35</v>
      </c>
      <c r="K371" s="47"/>
      <c r="L371" s="47"/>
      <c r="M371" s="47"/>
      <c r="N371" s="47"/>
      <c r="O371" s="44"/>
      <c r="P371" s="44"/>
      <c r="Q371" s="48">
        <f>VLOOKUP(E371,sheet1!$B$2:$D$3209,3,FALSE)</f>
        <v>1431</v>
      </c>
      <c r="R371" s="47" t="s">
        <v>35</v>
      </c>
      <c r="S371" s="47" t="s">
        <v>296</v>
      </c>
      <c r="T371" s="47"/>
      <c r="U371" s="47" t="s">
        <v>296</v>
      </c>
      <c r="V371" s="47" t="s">
        <v>296</v>
      </c>
      <c r="W371" s="47" t="s">
        <v>296</v>
      </c>
      <c r="X371" s="47" t="s">
        <v>296</v>
      </c>
      <c r="Y371" s="47" t="s">
        <v>296</v>
      </c>
      <c r="Z371" s="47" t="s">
        <v>296</v>
      </c>
      <c r="AA371" s="47" t="s">
        <v>35</v>
      </c>
      <c r="AB371" s="47"/>
      <c r="AC371" s="47" t="s">
        <v>35</v>
      </c>
      <c r="AD371" s="49" t="str">
        <f>VLOOKUP(E372,sheet1!$B$2:$C$3209,2,FALSE)</f>
        <v>完成入力（シリアル№）</v>
      </c>
      <c r="AE371" s="49"/>
      <c r="AF371" s="51" t="s">
        <v>1615</v>
      </c>
      <c r="AG371" s="51" t="s">
        <v>1616</v>
      </c>
      <c r="AH371" s="49" t="str">
        <f t="shared" si="23"/>
        <v>完成品入力(ｼﾘｱﾙNO)</v>
      </c>
      <c r="AI371" s="49"/>
      <c r="AJ371" s="49"/>
      <c r="AK371" s="49"/>
      <c r="AL371" s="49" t="str">
        <f t="shared" si="24"/>
        <v>社内作業日報</v>
      </c>
      <c r="AM371" s="49" t="s">
        <v>35</v>
      </c>
      <c r="AN371" s="49" t="s">
        <v>1617</v>
      </c>
      <c r="AO371" s="51" t="str">
        <f t="shared" si="21"/>
        <v/>
      </c>
      <c r="AP371" s="51" t="str">
        <f t="shared" si="22"/>
        <v/>
      </c>
      <c r="AQ371" s="51"/>
      <c r="AR371" s="51"/>
      <c r="AS371" s="49" t="str">
        <f t="shared" si="17"/>
        <v/>
      </c>
      <c r="AT371" s="49" t="str">
        <f t="shared" si="18"/>
        <v/>
      </c>
      <c r="AU371" s="49"/>
      <c r="AV371" s="49"/>
    </row>
    <row r="372" spans="1:48" ht="18" customHeight="1">
      <c r="A372" s="44">
        <v>370</v>
      </c>
      <c r="B372" s="71" t="s">
        <v>1076</v>
      </c>
      <c r="C372" s="52" t="s">
        <v>1571</v>
      </c>
      <c r="D372" s="46" t="s">
        <v>116</v>
      </c>
      <c r="E372" s="44" t="s">
        <v>1616</v>
      </c>
      <c r="F372" s="44" t="s">
        <v>1618</v>
      </c>
      <c r="G372" s="44"/>
      <c r="H372" s="44"/>
      <c r="I372" s="44"/>
      <c r="J372" s="47" t="s">
        <v>35</v>
      </c>
      <c r="K372" s="47"/>
      <c r="L372" s="47"/>
      <c r="M372" s="47"/>
      <c r="N372" s="47"/>
      <c r="O372" s="44"/>
      <c r="P372" s="44"/>
      <c r="Q372" s="48">
        <f>VLOOKUP(E372,sheet1!$B$2:$D$3209,3,FALSE)</f>
        <v>3417</v>
      </c>
      <c r="R372" s="47" t="s">
        <v>35</v>
      </c>
      <c r="S372" s="47" t="s">
        <v>296</v>
      </c>
      <c r="T372" s="47"/>
      <c r="U372" s="47" t="s">
        <v>296</v>
      </c>
      <c r="V372" s="47" t="s">
        <v>296</v>
      </c>
      <c r="W372" s="47" t="s">
        <v>296</v>
      </c>
      <c r="X372" s="47" t="s">
        <v>296</v>
      </c>
      <c r="Y372" s="47" t="s">
        <v>296</v>
      </c>
      <c r="Z372" s="47" t="s">
        <v>296</v>
      </c>
      <c r="AA372" s="47" t="s">
        <v>296</v>
      </c>
      <c r="AB372" s="47"/>
      <c r="AC372" s="47" t="s">
        <v>35</v>
      </c>
      <c r="AD372" s="49" t="str">
        <f>VLOOKUP(E373,sheet1!$B$2:$C$3209,2,FALSE)</f>
        <v>作業日報入力</v>
      </c>
      <c r="AE372" s="49"/>
      <c r="AF372" s="51" t="s">
        <v>1619</v>
      </c>
      <c r="AG372" s="51" t="s">
        <v>1620</v>
      </c>
      <c r="AH372" s="49" t="str">
        <f t="shared" si="23"/>
        <v>社内作業日報入力</v>
      </c>
      <c r="AI372" s="49"/>
      <c r="AJ372" s="49"/>
      <c r="AK372" s="49"/>
      <c r="AL372" s="49" t="str">
        <f t="shared" si="24"/>
        <v>作業日報一覧表</v>
      </c>
      <c r="AM372" s="49" t="s">
        <v>35</v>
      </c>
      <c r="AN372" s="49" t="s">
        <v>1621</v>
      </c>
      <c r="AO372" s="51" t="str">
        <f t="shared" si="21"/>
        <v/>
      </c>
      <c r="AP372" s="51" t="str">
        <f t="shared" si="22"/>
        <v/>
      </c>
      <c r="AQ372" s="51"/>
      <c r="AR372" s="51"/>
      <c r="AS372" s="49" t="str">
        <f t="shared" si="17"/>
        <v/>
      </c>
      <c r="AT372" s="49" t="str">
        <f t="shared" si="18"/>
        <v/>
      </c>
      <c r="AU372" s="49"/>
      <c r="AV372" s="49"/>
    </row>
    <row r="373" spans="1:48" ht="18" customHeight="1">
      <c r="A373" s="44">
        <v>371</v>
      </c>
      <c r="B373" s="71" t="s">
        <v>1076</v>
      </c>
      <c r="C373" s="52" t="s">
        <v>1571</v>
      </c>
      <c r="D373" s="46" t="s">
        <v>116</v>
      </c>
      <c r="E373" s="44" t="s">
        <v>1620</v>
      </c>
      <c r="F373" s="44" t="s">
        <v>1622</v>
      </c>
      <c r="G373" s="44"/>
      <c r="H373" s="44"/>
      <c r="I373" s="44"/>
      <c r="J373" s="47" t="s">
        <v>35</v>
      </c>
      <c r="K373" s="47"/>
      <c r="L373" s="47"/>
      <c r="M373" s="47"/>
      <c r="N373" s="47"/>
      <c r="O373" s="44"/>
      <c r="P373" s="44"/>
      <c r="Q373" s="48">
        <f>VLOOKUP(E373,sheet1!$B$2:$D$3209,3,FALSE)</f>
        <v>1149</v>
      </c>
      <c r="R373" s="47" t="s">
        <v>35</v>
      </c>
      <c r="S373" s="47" t="s">
        <v>296</v>
      </c>
      <c r="T373" s="47"/>
      <c r="U373" s="47" t="s">
        <v>296</v>
      </c>
      <c r="V373" s="47" t="s">
        <v>296</v>
      </c>
      <c r="W373" s="47" t="s">
        <v>296</v>
      </c>
      <c r="X373" s="47" t="s">
        <v>296</v>
      </c>
      <c r="Y373" s="47" t="s">
        <v>296</v>
      </c>
      <c r="Z373" s="47" t="s">
        <v>296</v>
      </c>
      <c r="AA373" s="47" t="s">
        <v>296</v>
      </c>
      <c r="AB373" s="47"/>
      <c r="AC373" s="47" t="s">
        <v>35</v>
      </c>
      <c r="AD373" s="49" t="str">
        <f>VLOOKUP(E374,sheet1!$B$2:$C$3209,2,FALSE)</f>
        <v>返品伝票発行指示</v>
      </c>
      <c r="AE373" s="49"/>
      <c r="AF373" s="51" t="s">
        <v>1623</v>
      </c>
      <c r="AG373" s="51" t="s">
        <v>1624</v>
      </c>
      <c r="AH373" s="49" t="str">
        <f t="shared" si="23"/>
        <v>返品伝票発行</v>
      </c>
      <c r="AI373" s="49"/>
      <c r="AJ373" s="49"/>
      <c r="AK373" s="49">
        <v>1</v>
      </c>
      <c r="AL373" s="49" t="str">
        <f t="shared" si="24"/>
        <v>作業報告書（時間）</v>
      </c>
      <c r="AM373" s="49" t="s">
        <v>35</v>
      </c>
      <c r="AN373" s="49" t="s">
        <v>1625</v>
      </c>
      <c r="AO373" s="51" t="str">
        <f t="shared" si="21"/>
        <v>返品伝票発行</v>
      </c>
      <c r="AP373" s="51" t="str">
        <f t="shared" si="22"/>
        <v>PD4120</v>
      </c>
      <c r="AQ373" s="51" t="s">
        <v>1626</v>
      </c>
      <c r="AR373" s="51" t="s">
        <v>1624</v>
      </c>
      <c r="AS373" s="49" t="str">
        <f t="shared" si="17"/>
        <v/>
      </c>
      <c r="AT373" s="49" t="str">
        <f t="shared" si="18"/>
        <v/>
      </c>
      <c r="AU373" s="49"/>
      <c r="AV373" s="49"/>
    </row>
    <row r="374" spans="1:48" ht="18" customHeight="1">
      <c r="A374" s="44">
        <v>372</v>
      </c>
      <c r="B374" s="71" t="s">
        <v>1076</v>
      </c>
      <c r="C374" s="52" t="s">
        <v>1571</v>
      </c>
      <c r="D374" s="46" t="s">
        <v>116</v>
      </c>
      <c r="E374" s="44" t="s">
        <v>1624</v>
      </c>
      <c r="F374" s="44" t="s">
        <v>1627</v>
      </c>
      <c r="G374" s="44"/>
      <c r="H374" s="44"/>
      <c r="I374" s="44"/>
      <c r="J374" s="47" t="s">
        <v>35</v>
      </c>
      <c r="K374" s="47"/>
      <c r="L374" s="47"/>
      <c r="M374" s="47"/>
      <c r="N374" s="47"/>
      <c r="O374" s="44"/>
      <c r="P374" s="44"/>
      <c r="Q374" s="48">
        <f>VLOOKUP(E374,sheet1!$B$2:$D$3209,3,FALSE)</f>
        <v>159</v>
      </c>
      <c r="R374" s="47" t="s">
        <v>35</v>
      </c>
      <c r="S374" s="47" t="s">
        <v>35</v>
      </c>
      <c r="T374" s="47" t="s">
        <v>35</v>
      </c>
      <c r="U374" s="47" t="s">
        <v>296</v>
      </c>
      <c r="V374" s="47" t="s">
        <v>35</v>
      </c>
      <c r="W374" s="47" t="s">
        <v>35</v>
      </c>
      <c r="X374" s="47" t="s">
        <v>35</v>
      </c>
      <c r="Y374" s="47" t="s">
        <v>35</v>
      </c>
      <c r="Z374" s="47" t="s">
        <v>35</v>
      </c>
      <c r="AA374" s="47" t="s">
        <v>35</v>
      </c>
      <c r="AB374" s="47" t="s">
        <v>35</v>
      </c>
      <c r="AC374" s="47" t="s">
        <v>35</v>
      </c>
      <c r="AD374" s="49" t="str">
        <f>VLOOKUP(E375,sheet1!$B$2:$C$3209,2,FALSE)</f>
        <v>購買受入日報</v>
      </c>
      <c r="AE374" s="49"/>
      <c r="AF374" s="51" t="s">
        <v>1628</v>
      </c>
      <c r="AG374" s="51" t="s">
        <v>1629</v>
      </c>
      <c r="AH374" s="49" t="str">
        <f t="shared" si="23"/>
        <v>購入品受入日報</v>
      </c>
      <c r="AI374" s="49"/>
      <c r="AJ374" s="49"/>
      <c r="AK374" s="49"/>
      <c r="AL374" s="49" t="str">
        <f t="shared" si="24"/>
        <v>作業報告書（数量）</v>
      </c>
      <c r="AM374" s="49" t="s">
        <v>35</v>
      </c>
      <c r="AN374" s="49" t="s">
        <v>1630</v>
      </c>
      <c r="AO374" s="51" t="str">
        <f t="shared" si="21"/>
        <v>購入品受入日報</v>
      </c>
      <c r="AP374" s="51" t="str">
        <f t="shared" si="22"/>
        <v>PD4170</v>
      </c>
      <c r="AQ374" s="51" t="s">
        <v>1631</v>
      </c>
      <c r="AR374" s="51" t="s">
        <v>1629</v>
      </c>
      <c r="AS374" s="49" t="str">
        <f t="shared" si="17"/>
        <v/>
      </c>
      <c r="AT374" s="49" t="str">
        <f t="shared" si="18"/>
        <v/>
      </c>
      <c r="AU374" s="49"/>
      <c r="AV374" s="49"/>
    </row>
    <row r="375" spans="1:48" ht="18" customHeight="1">
      <c r="A375" s="44">
        <v>373</v>
      </c>
      <c r="B375" s="71" t="s">
        <v>1076</v>
      </c>
      <c r="C375" s="52" t="s">
        <v>1571</v>
      </c>
      <c r="D375" s="46" t="s">
        <v>116</v>
      </c>
      <c r="E375" s="44" t="s">
        <v>1629</v>
      </c>
      <c r="F375" s="44" t="s">
        <v>1632</v>
      </c>
      <c r="G375" s="44"/>
      <c r="H375" s="44"/>
      <c r="I375" s="44"/>
      <c r="J375" s="47" t="s">
        <v>35</v>
      </c>
      <c r="K375" s="47"/>
      <c r="L375" s="47"/>
      <c r="M375" s="47"/>
      <c r="N375" s="47"/>
      <c r="O375" s="44"/>
      <c r="P375" s="44"/>
      <c r="Q375" s="48">
        <f>VLOOKUP(E375,sheet1!$B$2:$D$3209,3,FALSE)</f>
        <v>585</v>
      </c>
      <c r="R375" s="47" t="s">
        <v>35</v>
      </c>
      <c r="S375" s="47" t="s">
        <v>35</v>
      </c>
      <c r="T375" s="47" t="s">
        <v>35</v>
      </c>
      <c r="U375" s="47" t="s">
        <v>296</v>
      </c>
      <c r="V375" s="47" t="s">
        <v>35</v>
      </c>
      <c r="W375" s="47" t="s">
        <v>35</v>
      </c>
      <c r="X375" s="47" t="s">
        <v>35</v>
      </c>
      <c r="Y375" s="47" t="s">
        <v>35</v>
      </c>
      <c r="Z375" s="47" t="s">
        <v>35</v>
      </c>
      <c r="AA375" s="47" t="s">
        <v>35</v>
      </c>
      <c r="AB375" s="47" t="s">
        <v>35</v>
      </c>
      <c r="AC375" s="47" t="s">
        <v>35</v>
      </c>
      <c r="AD375" s="49" t="str">
        <f>VLOOKUP(E376,sheet1!$B$2:$C$3209,2,FALSE)</f>
        <v>外注受入日報</v>
      </c>
      <c r="AE375" s="49"/>
      <c r="AF375" s="51" t="s">
        <v>1633</v>
      </c>
      <c r="AG375" s="51" t="s">
        <v>1634</v>
      </c>
      <c r="AH375" s="49" t="str">
        <f t="shared" si="23"/>
        <v>外作品受入日報</v>
      </c>
      <c r="AI375" s="49"/>
      <c r="AJ375" s="49"/>
      <c r="AK375" s="49"/>
      <c r="AL375" s="49" t="str">
        <f t="shared" si="24"/>
        <v>経費返品入力</v>
      </c>
      <c r="AM375" s="49" t="s">
        <v>35</v>
      </c>
      <c r="AN375" s="49" t="s">
        <v>1635</v>
      </c>
      <c r="AO375" s="51" t="str">
        <f t="shared" si="21"/>
        <v>外作品受入日報</v>
      </c>
      <c r="AP375" s="51" t="str">
        <f t="shared" si="22"/>
        <v>PD4180</v>
      </c>
      <c r="AQ375" s="51" t="s">
        <v>1636</v>
      </c>
      <c r="AR375" s="51" t="s">
        <v>1634</v>
      </c>
      <c r="AS375" s="49" t="str">
        <f t="shared" si="17"/>
        <v/>
      </c>
      <c r="AT375" s="49" t="str">
        <f t="shared" si="18"/>
        <v/>
      </c>
      <c r="AU375" s="49"/>
      <c r="AV375" s="49"/>
    </row>
    <row r="376" spans="1:48" ht="18" customHeight="1">
      <c r="A376" s="44">
        <v>374</v>
      </c>
      <c r="B376" s="71" t="s">
        <v>1076</v>
      </c>
      <c r="C376" s="52" t="s">
        <v>1571</v>
      </c>
      <c r="D376" s="46" t="s">
        <v>116</v>
      </c>
      <c r="E376" s="44" t="s">
        <v>1634</v>
      </c>
      <c r="F376" s="44" t="s">
        <v>1637</v>
      </c>
      <c r="G376" s="44"/>
      <c r="H376" s="44"/>
      <c r="I376" s="44"/>
      <c r="J376" s="47" t="s">
        <v>35</v>
      </c>
      <c r="K376" s="47"/>
      <c r="L376" s="47"/>
      <c r="M376" s="47"/>
      <c r="N376" s="47"/>
      <c r="O376" s="44"/>
      <c r="P376" s="44"/>
      <c r="Q376" s="48">
        <f>VLOOKUP(E376,sheet1!$B$2:$D$3209,3,FALSE)</f>
        <v>663</v>
      </c>
      <c r="R376" s="47" t="s">
        <v>35</v>
      </c>
      <c r="S376" s="47" t="s">
        <v>35</v>
      </c>
      <c r="T376" s="47" t="s">
        <v>35</v>
      </c>
      <c r="U376" s="47" t="s">
        <v>296</v>
      </c>
      <c r="V376" s="47" t="s">
        <v>35</v>
      </c>
      <c r="W376" s="47" t="s">
        <v>35</v>
      </c>
      <c r="X376" s="47" t="s">
        <v>35</v>
      </c>
      <c r="Y376" s="47" t="s">
        <v>35</v>
      </c>
      <c r="Z376" s="47" t="s">
        <v>35</v>
      </c>
      <c r="AA376" s="47" t="s">
        <v>35</v>
      </c>
      <c r="AB376" s="47" t="s">
        <v>35</v>
      </c>
      <c r="AC376" s="47" t="s">
        <v>35</v>
      </c>
      <c r="AD376" s="49" t="str">
        <f>VLOOKUP(E377,sheet1!$B$2:$C$3209,2,FALSE)</f>
        <v>社内作業実績日報</v>
      </c>
      <c r="AE376" s="49"/>
      <c r="AF376" s="51" t="s">
        <v>1638</v>
      </c>
      <c r="AG376" s="51" t="s">
        <v>1639</v>
      </c>
      <c r="AH376" s="49" t="str">
        <f t="shared" si="23"/>
        <v>社内作業日報</v>
      </c>
      <c r="AI376" s="49"/>
      <c r="AJ376" s="49"/>
      <c r="AK376" s="49"/>
      <c r="AL376" s="49" t="str">
        <f t="shared" si="24"/>
        <v>在庫管理対象外返品入力</v>
      </c>
      <c r="AM376" s="49" t="s">
        <v>35</v>
      </c>
      <c r="AN376" s="49" t="s">
        <v>1640</v>
      </c>
      <c r="AO376" s="51" t="str">
        <f t="shared" si="21"/>
        <v>社内作業日報</v>
      </c>
      <c r="AP376" s="51" t="str">
        <f t="shared" si="22"/>
        <v>PD4160</v>
      </c>
      <c r="AQ376" s="51" t="s">
        <v>1641</v>
      </c>
      <c r="AR376" s="51" t="s">
        <v>1639</v>
      </c>
      <c r="AS376" s="49" t="str">
        <f t="shared" si="17"/>
        <v/>
      </c>
      <c r="AT376" s="49" t="str">
        <f t="shared" si="18"/>
        <v/>
      </c>
      <c r="AU376" s="49"/>
      <c r="AV376" s="49"/>
    </row>
    <row r="377" spans="1:48" ht="18" customHeight="1">
      <c r="A377" s="44">
        <v>375</v>
      </c>
      <c r="B377" s="71" t="s">
        <v>1076</v>
      </c>
      <c r="C377" s="52" t="s">
        <v>1571</v>
      </c>
      <c r="D377" s="53" t="s">
        <v>116</v>
      </c>
      <c r="E377" s="44" t="s">
        <v>1639</v>
      </c>
      <c r="F377" s="44" t="s">
        <v>1642</v>
      </c>
      <c r="G377" s="44"/>
      <c r="H377" s="44"/>
      <c r="I377" s="44"/>
      <c r="J377" s="47" t="s">
        <v>35</v>
      </c>
      <c r="K377" s="47"/>
      <c r="L377" s="47"/>
      <c r="M377" s="47"/>
      <c r="N377" s="47"/>
      <c r="O377" s="44"/>
      <c r="P377" s="44"/>
      <c r="Q377" s="48">
        <f>VLOOKUP(E377,sheet1!$B$2:$D$3209,3,FALSE)</f>
        <v>739</v>
      </c>
      <c r="R377" s="47" t="s">
        <v>35</v>
      </c>
      <c r="S377" s="47" t="s">
        <v>35</v>
      </c>
      <c r="T377" s="47" t="s">
        <v>35</v>
      </c>
      <c r="U377" s="47" t="s">
        <v>296</v>
      </c>
      <c r="V377" s="47" t="s">
        <v>35</v>
      </c>
      <c r="W377" s="47" t="s">
        <v>35</v>
      </c>
      <c r="X377" s="47" t="s">
        <v>35</v>
      </c>
      <c r="Y377" s="47" t="s">
        <v>35</v>
      </c>
      <c r="Z377" s="47" t="s">
        <v>35</v>
      </c>
      <c r="AA377" s="47" t="s">
        <v>35</v>
      </c>
      <c r="AB377" s="47" t="s">
        <v>35</v>
      </c>
      <c r="AC377" s="47" t="s">
        <v>35</v>
      </c>
      <c r="AD377" s="49"/>
      <c r="AE377" s="49"/>
      <c r="AF377" s="51" t="s">
        <v>1643</v>
      </c>
      <c r="AG377" s="72"/>
      <c r="AH377" s="49" t="str">
        <f t="shared" si="23"/>
        <v>作業工数管理ﾒﾆｭｰ (MENU33)</v>
      </c>
      <c r="AI377" s="49"/>
      <c r="AJ377" s="49"/>
      <c r="AK377" s="49"/>
      <c r="AL377" s="49" t="str">
        <f t="shared" si="24"/>
        <v>辰美受入ロットNo.対比表</v>
      </c>
      <c r="AM377" s="49" t="s">
        <v>35</v>
      </c>
      <c r="AN377" s="49" t="s">
        <v>1644</v>
      </c>
      <c r="AO377" s="51" t="str">
        <f t="shared" si="21"/>
        <v>作業日報一覧表</v>
      </c>
      <c r="AP377" s="51" t="str">
        <f t="shared" si="22"/>
        <v>PD4200</v>
      </c>
      <c r="AQ377" s="51" t="s">
        <v>1645</v>
      </c>
      <c r="AR377" s="51" t="s">
        <v>1646</v>
      </c>
      <c r="AS377" s="49" t="str">
        <f t="shared" si="17"/>
        <v/>
      </c>
      <c r="AT377" s="49" t="str">
        <f t="shared" si="18"/>
        <v/>
      </c>
      <c r="AU377" s="49"/>
      <c r="AV377" s="49"/>
    </row>
    <row r="378" spans="1:48" ht="18" customHeight="1">
      <c r="A378" s="44">
        <v>376</v>
      </c>
      <c r="B378" s="71" t="s">
        <v>1076</v>
      </c>
      <c r="C378" s="52" t="s">
        <v>1571</v>
      </c>
      <c r="D378" s="45" t="s">
        <v>1647</v>
      </c>
      <c r="E378" s="73" t="s">
        <v>1646</v>
      </c>
      <c r="F378" s="44" t="s">
        <v>1648</v>
      </c>
      <c r="G378" s="44"/>
      <c r="H378" s="44"/>
      <c r="I378" s="44"/>
      <c r="J378" s="47" t="s">
        <v>35</v>
      </c>
      <c r="K378" s="47"/>
      <c r="L378" s="47"/>
      <c r="M378" s="47"/>
      <c r="N378" s="47"/>
      <c r="O378" s="44"/>
      <c r="P378" s="44"/>
      <c r="Q378" s="48">
        <f>VLOOKUP(E378,sheet1!$B$2:$D$3209,3,FALSE)</f>
        <v>563</v>
      </c>
      <c r="R378" s="47" t="s">
        <v>35</v>
      </c>
      <c r="S378" s="47" t="s">
        <v>35</v>
      </c>
      <c r="T378" s="47" t="s">
        <v>35</v>
      </c>
      <c r="U378" s="47" t="s">
        <v>296</v>
      </c>
      <c r="V378" s="47" t="s">
        <v>35</v>
      </c>
      <c r="W378" s="47" t="s">
        <v>35</v>
      </c>
      <c r="X378" s="47" t="s">
        <v>35</v>
      </c>
      <c r="Y378" s="47" t="s">
        <v>35</v>
      </c>
      <c r="Z378" s="47" t="s">
        <v>35</v>
      </c>
      <c r="AA378" s="47" t="s">
        <v>35</v>
      </c>
      <c r="AB378" s="47" t="s">
        <v>35</v>
      </c>
      <c r="AC378" s="47" t="s">
        <v>35</v>
      </c>
      <c r="AD378" s="49"/>
      <c r="AE378" s="49"/>
      <c r="AF378" s="51"/>
      <c r="AG378" s="51"/>
      <c r="AH378" s="49" t="str">
        <f t="shared" si="23"/>
        <v/>
      </c>
      <c r="AI378" s="49"/>
      <c r="AJ378" s="49"/>
      <c r="AK378" s="49"/>
      <c r="AL378" s="49" t="str">
        <f t="shared" si="24"/>
        <v>タックシール支給用</v>
      </c>
      <c r="AM378" s="49" t="s">
        <v>35</v>
      </c>
      <c r="AN378" s="49" t="s">
        <v>1649</v>
      </c>
      <c r="AO378" s="51" t="str">
        <f t="shared" si="21"/>
        <v>作業報告書（時間）</v>
      </c>
      <c r="AP378" s="51" t="str">
        <f t="shared" si="22"/>
        <v>PD4210</v>
      </c>
      <c r="AQ378" s="51" t="s">
        <v>1650</v>
      </c>
      <c r="AR378" s="51" t="s">
        <v>1651</v>
      </c>
      <c r="AS378" s="49" t="str">
        <f t="shared" si="17"/>
        <v/>
      </c>
      <c r="AT378" s="49" t="str">
        <f t="shared" si="18"/>
        <v/>
      </c>
      <c r="AU378" s="49"/>
      <c r="AV378" s="49"/>
    </row>
    <row r="379" spans="1:48" ht="18" customHeight="1">
      <c r="A379" s="44">
        <v>377</v>
      </c>
      <c r="B379" s="71" t="s">
        <v>1076</v>
      </c>
      <c r="C379" s="52" t="s">
        <v>1571</v>
      </c>
      <c r="D379" s="52" t="s">
        <v>1647</v>
      </c>
      <c r="E379" s="73" t="s">
        <v>1651</v>
      </c>
      <c r="F379" s="44" t="s">
        <v>1625</v>
      </c>
      <c r="G379" s="44"/>
      <c r="H379" s="44"/>
      <c r="I379" s="44"/>
      <c r="J379" s="47" t="s">
        <v>35</v>
      </c>
      <c r="K379" s="47"/>
      <c r="L379" s="47"/>
      <c r="M379" s="47"/>
      <c r="N379" s="47"/>
      <c r="O379" s="44"/>
      <c r="P379" s="44"/>
      <c r="Q379" s="48">
        <f>VLOOKUP(E379,sheet1!$B$2:$D$3209,3,FALSE)</f>
        <v>748</v>
      </c>
      <c r="R379" s="47" t="s">
        <v>35</v>
      </c>
      <c r="S379" s="47" t="s">
        <v>35</v>
      </c>
      <c r="T379" s="47" t="s">
        <v>35</v>
      </c>
      <c r="U379" s="47" t="s">
        <v>296</v>
      </c>
      <c r="V379" s="47" t="s">
        <v>35</v>
      </c>
      <c r="W379" s="47" t="s">
        <v>35</v>
      </c>
      <c r="X379" s="47" t="s">
        <v>35</v>
      </c>
      <c r="Y379" s="47" t="s">
        <v>35</v>
      </c>
      <c r="Z379" s="47" t="s">
        <v>35</v>
      </c>
      <c r="AA379" s="47" t="s">
        <v>35</v>
      </c>
      <c r="AB379" s="47" t="s">
        <v>35</v>
      </c>
      <c r="AC379" s="47" t="s">
        <v>35</v>
      </c>
      <c r="AD379" s="49"/>
      <c r="AE379" s="49"/>
      <c r="AF379" s="51"/>
      <c r="AG379" s="51"/>
      <c r="AH379" s="49" t="str">
        <f t="shared" si="23"/>
        <v/>
      </c>
      <c r="AI379" s="49"/>
      <c r="AJ379" s="49"/>
      <c r="AK379" s="49"/>
      <c r="AL379" s="49" t="str">
        <f t="shared" si="24"/>
        <v>タックシール支給用再発行</v>
      </c>
      <c r="AM379" s="49" t="s">
        <v>35</v>
      </c>
      <c r="AN379" s="49" t="s">
        <v>1652</v>
      </c>
      <c r="AO379" s="51" t="str">
        <f t="shared" si="21"/>
        <v>作業報告書（数量）</v>
      </c>
      <c r="AP379" s="51" t="str">
        <f t="shared" si="22"/>
        <v>PD4220</v>
      </c>
      <c r="AQ379" s="51" t="s">
        <v>1653</v>
      </c>
      <c r="AR379" s="51" t="s">
        <v>1654</v>
      </c>
      <c r="AS379" s="49" t="str">
        <f t="shared" si="17"/>
        <v/>
      </c>
      <c r="AT379" s="49" t="str">
        <f t="shared" si="18"/>
        <v/>
      </c>
      <c r="AU379" s="49"/>
      <c r="AV379" s="49"/>
    </row>
    <row r="380" spans="1:48" ht="18" customHeight="1">
      <c r="A380" s="44">
        <v>378</v>
      </c>
      <c r="B380" s="71" t="s">
        <v>1076</v>
      </c>
      <c r="C380" s="52" t="s">
        <v>1571</v>
      </c>
      <c r="D380" s="52" t="s">
        <v>1647</v>
      </c>
      <c r="E380" s="73" t="s">
        <v>1654</v>
      </c>
      <c r="F380" s="44" t="s">
        <v>1630</v>
      </c>
      <c r="G380" s="44"/>
      <c r="H380" s="44"/>
      <c r="I380" s="44"/>
      <c r="J380" s="47" t="s">
        <v>35</v>
      </c>
      <c r="K380" s="47"/>
      <c r="L380" s="47"/>
      <c r="M380" s="47"/>
      <c r="N380" s="47"/>
      <c r="O380" s="44"/>
      <c r="P380" s="44"/>
      <c r="Q380" s="48">
        <f>VLOOKUP(E380,sheet1!$B$2:$D$3209,3,FALSE)</f>
        <v>318</v>
      </c>
      <c r="R380" s="47" t="s">
        <v>35</v>
      </c>
      <c r="S380" s="47" t="s">
        <v>35</v>
      </c>
      <c r="T380" s="47" t="s">
        <v>35</v>
      </c>
      <c r="U380" s="47" t="s">
        <v>296</v>
      </c>
      <c r="V380" s="47" t="s">
        <v>35</v>
      </c>
      <c r="W380" s="47" t="s">
        <v>35</v>
      </c>
      <c r="X380" s="47" t="s">
        <v>35</v>
      </c>
      <c r="Y380" s="47" t="s">
        <v>35</v>
      </c>
      <c r="Z380" s="47" t="s">
        <v>35</v>
      </c>
      <c r="AA380" s="47" t="s">
        <v>35</v>
      </c>
      <c r="AB380" s="47" t="s">
        <v>35</v>
      </c>
      <c r="AC380" s="47" t="s">
        <v>35</v>
      </c>
      <c r="AD380" s="49"/>
      <c r="AE380" s="49"/>
      <c r="AF380" s="51"/>
      <c r="AG380" s="51"/>
      <c r="AH380" s="49" t="str">
        <f t="shared" si="23"/>
        <v/>
      </c>
      <c r="AI380" s="49"/>
      <c r="AJ380" s="49"/>
      <c r="AK380" s="49"/>
      <c r="AL380" s="49" t="str">
        <f t="shared" si="24"/>
        <v>支給用ﾀｯｸｼｰﾙ再出力</v>
      </c>
      <c r="AM380" s="49" t="s">
        <v>35</v>
      </c>
      <c r="AN380" s="49" t="s">
        <v>1655</v>
      </c>
      <c r="AO380" s="51" t="str">
        <f t="shared" si="21"/>
        <v/>
      </c>
      <c r="AP380" s="51" t="str">
        <f t="shared" si="22"/>
        <v/>
      </c>
      <c r="AQ380" s="51"/>
      <c r="AR380" s="51"/>
      <c r="AS380" s="49" t="str">
        <f t="shared" si="17"/>
        <v/>
      </c>
      <c r="AT380" s="49" t="str">
        <f t="shared" si="18"/>
        <v/>
      </c>
      <c r="AU380" s="49"/>
      <c r="AV380" s="49"/>
    </row>
    <row r="381" spans="1:48" ht="18" customHeight="1">
      <c r="A381" s="44">
        <v>379</v>
      </c>
      <c r="B381" s="71" t="s">
        <v>1076</v>
      </c>
      <c r="C381" s="52" t="s">
        <v>1571</v>
      </c>
      <c r="D381" s="52" t="s">
        <v>1647</v>
      </c>
      <c r="E381" s="73" t="s">
        <v>1656</v>
      </c>
      <c r="F381" s="44" t="s">
        <v>1657</v>
      </c>
      <c r="G381" s="44"/>
      <c r="H381" s="44"/>
      <c r="I381" s="44"/>
      <c r="J381" s="47" t="s">
        <v>35</v>
      </c>
      <c r="K381" s="47"/>
      <c r="L381" s="47"/>
      <c r="M381" s="47"/>
      <c r="N381" s="47"/>
      <c r="O381" s="44"/>
      <c r="P381" s="44"/>
      <c r="Q381" s="48">
        <f>VLOOKUP(E381,sheet1!$B$2:$D$3209,3,FALSE)</f>
        <v>1086</v>
      </c>
      <c r="R381" s="47" t="s">
        <v>35</v>
      </c>
      <c r="S381" s="47" t="s">
        <v>296</v>
      </c>
      <c r="T381" s="47"/>
      <c r="U381" s="47" t="s">
        <v>296</v>
      </c>
      <c r="V381" s="47" t="s">
        <v>296</v>
      </c>
      <c r="W381" s="47" t="s">
        <v>296</v>
      </c>
      <c r="X381" s="47" t="s">
        <v>296</v>
      </c>
      <c r="Y381" s="47" t="s">
        <v>296</v>
      </c>
      <c r="Z381" s="47" t="s">
        <v>296</v>
      </c>
      <c r="AA381" s="47" t="s">
        <v>296</v>
      </c>
      <c r="AB381" s="47"/>
      <c r="AC381" s="47" t="s">
        <v>35</v>
      </c>
      <c r="AD381" s="49"/>
      <c r="AE381" s="49"/>
      <c r="AF381" s="51"/>
      <c r="AG381" s="51"/>
      <c r="AH381" s="49" t="str">
        <f t="shared" si="23"/>
        <v/>
      </c>
      <c r="AI381" s="49"/>
      <c r="AJ381" s="49"/>
      <c r="AK381" s="49"/>
      <c r="AL381" s="49" t="str">
        <f t="shared" si="24"/>
        <v>キッティング支給前リスト</v>
      </c>
      <c r="AM381" s="49" t="s">
        <v>35</v>
      </c>
      <c r="AN381" s="49" t="s">
        <v>1658</v>
      </c>
      <c r="AO381" s="51" t="str">
        <f t="shared" si="21"/>
        <v/>
      </c>
      <c r="AP381" s="51" t="str">
        <f t="shared" si="22"/>
        <v/>
      </c>
      <c r="AQ381" s="51"/>
      <c r="AR381" s="51"/>
      <c r="AS381" s="49" t="str">
        <f t="shared" si="17"/>
        <v/>
      </c>
      <c r="AT381" s="49" t="str">
        <f t="shared" si="18"/>
        <v/>
      </c>
      <c r="AU381" s="49"/>
      <c r="AV381" s="49"/>
    </row>
    <row r="382" spans="1:48" ht="18" customHeight="1">
      <c r="A382" s="44">
        <v>380</v>
      </c>
      <c r="B382" s="71" t="s">
        <v>1076</v>
      </c>
      <c r="C382" s="52" t="s">
        <v>1571</v>
      </c>
      <c r="D382" s="52" t="s">
        <v>1647</v>
      </c>
      <c r="E382" s="73" t="s">
        <v>1659</v>
      </c>
      <c r="F382" s="44" t="s">
        <v>1660</v>
      </c>
      <c r="G382" s="44"/>
      <c r="H382" s="44"/>
      <c r="I382" s="44"/>
      <c r="J382" s="47" t="s">
        <v>35</v>
      </c>
      <c r="K382" s="47"/>
      <c r="L382" s="47"/>
      <c r="M382" s="47"/>
      <c r="N382" s="47"/>
      <c r="O382" s="44"/>
      <c r="P382" s="44"/>
      <c r="Q382" s="48">
        <f>VLOOKUP(E382,sheet1!$B$2:$D$3209,3,FALSE)</f>
        <v>592</v>
      </c>
      <c r="R382" s="47" t="s">
        <v>35</v>
      </c>
      <c r="S382" s="47" t="s">
        <v>296</v>
      </c>
      <c r="T382" s="47"/>
      <c r="U382" s="47" t="s">
        <v>296</v>
      </c>
      <c r="V382" s="47" t="s">
        <v>296</v>
      </c>
      <c r="W382" s="47" t="s">
        <v>296</v>
      </c>
      <c r="X382" s="47" t="s">
        <v>296</v>
      </c>
      <c r="Y382" s="47" t="s">
        <v>296</v>
      </c>
      <c r="Z382" s="47" t="s">
        <v>296</v>
      </c>
      <c r="AA382" s="47" t="s">
        <v>296</v>
      </c>
      <c r="AB382" s="47"/>
      <c r="AC382" s="47" t="s">
        <v>35</v>
      </c>
      <c r="AD382" s="49" t="str">
        <f>VLOOKUP(E383,sheet1!$B$2:$C$3209,2,FALSE)</f>
        <v>期別生産台数・工数報告書</v>
      </c>
      <c r="AE382" s="49"/>
      <c r="AF382" s="51"/>
      <c r="AG382" s="51"/>
      <c r="AH382" s="49" t="str">
        <f t="shared" si="23"/>
        <v/>
      </c>
      <c r="AI382" s="49"/>
      <c r="AJ382" s="49"/>
      <c r="AK382" s="49"/>
      <c r="AL382" s="49"/>
      <c r="AM382" s="49"/>
      <c r="AN382" s="49"/>
      <c r="AO382" s="51" t="str">
        <f t="shared" si="21"/>
        <v/>
      </c>
      <c r="AP382" s="51" t="str">
        <f t="shared" si="22"/>
        <v/>
      </c>
      <c r="AQ382" s="51"/>
      <c r="AR382" s="51"/>
      <c r="AS382" s="49" t="str">
        <f t="shared" si="17"/>
        <v/>
      </c>
      <c r="AT382" s="49" t="str">
        <f t="shared" si="18"/>
        <v/>
      </c>
      <c r="AU382" s="49"/>
      <c r="AV382" s="49"/>
    </row>
    <row r="383" spans="1:48" ht="18" customHeight="1">
      <c r="A383" s="44">
        <v>381</v>
      </c>
      <c r="B383" s="71" t="s">
        <v>1076</v>
      </c>
      <c r="C383" s="52" t="s">
        <v>1571</v>
      </c>
      <c r="D383" s="52" t="s">
        <v>1647</v>
      </c>
      <c r="E383" s="73" t="s">
        <v>1661</v>
      </c>
      <c r="F383" s="44" t="s">
        <v>1662</v>
      </c>
      <c r="G383" s="44"/>
      <c r="H383" s="44"/>
      <c r="I383" s="44"/>
      <c r="J383" s="47" t="s">
        <v>35</v>
      </c>
      <c r="K383" s="47"/>
      <c r="L383" s="47"/>
      <c r="M383" s="47"/>
      <c r="N383" s="47"/>
      <c r="O383" s="44"/>
      <c r="P383" s="44"/>
      <c r="Q383" s="48">
        <f>VLOOKUP(E383,sheet1!$B$2:$D$3209,3,FALSE)</f>
        <v>868</v>
      </c>
      <c r="R383" s="47" t="s">
        <v>35</v>
      </c>
      <c r="S383" s="47" t="s">
        <v>296</v>
      </c>
      <c r="T383" s="47"/>
      <c r="U383" s="47" t="s">
        <v>296</v>
      </c>
      <c r="V383" s="47" t="s">
        <v>296</v>
      </c>
      <c r="W383" s="47" t="s">
        <v>296</v>
      </c>
      <c r="X383" s="47" t="s">
        <v>296</v>
      </c>
      <c r="Y383" s="47" t="s">
        <v>296</v>
      </c>
      <c r="Z383" s="47" t="s">
        <v>296</v>
      </c>
      <c r="AA383" s="47" t="s">
        <v>296</v>
      </c>
      <c r="AB383" s="47"/>
      <c r="AC383" s="47" t="s">
        <v>35</v>
      </c>
      <c r="AD383" s="49" t="str">
        <f>VLOOKUP(E384,sheet1!$B$2:$C$3209,2,FALSE)</f>
        <v>製番別作業区分別作業工数集計表</v>
      </c>
      <c r="AE383" s="49"/>
      <c r="AF383" s="51"/>
      <c r="AG383" s="51"/>
      <c r="AH383" s="49" t="str">
        <f t="shared" si="23"/>
        <v/>
      </c>
      <c r="AI383" s="49"/>
      <c r="AJ383" s="49"/>
      <c r="AK383" s="49"/>
      <c r="AL383" s="49"/>
      <c r="AM383" s="49"/>
      <c r="AN383" s="49"/>
      <c r="AO383" s="51" t="str">
        <f t="shared" si="21"/>
        <v/>
      </c>
      <c r="AP383" s="51" t="str">
        <f t="shared" si="22"/>
        <v/>
      </c>
      <c r="AQ383" s="49"/>
      <c r="AR383" s="49"/>
      <c r="AS383" s="49" t="str">
        <f t="shared" si="17"/>
        <v/>
      </c>
      <c r="AT383" s="49" t="str">
        <f t="shared" si="18"/>
        <v/>
      </c>
      <c r="AU383" s="49"/>
      <c r="AV383" s="49"/>
    </row>
    <row r="384" spans="1:48" ht="18" customHeight="1">
      <c r="A384" s="44">
        <v>382</v>
      </c>
      <c r="B384" s="71" t="s">
        <v>1076</v>
      </c>
      <c r="C384" s="52" t="s">
        <v>1571</v>
      </c>
      <c r="D384" s="52" t="s">
        <v>1647</v>
      </c>
      <c r="E384" s="73" t="s">
        <v>1663</v>
      </c>
      <c r="F384" s="44" t="s">
        <v>1664</v>
      </c>
      <c r="G384" s="44"/>
      <c r="H384" s="44"/>
      <c r="I384" s="44"/>
      <c r="J384" s="47" t="s">
        <v>35</v>
      </c>
      <c r="K384" s="47"/>
      <c r="L384" s="47"/>
      <c r="M384" s="47"/>
      <c r="N384" s="47"/>
      <c r="O384" s="44"/>
      <c r="P384" s="44"/>
      <c r="Q384" s="48">
        <f>VLOOKUP(E384,sheet1!$B$2:$D$3209,3,FALSE)</f>
        <v>626</v>
      </c>
      <c r="R384" s="47" t="s">
        <v>35</v>
      </c>
      <c r="S384" s="47" t="s">
        <v>296</v>
      </c>
      <c r="T384" s="47"/>
      <c r="U384" s="47" t="s">
        <v>296</v>
      </c>
      <c r="V384" s="47" t="s">
        <v>296</v>
      </c>
      <c r="W384" s="47" t="s">
        <v>296</v>
      </c>
      <c r="X384" s="47" t="s">
        <v>296</v>
      </c>
      <c r="Y384" s="47" t="s">
        <v>296</v>
      </c>
      <c r="Z384" s="47" t="s">
        <v>296</v>
      </c>
      <c r="AA384" s="47" t="s">
        <v>296</v>
      </c>
      <c r="AB384" s="47"/>
      <c r="AC384" s="47" t="s">
        <v>35</v>
      </c>
      <c r="AD384" s="49" t="str">
        <f>VLOOKUP(E385,sheet1!$B$2:$C$3209,2,FALSE)</f>
        <v>担当者別作業項目別作業工数集計表</v>
      </c>
      <c r="AE384" s="49"/>
      <c r="AF384" s="51"/>
      <c r="AG384" s="51"/>
      <c r="AH384" s="49" t="str">
        <f t="shared" si="23"/>
        <v/>
      </c>
      <c r="AI384" s="49"/>
      <c r="AJ384" s="49"/>
      <c r="AK384" s="49"/>
      <c r="AL384" s="49"/>
      <c r="AM384" s="49"/>
      <c r="AN384" s="49"/>
      <c r="AO384" s="51" t="str">
        <f t="shared" si="21"/>
        <v/>
      </c>
      <c r="AP384" s="51" t="str">
        <f t="shared" si="22"/>
        <v/>
      </c>
      <c r="AQ384" s="49"/>
      <c r="AR384" s="49"/>
      <c r="AS384" s="49" t="str">
        <f t="shared" si="17"/>
        <v/>
      </c>
      <c r="AT384" s="49" t="str">
        <f t="shared" si="18"/>
        <v/>
      </c>
      <c r="AU384" s="49"/>
      <c r="AV384" s="49"/>
    </row>
    <row r="385" spans="1:48" ht="18" customHeight="1">
      <c r="A385" s="44">
        <v>383</v>
      </c>
      <c r="B385" s="71" t="s">
        <v>1076</v>
      </c>
      <c r="C385" s="52" t="s">
        <v>1571</v>
      </c>
      <c r="D385" s="69" t="s">
        <v>1647</v>
      </c>
      <c r="E385" s="73" t="s">
        <v>1665</v>
      </c>
      <c r="F385" s="44" t="s">
        <v>1666</v>
      </c>
      <c r="G385" s="44"/>
      <c r="H385" s="44"/>
      <c r="I385" s="44"/>
      <c r="J385" s="47" t="s">
        <v>35</v>
      </c>
      <c r="K385" s="47"/>
      <c r="L385" s="47"/>
      <c r="M385" s="47"/>
      <c r="N385" s="47"/>
      <c r="O385" s="44"/>
      <c r="P385" s="44"/>
      <c r="Q385" s="48">
        <f>VLOOKUP(E385,sheet1!$B$2:$D$3209,3,FALSE)</f>
        <v>752</v>
      </c>
      <c r="R385" s="47" t="s">
        <v>35</v>
      </c>
      <c r="S385" s="47" t="s">
        <v>296</v>
      </c>
      <c r="T385" s="47"/>
      <c r="U385" s="47" t="s">
        <v>296</v>
      </c>
      <c r="V385" s="47" t="s">
        <v>296</v>
      </c>
      <c r="W385" s="47" t="s">
        <v>296</v>
      </c>
      <c r="X385" s="47" t="s">
        <v>296</v>
      </c>
      <c r="Y385" s="47" t="s">
        <v>296</v>
      </c>
      <c r="Z385" s="47" t="s">
        <v>296</v>
      </c>
      <c r="AA385" s="47" t="s">
        <v>296</v>
      </c>
      <c r="AB385" s="47"/>
      <c r="AC385" s="47" t="s">
        <v>35</v>
      </c>
      <c r="AD385" s="49" t="str">
        <f>VLOOKUP(E386,sheet1!$B$2:$C$3209,2,FALSE)</f>
        <v>経費返品入力</v>
      </c>
      <c r="AE385" s="49"/>
      <c r="AF385" s="51"/>
      <c r="AG385" s="51"/>
      <c r="AH385" s="49" t="str">
        <f t="shared" si="23"/>
        <v/>
      </c>
      <c r="AI385" s="49"/>
      <c r="AJ385" s="49"/>
      <c r="AK385" s="49"/>
      <c r="AL385" s="49"/>
      <c r="AM385" s="49"/>
      <c r="AN385" s="49"/>
      <c r="AO385" s="51" t="str">
        <f t="shared" si="21"/>
        <v>経費返品入力</v>
      </c>
      <c r="AP385" s="51" t="str">
        <f t="shared" si="22"/>
        <v>PD4115</v>
      </c>
      <c r="AQ385" s="51" t="s">
        <v>1667</v>
      </c>
      <c r="AR385" s="51" t="s">
        <v>1668</v>
      </c>
      <c r="AS385" s="49" t="str">
        <f t="shared" si="17"/>
        <v/>
      </c>
      <c r="AT385" s="49" t="str">
        <f t="shared" si="18"/>
        <v/>
      </c>
      <c r="AU385" s="49"/>
      <c r="AV385" s="49"/>
    </row>
    <row r="386" spans="1:48" ht="18" customHeight="1">
      <c r="A386" s="44">
        <v>384</v>
      </c>
      <c r="B386" s="71" t="s">
        <v>1076</v>
      </c>
      <c r="C386" s="52" t="s">
        <v>1571</v>
      </c>
      <c r="D386" s="74" t="s">
        <v>116</v>
      </c>
      <c r="E386" s="44" t="s">
        <v>1668</v>
      </c>
      <c r="F386" s="44" t="s">
        <v>1669</v>
      </c>
      <c r="G386" s="44"/>
      <c r="H386" s="44"/>
      <c r="I386" s="44"/>
      <c r="J386" s="47" t="s">
        <v>35</v>
      </c>
      <c r="K386" s="47"/>
      <c r="L386" s="47"/>
      <c r="M386" s="47"/>
      <c r="N386" s="47"/>
      <c r="O386" s="44"/>
      <c r="P386" s="44"/>
      <c r="Q386" s="48">
        <f>VLOOKUP(E386,sheet1!$B$2:$D$3209,3,FALSE)</f>
        <v>1973</v>
      </c>
      <c r="R386" s="47" t="s">
        <v>35</v>
      </c>
      <c r="S386" s="47" t="s">
        <v>35</v>
      </c>
      <c r="T386" s="47" t="s">
        <v>35</v>
      </c>
      <c r="U386" s="47" t="s">
        <v>296</v>
      </c>
      <c r="V386" s="47" t="s">
        <v>35</v>
      </c>
      <c r="W386" s="47" t="s">
        <v>35</v>
      </c>
      <c r="X386" s="47" t="s">
        <v>35</v>
      </c>
      <c r="Y386" s="47" t="s">
        <v>35</v>
      </c>
      <c r="Z386" s="47" t="s">
        <v>35</v>
      </c>
      <c r="AA386" s="47" t="s">
        <v>296</v>
      </c>
      <c r="AB386" s="47" t="s">
        <v>35</v>
      </c>
      <c r="AC386" s="47" t="s">
        <v>35</v>
      </c>
      <c r="AD386" s="49" t="str">
        <f>VLOOKUP(E387,sheet1!$B$2:$C$3209,2,FALSE)</f>
        <v>在庫管理対象外品目返品入力</v>
      </c>
      <c r="AE386" s="49"/>
      <c r="AF386" s="51" t="s">
        <v>1670</v>
      </c>
      <c r="AG386" s="51" t="s">
        <v>1671</v>
      </c>
      <c r="AH386" s="49" t="str">
        <f t="shared" si="23"/>
        <v>在庫管理対象外返品</v>
      </c>
      <c r="AI386" s="49"/>
      <c r="AJ386" s="49"/>
      <c r="AK386" s="49"/>
      <c r="AL386" s="49"/>
      <c r="AM386" s="49"/>
      <c r="AN386" s="49"/>
      <c r="AO386" s="51" t="str">
        <f t="shared" si="21"/>
        <v>在庫管理対象外返品入力</v>
      </c>
      <c r="AP386" s="51" t="str">
        <f t="shared" si="22"/>
        <v>PD4113</v>
      </c>
      <c r="AQ386" s="51" t="s">
        <v>1672</v>
      </c>
      <c r="AR386" s="51" t="s">
        <v>1671</v>
      </c>
      <c r="AS386" s="49" t="str">
        <f t="shared" si="17"/>
        <v/>
      </c>
      <c r="AT386" s="49" t="str">
        <f t="shared" si="18"/>
        <v/>
      </c>
      <c r="AU386" s="49"/>
      <c r="AV386" s="49"/>
    </row>
    <row r="387" spans="1:48" ht="18" customHeight="1">
      <c r="A387" s="44">
        <v>385</v>
      </c>
      <c r="B387" s="71" t="s">
        <v>1076</v>
      </c>
      <c r="C387" s="52" t="s">
        <v>1571</v>
      </c>
      <c r="D387" s="46" t="s">
        <v>116</v>
      </c>
      <c r="E387" s="44" t="s">
        <v>1671</v>
      </c>
      <c r="F387" s="44" t="s">
        <v>1673</v>
      </c>
      <c r="G387" s="44"/>
      <c r="H387" s="44"/>
      <c r="I387" s="44"/>
      <c r="J387" s="47" t="s">
        <v>35</v>
      </c>
      <c r="K387" s="47"/>
      <c r="L387" s="47"/>
      <c r="M387" s="47"/>
      <c r="N387" s="47"/>
      <c r="O387" s="44"/>
      <c r="P387" s="44"/>
      <c r="Q387" s="48">
        <f>VLOOKUP(E387,sheet1!$B$2:$D$3209,3,FALSE)</f>
        <v>1568</v>
      </c>
      <c r="R387" s="47" t="s">
        <v>35</v>
      </c>
      <c r="S387" s="47" t="s">
        <v>35</v>
      </c>
      <c r="T387" s="47" t="s">
        <v>35</v>
      </c>
      <c r="U387" s="47" t="s">
        <v>296</v>
      </c>
      <c r="V387" s="47" t="s">
        <v>35</v>
      </c>
      <c r="W387" s="47" t="s">
        <v>35</v>
      </c>
      <c r="X387" s="47" t="s">
        <v>35</v>
      </c>
      <c r="Y387" s="47" t="s">
        <v>35</v>
      </c>
      <c r="Z387" s="47" t="s">
        <v>35</v>
      </c>
      <c r="AA387" s="47" t="s">
        <v>296</v>
      </c>
      <c r="AB387" s="47" t="s">
        <v>35</v>
      </c>
      <c r="AC387" s="47" t="s">
        <v>35</v>
      </c>
      <c r="AD387" s="49" t="str">
        <f>VLOOKUP(E388,sheet1!$B$2:$C$3209,2,FALSE)</f>
        <v>納品分ｷｯﾃｲﾝｸﾞ入力</v>
      </c>
      <c r="AE387" s="49"/>
      <c r="AF387" s="51" t="s">
        <v>1674</v>
      </c>
      <c r="AG387" s="51" t="s">
        <v>1675</v>
      </c>
      <c r="AH387" s="49" t="str">
        <f t="shared" si="23"/>
        <v>納品分仮支給処理</v>
      </c>
      <c r="AI387" s="49"/>
      <c r="AJ387" s="49"/>
      <c r="AK387" s="49"/>
      <c r="AL387" s="49"/>
      <c r="AM387" s="49"/>
      <c r="AN387" s="49"/>
      <c r="AO387" s="51" t="str">
        <f t="shared" si="21"/>
        <v>支給用ﾀｯｸｼｰﾙ再出力</v>
      </c>
      <c r="AP387" s="51" t="str">
        <f t="shared" si="22"/>
        <v>PD4287</v>
      </c>
      <c r="AQ387" s="51" t="s">
        <v>1676</v>
      </c>
      <c r="AR387" s="51" t="s">
        <v>1677</v>
      </c>
      <c r="AS387" s="49" t="str">
        <f t="shared" si="17"/>
        <v/>
      </c>
      <c r="AT387" s="49" t="str">
        <f t="shared" si="18"/>
        <v/>
      </c>
      <c r="AU387" s="49"/>
      <c r="AV387" s="49"/>
    </row>
    <row r="388" spans="1:48" ht="18" customHeight="1">
      <c r="A388" s="44">
        <v>386</v>
      </c>
      <c r="B388" s="71" t="s">
        <v>1076</v>
      </c>
      <c r="C388" s="52" t="s">
        <v>1571</v>
      </c>
      <c r="D388" s="46" t="s">
        <v>116</v>
      </c>
      <c r="E388" s="44" t="s">
        <v>1675</v>
      </c>
      <c r="F388" s="44" t="s">
        <v>1678</v>
      </c>
      <c r="G388" s="44"/>
      <c r="H388" s="44"/>
      <c r="I388" s="44"/>
      <c r="J388" s="47" t="s">
        <v>35</v>
      </c>
      <c r="K388" s="47"/>
      <c r="L388" s="47"/>
      <c r="M388" s="47"/>
      <c r="N388" s="47"/>
      <c r="O388" s="44"/>
      <c r="P388" s="44"/>
      <c r="Q388" s="48">
        <f>VLOOKUP(E388,sheet1!$B$2:$D$3209,3,FALSE)</f>
        <v>2299</v>
      </c>
      <c r="R388" s="47" t="s">
        <v>35</v>
      </c>
      <c r="S388" s="47" t="s">
        <v>296</v>
      </c>
      <c r="T388" s="47"/>
      <c r="U388" s="47" t="s">
        <v>296</v>
      </c>
      <c r="V388" s="47" t="s">
        <v>296</v>
      </c>
      <c r="W388" s="47" t="s">
        <v>296</v>
      </c>
      <c r="X388" s="47" t="s">
        <v>296</v>
      </c>
      <c r="Y388" s="47" t="s">
        <v>296</v>
      </c>
      <c r="Z388" s="47" t="s">
        <v>296</v>
      </c>
      <c r="AA388" s="47" t="s">
        <v>35</v>
      </c>
      <c r="AB388" s="47"/>
      <c r="AC388" s="47" t="s">
        <v>35</v>
      </c>
      <c r="AD388" s="49" t="str">
        <f>VLOOKUP(E389,sheet1!$B$2:$C$3209,2,FALSE)</f>
        <v>納入分ｷｯﾃｨﾝｸﾞﾘｽﾄ出力</v>
      </c>
      <c r="AE388" s="49"/>
      <c r="AF388" s="51" t="s">
        <v>1679</v>
      </c>
      <c r="AG388" s="51" t="s">
        <v>1680</v>
      </c>
      <c r="AH388" s="49" t="str">
        <f t="shared" si="23"/>
        <v>仮支給リスト　出力</v>
      </c>
      <c r="AI388" s="49"/>
      <c r="AJ388" s="49"/>
      <c r="AK388" s="49"/>
      <c r="AL388" s="49"/>
      <c r="AM388" s="49"/>
      <c r="AN388" s="49"/>
      <c r="AO388" s="51" t="str">
        <f t="shared" si="21"/>
        <v/>
      </c>
      <c r="AP388" s="51" t="str">
        <f t="shared" si="22"/>
        <v/>
      </c>
      <c r="AQ388" s="49"/>
      <c r="AR388" s="49"/>
      <c r="AS388" s="49" t="str">
        <f t="shared" si="17"/>
        <v/>
      </c>
      <c r="AT388" s="49" t="str">
        <f t="shared" si="18"/>
        <v/>
      </c>
      <c r="AU388" s="49"/>
      <c r="AV388" s="49"/>
    </row>
    <row r="389" spans="1:48" ht="18" customHeight="1">
      <c r="A389" s="44">
        <v>387</v>
      </c>
      <c r="B389" s="71" t="s">
        <v>1076</v>
      </c>
      <c r="C389" s="52" t="s">
        <v>1571</v>
      </c>
      <c r="D389" s="46" t="s">
        <v>116</v>
      </c>
      <c r="E389" s="44" t="s">
        <v>1680</v>
      </c>
      <c r="F389" s="44" t="s">
        <v>1681</v>
      </c>
      <c r="G389" s="44"/>
      <c r="H389" s="44"/>
      <c r="I389" s="44"/>
      <c r="J389" s="47" t="s">
        <v>35</v>
      </c>
      <c r="K389" s="47"/>
      <c r="L389" s="47"/>
      <c r="M389" s="47"/>
      <c r="N389" s="47"/>
      <c r="O389" s="44"/>
      <c r="P389" s="44"/>
      <c r="Q389" s="48">
        <f>VLOOKUP(E389,sheet1!$B$2:$D$3209,3,FALSE)</f>
        <v>731</v>
      </c>
      <c r="R389" s="47" t="s">
        <v>35</v>
      </c>
      <c r="S389" s="47" t="s">
        <v>296</v>
      </c>
      <c r="T389" s="47"/>
      <c r="U389" s="47" t="s">
        <v>296</v>
      </c>
      <c r="V389" s="47" t="s">
        <v>296</v>
      </c>
      <c r="W389" s="47" t="s">
        <v>296</v>
      </c>
      <c r="X389" s="47" t="s">
        <v>296</v>
      </c>
      <c r="Y389" s="47" t="s">
        <v>296</v>
      </c>
      <c r="Z389" s="47" t="s">
        <v>296</v>
      </c>
      <c r="AA389" s="47" t="s">
        <v>35</v>
      </c>
      <c r="AB389" s="47"/>
      <c r="AC389" s="47" t="s">
        <v>35</v>
      </c>
      <c r="AD389" s="49" t="str">
        <f>VLOOKUP(E390,sheet1!$B$2:$C$3209,2,FALSE)</f>
        <v>引当振替入力 INVITE TO RECORD 98/08/10 COPY YAMA</v>
      </c>
      <c r="AE389" s="49"/>
      <c r="AF389" s="51" t="s">
        <v>1682</v>
      </c>
      <c r="AG389" s="51" t="s">
        <v>1683</v>
      </c>
      <c r="AH389" s="49" t="str">
        <f t="shared" si="23"/>
        <v>引当振替入力</v>
      </c>
      <c r="AI389" s="49"/>
      <c r="AJ389" s="49"/>
      <c r="AK389" s="49"/>
      <c r="AL389" s="49"/>
      <c r="AM389" s="49"/>
      <c r="AN389" s="49"/>
      <c r="AO389" s="51" t="str">
        <f t="shared" si="21"/>
        <v/>
      </c>
      <c r="AP389" s="51" t="str">
        <f t="shared" si="22"/>
        <v/>
      </c>
      <c r="AQ389" s="49"/>
      <c r="AR389" s="49"/>
      <c r="AS389" s="49" t="str">
        <f t="shared" si="17"/>
        <v/>
      </c>
      <c r="AT389" s="49" t="str">
        <f t="shared" si="18"/>
        <v/>
      </c>
      <c r="AU389" s="49"/>
      <c r="AV389" s="49"/>
    </row>
    <row r="390" spans="1:48" ht="18" customHeight="1">
      <c r="A390" s="44">
        <v>388</v>
      </c>
      <c r="B390" s="71" t="s">
        <v>1076</v>
      </c>
      <c r="C390" s="52" t="s">
        <v>1571</v>
      </c>
      <c r="D390" s="46" t="s">
        <v>116</v>
      </c>
      <c r="E390" s="44" t="s">
        <v>1683</v>
      </c>
      <c r="F390" s="44" t="s">
        <v>1684</v>
      </c>
      <c r="G390" s="44"/>
      <c r="H390" s="44"/>
      <c r="I390" s="44"/>
      <c r="J390" s="47" t="s">
        <v>35</v>
      </c>
      <c r="K390" s="47"/>
      <c r="L390" s="47"/>
      <c r="M390" s="47"/>
      <c r="N390" s="47"/>
      <c r="O390" s="44"/>
      <c r="P390" s="44"/>
      <c r="Q390" s="48">
        <f>VLOOKUP(E390,sheet1!$B$2:$D$3209,3,FALSE)</f>
        <v>2695</v>
      </c>
      <c r="R390" s="47" t="s">
        <v>35</v>
      </c>
      <c r="S390" s="47" t="s">
        <v>296</v>
      </c>
      <c r="T390" s="47"/>
      <c r="U390" s="47" t="s">
        <v>296</v>
      </c>
      <c r="V390" s="47" t="s">
        <v>296</v>
      </c>
      <c r="W390" s="47" t="s">
        <v>296</v>
      </c>
      <c r="X390" s="47" t="s">
        <v>296</v>
      </c>
      <c r="Y390" s="47" t="s">
        <v>296</v>
      </c>
      <c r="Z390" s="47" t="s">
        <v>296</v>
      </c>
      <c r="AA390" s="47" t="s">
        <v>35</v>
      </c>
      <c r="AB390" s="47"/>
      <c r="AC390" s="47" t="s">
        <v>35</v>
      </c>
      <c r="AD390" s="49" t="str">
        <f>VLOOKUP(E391,sheet1!$B$2:$C$3209,2,FALSE)</f>
        <v>支給優先順位リスト</v>
      </c>
      <c r="AE390" s="49"/>
      <c r="AF390" s="51" t="s">
        <v>1685</v>
      </c>
      <c r="AG390" s="51" t="s">
        <v>1686</v>
      </c>
      <c r="AH390" s="49" t="str">
        <f t="shared" si="23"/>
        <v>支給優先順位リスト</v>
      </c>
      <c r="AI390" s="49"/>
      <c r="AJ390" s="49"/>
      <c r="AK390" s="49"/>
      <c r="AL390" s="49"/>
      <c r="AM390" s="49"/>
      <c r="AN390" s="49"/>
      <c r="AO390" s="51" t="str">
        <f t="shared" si="21"/>
        <v/>
      </c>
      <c r="AP390" s="51" t="str">
        <f t="shared" si="22"/>
        <v/>
      </c>
      <c r="AQ390" s="49"/>
      <c r="AR390" s="49"/>
      <c r="AS390" s="49" t="str">
        <f t="shared" si="17"/>
        <v/>
      </c>
      <c r="AT390" s="49" t="str">
        <f t="shared" si="18"/>
        <v/>
      </c>
      <c r="AU390" s="49"/>
      <c r="AV390" s="49"/>
    </row>
    <row r="391" spans="1:48" ht="18" customHeight="1">
      <c r="A391" s="44">
        <v>389</v>
      </c>
      <c r="B391" s="71" t="s">
        <v>1076</v>
      </c>
      <c r="C391" s="52" t="s">
        <v>1571</v>
      </c>
      <c r="D391" s="46" t="s">
        <v>116</v>
      </c>
      <c r="E391" s="44" t="s">
        <v>1686</v>
      </c>
      <c r="F391" s="44" t="s">
        <v>1687</v>
      </c>
      <c r="G391" s="44"/>
      <c r="H391" s="44"/>
      <c r="I391" s="44"/>
      <c r="J391" s="47" t="s">
        <v>35</v>
      </c>
      <c r="K391" s="47"/>
      <c r="L391" s="47"/>
      <c r="M391" s="47"/>
      <c r="N391" s="47"/>
      <c r="O391" s="44"/>
      <c r="P391" s="44"/>
      <c r="Q391" s="48">
        <f>VLOOKUP(E391,sheet1!$B$2:$D$3209,3,FALSE)</f>
        <v>968</v>
      </c>
      <c r="R391" s="47" t="s">
        <v>35</v>
      </c>
      <c r="S391" s="47" t="s">
        <v>296</v>
      </c>
      <c r="T391" s="47"/>
      <c r="U391" s="47" t="s">
        <v>296</v>
      </c>
      <c r="V391" s="47" t="s">
        <v>296</v>
      </c>
      <c r="W391" s="47" t="s">
        <v>296</v>
      </c>
      <c r="X391" s="47" t="s">
        <v>296</v>
      </c>
      <c r="Y391" s="47" t="s">
        <v>296</v>
      </c>
      <c r="Z391" s="47" t="s">
        <v>296</v>
      </c>
      <c r="AA391" s="47" t="s">
        <v>35</v>
      </c>
      <c r="AB391" s="47"/>
      <c r="AC391" s="47" t="s">
        <v>35</v>
      </c>
      <c r="AD391" s="49" t="str">
        <f>VLOOKUP(E392,sheet1!$B$2:$C$3209,2,FALSE)</f>
        <v>支給指示ﾘｽﾄ出力指示</v>
      </c>
      <c r="AE391" s="49"/>
      <c r="AF391" s="51" t="s">
        <v>1688</v>
      </c>
      <c r="AG391" s="51" t="s">
        <v>1689</v>
      </c>
      <c r="AH391" s="49" t="str">
        <f t="shared" si="23"/>
        <v>支給指示リスト出力</v>
      </c>
      <c r="AI391" s="49"/>
      <c r="AJ391" s="49"/>
      <c r="AK391" s="49"/>
      <c r="AL391" s="49"/>
      <c r="AM391" s="49"/>
      <c r="AN391" s="49"/>
      <c r="AO391" s="51" t="str">
        <f t="shared" si="21"/>
        <v/>
      </c>
      <c r="AP391" s="51" t="str">
        <f t="shared" si="22"/>
        <v/>
      </c>
      <c r="AQ391" s="49"/>
      <c r="AR391" s="49"/>
      <c r="AS391" s="49" t="str">
        <f t="shared" si="17"/>
        <v/>
      </c>
      <c r="AT391" s="49" t="str">
        <f t="shared" si="18"/>
        <v/>
      </c>
      <c r="AU391" s="49"/>
      <c r="AV391" s="49"/>
    </row>
    <row r="392" spans="1:48" ht="18" customHeight="1">
      <c r="A392" s="44">
        <v>390</v>
      </c>
      <c r="B392" s="71" t="s">
        <v>1076</v>
      </c>
      <c r="C392" s="52" t="s">
        <v>1571</v>
      </c>
      <c r="D392" s="46" t="s">
        <v>116</v>
      </c>
      <c r="E392" s="44" t="s">
        <v>1689</v>
      </c>
      <c r="F392" s="44" t="s">
        <v>1690</v>
      </c>
      <c r="G392" s="44"/>
      <c r="H392" s="44"/>
      <c r="I392" s="44"/>
      <c r="J392" s="47" t="s">
        <v>35</v>
      </c>
      <c r="K392" s="47"/>
      <c r="L392" s="47"/>
      <c r="M392" s="47"/>
      <c r="N392" s="47"/>
      <c r="O392" s="44"/>
      <c r="P392" s="44"/>
      <c r="Q392" s="48">
        <f>VLOOKUP(E392,sheet1!$B$2:$D$3209,3,FALSE)</f>
        <v>739</v>
      </c>
      <c r="R392" s="47" t="s">
        <v>35</v>
      </c>
      <c r="S392" s="47" t="s">
        <v>296</v>
      </c>
      <c r="T392" s="47"/>
      <c r="U392" s="47" t="s">
        <v>296</v>
      </c>
      <c r="V392" s="47" t="s">
        <v>296</v>
      </c>
      <c r="W392" s="47" t="s">
        <v>296</v>
      </c>
      <c r="X392" s="47" t="s">
        <v>296</v>
      </c>
      <c r="Y392" s="47" t="s">
        <v>296</v>
      </c>
      <c r="Z392" s="47" t="s">
        <v>296</v>
      </c>
      <c r="AA392" s="47" t="s">
        <v>35</v>
      </c>
      <c r="AB392" s="47"/>
      <c r="AC392" s="47" t="s">
        <v>35</v>
      </c>
      <c r="AD392" s="49" t="str">
        <f>VLOOKUP(E393,sheet1!$B$2:$C$3209,2,FALSE)</f>
        <v>在庫分ｷｯﾃｨﾝｸﾞ入力棚番１０桁対応　変更中TOSHI</v>
      </c>
      <c r="AE392" s="49"/>
      <c r="AF392" s="51" t="s">
        <v>1691</v>
      </c>
      <c r="AG392" s="51" t="s">
        <v>1692</v>
      </c>
      <c r="AH392" s="49" t="str">
        <f t="shared" si="23"/>
        <v>倉庫分仮支給処理</v>
      </c>
      <c r="AI392" s="49"/>
      <c r="AJ392" s="49"/>
      <c r="AK392" s="49"/>
      <c r="AL392" s="49"/>
      <c r="AM392" s="49"/>
      <c r="AN392" s="49"/>
      <c r="AO392" s="51" t="str">
        <f t="shared" si="21"/>
        <v/>
      </c>
      <c r="AP392" s="51" t="str">
        <f t="shared" si="22"/>
        <v/>
      </c>
      <c r="AQ392" s="49"/>
      <c r="AR392" s="49"/>
      <c r="AS392" s="49" t="str">
        <f t="shared" si="17"/>
        <v/>
      </c>
      <c r="AT392" s="49" t="str">
        <f t="shared" si="18"/>
        <v/>
      </c>
      <c r="AU392" s="49"/>
      <c r="AV392" s="49"/>
    </row>
    <row r="393" spans="1:48" ht="18" customHeight="1">
      <c r="A393" s="44">
        <v>391</v>
      </c>
      <c r="B393" s="71" t="s">
        <v>1076</v>
      </c>
      <c r="C393" s="52" t="s">
        <v>1571</v>
      </c>
      <c r="D393" s="46" t="s">
        <v>116</v>
      </c>
      <c r="E393" s="44" t="s">
        <v>1692</v>
      </c>
      <c r="F393" s="44" t="s">
        <v>1693</v>
      </c>
      <c r="G393" s="44"/>
      <c r="H393" s="44"/>
      <c r="I393" s="44"/>
      <c r="J393" s="47" t="s">
        <v>35</v>
      </c>
      <c r="K393" s="47"/>
      <c r="L393" s="47"/>
      <c r="M393" s="47"/>
      <c r="N393" s="47"/>
      <c r="O393" s="44"/>
      <c r="P393" s="44"/>
      <c r="Q393" s="48">
        <f>VLOOKUP(E393,sheet1!$B$2:$D$3209,3,FALSE)</f>
        <v>3965</v>
      </c>
      <c r="R393" s="47" t="s">
        <v>35</v>
      </c>
      <c r="S393" s="47" t="s">
        <v>296</v>
      </c>
      <c r="T393" s="47"/>
      <c r="U393" s="47" t="s">
        <v>296</v>
      </c>
      <c r="V393" s="47" t="s">
        <v>296</v>
      </c>
      <c r="W393" s="47" t="s">
        <v>296</v>
      </c>
      <c r="X393" s="47" t="s">
        <v>296</v>
      </c>
      <c r="Y393" s="47" t="s">
        <v>296</v>
      </c>
      <c r="Z393" s="47" t="s">
        <v>296</v>
      </c>
      <c r="AA393" s="47" t="s">
        <v>35</v>
      </c>
      <c r="AB393" s="47"/>
      <c r="AC393" s="47" t="s">
        <v>35</v>
      </c>
      <c r="AD393" s="49" t="str">
        <f>VLOOKUP(E395,sheet1!$B$2:$C$3209,2,FALSE)</f>
        <v>現品ﾀｯｸｼｰﾙ（出庫用）</v>
      </c>
      <c r="AE393" s="49"/>
      <c r="AF393" s="51" t="s">
        <v>1694</v>
      </c>
      <c r="AG393" s="51" t="s">
        <v>1695</v>
      </c>
      <c r="AH393" s="49" t="str">
        <f t="shared" si="23"/>
        <v>タックシール支給用</v>
      </c>
      <c r="AI393" s="49"/>
      <c r="AJ393" s="49"/>
      <c r="AK393" s="49"/>
      <c r="AL393" s="49"/>
      <c r="AM393" s="49"/>
      <c r="AN393" s="49"/>
      <c r="AO393" s="51" t="str">
        <f t="shared" si="21"/>
        <v/>
      </c>
      <c r="AP393" s="51" t="str">
        <f t="shared" si="22"/>
        <v/>
      </c>
      <c r="AQ393" s="49"/>
      <c r="AR393" s="49"/>
      <c r="AS393" s="49" t="str">
        <f t="shared" si="17"/>
        <v/>
      </c>
      <c r="AT393" s="49" t="str">
        <f t="shared" si="18"/>
        <v/>
      </c>
      <c r="AU393" s="49"/>
      <c r="AV393" s="49"/>
    </row>
    <row r="394" spans="1:48" ht="18" customHeight="1">
      <c r="A394" s="44">
        <v>392</v>
      </c>
      <c r="B394" s="71" t="s">
        <v>1076</v>
      </c>
      <c r="C394" s="52" t="s">
        <v>1571</v>
      </c>
      <c r="D394" s="46" t="s">
        <v>116</v>
      </c>
      <c r="E394" s="44" t="s">
        <v>1609</v>
      </c>
      <c r="F394" s="44" t="s">
        <v>1600</v>
      </c>
      <c r="G394" s="44"/>
      <c r="H394" s="44"/>
      <c r="I394" s="44"/>
      <c r="J394" s="47"/>
      <c r="K394" s="47"/>
      <c r="L394" s="47"/>
      <c r="M394" s="47"/>
      <c r="N394" s="47"/>
      <c r="O394" s="44"/>
      <c r="P394" s="44"/>
      <c r="Q394" s="48">
        <f>VLOOKUP(E394,sheet1!$B$2:$D$3209,3,FALSE)</f>
        <v>386</v>
      </c>
      <c r="R394" s="47"/>
      <c r="S394" s="47"/>
      <c r="T394" s="47"/>
      <c r="U394" s="47"/>
      <c r="V394" s="47"/>
      <c r="W394" s="47"/>
      <c r="X394" s="47"/>
      <c r="Y394" s="47"/>
      <c r="Z394" s="47"/>
      <c r="AA394" s="47" t="s">
        <v>35</v>
      </c>
      <c r="AB394" s="47"/>
      <c r="AC394" s="47"/>
      <c r="AD394" s="49"/>
      <c r="AE394" s="49"/>
      <c r="AF394" s="51"/>
      <c r="AG394" s="51"/>
      <c r="AH394" s="49"/>
      <c r="AI394" s="49"/>
      <c r="AJ394" s="49"/>
      <c r="AK394" s="49"/>
      <c r="AL394" s="49"/>
      <c r="AM394" s="49"/>
      <c r="AN394" s="49"/>
      <c r="AO394" s="51"/>
      <c r="AP394" s="51"/>
      <c r="AQ394" s="49"/>
      <c r="AR394" s="49"/>
      <c r="AS394" s="49"/>
      <c r="AT394" s="49"/>
      <c r="AU394" s="49"/>
      <c r="AV394" s="49"/>
    </row>
    <row r="395" spans="1:48" ht="18" customHeight="1">
      <c r="A395" s="44">
        <v>393</v>
      </c>
      <c r="B395" s="71" t="s">
        <v>1076</v>
      </c>
      <c r="C395" s="52" t="s">
        <v>1571</v>
      </c>
      <c r="D395" s="46" t="s">
        <v>116</v>
      </c>
      <c r="E395" s="44" t="s">
        <v>1695</v>
      </c>
      <c r="F395" s="44" t="s">
        <v>1696</v>
      </c>
      <c r="G395" s="44"/>
      <c r="H395" s="44"/>
      <c r="I395" s="44"/>
      <c r="J395" s="47" t="s">
        <v>35</v>
      </c>
      <c r="K395" s="47"/>
      <c r="L395" s="47"/>
      <c r="M395" s="47"/>
      <c r="N395" s="47"/>
      <c r="O395" s="44"/>
      <c r="P395" s="44"/>
      <c r="Q395" s="48">
        <f>VLOOKUP(E395,sheet1!$B$2:$D$3209,3,FALSE)</f>
        <v>1024</v>
      </c>
      <c r="R395" s="47"/>
      <c r="S395" s="47" t="s">
        <v>296</v>
      </c>
      <c r="T395" s="47" t="s">
        <v>35</v>
      </c>
      <c r="U395" s="47" t="s">
        <v>296</v>
      </c>
      <c r="V395" s="47" t="s">
        <v>35</v>
      </c>
      <c r="W395" s="47" t="s">
        <v>296</v>
      </c>
      <c r="X395" s="47" t="s">
        <v>296</v>
      </c>
      <c r="Y395" s="47" t="s">
        <v>296</v>
      </c>
      <c r="Z395" s="47" t="s">
        <v>35</v>
      </c>
      <c r="AA395" s="47" t="s">
        <v>35</v>
      </c>
      <c r="AB395" s="47" t="s">
        <v>35</v>
      </c>
      <c r="AC395" s="47" t="s">
        <v>35</v>
      </c>
      <c r="AD395" s="49" t="str">
        <f>VLOOKUP(E396,sheet1!$B$2:$C$3209,2,FALSE)</f>
        <v>現品ﾀｯｸｼｰﾙ（出庫用）再発行</v>
      </c>
      <c r="AE395" s="49"/>
      <c r="AF395" s="51" t="s">
        <v>1697</v>
      </c>
      <c r="AG395" s="51" t="s">
        <v>1698</v>
      </c>
      <c r="AH395" s="49" t="str">
        <f t="shared" ref="AH395:AH396" si="25">TRIM(MID(AF395,4,100))</f>
        <v>タックシール支給用再発行</v>
      </c>
      <c r="AI395" s="49"/>
      <c r="AJ395" s="49"/>
      <c r="AK395" s="49"/>
      <c r="AL395" s="49"/>
      <c r="AM395" s="49"/>
      <c r="AN395" s="49"/>
      <c r="AO395" s="51" t="str">
        <f t="shared" ref="AO395:AO396" si="26">TRIM(MIDB(AQ395,4,99))</f>
        <v/>
      </c>
      <c r="AP395" s="51" t="str">
        <f t="shared" ref="AP395:AP396" si="27">TRIM(AR395)</f>
        <v/>
      </c>
      <c r="AQ395" s="49"/>
      <c r="AR395" s="49"/>
      <c r="AS395" s="49" t="str">
        <f t="shared" ref="AS395:AS396" si="28">TRIM(MID(AU395,4,99))</f>
        <v/>
      </c>
      <c r="AT395" s="49" t="str">
        <f t="shared" ref="AT395:AT396" si="29">TRIM(AV395)</f>
        <v/>
      </c>
      <c r="AU395" s="49"/>
      <c r="AV395" s="49"/>
    </row>
    <row r="396" spans="1:48" ht="18" customHeight="1">
      <c r="A396" s="44">
        <v>394</v>
      </c>
      <c r="B396" s="71" t="s">
        <v>1076</v>
      </c>
      <c r="C396" s="52" t="s">
        <v>1571</v>
      </c>
      <c r="D396" s="46" t="s">
        <v>116</v>
      </c>
      <c r="E396" s="44" t="s">
        <v>1698</v>
      </c>
      <c r="F396" s="44" t="s">
        <v>1652</v>
      </c>
      <c r="G396" s="44"/>
      <c r="H396" s="44"/>
      <c r="I396" s="44"/>
      <c r="J396" s="47" t="s">
        <v>35</v>
      </c>
      <c r="K396" s="47"/>
      <c r="L396" s="47"/>
      <c r="M396" s="47"/>
      <c r="N396" s="47"/>
      <c r="O396" s="44"/>
      <c r="P396" s="44"/>
      <c r="Q396" s="48">
        <f>VLOOKUP(E396,sheet1!$B$2:$D$3209,3,FALSE)</f>
        <v>674</v>
      </c>
      <c r="R396" s="47"/>
      <c r="S396" s="47" t="s">
        <v>296</v>
      </c>
      <c r="T396" s="47" t="s">
        <v>35</v>
      </c>
      <c r="U396" s="47" t="s">
        <v>296</v>
      </c>
      <c r="V396" s="47" t="s">
        <v>35</v>
      </c>
      <c r="W396" s="47" t="s">
        <v>296</v>
      </c>
      <c r="X396" s="47" t="s">
        <v>296</v>
      </c>
      <c r="Y396" s="47" t="s">
        <v>296</v>
      </c>
      <c r="Z396" s="47" t="s">
        <v>35</v>
      </c>
      <c r="AA396" s="47" t="s">
        <v>35</v>
      </c>
      <c r="AB396" s="47" t="s">
        <v>35</v>
      </c>
      <c r="AC396" s="47" t="s">
        <v>35</v>
      </c>
      <c r="AD396" s="49" t="str">
        <f>VLOOKUP(E398,sheet1!$B$2:$C$3209,2,FALSE)</f>
        <v>支給入力</v>
      </c>
      <c r="AE396" s="49"/>
      <c r="AF396" s="51" t="s">
        <v>1699</v>
      </c>
      <c r="AG396" s="51" t="s">
        <v>1700</v>
      </c>
      <c r="AH396" s="49" t="str">
        <f t="shared" si="25"/>
        <v>支給入力</v>
      </c>
      <c r="AI396" s="49"/>
      <c r="AJ396" s="49"/>
      <c r="AK396" s="49"/>
      <c r="AL396" s="49"/>
      <c r="AM396" s="49"/>
      <c r="AN396" s="49"/>
      <c r="AO396" s="51" t="str">
        <f t="shared" si="26"/>
        <v/>
      </c>
      <c r="AP396" s="51" t="str">
        <f t="shared" si="27"/>
        <v/>
      </c>
      <c r="AQ396" s="49"/>
      <c r="AR396" s="49"/>
      <c r="AS396" s="49" t="str">
        <f t="shared" si="28"/>
        <v/>
      </c>
      <c r="AT396" s="49" t="str">
        <f t="shared" si="29"/>
        <v/>
      </c>
      <c r="AU396" s="49"/>
      <c r="AV396" s="49"/>
    </row>
    <row r="397" spans="1:48" ht="18" customHeight="1">
      <c r="A397" s="44">
        <v>395</v>
      </c>
      <c r="B397" s="71" t="s">
        <v>1076</v>
      </c>
      <c r="C397" s="52" t="s">
        <v>1571</v>
      </c>
      <c r="D397" s="46" t="s">
        <v>116</v>
      </c>
      <c r="E397" s="44" t="s">
        <v>1701</v>
      </c>
      <c r="F397" s="44" t="s">
        <v>1702</v>
      </c>
      <c r="G397" s="44"/>
      <c r="H397" s="44"/>
      <c r="I397" s="44"/>
      <c r="J397" s="47"/>
      <c r="K397" s="47"/>
      <c r="L397" s="47"/>
      <c r="M397" s="47"/>
      <c r="N397" s="47"/>
      <c r="O397" s="44"/>
      <c r="P397" s="44"/>
      <c r="Q397" s="48">
        <f>VLOOKUP(E397,sheet1!$B$2:$D$3209,3,FALSE)</f>
        <v>1028</v>
      </c>
      <c r="R397" s="47"/>
      <c r="S397" s="47"/>
      <c r="T397" s="47"/>
      <c r="U397" s="47"/>
      <c r="V397" s="47"/>
      <c r="W397" s="47"/>
      <c r="X397" s="47"/>
      <c r="Y397" s="47"/>
      <c r="Z397" s="47"/>
      <c r="AA397" s="47" t="s">
        <v>35</v>
      </c>
      <c r="AB397" s="47"/>
      <c r="AC397" s="47"/>
      <c r="AD397" s="49"/>
      <c r="AE397" s="49"/>
      <c r="AF397" s="51"/>
      <c r="AG397" s="51"/>
      <c r="AH397" s="49"/>
      <c r="AI397" s="49"/>
      <c r="AJ397" s="49"/>
      <c r="AK397" s="49"/>
      <c r="AL397" s="49"/>
      <c r="AM397" s="49"/>
      <c r="AN397" s="49"/>
      <c r="AO397" s="51"/>
      <c r="AP397" s="51"/>
      <c r="AQ397" s="49"/>
      <c r="AR397" s="49"/>
      <c r="AS397" s="49"/>
      <c r="AT397" s="49"/>
      <c r="AU397" s="49"/>
      <c r="AV397" s="49"/>
    </row>
    <row r="398" spans="1:48" ht="18" customHeight="1">
      <c r="A398" s="44">
        <v>396</v>
      </c>
      <c r="B398" s="71" t="s">
        <v>1076</v>
      </c>
      <c r="C398" s="52" t="s">
        <v>1571</v>
      </c>
      <c r="D398" s="46" t="s">
        <v>116</v>
      </c>
      <c r="E398" s="44" t="s">
        <v>1700</v>
      </c>
      <c r="F398" s="44" t="s">
        <v>1703</v>
      </c>
      <c r="G398" s="44"/>
      <c r="H398" s="44"/>
      <c r="I398" s="44"/>
      <c r="J398" s="47" t="s">
        <v>35</v>
      </c>
      <c r="K398" s="47"/>
      <c r="L398" s="47"/>
      <c r="M398" s="47"/>
      <c r="N398" s="47"/>
      <c r="O398" s="44"/>
      <c r="P398" s="44"/>
      <c r="Q398" s="48">
        <f>VLOOKUP(E398,sheet1!$B$2:$D$3209,3,FALSE)</f>
        <v>2281</v>
      </c>
      <c r="R398" s="47" t="s">
        <v>35</v>
      </c>
      <c r="S398" s="47" t="s">
        <v>296</v>
      </c>
      <c r="T398" s="47"/>
      <c r="U398" s="47" t="s">
        <v>296</v>
      </c>
      <c r="V398" s="47" t="s">
        <v>296</v>
      </c>
      <c r="W398" s="47" t="s">
        <v>296</v>
      </c>
      <c r="X398" s="47" t="s">
        <v>296</v>
      </c>
      <c r="Y398" s="47" t="s">
        <v>296</v>
      </c>
      <c r="Z398" s="47" t="s">
        <v>296</v>
      </c>
      <c r="AA398" s="47" t="s">
        <v>35</v>
      </c>
      <c r="AB398" s="47"/>
      <c r="AC398" s="47" t="s">
        <v>35</v>
      </c>
      <c r="AD398" s="49" t="str">
        <f>VLOOKUP(E399,sheet1!$B$2:$C$3209,2,FALSE)</f>
        <v>支給用ﾀｯｸｼｰﾙ再出力                 JCM</v>
      </c>
      <c r="AE398" s="49"/>
      <c r="AF398" s="51" t="s">
        <v>1676</v>
      </c>
      <c r="AG398" s="51" t="s">
        <v>1677</v>
      </c>
      <c r="AH398" s="49" t="str">
        <f t="shared" ref="AH398:AH404" si="30">TRIM(MID(AF398,4,100))</f>
        <v>支給用ﾀｯｸｼｰﾙ再出力</v>
      </c>
      <c r="AI398" s="49"/>
      <c r="AJ398" s="49"/>
      <c r="AK398" s="49"/>
      <c r="AL398" s="49"/>
      <c r="AM398" s="49"/>
      <c r="AN398" s="49"/>
      <c r="AO398" s="51" t="str">
        <f t="shared" ref="AO398:AO460" si="31">TRIM(MIDB(AQ398,4,99))</f>
        <v>支給用ﾀｯｸｼｰﾙ再出力</v>
      </c>
      <c r="AP398" s="51" t="str">
        <f t="shared" ref="AP398:AP460" si="32">TRIM(AR398)</f>
        <v>PD4287</v>
      </c>
      <c r="AQ398" s="51" t="s">
        <v>1704</v>
      </c>
      <c r="AR398" s="51" t="s">
        <v>1677</v>
      </c>
      <c r="AS398" s="49" t="str">
        <f t="shared" ref="AS398:AS460" si="33">TRIM(MID(AU398,4,99))</f>
        <v/>
      </c>
      <c r="AT398" s="49" t="str">
        <f t="shared" ref="AT398:AT460" si="34">TRIM(AV398)</f>
        <v/>
      </c>
      <c r="AU398" s="49"/>
      <c r="AV398" s="49"/>
    </row>
    <row r="399" spans="1:48" ht="18" customHeight="1">
      <c r="A399" s="44">
        <v>397</v>
      </c>
      <c r="B399" s="71" t="s">
        <v>1076</v>
      </c>
      <c r="C399" s="52" t="s">
        <v>1571</v>
      </c>
      <c r="D399" s="46" t="s">
        <v>116</v>
      </c>
      <c r="E399" s="44" t="s">
        <v>1677</v>
      </c>
      <c r="F399" s="44" t="s">
        <v>1705</v>
      </c>
      <c r="G399" s="44"/>
      <c r="H399" s="44"/>
      <c r="I399" s="44"/>
      <c r="J399" s="47" t="s">
        <v>35</v>
      </c>
      <c r="K399" s="47"/>
      <c r="L399" s="47"/>
      <c r="M399" s="47"/>
      <c r="N399" s="47"/>
      <c r="O399" s="44"/>
      <c r="P399" s="44"/>
      <c r="Q399" s="48">
        <f>VLOOKUP(E399,sheet1!$B$2:$D$3209,3,FALSE)</f>
        <v>994</v>
      </c>
      <c r="R399" s="47"/>
      <c r="S399" s="47" t="s">
        <v>35</v>
      </c>
      <c r="T399" s="47" t="s">
        <v>35</v>
      </c>
      <c r="U399" s="47" t="s">
        <v>296</v>
      </c>
      <c r="V399" s="47" t="s">
        <v>35</v>
      </c>
      <c r="W399" s="47" t="s">
        <v>35</v>
      </c>
      <c r="X399" s="47" t="s">
        <v>35</v>
      </c>
      <c r="Y399" s="47" t="s">
        <v>35</v>
      </c>
      <c r="Z399" s="47" t="s">
        <v>35</v>
      </c>
      <c r="AA399" s="47" t="s">
        <v>35</v>
      </c>
      <c r="AB399" s="47" t="s">
        <v>35</v>
      </c>
      <c r="AC399" s="47" t="s">
        <v>35</v>
      </c>
      <c r="AD399" s="49" t="str">
        <f>VLOOKUP(E400,sheet1!$B$2:$C$3209,2,FALSE)</f>
        <v>支給伝票（再発行）</v>
      </c>
      <c r="AE399" s="49"/>
      <c r="AF399" s="51" t="s">
        <v>1706</v>
      </c>
      <c r="AG399" s="51" t="s">
        <v>1707</v>
      </c>
      <c r="AH399" s="49" t="str">
        <f t="shared" si="30"/>
        <v>支給伝票再作成</v>
      </c>
      <c r="AI399" s="49"/>
      <c r="AJ399" s="49"/>
      <c r="AK399" s="49"/>
      <c r="AL399" s="49"/>
      <c r="AM399" s="49"/>
      <c r="AN399" s="49"/>
      <c r="AO399" s="51" t="str">
        <f t="shared" si="31"/>
        <v/>
      </c>
      <c r="AP399" s="51" t="str">
        <f t="shared" si="32"/>
        <v/>
      </c>
      <c r="AQ399" s="49"/>
      <c r="AR399" s="49"/>
      <c r="AS399" s="49" t="str">
        <f t="shared" si="33"/>
        <v/>
      </c>
      <c r="AT399" s="49" t="str">
        <f t="shared" si="34"/>
        <v/>
      </c>
      <c r="AU399" s="49"/>
      <c r="AV399" s="49"/>
    </row>
    <row r="400" spans="1:48" ht="18" customHeight="1">
      <c r="A400" s="44">
        <v>398</v>
      </c>
      <c r="B400" s="71" t="s">
        <v>1076</v>
      </c>
      <c r="C400" s="52" t="s">
        <v>1571</v>
      </c>
      <c r="D400" s="46" t="s">
        <v>116</v>
      </c>
      <c r="E400" s="44" t="s">
        <v>1707</v>
      </c>
      <c r="F400" s="44" t="s">
        <v>1708</v>
      </c>
      <c r="G400" s="44"/>
      <c r="H400" s="44"/>
      <c r="I400" s="44"/>
      <c r="J400" s="47" t="s">
        <v>35</v>
      </c>
      <c r="K400" s="47"/>
      <c r="L400" s="47"/>
      <c r="M400" s="47"/>
      <c r="N400" s="47"/>
      <c r="O400" s="44"/>
      <c r="P400" s="44"/>
      <c r="Q400" s="48">
        <f>VLOOKUP(E400,sheet1!$B$2:$D$3209,3,FALSE)</f>
        <v>472</v>
      </c>
      <c r="R400" s="47" t="s">
        <v>35</v>
      </c>
      <c r="S400" s="47" t="s">
        <v>296</v>
      </c>
      <c r="T400" s="47"/>
      <c r="U400" s="47" t="s">
        <v>296</v>
      </c>
      <c r="V400" s="47" t="s">
        <v>296</v>
      </c>
      <c r="W400" s="47" t="s">
        <v>296</v>
      </c>
      <c r="X400" s="47" t="s">
        <v>296</v>
      </c>
      <c r="Y400" s="47" t="s">
        <v>296</v>
      </c>
      <c r="Z400" s="47" t="s">
        <v>296</v>
      </c>
      <c r="AA400" s="47" t="s">
        <v>35</v>
      </c>
      <c r="AB400" s="47"/>
      <c r="AC400" s="47" t="s">
        <v>35</v>
      </c>
      <c r="AD400" s="49" t="str">
        <f>VLOOKUP(E401,sheet1!$B$2:$C$3209,2,FALSE)</f>
        <v>キッティング場所支給前情報                   JCM</v>
      </c>
      <c r="AE400" s="49"/>
      <c r="AF400" s="51" t="s">
        <v>1709</v>
      </c>
      <c r="AG400" s="51" t="s">
        <v>1710</v>
      </c>
      <c r="AH400" s="49" t="str">
        <f t="shared" si="30"/>
        <v>キッティング支給前リスト</v>
      </c>
      <c r="AI400" s="49"/>
      <c r="AJ400" s="49"/>
      <c r="AK400" s="49"/>
      <c r="AL400" s="49"/>
      <c r="AM400" s="49"/>
      <c r="AN400" s="49"/>
      <c r="AO400" s="51" t="str">
        <f t="shared" si="31"/>
        <v/>
      </c>
      <c r="AP400" s="51" t="str">
        <f t="shared" si="32"/>
        <v/>
      </c>
      <c r="AQ400" s="49"/>
      <c r="AR400" s="49"/>
      <c r="AS400" s="49" t="str">
        <f t="shared" si="33"/>
        <v/>
      </c>
      <c r="AT400" s="49" t="str">
        <f t="shared" si="34"/>
        <v/>
      </c>
      <c r="AU400" s="49"/>
      <c r="AV400" s="49"/>
    </row>
    <row r="401" spans="1:48" ht="18" customHeight="1">
      <c r="A401" s="44">
        <v>399</v>
      </c>
      <c r="B401" s="71" t="s">
        <v>1076</v>
      </c>
      <c r="C401" s="52" t="s">
        <v>1571</v>
      </c>
      <c r="D401" s="46" t="s">
        <v>116</v>
      </c>
      <c r="E401" s="44" t="s">
        <v>1710</v>
      </c>
      <c r="F401" s="44" t="s">
        <v>1658</v>
      </c>
      <c r="G401" s="44"/>
      <c r="H401" s="44"/>
      <c r="I401" s="44"/>
      <c r="J401" s="47" t="s">
        <v>35</v>
      </c>
      <c r="K401" s="47"/>
      <c r="L401" s="47"/>
      <c r="M401" s="47"/>
      <c r="N401" s="47"/>
      <c r="O401" s="44"/>
      <c r="P401" s="44"/>
      <c r="Q401" s="48">
        <f>VLOOKUP(E401,sheet1!$B$2:$D$3209,3,FALSE)</f>
        <v>505</v>
      </c>
      <c r="R401" s="47" t="s">
        <v>35</v>
      </c>
      <c r="S401" s="47" t="s">
        <v>296</v>
      </c>
      <c r="T401" s="47"/>
      <c r="U401" s="47" t="s">
        <v>296</v>
      </c>
      <c r="V401" s="47" t="s">
        <v>296</v>
      </c>
      <c r="W401" s="47" t="s">
        <v>296</v>
      </c>
      <c r="X401" s="47" t="s">
        <v>296</v>
      </c>
      <c r="Y401" s="47" t="s">
        <v>296</v>
      </c>
      <c r="Z401" s="47" t="s">
        <v>296</v>
      </c>
      <c r="AA401" s="47" t="s">
        <v>35</v>
      </c>
      <c r="AB401" s="47" t="s">
        <v>35</v>
      </c>
      <c r="AC401" s="47" t="s">
        <v>35</v>
      </c>
      <c r="AD401" s="49" t="str">
        <f>VLOOKUP(E402,sheet1!$B$2:$C$3209,2,FALSE)</f>
        <v>受入摘要修正</v>
      </c>
      <c r="AE401" s="49"/>
      <c r="AF401" s="51" t="s">
        <v>1711</v>
      </c>
      <c r="AG401" s="51" t="s">
        <v>1712</v>
      </c>
      <c r="AH401" s="49" t="str">
        <f t="shared" si="30"/>
        <v>仕入受入摘要修正</v>
      </c>
      <c r="AI401" s="49"/>
      <c r="AJ401" s="49"/>
      <c r="AK401" s="49"/>
      <c r="AL401" s="49"/>
      <c r="AM401" s="49"/>
      <c r="AN401" s="49"/>
      <c r="AO401" s="51" t="str">
        <f t="shared" si="31"/>
        <v/>
      </c>
      <c r="AP401" s="51" t="str">
        <f t="shared" si="32"/>
        <v/>
      </c>
      <c r="AQ401" s="49"/>
      <c r="AR401" s="49"/>
      <c r="AS401" s="49" t="str">
        <f t="shared" si="33"/>
        <v/>
      </c>
      <c r="AT401" s="49" t="str">
        <f t="shared" si="34"/>
        <v/>
      </c>
      <c r="AU401" s="49"/>
      <c r="AV401" s="49"/>
    </row>
    <row r="402" spans="1:48" ht="18" customHeight="1">
      <c r="A402" s="44">
        <v>400</v>
      </c>
      <c r="B402" s="71" t="s">
        <v>1076</v>
      </c>
      <c r="C402" s="52" t="s">
        <v>1571</v>
      </c>
      <c r="D402" s="46" t="s">
        <v>116</v>
      </c>
      <c r="E402" s="44" t="s">
        <v>1712</v>
      </c>
      <c r="F402" s="44" t="s">
        <v>1713</v>
      </c>
      <c r="G402" s="44"/>
      <c r="H402" s="44"/>
      <c r="I402" s="44"/>
      <c r="J402" s="47" t="s">
        <v>35</v>
      </c>
      <c r="K402" s="47"/>
      <c r="L402" s="47"/>
      <c r="M402" s="47"/>
      <c r="N402" s="47"/>
      <c r="O402" s="44"/>
      <c r="P402" s="44"/>
      <c r="Q402" s="48">
        <f>VLOOKUP(E402,sheet1!$B$2:$D$3209,3,FALSE)</f>
        <v>277</v>
      </c>
      <c r="R402" s="47" t="s">
        <v>35</v>
      </c>
      <c r="S402" s="47" t="s">
        <v>296</v>
      </c>
      <c r="T402" s="47"/>
      <c r="U402" s="47" t="s">
        <v>296</v>
      </c>
      <c r="V402" s="47" t="s">
        <v>296</v>
      </c>
      <c r="W402" s="47" t="s">
        <v>296</v>
      </c>
      <c r="X402" s="47" t="s">
        <v>296</v>
      </c>
      <c r="Y402" s="47" t="s">
        <v>296</v>
      </c>
      <c r="Z402" s="47" t="s">
        <v>296</v>
      </c>
      <c r="AA402" s="47" t="s">
        <v>35</v>
      </c>
      <c r="AB402" s="47"/>
      <c r="AC402" s="47" t="s">
        <v>35</v>
      </c>
      <c r="AD402" s="49" t="str">
        <f>VLOOKUP(E403,sheet1!$B$2:$C$3209,2,FALSE)</f>
        <v xml:space="preserve"> ﾃｰﾋﾟﾝｸﾞ支給指示ﾘｽﾄ出力</v>
      </c>
      <c r="AE402" s="49"/>
      <c r="AF402" s="51" t="s">
        <v>1714</v>
      </c>
      <c r="AG402" s="51" t="s">
        <v>1715</v>
      </c>
      <c r="AH402" s="49" t="str">
        <f t="shared" si="30"/>
        <v>ﾃｰﾋﾟﾝｸﾞ支給指示ﾘｽﾄ</v>
      </c>
      <c r="AI402" s="49"/>
      <c r="AJ402" s="49"/>
      <c r="AK402" s="49"/>
      <c r="AL402" s="49"/>
      <c r="AM402" s="49"/>
      <c r="AN402" s="49"/>
      <c r="AO402" s="51" t="str">
        <f t="shared" si="31"/>
        <v/>
      </c>
      <c r="AP402" s="51" t="str">
        <f t="shared" si="32"/>
        <v/>
      </c>
      <c r="AQ402" s="49"/>
      <c r="AR402" s="49"/>
      <c r="AS402" s="49" t="str">
        <f t="shared" si="33"/>
        <v/>
      </c>
      <c r="AT402" s="49" t="str">
        <f t="shared" si="34"/>
        <v/>
      </c>
      <c r="AU402" s="49"/>
      <c r="AV402" s="49"/>
    </row>
    <row r="403" spans="1:48" ht="18" customHeight="1">
      <c r="A403" s="44">
        <v>401</v>
      </c>
      <c r="B403" s="71" t="s">
        <v>1076</v>
      </c>
      <c r="C403" s="52" t="s">
        <v>1571</v>
      </c>
      <c r="D403" s="46" t="s">
        <v>116</v>
      </c>
      <c r="E403" s="44" t="s">
        <v>1715</v>
      </c>
      <c r="F403" s="44" t="s">
        <v>1716</v>
      </c>
      <c r="G403" s="44"/>
      <c r="H403" s="44"/>
      <c r="I403" s="44"/>
      <c r="J403" s="47" t="s">
        <v>35</v>
      </c>
      <c r="K403" s="47"/>
      <c r="L403" s="47"/>
      <c r="M403" s="47"/>
      <c r="N403" s="47"/>
      <c r="O403" s="44"/>
      <c r="P403" s="44"/>
      <c r="Q403" s="48">
        <f>VLOOKUP(E403,sheet1!$B$2:$D$3209,3,FALSE)</f>
        <v>25</v>
      </c>
      <c r="R403" s="47" t="s">
        <v>35</v>
      </c>
      <c r="S403" s="47" t="s">
        <v>296</v>
      </c>
      <c r="T403" s="47"/>
      <c r="U403" s="47" t="s">
        <v>296</v>
      </c>
      <c r="V403" s="47" t="s">
        <v>296</v>
      </c>
      <c r="W403" s="47" t="s">
        <v>296</v>
      </c>
      <c r="X403" s="47" t="s">
        <v>296</v>
      </c>
      <c r="Y403" s="47" t="s">
        <v>296</v>
      </c>
      <c r="Z403" s="47" t="s">
        <v>296</v>
      </c>
      <c r="AA403" s="47" t="s">
        <v>35</v>
      </c>
      <c r="AB403" s="47"/>
      <c r="AC403" s="47" t="s">
        <v>35</v>
      </c>
      <c r="AD403" s="49" t="str">
        <f>VLOOKUP(E404,sheet1!$B$2:$C$3209,2,FALSE)</f>
        <v xml:space="preserve"> ﾃｰﾋﾟﾝｸ出庫入力</v>
      </c>
      <c r="AE403" s="49"/>
      <c r="AF403" s="51" t="s">
        <v>1717</v>
      </c>
      <c r="AG403" s="51" t="s">
        <v>1718</v>
      </c>
      <c r="AH403" s="49" t="str">
        <f t="shared" si="30"/>
        <v>ﾃｰﾋﾟﾝｸﾞ支給入力</v>
      </c>
      <c r="AI403" s="49"/>
      <c r="AJ403" s="49"/>
      <c r="AK403" s="49"/>
      <c r="AL403" s="49"/>
      <c r="AM403" s="49"/>
      <c r="AN403" s="49"/>
      <c r="AO403" s="51" t="str">
        <f t="shared" si="31"/>
        <v/>
      </c>
      <c r="AP403" s="51" t="str">
        <f t="shared" si="32"/>
        <v/>
      </c>
      <c r="AQ403" s="49"/>
      <c r="AR403" s="49"/>
      <c r="AS403" s="49" t="str">
        <f t="shared" si="33"/>
        <v/>
      </c>
      <c r="AT403" s="49" t="str">
        <f t="shared" si="34"/>
        <v/>
      </c>
      <c r="AU403" s="49"/>
      <c r="AV403" s="49"/>
    </row>
    <row r="404" spans="1:48" ht="18" customHeight="1">
      <c r="A404" s="44">
        <v>402</v>
      </c>
      <c r="B404" s="71" t="s">
        <v>1076</v>
      </c>
      <c r="C404" s="52" t="s">
        <v>1571</v>
      </c>
      <c r="D404" s="46" t="s">
        <v>116</v>
      </c>
      <c r="E404" s="44" t="s">
        <v>1718</v>
      </c>
      <c r="F404" s="44" t="s">
        <v>1719</v>
      </c>
      <c r="G404" s="44"/>
      <c r="H404" s="44"/>
      <c r="I404" s="44"/>
      <c r="J404" s="47" t="s">
        <v>35</v>
      </c>
      <c r="K404" s="47"/>
      <c r="L404" s="47"/>
      <c r="M404" s="47"/>
      <c r="N404" s="47"/>
      <c r="O404" s="44"/>
      <c r="P404" s="44"/>
      <c r="Q404" s="48">
        <f>VLOOKUP(E404,sheet1!$B$2:$D$3209,3,FALSE)</f>
        <v>1894</v>
      </c>
      <c r="R404" s="47" t="s">
        <v>35</v>
      </c>
      <c r="S404" s="47" t="s">
        <v>296</v>
      </c>
      <c r="T404" s="47"/>
      <c r="U404" s="47" t="s">
        <v>296</v>
      </c>
      <c r="V404" s="47" t="s">
        <v>296</v>
      </c>
      <c r="W404" s="47" t="s">
        <v>296</v>
      </c>
      <c r="X404" s="47" t="s">
        <v>296</v>
      </c>
      <c r="Y404" s="47" t="s">
        <v>296</v>
      </c>
      <c r="Z404" s="47" t="s">
        <v>296</v>
      </c>
      <c r="AA404" s="47" t="s">
        <v>35</v>
      </c>
      <c r="AB404" s="47"/>
      <c r="AC404" s="47" t="s">
        <v>35</v>
      </c>
      <c r="AD404" s="49" t="str">
        <f>VLOOKUP(E405,sheet1!$B$2:$C$3209,2,FALSE)</f>
        <v>直送分タックシール発行</v>
      </c>
      <c r="AE404" s="49"/>
      <c r="AF404" s="51" t="s">
        <v>1720</v>
      </c>
      <c r="AG404" s="51" t="s">
        <v>1721</v>
      </c>
      <c r="AH404" s="49" t="str">
        <f t="shared" si="30"/>
        <v>タックシール直送用</v>
      </c>
      <c r="AI404" s="49"/>
      <c r="AJ404" s="49"/>
      <c r="AK404" s="49"/>
      <c r="AL404" s="49"/>
      <c r="AM404" s="49"/>
      <c r="AN404" s="49"/>
      <c r="AO404" s="51" t="str">
        <f t="shared" si="31"/>
        <v/>
      </c>
      <c r="AP404" s="51" t="str">
        <f t="shared" si="32"/>
        <v/>
      </c>
      <c r="AQ404" s="49"/>
      <c r="AR404" s="49"/>
      <c r="AS404" s="49" t="str">
        <f t="shared" si="33"/>
        <v/>
      </c>
      <c r="AT404" s="49" t="str">
        <f t="shared" si="34"/>
        <v/>
      </c>
      <c r="AU404" s="49"/>
      <c r="AV404" s="49"/>
    </row>
    <row r="405" spans="1:48" ht="18" customHeight="1">
      <c r="A405" s="44">
        <v>403</v>
      </c>
      <c r="B405" s="71" t="s">
        <v>1076</v>
      </c>
      <c r="C405" s="52" t="s">
        <v>1571</v>
      </c>
      <c r="D405" s="46" t="s">
        <v>116</v>
      </c>
      <c r="E405" s="44" t="s">
        <v>1721</v>
      </c>
      <c r="F405" s="44" t="s">
        <v>1722</v>
      </c>
      <c r="G405" s="44"/>
      <c r="H405" s="44"/>
      <c r="I405" s="44"/>
      <c r="J405" s="47" t="s">
        <v>35</v>
      </c>
      <c r="K405" s="47"/>
      <c r="L405" s="47"/>
      <c r="M405" s="47"/>
      <c r="N405" s="47"/>
      <c r="O405" s="44"/>
      <c r="P405" s="44"/>
      <c r="Q405" s="48">
        <f>VLOOKUP(E405,sheet1!$B$2:$D$3209,3,FALSE)</f>
        <v>418</v>
      </c>
      <c r="R405" s="47" t="s">
        <v>35</v>
      </c>
      <c r="S405" s="47" t="s">
        <v>296</v>
      </c>
      <c r="T405" s="47"/>
      <c r="U405" s="47" t="s">
        <v>296</v>
      </c>
      <c r="V405" s="47" t="s">
        <v>296</v>
      </c>
      <c r="W405" s="47" t="s">
        <v>296</v>
      </c>
      <c r="X405" s="47" t="s">
        <v>296</v>
      </c>
      <c r="Y405" s="47" t="s">
        <v>296</v>
      </c>
      <c r="Z405" s="47" t="s">
        <v>296</v>
      </c>
      <c r="AA405" s="47" t="s">
        <v>296</v>
      </c>
      <c r="AB405" s="47"/>
      <c r="AC405" s="47" t="s">
        <v>35</v>
      </c>
      <c r="AD405" s="49"/>
      <c r="AE405" s="49"/>
      <c r="AF405" s="51"/>
      <c r="AG405" s="51"/>
      <c r="AH405" s="49"/>
      <c r="AI405" s="49"/>
      <c r="AJ405" s="49"/>
      <c r="AK405" s="49"/>
      <c r="AL405" s="49"/>
      <c r="AM405" s="49"/>
      <c r="AN405" s="49"/>
      <c r="AO405" s="51" t="str">
        <f t="shared" si="31"/>
        <v/>
      </c>
      <c r="AP405" s="51" t="str">
        <f t="shared" si="32"/>
        <v/>
      </c>
      <c r="AQ405" s="49"/>
      <c r="AR405" s="49"/>
      <c r="AS405" s="49" t="str">
        <f t="shared" si="33"/>
        <v/>
      </c>
      <c r="AT405" s="49" t="str">
        <f t="shared" si="34"/>
        <v/>
      </c>
      <c r="AU405" s="49"/>
      <c r="AV405" s="49"/>
    </row>
    <row r="406" spans="1:48" ht="18" customHeight="1">
      <c r="A406" s="44">
        <v>404</v>
      </c>
      <c r="B406" s="71" t="s">
        <v>1076</v>
      </c>
      <c r="C406" s="52" t="s">
        <v>1571</v>
      </c>
      <c r="D406" s="46" t="s">
        <v>116</v>
      </c>
      <c r="E406" s="44" t="s">
        <v>344</v>
      </c>
      <c r="F406" s="44" t="s">
        <v>1723</v>
      </c>
      <c r="G406" s="44"/>
      <c r="H406" s="44"/>
      <c r="I406" s="44"/>
      <c r="J406" s="47"/>
      <c r="K406" s="47" t="s">
        <v>35</v>
      </c>
      <c r="L406" s="47"/>
      <c r="M406" s="47"/>
      <c r="N406" s="47"/>
      <c r="O406" s="44"/>
      <c r="P406" s="44"/>
      <c r="Q406" s="48"/>
      <c r="R406" s="47"/>
      <c r="S406" s="47" t="s">
        <v>296</v>
      </c>
      <c r="T406" s="47"/>
      <c r="U406" s="47" t="s">
        <v>296</v>
      </c>
      <c r="V406" s="47" t="s">
        <v>296</v>
      </c>
      <c r="W406" s="47" t="s">
        <v>296</v>
      </c>
      <c r="X406" s="47" t="s">
        <v>296</v>
      </c>
      <c r="Y406" s="47" t="s">
        <v>296</v>
      </c>
      <c r="Z406" s="47" t="s">
        <v>296</v>
      </c>
      <c r="AA406" s="47" t="s">
        <v>296</v>
      </c>
      <c r="AB406" s="47" t="s">
        <v>35</v>
      </c>
      <c r="AC406" s="47" t="s">
        <v>296</v>
      </c>
      <c r="AD406" s="75" t="str">
        <f>VLOOKUP(E407,sheet1!$B$2:$C$3209,2,FALSE)</f>
        <v>移動指示入力   SFL処理</v>
      </c>
      <c r="AE406" s="49"/>
      <c r="AF406" s="51" t="s">
        <v>1724</v>
      </c>
      <c r="AG406" s="51" t="s">
        <v>1725</v>
      </c>
      <c r="AH406" s="49" t="str">
        <f t="shared" ref="AH406:AH421" si="35">TRIM(MID(AF406,4,100))</f>
        <v>移動指示入力</v>
      </c>
      <c r="AI406" s="49"/>
      <c r="AJ406" s="49"/>
      <c r="AK406" s="49"/>
      <c r="AL406" s="49" t="str">
        <f t="shared" ref="AL406:AL455" si="36">TRIM(AN406)</f>
        <v>移動指示入力</v>
      </c>
      <c r="AM406" s="49" t="s">
        <v>35</v>
      </c>
      <c r="AN406" s="49" t="s">
        <v>1726</v>
      </c>
      <c r="AO406" s="51" t="str">
        <f t="shared" si="31"/>
        <v>移動指示入力</v>
      </c>
      <c r="AP406" s="51" t="str">
        <f t="shared" si="32"/>
        <v>PD4307</v>
      </c>
      <c r="AQ406" s="51" t="s">
        <v>1727</v>
      </c>
      <c r="AR406" s="51" t="s">
        <v>1725</v>
      </c>
      <c r="AS406" s="49" t="str">
        <f t="shared" si="33"/>
        <v/>
      </c>
      <c r="AT406" s="49" t="str">
        <f t="shared" si="34"/>
        <v/>
      </c>
      <c r="AU406" s="49"/>
      <c r="AV406" s="49"/>
    </row>
    <row r="407" spans="1:48" ht="18" customHeight="1">
      <c r="A407" s="44">
        <v>405</v>
      </c>
      <c r="B407" s="71" t="s">
        <v>1076</v>
      </c>
      <c r="C407" s="45" t="s">
        <v>1728</v>
      </c>
      <c r="D407" s="46" t="s">
        <v>116</v>
      </c>
      <c r="E407" s="44" t="s">
        <v>1725</v>
      </c>
      <c r="F407" s="44" t="s">
        <v>1729</v>
      </c>
      <c r="G407" s="44"/>
      <c r="H407" s="44"/>
      <c r="I407" s="44"/>
      <c r="J407" s="47" t="s">
        <v>35</v>
      </c>
      <c r="K407" s="47"/>
      <c r="L407" s="47"/>
      <c r="M407" s="47"/>
      <c r="N407" s="47"/>
      <c r="O407" s="44"/>
      <c r="P407" s="44"/>
      <c r="Q407" s="48">
        <f>VLOOKUP(E407,sheet1!$B$2:$D$3209,3,FALSE)</f>
        <v>2118</v>
      </c>
      <c r="R407" s="47" t="s">
        <v>35</v>
      </c>
      <c r="S407" s="47" t="s">
        <v>35</v>
      </c>
      <c r="T407" s="47" t="s">
        <v>35</v>
      </c>
      <c r="U407" s="47" t="s">
        <v>296</v>
      </c>
      <c r="V407" s="47" t="s">
        <v>35</v>
      </c>
      <c r="W407" s="47" t="s">
        <v>35</v>
      </c>
      <c r="X407" s="47" t="s">
        <v>35</v>
      </c>
      <c r="Y407" s="47" t="s">
        <v>35</v>
      </c>
      <c r="Z407" s="47" t="s">
        <v>35</v>
      </c>
      <c r="AA407" s="47" t="s">
        <v>35</v>
      </c>
      <c r="AB407" s="47" t="s">
        <v>35</v>
      </c>
      <c r="AC407" s="47" t="s">
        <v>35</v>
      </c>
      <c r="AD407" s="63" t="str">
        <f>VLOOKUP(E408,sheet1!$B$2:$C$3209,2,FALSE)</f>
        <v>移動指示伝票出力</v>
      </c>
      <c r="AE407" s="49"/>
      <c r="AF407" s="51" t="s">
        <v>1730</v>
      </c>
      <c r="AG407" s="51" t="s">
        <v>1731</v>
      </c>
      <c r="AH407" s="49" t="str">
        <f t="shared" si="35"/>
        <v>移動指示伝票作成</v>
      </c>
      <c r="AI407" s="49"/>
      <c r="AJ407" s="49"/>
      <c r="AK407" s="49"/>
      <c r="AL407" s="49" t="str">
        <f t="shared" si="36"/>
        <v>移動指示伝票作成</v>
      </c>
      <c r="AM407" s="49" t="s">
        <v>35</v>
      </c>
      <c r="AN407" s="49" t="s">
        <v>1732</v>
      </c>
      <c r="AO407" s="51" t="str">
        <f t="shared" si="31"/>
        <v>移動指示伝票作成</v>
      </c>
      <c r="AP407" s="51" t="str">
        <f t="shared" si="32"/>
        <v>PD4308</v>
      </c>
      <c r="AQ407" s="51" t="s">
        <v>1730</v>
      </c>
      <c r="AR407" s="51" t="s">
        <v>1731</v>
      </c>
      <c r="AS407" s="49" t="str">
        <f t="shared" si="33"/>
        <v/>
      </c>
      <c r="AT407" s="49" t="str">
        <f t="shared" si="34"/>
        <v/>
      </c>
      <c r="AU407" s="49"/>
      <c r="AV407" s="49"/>
    </row>
    <row r="408" spans="1:48" ht="18" customHeight="1">
      <c r="A408" s="44">
        <v>406</v>
      </c>
      <c r="B408" s="71" t="s">
        <v>1076</v>
      </c>
      <c r="C408" s="52" t="s">
        <v>1728</v>
      </c>
      <c r="D408" s="46" t="s">
        <v>116</v>
      </c>
      <c r="E408" s="44" t="s">
        <v>1731</v>
      </c>
      <c r="F408" s="44" t="s">
        <v>1732</v>
      </c>
      <c r="G408" s="44"/>
      <c r="H408" s="44"/>
      <c r="I408" s="44"/>
      <c r="J408" s="47" t="s">
        <v>35</v>
      </c>
      <c r="K408" s="47"/>
      <c r="L408" s="47"/>
      <c r="M408" s="47"/>
      <c r="N408" s="47"/>
      <c r="O408" s="44"/>
      <c r="P408" s="44"/>
      <c r="Q408" s="48">
        <f>VLOOKUP(E408,sheet1!$B$2:$D$3209,3,FALSE)</f>
        <v>948</v>
      </c>
      <c r="R408" s="47" t="s">
        <v>35</v>
      </c>
      <c r="S408" s="47" t="s">
        <v>35</v>
      </c>
      <c r="T408" s="47" t="s">
        <v>35</v>
      </c>
      <c r="U408" s="47" t="s">
        <v>296</v>
      </c>
      <c r="V408" s="47" t="s">
        <v>35</v>
      </c>
      <c r="W408" s="47" t="s">
        <v>35</v>
      </c>
      <c r="X408" s="47" t="s">
        <v>35</v>
      </c>
      <c r="Y408" s="47" t="s">
        <v>35</v>
      </c>
      <c r="Z408" s="47" t="s">
        <v>35</v>
      </c>
      <c r="AA408" s="47" t="s">
        <v>35</v>
      </c>
      <c r="AB408" s="47" t="s">
        <v>35</v>
      </c>
      <c r="AC408" s="47" t="s">
        <v>35</v>
      </c>
      <c r="AD408" s="63" t="str">
        <f>VLOOKUP(E409,sheet1!$B$2:$C$3209,2,FALSE)</f>
        <v>移動入力</v>
      </c>
      <c r="AE408" s="49"/>
      <c r="AF408" s="51" t="s">
        <v>1733</v>
      </c>
      <c r="AG408" s="51" t="s">
        <v>1734</v>
      </c>
      <c r="AH408" s="49" t="str">
        <f t="shared" si="35"/>
        <v>移動入力</v>
      </c>
      <c r="AI408" s="49"/>
      <c r="AJ408" s="49"/>
      <c r="AK408" s="49"/>
      <c r="AL408" s="49" t="str">
        <f t="shared" si="36"/>
        <v>移動入力</v>
      </c>
      <c r="AM408" s="49" t="s">
        <v>35</v>
      </c>
      <c r="AN408" s="49" t="s">
        <v>1735</v>
      </c>
      <c r="AO408" s="51" t="str">
        <f t="shared" si="31"/>
        <v>移動入力</v>
      </c>
      <c r="AP408" s="51" t="str">
        <f t="shared" si="32"/>
        <v>PD4310</v>
      </c>
      <c r="AQ408" s="51" t="s">
        <v>1736</v>
      </c>
      <c r="AR408" s="51" t="s">
        <v>1734</v>
      </c>
      <c r="AS408" s="49" t="str">
        <f t="shared" si="33"/>
        <v/>
      </c>
      <c r="AT408" s="49" t="str">
        <f t="shared" si="34"/>
        <v/>
      </c>
      <c r="AU408" s="49"/>
      <c r="AV408" s="49"/>
    </row>
    <row r="409" spans="1:48" ht="18" customHeight="1">
      <c r="A409" s="44">
        <v>407</v>
      </c>
      <c r="B409" s="71" t="s">
        <v>1076</v>
      </c>
      <c r="C409" s="52" t="s">
        <v>1728</v>
      </c>
      <c r="D409" s="46" t="s">
        <v>116</v>
      </c>
      <c r="E409" s="44" t="s">
        <v>1734</v>
      </c>
      <c r="F409" s="44" t="s">
        <v>1737</v>
      </c>
      <c r="G409" s="44"/>
      <c r="H409" s="44"/>
      <c r="I409" s="44"/>
      <c r="J409" s="47" t="s">
        <v>35</v>
      </c>
      <c r="K409" s="47"/>
      <c r="L409" s="47"/>
      <c r="M409" s="47"/>
      <c r="N409" s="47"/>
      <c r="O409" s="44"/>
      <c r="P409" s="44"/>
      <c r="Q409" s="48">
        <f>VLOOKUP(E409,sheet1!$B$2:$D$3209,3,FALSE)</f>
        <v>2604</v>
      </c>
      <c r="R409" s="47" t="s">
        <v>35</v>
      </c>
      <c r="S409" s="47" t="s">
        <v>35</v>
      </c>
      <c r="T409" s="47" t="s">
        <v>35</v>
      </c>
      <c r="U409" s="47" t="s">
        <v>296</v>
      </c>
      <c r="V409" s="47" t="s">
        <v>35</v>
      </c>
      <c r="W409" s="47" t="s">
        <v>35</v>
      </c>
      <c r="X409" s="47" t="s">
        <v>35</v>
      </c>
      <c r="Y409" s="47" t="s">
        <v>35</v>
      </c>
      <c r="Z409" s="47" t="s">
        <v>35</v>
      </c>
      <c r="AA409" s="47" t="s">
        <v>35</v>
      </c>
      <c r="AB409" s="47" t="s">
        <v>35</v>
      </c>
      <c r="AC409" s="47" t="s">
        <v>35</v>
      </c>
      <c r="AD409" s="63" t="str">
        <f>VLOOKUP(E410,sheet1!$B$2:$C$3209,2,FALSE)</f>
        <v>移動伝票出力</v>
      </c>
      <c r="AE409" s="49"/>
      <c r="AF409" s="51" t="s">
        <v>1738</v>
      </c>
      <c r="AG409" s="51" t="s">
        <v>1739</v>
      </c>
      <c r="AH409" s="49" t="str">
        <f t="shared" si="35"/>
        <v>移動伝票作成</v>
      </c>
      <c r="AI409" s="49"/>
      <c r="AJ409" s="49"/>
      <c r="AK409" s="49"/>
      <c r="AL409" s="49" t="str">
        <f t="shared" si="36"/>
        <v>移動伝票作成</v>
      </c>
      <c r="AM409" s="49" t="s">
        <v>35</v>
      </c>
      <c r="AN409" s="49" t="s">
        <v>1740</v>
      </c>
      <c r="AO409" s="51" t="str">
        <f t="shared" si="31"/>
        <v>移動伝票作成</v>
      </c>
      <c r="AP409" s="51" t="str">
        <f t="shared" si="32"/>
        <v>PD4320</v>
      </c>
      <c r="AQ409" s="51" t="s">
        <v>1741</v>
      </c>
      <c r="AR409" s="51" t="s">
        <v>1739</v>
      </c>
      <c r="AS409" s="49" t="str">
        <f t="shared" si="33"/>
        <v/>
      </c>
      <c r="AT409" s="49" t="str">
        <f t="shared" si="34"/>
        <v/>
      </c>
      <c r="AU409" s="49"/>
      <c r="AV409" s="49"/>
    </row>
    <row r="410" spans="1:48" ht="18" customHeight="1">
      <c r="A410" s="44">
        <v>408</v>
      </c>
      <c r="B410" s="71" t="s">
        <v>1076</v>
      </c>
      <c r="C410" s="52" t="s">
        <v>1728</v>
      </c>
      <c r="D410" s="46" t="s">
        <v>116</v>
      </c>
      <c r="E410" s="44" t="s">
        <v>1739</v>
      </c>
      <c r="F410" s="44" t="s">
        <v>1742</v>
      </c>
      <c r="G410" s="44"/>
      <c r="H410" s="44"/>
      <c r="I410" s="44"/>
      <c r="J410" s="47" t="s">
        <v>35</v>
      </c>
      <c r="K410" s="47"/>
      <c r="L410" s="47"/>
      <c r="M410" s="47"/>
      <c r="N410" s="47"/>
      <c r="O410" s="44"/>
      <c r="P410" s="44"/>
      <c r="Q410" s="48">
        <f>VLOOKUP(E410,sheet1!$B$2:$D$3209,3,FALSE)</f>
        <v>957</v>
      </c>
      <c r="R410" s="47" t="s">
        <v>35</v>
      </c>
      <c r="S410" s="47" t="s">
        <v>35</v>
      </c>
      <c r="T410" s="47" t="s">
        <v>35</v>
      </c>
      <c r="U410" s="47" t="s">
        <v>296</v>
      </c>
      <c r="V410" s="47" t="s">
        <v>35</v>
      </c>
      <c r="W410" s="47" t="s">
        <v>35</v>
      </c>
      <c r="X410" s="47" t="s">
        <v>35</v>
      </c>
      <c r="Y410" s="47" t="s">
        <v>35</v>
      </c>
      <c r="Z410" s="47" t="s">
        <v>35</v>
      </c>
      <c r="AA410" s="47" t="s">
        <v>35</v>
      </c>
      <c r="AB410" s="47" t="s">
        <v>35</v>
      </c>
      <c r="AC410" s="47" t="s">
        <v>35</v>
      </c>
      <c r="AD410" s="63" t="str">
        <f>VLOOKUP(E411,sheet1!$B$2:$C$3209,2,FALSE)</f>
        <v>移動受入入力</v>
      </c>
      <c r="AE410" s="49"/>
      <c r="AF410" s="51" t="s">
        <v>1743</v>
      </c>
      <c r="AG410" s="51" t="s">
        <v>1744</v>
      </c>
      <c r="AH410" s="49" t="str">
        <f t="shared" si="35"/>
        <v>移動受入入力</v>
      </c>
      <c r="AI410" s="49"/>
      <c r="AJ410" s="49"/>
      <c r="AK410" s="49"/>
      <c r="AL410" s="49" t="str">
        <f t="shared" si="36"/>
        <v>移動受入入力</v>
      </c>
      <c r="AM410" s="49" t="s">
        <v>35</v>
      </c>
      <c r="AN410" s="49" t="s">
        <v>1745</v>
      </c>
      <c r="AO410" s="51" t="str">
        <f t="shared" si="31"/>
        <v>移動受入入力</v>
      </c>
      <c r="AP410" s="51" t="str">
        <f t="shared" si="32"/>
        <v>PD4330</v>
      </c>
      <c r="AQ410" s="51" t="s">
        <v>1746</v>
      </c>
      <c r="AR410" s="51" t="s">
        <v>1744</v>
      </c>
      <c r="AS410" s="49" t="str">
        <f t="shared" si="33"/>
        <v/>
      </c>
      <c r="AT410" s="49" t="str">
        <f t="shared" si="34"/>
        <v/>
      </c>
      <c r="AU410" s="49"/>
      <c r="AV410" s="49"/>
    </row>
    <row r="411" spans="1:48" ht="18" customHeight="1">
      <c r="A411" s="44">
        <v>409</v>
      </c>
      <c r="B411" s="71" t="s">
        <v>1076</v>
      </c>
      <c r="C411" s="52" t="s">
        <v>1728</v>
      </c>
      <c r="D411" s="46" t="s">
        <v>116</v>
      </c>
      <c r="E411" s="44" t="s">
        <v>1744</v>
      </c>
      <c r="F411" s="44" t="s">
        <v>1747</v>
      </c>
      <c r="G411" s="44"/>
      <c r="H411" s="44"/>
      <c r="I411" s="44"/>
      <c r="J411" s="47" t="s">
        <v>35</v>
      </c>
      <c r="K411" s="47"/>
      <c r="L411" s="47"/>
      <c r="M411" s="47"/>
      <c r="N411" s="47"/>
      <c r="O411" s="44"/>
      <c r="P411" s="44"/>
      <c r="Q411" s="48">
        <f>VLOOKUP(E411,sheet1!$B$2:$D$3209,3,FALSE)</f>
        <v>776</v>
      </c>
      <c r="R411" s="47" t="s">
        <v>35</v>
      </c>
      <c r="S411" s="47" t="s">
        <v>35</v>
      </c>
      <c r="T411" s="47" t="s">
        <v>35</v>
      </c>
      <c r="U411" s="47" t="s">
        <v>296</v>
      </c>
      <c r="V411" s="47" t="s">
        <v>35</v>
      </c>
      <c r="W411" s="47" t="s">
        <v>35</v>
      </c>
      <c r="X411" s="47" t="s">
        <v>35</v>
      </c>
      <c r="Y411" s="47" t="s">
        <v>35</v>
      </c>
      <c r="Z411" s="47" t="s">
        <v>35</v>
      </c>
      <c r="AA411" s="47" t="s">
        <v>35</v>
      </c>
      <c r="AB411" s="47" t="s">
        <v>35</v>
      </c>
      <c r="AC411" s="47" t="s">
        <v>35</v>
      </c>
      <c r="AD411" s="63" t="str">
        <f>VLOOKUP(E412,sheet1!$B$2:$C$3209,2,FALSE)</f>
        <v>移動伝票タックシール</v>
      </c>
      <c r="AE411" s="49"/>
      <c r="AF411" s="51" t="s">
        <v>1748</v>
      </c>
      <c r="AG411" s="51" t="s">
        <v>1749</v>
      </c>
      <c r="AH411" s="49" t="str">
        <f t="shared" si="35"/>
        <v>移動伝票ﾀｯｸｼｰﾙ</v>
      </c>
      <c r="AI411" s="49"/>
      <c r="AJ411" s="49"/>
      <c r="AK411" s="49"/>
      <c r="AL411" s="49" t="str">
        <f t="shared" si="36"/>
        <v>移動伝票ﾀｯｸｼｰﾙ</v>
      </c>
      <c r="AM411" s="49" t="s">
        <v>35</v>
      </c>
      <c r="AN411" s="49" t="s">
        <v>1750</v>
      </c>
      <c r="AO411" s="51" t="str">
        <f t="shared" si="31"/>
        <v>移動伝票ﾀｯｸｼｰﾙ</v>
      </c>
      <c r="AP411" s="51" t="str">
        <f t="shared" si="32"/>
        <v>PD4321</v>
      </c>
      <c r="AQ411" s="51" t="s">
        <v>1748</v>
      </c>
      <c r="AR411" s="51" t="s">
        <v>1749</v>
      </c>
      <c r="AS411" s="49" t="str">
        <f t="shared" si="33"/>
        <v/>
      </c>
      <c r="AT411" s="49" t="str">
        <f t="shared" si="34"/>
        <v/>
      </c>
      <c r="AU411" s="49"/>
      <c r="AV411" s="49"/>
    </row>
    <row r="412" spans="1:48" ht="18" customHeight="1">
      <c r="A412" s="44">
        <v>410</v>
      </c>
      <c r="B412" s="71" t="s">
        <v>1076</v>
      </c>
      <c r="C412" s="52" t="s">
        <v>1728</v>
      </c>
      <c r="D412" s="46" t="s">
        <v>116</v>
      </c>
      <c r="E412" s="44" t="s">
        <v>1749</v>
      </c>
      <c r="F412" s="44" t="s">
        <v>1750</v>
      </c>
      <c r="G412" s="44"/>
      <c r="H412" s="44"/>
      <c r="I412" s="44"/>
      <c r="J412" s="47" t="s">
        <v>35</v>
      </c>
      <c r="K412" s="47"/>
      <c r="L412" s="47"/>
      <c r="M412" s="47"/>
      <c r="N412" s="47"/>
      <c r="O412" s="44"/>
      <c r="P412" s="44"/>
      <c r="Q412" s="48">
        <f>VLOOKUP(E412,sheet1!$B$2:$D$3209,3,FALSE)</f>
        <v>515</v>
      </c>
      <c r="R412" s="47" t="s">
        <v>35</v>
      </c>
      <c r="S412" s="47" t="s">
        <v>35</v>
      </c>
      <c r="T412" s="47" t="s">
        <v>35</v>
      </c>
      <c r="U412" s="47" t="s">
        <v>296</v>
      </c>
      <c r="V412" s="47" t="s">
        <v>35</v>
      </c>
      <c r="W412" s="47" t="s">
        <v>35</v>
      </c>
      <c r="X412" s="47" t="s">
        <v>35</v>
      </c>
      <c r="Y412" s="47" t="s">
        <v>35</v>
      </c>
      <c r="Z412" s="47" t="s">
        <v>35</v>
      </c>
      <c r="AA412" s="47" t="s">
        <v>35</v>
      </c>
      <c r="AB412" s="47" t="s">
        <v>35</v>
      </c>
      <c r="AC412" s="47" t="s">
        <v>35</v>
      </c>
      <c r="AD412" s="63" t="str">
        <f>VLOOKUP(E413,sheet1!$B$2:$C$3209,2,FALSE)</f>
        <v>調整入力</v>
      </c>
      <c r="AE412" s="49"/>
      <c r="AF412" s="51" t="s">
        <v>1751</v>
      </c>
      <c r="AG412" s="51" t="s">
        <v>1752</v>
      </c>
      <c r="AH412" s="49" t="str">
        <f t="shared" si="35"/>
        <v>調整伝票入力</v>
      </c>
      <c r="AI412" s="49"/>
      <c r="AJ412" s="49"/>
      <c r="AK412" s="49"/>
      <c r="AL412" s="49" t="str">
        <f t="shared" si="36"/>
        <v>調整伝票入力</v>
      </c>
      <c r="AM412" s="49" t="s">
        <v>35</v>
      </c>
      <c r="AN412" s="49" t="s">
        <v>1753</v>
      </c>
      <c r="AO412" s="51" t="str">
        <f t="shared" si="31"/>
        <v>調整伝票入力</v>
      </c>
      <c r="AP412" s="51" t="str">
        <f t="shared" si="32"/>
        <v>PD4340</v>
      </c>
      <c r="AQ412" s="51" t="s">
        <v>1754</v>
      </c>
      <c r="AR412" s="51" t="s">
        <v>1752</v>
      </c>
      <c r="AS412" s="49" t="str">
        <f t="shared" si="33"/>
        <v/>
      </c>
      <c r="AT412" s="49" t="str">
        <f t="shared" si="34"/>
        <v/>
      </c>
      <c r="AU412" s="49"/>
      <c r="AV412" s="49"/>
    </row>
    <row r="413" spans="1:48" ht="18" customHeight="1">
      <c r="A413" s="44">
        <v>411</v>
      </c>
      <c r="B413" s="71" t="s">
        <v>1076</v>
      </c>
      <c r="C413" s="52" t="s">
        <v>1728</v>
      </c>
      <c r="D413" s="46" t="s">
        <v>116</v>
      </c>
      <c r="E413" s="44" t="s">
        <v>1752</v>
      </c>
      <c r="F413" s="44" t="s">
        <v>1755</v>
      </c>
      <c r="G413" s="44"/>
      <c r="H413" s="44"/>
      <c r="I413" s="44"/>
      <c r="J413" s="47" t="s">
        <v>35</v>
      </c>
      <c r="K413" s="47"/>
      <c r="L413" s="47"/>
      <c r="M413" s="47"/>
      <c r="N413" s="47"/>
      <c r="O413" s="44"/>
      <c r="P413" s="44"/>
      <c r="Q413" s="48">
        <f>VLOOKUP(E413,sheet1!$B$2:$D$3209,3,FALSE)</f>
        <v>4176</v>
      </c>
      <c r="R413" s="47" t="s">
        <v>35</v>
      </c>
      <c r="S413" s="47" t="s">
        <v>35</v>
      </c>
      <c r="T413" s="47" t="s">
        <v>35</v>
      </c>
      <c r="U413" s="47" t="s">
        <v>296</v>
      </c>
      <c r="V413" s="47" t="s">
        <v>35</v>
      </c>
      <c r="W413" s="47" t="s">
        <v>35</v>
      </c>
      <c r="X413" s="47" t="s">
        <v>35</v>
      </c>
      <c r="Y413" s="47" t="s">
        <v>35</v>
      </c>
      <c r="Z413" s="47" t="s">
        <v>35</v>
      </c>
      <c r="AA413" s="47" t="s">
        <v>35</v>
      </c>
      <c r="AB413" s="47" t="s">
        <v>35</v>
      </c>
      <c r="AC413" s="47" t="s">
        <v>35</v>
      </c>
      <c r="AD413" s="63" t="str">
        <f>VLOOKUP(E414,sheet1!$B$2:$C$3209,2,FALSE)</f>
        <v>調整伝票発行</v>
      </c>
      <c r="AE413" s="49"/>
      <c r="AF413" s="51" t="s">
        <v>1756</v>
      </c>
      <c r="AG413" s="51" t="s">
        <v>1757</v>
      </c>
      <c r="AH413" s="49" t="str">
        <f t="shared" si="35"/>
        <v>調整伝票再発行</v>
      </c>
      <c r="AI413" s="49"/>
      <c r="AJ413" s="49"/>
      <c r="AK413" s="49"/>
      <c r="AL413" s="49" t="str">
        <f t="shared" si="36"/>
        <v>調整伝票再発行</v>
      </c>
      <c r="AM413" s="49" t="s">
        <v>35</v>
      </c>
      <c r="AN413" s="49" t="s">
        <v>1758</v>
      </c>
      <c r="AO413" s="51" t="str">
        <f t="shared" si="31"/>
        <v>調整伝票再発行</v>
      </c>
      <c r="AP413" s="51" t="str">
        <f t="shared" si="32"/>
        <v>PD4350</v>
      </c>
      <c r="AQ413" s="51" t="s">
        <v>1759</v>
      </c>
      <c r="AR413" s="51" t="s">
        <v>1757</v>
      </c>
      <c r="AS413" s="49" t="str">
        <f t="shared" si="33"/>
        <v/>
      </c>
      <c r="AT413" s="49" t="str">
        <f t="shared" si="34"/>
        <v/>
      </c>
      <c r="AU413" s="49"/>
      <c r="AV413" s="49"/>
    </row>
    <row r="414" spans="1:48" ht="18" customHeight="1">
      <c r="A414" s="44">
        <v>412</v>
      </c>
      <c r="B414" s="71" t="s">
        <v>1076</v>
      </c>
      <c r="C414" s="52" t="s">
        <v>1728</v>
      </c>
      <c r="D414" s="46" t="s">
        <v>116</v>
      </c>
      <c r="E414" s="44" t="s">
        <v>1757</v>
      </c>
      <c r="F414" s="44" t="s">
        <v>1760</v>
      </c>
      <c r="G414" s="44"/>
      <c r="H414" s="44"/>
      <c r="I414" s="44"/>
      <c r="J414" s="47" t="s">
        <v>35</v>
      </c>
      <c r="K414" s="47"/>
      <c r="L414" s="47"/>
      <c r="M414" s="47"/>
      <c r="N414" s="47"/>
      <c r="O414" s="44"/>
      <c r="P414" s="44"/>
      <c r="Q414" s="48">
        <f>VLOOKUP(E414,sheet1!$B$2:$D$3209,3,FALSE)</f>
        <v>363</v>
      </c>
      <c r="R414" s="47" t="s">
        <v>35</v>
      </c>
      <c r="S414" s="47" t="s">
        <v>35</v>
      </c>
      <c r="T414" s="47" t="s">
        <v>35</v>
      </c>
      <c r="U414" s="47" t="s">
        <v>296</v>
      </c>
      <c r="V414" s="47" t="s">
        <v>35</v>
      </c>
      <c r="W414" s="47" t="s">
        <v>35</v>
      </c>
      <c r="X414" s="47" t="s">
        <v>35</v>
      </c>
      <c r="Y414" s="47" t="s">
        <v>35</v>
      </c>
      <c r="Z414" s="47" t="s">
        <v>35</v>
      </c>
      <c r="AA414" s="47" t="s">
        <v>35</v>
      </c>
      <c r="AB414" s="47" t="s">
        <v>35</v>
      </c>
      <c r="AC414" s="47" t="s">
        <v>35</v>
      </c>
      <c r="AD414" s="63" t="str">
        <f>VLOOKUP(E415,sheet1!$B$2:$C$3209,2,FALSE)</f>
        <v>調整伝票承認入力</v>
      </c>
      <c r="AE414" s="49"/>
      <c r="AF414" s="51" t="s">
        <v>1761</v>
      </c>
      <c r="AG414" s="51" t="s">
        <v>1762</v>
      </c>
      <c r="AH414" s="49" t="str">
        <f t="shared" si="35"/>
        <v>調整伝票承認入力</v>
      </c>
      <c r="AI414" s="49"/>
      <c r="AJ414" s="49"/>
      <c r="AK414" s="49"/>
      <c r="AL414" s="49" t="str">
        <f t="shared" si="36"/>
        <v>調整伝票承認入力</v>
      </c>
      <c r="AM414" s="49" t="s">
        <v>35</v>
      </c>
      <c r="AN414" s="49" t="s">
        <v>1763</v>
      </c>
      <c r="AO414" s="51" t="str">
        <f t="shared" si="31"/>
        <v>調整伝票承認入力</v>
      </c>
      <c r="AP414" s="51" t="str">
        <f t="shared" si="32"/>
        <v>PD4360</v>
      </c>
      <c r="AQ414" s="51" t="s">
        <v>1761</v>
      </c>
      <c r="AR414" s="51" t="s">
        <v>1762</v>
      </c>
      <c r="AS414" s="49" t="str">
        <f t="shared" si="33"/>
        <v/>
      </c>
      <c r="AT414" s="49" t="str">
        <f t="shared" si="34"/>
        <v/>
      </c>
      <c r="AU414" s="49"/>
      <c r="AV414" s="49"/>
    </row>
    <row r="415" spans="1:48" ht="18" customHeight="1">
      <c r="A415" s="44">
        <v>413</v>
      </c>
      <c r="B415" s="71" t="s">
        <v>1076</v>
      </c>
      <c r="C415" s="52" t="s">
        <v>1728</v>
      </c>
      <c r="D415" s="46" t="s">
        <v>116</v>
      </c>
      <c r="E415" s="44" t="s">
        <v>1762</v>
      </c>
      <c r="F415" s="44" t="s">
        <v>1763</v>
      </c>
      <c r="G415" s="44"/>
      <c r="H415" s="44"/>
      <c r="I415" s="44"/>
      <c r="J415" s="47" t="s">
        <v>35</v>
      </c>
      <c r="K415" s="47"/>
      <c r="L415" s="47"/>
      <c r="M415" s="47"/>
      <c r="N415" s="47"/>
      <c r="O415" s="44"/>
      <c r="P415" s="44"/>
      <c r="Q415" s="48">
        <f>VLOOKUP(E415,sheet1!$B$2:$D$3209,3,FALSE)</f>
        <v>2013</v>
      </c>
      <c r="R415" s="47" t="s">
        <v>35</v>
      </c>
      <c r="S415" s="47" t="s">
        <v>35</v>
      </c>
      <c r="T415" s="47" t="s">
        <v>35</v>
      </c>
      <c r="U415" s="47" t="s">
        <v>296</v>
      </c>
      <c r="V415" s="47" t="s">
        <v>35</v>
      </c>
      <c r="W415" s="47" t="s">
        <v>35</v>
      </c>
      <c r="X415" s="47" t="s">
        <v>35</v>
      </c>
      <c r="Y415" s="47" t="s">
        <v>35</v>
      </c>
      <c r="Z415" s="47" t="s">
        <v>35</v>
      </c>
      <c r="AA415" s="47" t="s">
        <v>35</v>
      </c>
      <c r="AB415" s="47" t="s">
        <v>35</v>
      </c>
      <c r="AC415" s="47" t="s">
        <v>35</v>
      </c>
      <c r="AD415" s="63" t="str">
        <f>VLOOKUP(E416,sheet1!$B$2:$C$3209,2,FALSE)</f>
        <v>経費仕入入力</v>
      </c>
      <c r="AE415" s="49"/>
      <c r="AF415" s="51" t="s">
        <v>1764</v>
      </c>
      <c r="AG415" s="51" t="s">
        <v>1604</v>
      </c>
      <c r="AH415" s="49" t="str">
        <f t="shared" si="35"/>
        <v>経費発注受入処理</v>
      </c>
      <c r="AI415" s="49"/>
      <c r="AJ415" s="49"/>
      <c r="AK415" s="49"/>
      <c r="AL415" s="49" t="str">
        <f t="shared" si="36"/>
        <v>経費発注受入処理</v>
      </c>
      <c r="AM415" s="49" t="s">
        <v>35</v>
      </c>
      <c r="AN415" s="49" t="s">
        <v>1765</v>
      </c>
      <c r="AO415" s="51" t="str">
        <f t="shared" si="31"/>
        <v/>
      </c>
      <c r="AP415" s="51" t="str">
        <f t="shared" si="32"/>
        <v/>
      </c>
      <c r="AQ415" s="51"/>
      <c r="AR415" s="51"/>
      <c r="AS415" s="49" t="str">
        <f t="shared" si="33"/>
        <v/>
      </c>
      <c r="AT415" s="49" t="str">
        <f t="shared" si="34"/>
        <v/>
      </c>
      <c r="AU415" s="49"/>
      <c r="AV415" s="49"/>
    </row>
    <row r="416" spans="1:48" ht="18" customHeight="1">
      <c r="A416" s="44">
        <v>414</v>
      </c>
      <c r="B416" s="71" t="s">
        <v>1076</v>
      </c>
      <c r="C416" s="52" t="s">
        <v>1728</v>
      </c>
      <c r="D416" s="46" t="s">
        <v>116</v>
      </c>
      <c r="E416" s="44" t="s">
        <v>1604</v>
      </c>
      <c r="F416" s="44" t="s">
        <v>1765</v>
      </c>
      <c r="G416" s="44"/>
      <c r="H416" s="44"/>
      <c r="I416" s="44"/>
      <c r="J416" s="47" t="s">
        <v>35</v>
      </c>
      <c r="K416" s="47"/>
      <c r="L416" s="47"/>
      <c r="M416" s="47"/>
      <c r="N416" s="47"/>
      <c r="O416" s="44"/>
      <c r="P416" s="44"/>
      <c r="Q416" s="48">
        <f>VLOOKUP(E416,sheet1!$B$2:$D$3209,3,FALSE)</f>
        <v>1179</v>
      </c>
      <c r="R416" s="47" t="s">
        <v>35</v>
      </c>
      <c r="S416" s="47" t="s">
        <v>296</v>
      </c>
      <c r="T416" s="47"/>
      <c r="U416" s="47" t="s">
        <v>296</v>
      </c>
      <c r="V416" s="47" t="s">
        <v>296</v>
      </c>
      <c r="W416" s="47" t="s">
        <v>296</v>
      </c>
      <c r="X416" s="47" t="s">
        <v>296</v>
      </c>
      <c r="Y416" s="47" t="s">
        <v>296</v>
      </c>
      <c r="Z416" s="47" t="s">
        <v>296</v>
      </c>
      <c r="AA416" s="47" t="s">
        <v>35</v>
      </c>
      <c r="AB416" s="47" t="s">
        <v>35</v>
      </c>
      <c r="AC416" s="47" t="s">
        <v>35</v>
      </c>
      <c r="AD416" s="63" t="str">
        <f>VLOOKUP(E417,sheet1!$B$2:$C$3209,2,FALSE)</f>
        <v>移動指示入力（ＪＴＳ）　</v>
      </c>
      <c r="AE416" s="49"/>
      <c r="AF416" s="51" t="s">
        <v>1766</v>
      </c>
      <c r="AG416" s="51" t="s">
        <v>1767</v>
      </c>
      <c r="AH416" s="49" t="str">
        <f t="shared" si="35"/>
        <v>移動指示入力(営業業務用)</v>
      </c>
      <c r="AI416" s="49"/>
      <c r="AJ416" s="49"/>
      <c r="AK416" s="49"/>
      <c r="AL416" s="49" t="str">
        <f t="shared" si="36"/>
        <v>移動指示残一覧表</v>
      </c>
      <c r="AM416" s="49" t="s">
        <v>35</v>
      </c>
      <c r="AN416" s="49" t="s">
        <v>1768</v>
      </c>
      <c r="AO416" s="51" t="str">
        <f t="shared" si="31"/>
        <v/>
      </c>
      <c r="AP416" s="51" t="str">
        <f t="shared" si="32"/>
        <v/>
      </c>
      <c r="AQ416" s="51"/>
      <c r="AR416" s="51"/>
      <c r="AS416" s="49" t="str">
        <f t="shared" si="33"/>
        <v/>
      </c>
      <c r="AT416" s="49" t="str">
        <f t="shared" si="34"/>
        <v/>
      </c>
      <c r="AU416" s="49"/>
      <c r="AV416" s="49"/>
    </row>
    <row r="417" spans="1:48" ht="18" customHeight="1">
      <c r="A417" s="44">
        <v>415</v>
      </c>
      <c r="B417" s="71" t="s">
        <v>1076</v>
      </c>
      <c r="C417" s="52" t="s">
        <v>1728</v>
      </c>
      <c r="D417" s="46" t="s">
        <v>116</v>
      </c>
      <c r="E417" s="44" t="s">
        <v>1767</v>
      </c>
      <c r="F417" s="44" t="s">
        <v>1769</v>
      </c>
      <c r="G417" s="44"/>
      <c r="H417" s="44"/>
      <c r="I417" s="44"/>
      <c r="J417" s="47" t="s">
        <v>35</v>
      </c>
      <c r="K417" s="47"/>
      <c r="L417" s="47"/>
      <c r="M417" s="47"/>
      <c r="N417" s="47"/>
      <c r="O417" s="44"/>
      <c r="P417" s="44"/>
      <c r="Q417" s="48">
        <f>VLOOKUP(E417,sheet1!$B$2:$D$3209,3,FALSE)</f>
        <v>749</v>
      </c>
      <c r="R417" s="47" t="s">
        <v>35</v>
      </c>
      <c r="S417" s="47" t="s">
        <v>296</v>
      </c>
      <c r="T417" s="47" t="s">
        <v>35</v>
      </c>
      <c r="U417" s="47" t="s">
        <v>296</v>
      </c>
      <c r="V417" s="47" t="s">
        <v>35</v>
      </c>
      <c r="W417" s="47" t="s">
        <v>296</v>
      </c>
      <c r="X417" s="47" t="s">
        <v>296</v>
      </c>
      <c r="Y417" s="47" t="s">
        <v>296</v>
      </c>
      <c r="Z417" s="47" t="s">
        <v>35</v>
      </c>
      <c r="AA417" s="47" t="s">
        <v>296</v>
      </c>
      <c r="AB417" s="47"/>
      <c r="AC417" s="47" t="s">
        <v>35</v>
      </c>
      <c r="AD417" s="63" t="str">
        <f>VLOOKUP(E418,sheet1!$B$2:$C$3209,2,FALSE)</f>
        <v>支給優先順位リスト</v>
      </c>
      <c r="AE417" s="49"/>
      <c r="AF417" s="51" t="s">
        <v>1770</v>
      </c>
      <c r="AG417" s="51" t="s">
        <v>1686</v>
      </c>
      <c r="AH417" s="49" t="str">
        <f t="shared" si="35"/>
        <v>購入品検査報告書印刷</v>
      </c>
      <c r="AI417" s="49"/>
      <c r="AJ417" s="49"/>
      <c r="AK417" s="49"/>
      <c r="AL417" s="49" t="str">
        <f t="shared" si="36"/>
        <v>移動日報</v>
      </c>
      <c r="AM417" s="49" t="s">
        <v>35</v>
      </c>
      <c r="AN417" s="49" t="s">
        <v>1771</v>
      </c>
      <c r="AO417" s="51" t="str">
        <f t="shared" si="31"/>
        <v/>
      </c>
      <c r="AP417" s="51" t="str">
        <f t="shared" si="32"/>
        <v/>
      </c>
      <c r="AQ417" s="51"/>
      <c r="AR417" s="51"/>
      <c r="AS417" s="49" t="str">
        <f t="shared" si="33"/>
        <v/>
      </c>
      <c r="AT417" s="49" t="str">
        <f t="shared" si="34"/>
        <v/>
      </c>
      <c r="AU417" s="49"/>
      <c r="AV417" s="49"/>
    </row>
    <row r="418" spans="1:48" ht="18" customHeight="1">
      <c r="A418" s="44">
        <v>416</v>
      </c>
      <c r="B418" s="71" t="s">
        <v>1076</v>
      </c>
      <c r="C418" s="52" t="s">
        <v>1728</v>
      </c>
      <c r="D418" s="46" t="s">
        <v>116</v>
      </c>
      <c r="E418" s="44" t="s">
        <v>1686</v>
      </c>
      <c r="F418" s="44" t="s">
        <v>1772</v>
      </c>
      <c r="G418" s="44"/>
      <c r="H418" s="44"/>
      <c r="I418" s="44"/>
      <c r="J418" s="47" t="s">
        <v>35</v>
      </c>
      <c r="K418" s="47"/>
      <c r="L418" s="47"/>
      <c r="M418" s="47"/>
      <c r="N418" s="47"/>
      <c r="O418" s="44"/>
      <c r="P418" s="44"/>
      <c r="Q418" s="48">
        <f>VLOOKUP(E418,sheet1!$B$2:$D$3209,3,FALSE)</f>
        <v>968</v>
      </c>
      <c r="R418" s="47" t="s">
        <v>35</v>
      </c>
      <c r="S418" s="47" t="s">
        <v>296</v>
      </c>
      <c r="T418" s="47"/>
      <c r="U418" s="47" t="s">
        <v>296</v>
      </c>
      <c r="V418" s="47" t="s">
        <v>296</v>
      </c>
      <c r="W418" s="47" t="s">
        <v>296</v>
      </c>
      <c r="X418" s="47" t="s">
        <v>296</v>
      </c>
      <c r="Y418" s="47" t="s">
        <v>296</v>
      </c>
      <c r="Z418" s="47" t="s">
        <v>296</v>
      </c>
      <c r="AA418" s="47" t="s">
        <v>35</v>
      </c>
      <c r="AB418" s="47"/>
      <c r="AC418" s="47" t="s">
        <v>35</v>
      </c>
      <c r="AD418" s="63" t="str">
        <f>VLOOKUP(E419,sheet1!$B$2:$C$3209,2,FALSE)</f>
        <v>移動指示残一覧表出力</v>
      </c>
      <c r="AE418" s="49"/>
      <c r="AF418" s="51" t="s">
        <v>1773</v>
      </c>
      <c r="AG418" s="51" t="s">
        <v>1774</v>
      </c>
      <c r="AH418" s="49" t="str">
        <f t="shared" si="35"/>
        <v>移動指示残一覧表</v>
      </c>
      <c r="AI418" s="49"/>
      <c r="AJ418" s="49"/>
      <c r="AK418" s="49"/>
      <c r="AL418" s="49" t="str">
        <f t="shared" si="36"/>
        <v>受入未確認リスト</v>
      </c>
      <c r="AM418" s="49" t="s">
        <v>35</v>
      </c>
      <c r="AN418" s="49" t="s">
        <v>1775</v>
      </c>
      <c r="AO418" s="51" t="str">
        <f t="shared" si="31"/>
        <v>移動指示残一覧表</v>
      </c>
      <c r="AP418" s="51" t="str">
        <f t="shared" si="32"/>
        <v>PD4325</v>
      </c>
      <c r="AQ418" s="51" t="s">
        <v>1776</v>
      </c>
      <c r="AR418" s="51" t="s">
        <v>1774</v>
      </c>
      <c r="AS418" s="49" t="str">
        <f t="shared" si="33"/>
        <v/>
      </c>
      <c r="AT418" s="49" t="str">
        <f t="shared" si="34"/>
        <v/>
      </c>
      <c r="AU418" s="49"/>
      <c r="AV418" s="49"/>
    </row>
    <row r="419" spans="1:48" ht="18" customHeight="1">
      <c r="A419" s="44">
        <v>417</v>
      </c>
      <c r="B419" s="71" t="s">
        <v>1076</v>
      </c>
      <c r="C419" s="52" t="s">
        <v>1728</v>
      </c>
      <c r="D419" s="46" t="s">
        <v>116</v>
      </c>
      <c r="E419" s="44" t="s">
        <v>1774</v>
      </c>
      <c r="F419" s="44" t="s">
        <v>1777</v>
      </c>
      <c r="G419" s="44"/>
      <c r="H419" s="44"/>
      <c r="I419" s="44"/>
      <c r="J419" s="47" t="s">
        <v>35</v>
      </c>
      <c r="K419" s="47"/>
      <c r="L419" s="47"/>
      <c r="M419" s="47"/>
      <c r="N419" s="47"/>
      <c r="O419" s="44"/>
      <c r="P419" s="44"/>
      <c r="Q419" s="48">
        <f>VLOOKUP(E419,sheet1!$B$2:$D$3209,3,FALSE)</f>
        <v>600</v>
      </c>
      <c r="R419" s="47" t="s">
        <v>35</v>
      </c>
      <c r="S419" s="47" t="s">
        <v>35</v>
      </c>
      <c r="T419" s="47" t="s">
        <v>35</v>
      </c>
      <c r="U419" s="47" t="s">
        <v>296</v>
      </c>
      <c r="V419" s="47" t="s">
        <v>35</v>
      </c>
      <c r="W419" s="47" t="s">
        <v>35</v>
      </c>
      <c r="X419" s="47" t="s">
        <v>35</v>
      </c>
      <c r="Y419" s="47" t="s">
        <v>35</v>
      </c>
      <c r="Z419" s="47" t="s">
        <v>35</v>
      </c>
      <c r="AA419" s="47" t="s">
        <v>35</v>
      </c>
      <c r="AB419" s="47" t="s">
        <v>35</v>
      </c>
      <c r="AC419" s="47" t="s">
        <v>35</v>
      </c>
      <c r="AD419" s="63" t="str">
        <f>VLOOKUP(E420,sheet1!$B$2:$C$3209,2,FALSE)</f>
        <v>移動日報</v>
      </c>
      <c r="AE419" s="49"/>
      <c r="AF419" s="51" t="s">
        <v>1778</v>
      </c>
      <c r="AG419" s="51" t="s">
        <v>1779</v>
      </c>
      <c r="AH419" s="49" t="str">
        <f t="shared" si="35"/>
        <v>移動日報</v>
      </c>
      <c r="AI419" s="49"/>
      <c r="AJ419" s="49"/>
      <c r="AK419" s="49"/>
      <c r="AL419" s="49" t="str">
        <f t="shared" si="36"/>
        <v>廃却日報</v>
      </c>
      <c r="AM419" s="49" t="s">
        <v>35</v>
      </c>
      <c r="AN419" s="49" t="s">
        <v>1780</v>
      </c>
      <c r="AO419" s="51" t="str">
        <f t="shared" si="31"/>
        <v>移動日報</v>
      </c>
      <c r="AP419" s="51" t="str">
        <f t="shared" si="32"/>
        <v>PD4326</v>
      </c>
      <c r="AQ419" s="51" t="s">
        <v>1781</v>
      </c>
      <c r="AR419" s="51" t="s">
        <v>1779</v>
      </c>
      <c r="AS419" s="49" t="str">
        <f t="shared" si="33"/>
        <v/>
      </c>
      <c r="AT419" s="49" t="str">
        <f t="shared" si="34"/>
        <v/>
      </c>
      <c r="AU419" s="49"/>
      <c r="AV419" s="49"/>
    </row>
    <row r="420" spans="1:48" ht="18" customHeight="1">
      <c r="A420" s="44">
        <v>418</v>
      </c>
      <c r="B420" s="71" t="s">
        <v>1076</v>
      </c>
      <c r="C420" s="52" t="s">
        <v>1728</v>
      </c>
      <c r="D420" s="46" t="s">
        <v>116</v>
      </c>
      <c r="E420" s="44" t="s">
        <v>1779</v>
      </c>
      <c r="F420" s="44" t="s">
        <v>1782</v>
      </c>
      <c r="G420" s="44"/>
      <c r="H420" s="44"/>
      <c r="I420" s="44"/>
      <c r="J420" s="47" t="s">
        <v>35</v>
      </c>
      <c r="K420" s="47"/>
      <c r="L420" s="47"/>
      <c r="M420" s="47"/>
      <c r="N420" s="47"/>
      <c r="O420" s="44"/>
      <c r="P420" s="44"/>
      <c r="Q420" s="48">
        <f>VLOOKUP(E420,sheet1!$B$2:$D$3209,3,FALSE)</f>
        <v>332</v>
      </c>
      <c r="R420" s="47" t="s">
        <v>35</v>
      </c>
      <c r="S420" s="47" t="s">
        <v>35</v>
      </c>
      <c r="T420" s="47" t="s">
        <v>35</v>
      </c>
      <c r="U420" s="47" t="s">
        <v>296</v>
      </c>
      <c r="V420" s="47" t="s">
        <v>35</v>
      </c>
      <c r="W420" s="47" t="s">
        <v>35</v>
      </c>
      <c r="X420" s="47" t="s">
        <v>35</v>
      </c>
      <c r="Y420" s="47" t="s">
        <v>35</v>
      </c>
      <c r="Z420" s="47" t="s">
        <v>35</v>
      </c>
      <c r="AA420" s="47" t="s">
        <v>35</v>
      </c>
      <c r="AB420" s="47" t="s">
        <v>35</v>
      </c>
      <c r="AC420" s="47" t="s">
        <v>35</v>
      </c>
      <c r="AD420" s="63" t="str">
        <f>VLOOKUP(E421,sheet1!$B$2:$C$3209,2,FALSE)</f>
        <v>移動受入未確認リスト</v>
      </c>
      <c r="AE420" s="49"/>
      <c r="AF420" s="51" t="s">
        <v>1783</v>
      </c>
      <c r="AG420" s="51" t="s">
        <v>1784</v>
      </c>
      <c r="AH420" s="49" t="str">
        <f t="shared" si="35"/>
        <v>受入未確認リスト</v>
      </c>
      <c r="AI420" s="49"/>
      <c r="AJ420" s="49"/>
      <c r="AK420" s="49"/>
      <c r="AL420" s="49" t="str">
        <f t="shared" si="36"/>
        <v>サービスパーツ未出庫一覧</v>
      </c>
      <c r="AM420" s="49" t="s">
        <v>35</v>
      </c>
      <c r="AN420" s="49" t="s">
        <v>1785</v>
      </c>
      <c r="AO420" s="51" t="str">
        <f t="shared" si="31"/>
        <v>受入未確認リスト</v>
      </c>
      <c r="AP420" s="51" t="str">
        <f t="shared" si="32"/>
        <v>PD4327</v>
      </c>
      <c r="AQ420" s="51" t="s">
        <v>1786</v>
      </c>
      <c r="AR420" s="51" t="s">
        <v>1784</v>
      </c>
      <c r="AS420" s="49" t="str">
        <f t="shared" si="33"/>
        <v/>
      </c>
      <c r="AT420" s="49" t="str">
        <f t="shared" si="34"/>
        <v/>
      </c>
      <c r="AU420" s="49"/>
      <c r="AV420" s="49"/>
    </row>
    <row r="421" spans="1:48" ht="18" customHeight="1">
      <c r="A421" s="44">
        <v>419</v>
      </c>
      <c r="B421" s="71" t="s">
        <v>1076</v>
      </c>
      <c r="C421" s="52" t="s">
        <v>1728</v>
      </c>
      <c r="D421" s="46" t="s">
        <v>116</v>
      </c>
      <c r="E421" s="44" t="s">
        <v>1784</v>
      </c>
      <c r="F421" s="44" t="s">
        <v>1787</v>
      </c>
      <c r="G421" s="44"/>
      <c r="H421" s="44"/>
      <c r="I421" s="44"/>
      <c r="J421" s="47" t="s">
        <v>35</v>
      </c>
      <c r="K421" s="47"/>
      <c r="L421" s="47"/>
      <c r="M421" s="47"/>
      <c r="N421" s="47"/>
      <c r="O421" s="44"/>
      <c r="P421" s="44"/>
      <c r="Q421" s="48">
        <f>VLOOKUP(E421,sheet1!$B$2:$D$3209,3,FALSE)</f>
        <v>463</v>
      </c>
      <c r="R421" s="47" t="s">
        <v>35</v>
      </c>
      <c r="S421" s="47" t="s">
        <v>35</v>
      </c>
      <c r="T421" s="47" t="s">
        <v>35</v>
      </c>
      <c r="U421" s="47" t="s">
        <v>296</v>
      </c>
      <c r="V421" s="47" t="s">
        <v>35</v>
      </c>
      <c r="W421" s="47" t="s">
        <v>35</v>
      </c>
      <c r="X421" s="47" t="s">
        <v>35</v>
      </c>
      <c r="Y421" s="47" t="s">
        <v>35</v>
      </c>
      <c r="Z421" s="47" t="s">
        <v>35</v>
      </c>
      <c r="AA421" s="47" t="s">
        <v>35</v>
      </c>
      <c r="AB421" s="47" t="s">
        <v>35</v>
      </c>
      <c r="AC421" s="47" t="s">
        <v>35</v>
      </c>
      <c r="AD421" s="63" t="e">
        <f>VLOOKUP(E422,sheet1!$B$2:$C$3209,2,FALSE)</f>
        <v>#N/A</v>
      </c>
      <c r="AE421" s="49"/>
      <c r="AF421" s="51" t="s">
        <v>1788</v>
      </c>
      <c r="AG421" s="51" t="s">
        <v>1789</v>
      </c>
      <c r="AH421" s="49" t="str">
        <f t="shared" si="35"/>
        <v>廃却日報</v>
      </c>
      <c r="AI421" s="49"/>
      <c r="AJ421" s="49"/>
      <c r="AK421" s="49"/>
      <c r="AL421" s="49" t="str">
        <f t="shared" si="36"/>
        <v>仕入伝票集計表</v>
      </c>
      <c r="AM421" s="49" t="s">
        <v>35</v>
      </c>
      <c r="AN421" s="49" t="s">
        <v>1790</v>
      </c>
      <c r="AO421" s="51" t="str">
        <f t="shared" si="31"/>
        <v>廃却日報</v>
      </c>
      <c r="AP421" s="51" t="str">
        <f t="shared" si="32"/>
        <v/>
      </c>
      <c r="AQ421" s="51" t="s">
        <v>1791</v>
      </c>
      <c r="AR421" s="51"/>
      <c r="AS421" s="49" t="str">
        <f t="shared" si="33"/>
        <v/>
      </c>
      <c r="AT421" s="49" t="str">
        <f t="shared" si="34"/>
        <v/>
      </c>
      <c r="AU421" s="49"/>
      <c r="AV421" s="49"/>
    </row>
    <row r="422" spans="1:48" ht="18" customHeight="1">
      <c r="A422" s="44">
        <v>420</v>
      </c>
      <c r="B422" s="71" t="s">
        <v>1076</v>
      </c>
      <c r="C422" s="52" t="s">
        <v>1728</v>
      </c>
      <c r="D422" s="46" t="s">
        <v>116</v>
      </c>
      <c r="E422" s="44" t="s">
        <v>1789</v>
      </c>
      <c r="F422" s="44" t="s">
        <v>1792</v>
      </c>
      <c r="G422" s="44"/>
      <c r="H422" s="44"/>
      <c r="I422" s="44"/>
      <c r="J422" s="47" t="s">
        <v>35</v>
      </c>
      <c r="K422" s="47"/>
      <c r="L422" s="47"/>
      <c r="M422" s="47"/>
      <c r="N422" s="47"/>
      <c r="O422" s="44"/>
      <c r="P422" s="44"/>
      <c r="Q422" s="48" t="e">
        <f>VLOOKUP(E422,sheet1!$B$2:$D$3209,3,FALSE)</f>
        <v>#N/A</v>
      </c>
      <c r="R422" s="47" t="s">
        <v>35</v>
      </c>
      <c r="S422" s="47" t="s">
        <v>35</v>
      </c>
      <c r="T422" s="47" t="s">
        <v>35</v>
      </c>
      <c r="U422" s="47" t="s">
        <v>296</v>
      </c>
      <c r="V422" s="47" t="s">
        <v>35</v>
      </c>
      <c r="W422" s="47" t="s">
        <v>296</v>
      </c>
      <c r="X422" s="47" t="s">
        <v>296</v>
      </c>
      <c r="Y422" s="47" t="s">
        <v>296</v>
      </c>
      <c r="Z422" s="47" t="s">
        <v>35</v>
      </c>
      <c r="AA422" s="47" t="s">
        <v>296</v>
      </c>
      <c r="AB422" s="47" t="s">
        <v>35</v>
      </c>
      <c r="AC422" s="47" t="s">
        <v>35</v>
      </c>
      <c r="AD422" s="63" t="str">
        <f>VLOOKUP(E423,sheet1!$B$2:$C$3209,2,FALSE)</f>
        <v>サービスパーツ未出庫一覧                    JCM</v>
      </c>
      <c r="AE422" s="49"/>
      <c r="AF422" s="51" t="s">
        <v>1793</v>
      </c>
      <c r="AG422" s="51" t="s">
        <v>1794</v>
      </c>
      <c r="AH422" s="49" t="s">
        <v>1785</v>
      </c>
      <c r="AI422" s="49"/>
      <c r="AJ422" s="49"/>
      <c r="AK422" s="49"/>
      <c r="AL422" s="49" t="str">
        <f t="shared" si="36"/>
        <v/>
      </c>
      <c r="AM422" s="49" t="s">
        <v>35</v>
      </c>
      <c r="AN422" s="49"/>
      <c r="AO422" s="51" t="str">
        <f t="shared" si="31"/>
        <v>サービスパーツ未出庫一覧</v>
      </c>
      <c r="AP422" s="51" t="str">
        <f t="shared" si="32"/>
        <v>PD3700</v>
      </c>
      <c r="AQ422" s="51" t="s">
        <v>1795</v>
      </c>
      <c r="AR422" s="51" t="s">
        <v>1794</v>
      </c>
      <c r="AS422" s="49" t="str">
        <f t="shared" si="33"/>
        <v/>
      </c>
      <c r="AT422" s="49" t="str">
        <f t="shared" si="34"/>
        <v/>
      </c>
      <c r="AU422" s="49"/>
      <c r="AV422" s="49"/>
    </row>
    <row r="423" spans="1:48" ht="18" customHeight="1">
      <c r="A423" s="44">
        <v>421</v>
      </c>
      <c r="B423" s="71" t="s">
        <v>1076</v>
      </c>
      <c r="C423" s="52" t="s">
        <v>1728</v>
      </c>
      <c r="D423" s="46" t="s">
        <v>116</v>
      </c>
      <c r="E423" s="44" t="s">
        <v>1794</v>
      </c>
      <c r="F423" s="44" t="s">
        <v>1785</v>
      </c>
      <c r="G423" s="44"/>
      <c r="H423" s="44"/>
      <c r="I423" s="44"/>
      <c r="J423" s="47" t="s">
        <v>35</v>
      </c>
      <c r="K423" s="47"/>
      <c r="L423" s="47"/>
      <c r="M423" s="47"/>
      <c r="N423" s="47"/>
      <c r="O423" s="44"/>
      <c r="P423" s="44"/>
      <c r="Q423" s="48">
        <f>VLOOKUP(E423,sheet1!$B$2:$D$3209,3,FALSE)</f>
        <v>424</v>
      </c>
      <c r="R423" s="47" t="s">
        <v>35</v>
      </c>
      <c r="S423" s="47" t="s">
        <v>35</v>
      </c>
      <c r="T423" s="47" t="s">
        <v>35</v>
      </c>
      <c r="U423" s="47" t="s">
        <v>296</v>
      </c>
      <c r="V423" s="47" t="s">
        <v>35</v>
      </c>
      <c r="W423" s="47" t="s">
        <v>35</v>
      </c>
      <c r="X423" s="47" t="s">
        <v>35</v>
      </c>
      <c r="Y423" s="47" t="s">
        <v>35</v>
      </c>
      <c r="Z423" s="47" t="s">
        <v>35</v>
      </c>
      <c r="AA423" s="47" t="s">
        <v>35</v>
      </c>
      <c r="AB423" s="47" t="s">
        <v>35</v>
      </c>
      <c r="AC423" s="47" t="s">
        <v>35</v>
      </c>
      <c r="AD423" s="76" t="str">
        <f>VLOOKUP(E424,sheet1!$B$2:$C$3209,2,FALSE)</f>
        <v>仕入伝票集計表　画面入力チェック            JCM</v>
      </c>
      <c r="AE423" s="49"/>
      <c r="AF423" s="51" t="s">
        <v>1796</v>
      </c>
      <c r="AG423" s="51" t="s">
        <v>1797</v>
      </c>
      <c r="AH423" s="49" t="str">
        <f t="shared" ref="AH423:AH457" si="37">TRIM(MID(AF423,4,100))</f>
        <v>仕入伝票集計表</v>
      </c>
      <c r="AI423" s="49"/>
      <c r="AJ423" s="49"/>
      <c r="AK423" s="49"/>
      <c r="AL423" s="49" t="str">
        <f t="shared" si="36"/>
        <v/>
      </c>
      <c r="AM423" s="49" t="s">
        <v>35</v>
      </c>
      <c r="AN423" s="49"/>
      <c r="AO423" s="51" t="str">
        <f t="shared" si="31"/>
        <v>仕入伝票集計表</v>
      </c>
      <c r="AP423" s="51" t="str">
        <f t="shared" si="32"/>
        <v>PD4400</v>
      </c>
      <c r="AQ423" s="51" t="s">
        <v>1798</v>
      </c>
      <c r="AR423" s="51" t="s">
        <v>1797</v>
      </c>
      <c r="AS423" s="49" t="str">
        <f t="shared" si="33"/>
        <v/>
      </c>
      <c r="AT423" s="49" t="str">
        <f t="shared" si="34"/>
        <v/>
      </c>
      <c r="AU423" s="49"/>
      <c r="AV423" s="49"/>
    </row>
    <row r="424" spans="1:48" ht="18" customHeight="1">
      <c r="A424" s="44">
        <v>422</v>
      </c>
      <c r="B424" s="71" t="s">
        <v>1076</v>
      </c>
      <c r="C424" s="52" t="s">
        <v>1728</v>
      </c>
      <c r="D424" s="46" t="s">
        <v>116</v>
      </c>
      <c r="E424" s="44" t="s">
        <v>1797</v>
      </c>
      <c r="F424" s="44" t="s">
        <v>1799</v>
      </c>
      <c r="G424" s="44"/>
      <c r="H424" s="44"/>
      <c r="I424" s="44"/>
      <c r="J424" s="47" t="s">
        <v>35</v>
      </c>
      <c r="K424" s="47"/>
      <c r="L424" s="47"/>
      <c r="M424" s="47"/>
      <c r="N424" s="47"/>
      <c r="O424" s="44"/>
      <c r="P424" s="44"/>
      <c r="Q424" s="48">
        <f>VLOOKUP(E424,sheet1!$B$2:$D$3209,3,FALSE)</f>
        <v>232</v>
      </c>
      <c r="R424" s="47" t="s">
        <v>35</v>
      </c>
      <c r="S424" s="47" t="s">
        <v>35</v>
      </c>
      <c r="T424" s="47" t="s">
        <v>35</v>
      </c>
      <c r="U424" s="47" t="s">
        <v>296</v>
      </c>
      <c r="V424" s="47" t="s">
        <v>35</v>
      </c>
      <c r="W424" s="47" t="s">
        <v>35</v>
      </c>
      <c r="X424" s="47" t="s">
        <v>35</v>
      </c>
      <c r="Y424" s="47" t="s">
        <v>35</v>
      </c>
      <c r="Z424" s="47" t="s">
        <v>35</v>
      </c>
      <c r="AA424" s="47" t="s">
        <v>35</v>
      </c>
      <c r="AB424" s="47" t="s">
        <v>35</v>
      </c>
      <c r="AC424" s="47" t="s">
        <v>35</v>
      </c>
      <c r="AD424" s="75" t="str">
        <f>VLOOKUP(E425,sheet1!$B$2:$C$3209,2,FALSE)</f>
        <v>品目別在庫照会</v>
      </c>
      <c r="AE424" s="49"/>
      <c r="AF424" s="51" t="s">
        <v>1800</v>
      </c>
      <c r="AG424" s="51" t="s">
        <v>1801</v>
      </c>
      <c r="AH424" s="49" t="str">
        <f t="shared" si="37"/>
        <v>在庫（品目別）</v>
      </c>
      <c r="AI424" s="49"/>
      <c r="AJ424" s="49"/>
      <c r="AK424" s="49"/>
      <c r="AL424" s="49" t="str">
        <f t="shared" si="36"/>
        <v>在庫（品目別）</v>
      </c>
      <c r="AM424" s="49" t="s">
        <v>35</v>
      </c>
      <c r="AN424" s="49" t="s">
        <v>1802</v>
      </c>
      <c r="AO424" s="51" t="str">
        <f t="shared" si="31"/>
        <v>在庫（品目別）</v>
      </c>
      <c r="AP424" s="51" t="str">
        <f t="shared" si="32"/>
        <v>PD5010</v>
      </c>
      <c r="AQ424" s="51" t="s">
        <v>1800</v>
      </c>
      <c r="AR424" s="51" t="s">
        <v>1801</v>
      </c>
      <c r="AS424" s="49" t="str">
        <f t="shared" si="33"/>
        <v/>
      </c>
      <c r="AT424" s="49" t="str">
        <f t="shared" si="34"/>
        <v/>
      </c>
      <c r="AU424" s="49"/>
      <c r="AV424" s="49"/>
    </row>
    <row r="425" spans="1:48" ht="18" customHeight="1">
      <c r="A425" s="44">
        <v>423</v>
      </c>
      <c r="B425" s="71" t="s">
        <v>1076</v>
      </c>
      <c r="C425" s="53" t="s">
        <v>1803</v>
      </c>
      <c r="D425" s="46" t="s">
        <v>116</v>
      </c>
      <c r="E425" s="44" t="s">
        <v>1801</v>
      </c>
      <c r="F425" s="44" t="s">
        <v>1804</v>
      </c>
      <c r="G425" s="44"/>
      <c r="H425" s="44"/>
      <c r="I425" s="44"/>
      <c r="J425" s="47" t="s">
        <v>35</v>
      </c>
      <c r="K425" s="47"/>
      <c r="L425" s="47"/>
      <c r="M425" s="47"/>
      <c r="N425" s="47"/>
      <c r="O425" s="44"/>
      <c r="P425" s="44"/>
      <c r="Q425" s="48">
        <f>VLOOKUP(E425,sheet1!$B$2:$D$3209,3,FALSE)</f>
        <v>469</v>
      </c>
      <c r="R425" s="47" t="s">
        <v>35</v>
      </c>
      <c r="S425" s="47" t="s">
        <v>35</v>
      </c>
      <c r="T425" s="47" t="s">
        <v>35</v>
      </c>
      <c r="U425" s="47" t="s">
        <v>296</v>
      </c>
      <c r="V425" s="47" t="s">
        <v>35</v>
      </c>
      <c r="W425" s="47" t="s">
        <v>35</v>
      </c>
      <c r="X425" s="47" t="s">
        <v>35</v>
      </c>
      <c r="Y425" s="47" t="s">
        <v>35</v>
      </c>
      <c r="Z425" s="47" t="s">
        <v>35</v>
      </c>
      <c r="AA425" s="47" t="s">
        <v>35</v>
      </c>
      <c r="AB425" s="47" t="s">
        <v>35</v>
      </c>
      <c r="AC425" s="47" t="s">
        <v>35</v>
      </c>
      <c r="AD425" s="63" t="str">
        <f>VLOOKUP(E426,sheet1!$B$2:$C$3209,2,FALSE)</f>
        <v>管理場所別在庫照会</v>
      </c>
      <c r="AE425" s="49"/>
      <c r="AF425" s="51" t="s">
        <v>1805</v>
      </c>
      <c r="AG425" s="51" t="s">
        <v>1806</v>
      </c>
      <c r="AH425" s="49" t="str">
        <f t="shared" si="37"/>
        <v>在庫（場所別）</v>
      </c>
      <c r="AI425" s="49"/>
      <c r="AJ425" s="49"/>
      <c r="AK425" s="49"/>
      <c r="AL425" s="49" t="str">
        <f t="shared" si="36"/>
        <v>在庫（場所別）</v>
      </c>
      <c r="AM425" s="49" t="s">
        <v>35</v>
      </c>
      <c r="AN425" s="49" t="s">
        <v>1807</v>
      </c>
      <c r="AO425" s="51" t="str">
        <f t="shared" si="31"/>
        <v>在庫（場所別）</v>
      </c>
      <c r="AP425" s="51" t="str">
        <f t="shared" si="32"/>
        <v>PD5020</v>
      </c>
      <c r="AQ425" s="51" t="s">
        <v>1805</v>
      </c>
      <c r="AR425" s="51" t="s">
        <v>1806</v>
      </c>
      <c r="AS425" s="49" t="str">
        <f t="shared" si="33"/>
        <v/>
      </c>
      <c r="AT425" s="49" t="str">
        <f t="shared" si="34"/>
        <v/>
      </c>
      <c r="AU425" s="49"/>
      <c r="AV425" s="49"/>
    </row>
    <row r="426" spans="1:48" ht="18" customHeight="1">
      <c r="A426" s="44">
        <v>424</v>
      </c>
      <c r="B426" s="71" t="s">
        <v>1076</v>
      </c>
      <c r="C426" s="54" t="s">
        <v>1803</v>
      </c>
      <c r="D426" s="46" t="s">
        <v>116</v>
      </c>
      <c r="E426" s="44" t="s">
        <v>1806</v>
      </c>
      <c r="F426" s="44" t="s">
        <v>1808</v>
      </c>
      <c r="G426" s="44"/>
      <c r="H426" s="44"/>
      <c r="I426" s="44"/>
      <c r="J426" s="47" t="s">
        <v>35</v>
      </c>
      <c r="K426" s="47"/>
      <c r="L426" s="47"/>
      <c r="M426" s="47"/>
      <c r="N426" s="47"/>
      <c r="O426" s="44"/>
      <c r="P426" s="44"/>
      <c r="Q426" s="48">
        <f>VLOOKUP(E426,sheet1!$B$2:$D$3209,3,FALSE)</f>
        <v>597</v>
      </c>
      <c r="R426" s="47" t="s">
        <v>35</v>
      </c>
      <c r="S426" s="47" t="s">
        <v>35</v>
      </c>
      <c r="T426" s="47" t="s">
        <v>35</v>
      </c>
      <c r="U426" s="47" t="s">
        <v>296</v>
      </c>
      <c r="V426" s="47" t="s">
        <v>35</v>
      </c>
      <c r="W426" s="47" t="s">
        <v>35</v>
      </c>
      <c r="X426" s="47" t="s">
        <v>35</v>
      </c>
      <c r="Y426" s="47" t="s">
        <v>35</v>
      </c>
      <c r="Z426" s="47" t="s">
        <v>35</v>
      </c>
      <c r="AA426" s="47" t="s">
        <v>35</v>
      </c>
      <c r="AB426" s="47" t="s">
        <v>35</v>
      </c>
      <c r="AC426" s="47" t="s">
        <v>35</v>
      </c>
      <c r="AD426" s="63" t="str">
        <f>VLOOKUP(E427,sheet1!$B$2:$C$3209,2,FALSE)</f>
        <v>ロット別在庫照会</v>
      </c>
      <c r="AE426" s="49"/>
      <c r="AF426" s="51" t="s">
        <v>1809</v>
      </c>
      <c r="AG426" s="51" t="s">
        <v>1810</v>
      </c>
      <c r="AH426" s="49" t="str">
        <f t="shared" si="37"/>
        <v>在庫（ﾛｯﾄ別）</v>
      </c>
      <c r="AI426" s="49"/>
      <c r="AJ426" s="49"/>
      <c r="AK426" s="49"/>
      <c r="AL426" s="49" t="str">
        <f t="shared" si="36"/>
        <v>在庫（ﾛｯﾄ別）</v>
      </c>
      <c r="AM426" s="49" t="s">
        <v>35</v>
      </c>
      <c r="AN426" s="49" t="s">
        <v>1811</v>
      </c>
      <c r="AO426" s="51" t="str">
        <f t="shared" si="31"/>
        <v>在庫（ﾛｯﾄ別）</v>
      </c>
      <c r="AP426" s="51" t="str">
        <f t="shared" si="32"/>
        <v>PD5040</v>
      </c>
      <c r="AQ426" s="51" t="s">
        <v>1809</v>
      </c>
      <c r="AR426" s="51" t="s">
        <v>1810</v>
      </c>
      <c r="AS426" s="49" t="str">
        <f t="shared" si="33"/>
        <v/>
      </c>
      <c r="AT426" s="49" t="str">
        <f t="shared" si="34"/>
        <v/>
      </c>
      <c r="AU426" s="49"/>
      <c r="AV426" s="49"/>
    </row>
    <row r="427" spans="1:48" ht="18" customHeight="1">
      <c r="A427" s="44">
        <v>425</v>
      </c>
      <c r="B427" s="71" t="s">
        <v>1076</v>
      </c>
      <c r="C427" s="54" t="s">
        <v>1803</v>
      </c>
      <c r="D427" s="46" t="s">
        <v>116</v>
      </c>
      <c r="E427" s="44" t="s">
        <v>1810</v>
      </c>
      <c r="F427" s="44" t="s">
        <v>1812</v>
      </c>
      <c r="G427" s="44"/>
      <c r="H427" s="44"/>
      <c r="I427" s="44"/>
      <c r="J427" s="47" t="s">
        <v>35</v>
      </c>
      <c r="K427" s="47"/>
      <c r="L427" s="47"/>
      <c r="M427" s="47"/>
      <c r="N427" s="47"/>
      <c r="O427" s="44"/>
      <c r="P427" s="44"/>
      <c r="Q427" s="48">
        <f>VLOOKUP(E427,sheet1!$B$2:$D$3209,3,FALSE)</f>
        <v>549</v>
      </c>
      <c r="R427" s="47" t="s">
        <v>35</v>
      </c>
      <c r="S427" s="47" t="s">
        <v>35</v>
      </c>
      <c r="T427" s="47" t="s">
        <v>35</v>
      </c>
      <c r="U427" s="47" t="s">
        <v>296</v>
      </c>
      <c r="V427" s="47" t="s">
        <v>35</v>
      </c>
      <c r="W427" s="47" t="s">
        <v>35</v>
      </c>
      <c r="X427" s="47" t="s">
        <v>35</v>
      </c>
      <c r="Y427" s="47" t="s">
        <v>35</v>
      </c>
      <c r="Z427" s="47" t="s">
        <v>35</v>
      </c>
      <c r="AA427" s="47" t="s">
        <v>35</v>
      </c>
      <c r="AB427" s="47" t="s">
        <v>35</v>
      </c>
      <c r="AC427" s="47" t="s">
        <v>35</v>
      </c>
      <c r="AD427" s="63" t="str">
        <f>VLOOKUP(E428,sheet1!$B$2:$C$3209,2,FALSE)</f>
        <v>場所／品目／ロット別在庫照会</v>
      </c>
      <c r="AE427" s="49"/>
      <c r="AF427" s="51" t="s">
        <v>1813</v>
      </c>
      <c r="AG427" s="51" t="s">
        <v>1814</v>
      </c>
      <c r="AH427" s="49" t="str">
        <f t="shared" si="37"/>
        <v>在庫（場所・ﾛｯﾄ別）</v>
      </c>
      <c r="AI427" s="49"/>
      <c r="AJ427" s="49"/>
      <c r="AK427" s="49"/>
      <c r="AL427" s="49" t="str">
        <f t="shared" si="36"/>
        <v>在庫（場所・ﾛｯﾄ別）</v>
      </c>
      <c r="AM427" s="49" t="s">
        <v>35</v>
      </c>
      <c r="AN427" s="49" t="s">
        <v>1815</v>
      </c>
      <c r="AO427" s="51" t="str">
        <f t="shared" si="31"/>
        <v>在庫（場所・ﾛｯﾄ別）</v>
      </c>
      <c r="AP427" s="51" t="str">
        <f t="shared" si="32"/>
        <v>PD5050</v>
      </c>
      <c r="AQ427" s="51" t="s">
        <v>1813</v>
      </c>
      <c r="AR427" s="51" t="s">
        <v>1814</v>
      </c>
      <c r="AS427" s="49" t="str">
        <f t="shared" si="33"/>
        <v/>
      </c>
      <c r="AT427" s="49" t="str">
        <f t="shared" si="34"/>
        <v/>
      </c>
      <c r="AU427" s="49"/>
      <c r="AV427" s="49"/>
    </row>
    <row r="428" spans="1:48" ht="18" customHeight="1">
      <c r="A428" s="44">
        <v>426</v>
      </c>
      <c r="B428" s="71" t="s">
        <v>1076</v>
      </c>
      <c r="C428" s="54" t="s">
        <v>1803</v>
      </c>
      <c r="D428" s="46" t="s">
        <v>116</v>
      </c>
      <c r="E428" s="44" t="s">
        <v>1814</v>
      </c>
      <c r="F428" s="44" t="s">
        <v>1816</v>
      </c>
      <c r="G428" s="44"/>
      <c r="H428" s="44"/>
      <c r="I428" s="44"/>
      <c r="J428" s="47" t="s">
        <v>35</v>
      </c>
      <c r="K428" s="47"/>
      <c r="L428" s="47"/>
      <c r="M428" s="47"/>
      <c r="N428" s="47"/>
      <c r="O428" s="44"/>
      <c r="P428" s="44"/>
      <c r="Q428" s="48">
        <f>VLOOKUP(E428,sheet1!$B$2:$D$3209,3,FALSE)</f>
        <v>747</v>
      </c>
      <c r="R428" s="47" t="s">
        <v>35</v>
      </c>
      <c r="S428" s="47" t="s">
        <v>35</v>
      </c>
      <c r="T428" s="47" t="s">
        <v>35</v>
      </c>
      <c r="U428" s="47" t="s">
        <v>296</v>
      </c>
      <c r="V428" s="47" t="s">
        <v>35</v>
      </c>
      <c r="W428" s="47" t="s">
        <v>35</v>
      </c>
      <c r="X428" s="47" t="s">
        <v>35</v>
      </c>
      <c r="Y428" s="47" t="s">
        <v>35</v>
      </c>
      <c r="Z428" s="47" t="s">
        <v>35</v>
      </c>
      <c r="AA428" s="47" t="s">
        <v>35</v>
      </c>
      <c r="AB428" s="47" t="s">
        <v>35</v>
      </c>
      <c r="AC428" s="47" t="s">
        <v>35</v>
      </c>
      <c r="AD428" s="63" t="str">
        <f>VLOOKUP(E429,sheet1!$B$2:$C$3209,2,FALSE)</f>
        <v>仕入先のみ別受入実績照会</v>
      </c>
      <c r="AE428" s="49"/>
      <c r="AF428" s="51" t="s">
        <v>1817</v>
      </c>
      <c r="AG428" s="51" t="s">
        <v>1818</v>
      </c>
      <c r="AH428" s="49" t="str">
        <f t="shared" si="37"/>
        <v>受入実績（仕入先のみ別）</v>
      </c>
      <c r="AI428" s="49"/>
      <c r="AJ428" s="49"/>
      <c r="AK428" s="49"/>
      <c r="AL428" s="49" t="str">
        <f t="shared" si="36"/>
        <v>受入実績（仕入先のみ別）</v>
      </c>
      <c r="AM428" s="49" t="s">
        <v>35</v>
      </c>
      <c r="AN428" s="49" t="s">
        <v>1819</v>
      </c>
      <c r="AO428" s="51" t="str">
        <f t="shared" si="31"/>
        <v>受入実績（仕入先のみ別）</v>
      </c>
      <c r="AP428" s="51" t="str">
        <f t="shared" si="32"/>
        <v>PD5185</v>
      </c>
      <c r="AQ428" s="51" t="s">
        <v>1820</v>
      </c>
      <c r="AR428" s="51" t="s">
        <v>1818</v>
      </c>
      <c r="AS428" s="49" t="str">
        <f t="shared" si="33"/>
        <v/>
      </c>
      <c r="AT428" s="49" t="str">
        <f t="shared" si="34"/>
        <v/>
      </c>
      <c r="AU428" s="49"/>
      <c r="AV428" s="49"/>
    </row>
    <row r="429" spans="1:48" ht="18" customHeight="1">
      <c r="A429" s="44">
        <v>427</v>
      </c>
      <c r="B429" s="71" t="s">
        <v>1076</v>
      </c>
      <c r="C429" s="54" t="s">
        <v>1803</v>
      </c>
      <c r="D429" s="46" t="s">
        <v>116</v>
      </c>
      <c r="E429" s="44" t="s">
        <v>1818</v>
      </c>
      <c r="F429" s="44" t="s">
        <v>1819</v>
      </c>
      <c r="G429" s="44"/>
      <c r="H429" s="44"/>
      <c r="I429" s="44"/>
      <c r="J429" s="47" t="s">
        <v>35</v>
      </c>
      <c r="K429" s="47"/>
      <c r="L429" s="47"/>
      <c r="M429" s="47"/>
      <c r="N429" s="47"/>
      <c r="O429" s="44"/>
      <c r="P429" s="44"/>
      <c r="Q429" s="48">
        <f>VLOOKUP(E429,sheet1!$B$2:$D$3209,3,FALSE)</f>
        <v>764</v>
      </c>
      <c r="R429" s="47" t="s">
        <v>35</v>
      </c>
      <c r="S429" s="47" t="s">
        <v>35</v>
      </c>
      <c r="T429" s="47" t="s">
        <v>35</v>
      </c>
      <c r="U429" s="47" t="s">
        <v>296</v>
      </c>
      <c r="V429" s="47" t="s">
        <v>35</v>
      </c>
      <c r="W429" s="47" t="s">
        <v>35</v>
      </c>
      <c r="X429" s="47" t="s">
        <v>35</v>
      </c>
      <c r="Y429" s="47" t="s">
        <v>35</v>
      </c>
      <c r="Z429" s="47" t="s">
        <v>35</v>
      </c>
      <c r="AA429" s="47" t="s">
        <v>35</v>
      </c>
      <c r="AB429" s="47" t="s">
        <v>35</v>
      </c>
      <c r="AC429" s="47" t="s">
        <v>35</v>
      </c>
      <c r="AD429" s="63" t="str">
        <f>VLOOKUP(E430,sheet1!$B$2:$C$3209,2,FALSE)</f>
        <v>発注№のみ別受入実績照会                     JCM</v>
      </c>
      <c r="AE429" s="49"/>
      <c r="AF429" s="51" t="s">
        <v>1821</v>
      </c>
      <c r="AG429" s="51" t="s">
        <v>1822</v>
      </c>
      <c r="AH429" s="49" t="str">
        <f t="shared" si="37"/>
        <v>受入実績（発注No,のみ別）</v>
      </c>
      <c r="AI429" s="49"/>
      <c r="AJ429" s="49"/>
      <c r="AK429" s="49"/>
      <c r="AL429" s="49" t="str">
        <f t="shared" si="36"/>
        <v>受入実績（発注No,のみ別）</v>
      </c>
      <c r="AM429" s="49" t="s">
        <v>35</v>
      </c>
      <c r="AN429" s="49" t="s">
        <v>1823</v>
      </c>
      <c r="AO429" s="51" t="str">
        <f t="shared" si="31"/>
        <v>受入実績（発注No.のみ別）</v>
      </c>
      <c r="AP429" s="51" t="str">
        <f t="shared" si="32"/>
        <v>PD5240</v>
      </c>
      <c r="AQ429" s="51" t="s">
        <v>1824</v>
      </c>
      <c r="AR429" s="51" t="s">
        <v>1822</v>
      </c>
      <c r="AS429" s="49" t="str">
        <f t="shared" si="33"/>
        <v/>
      </c>
      <c r="AT429" s="49" t="str">
        <f t="shared" si="34"/>
        <v/>
      </c>
      <c r="AU429" s="49"/>
      <c r="AV429" s="49"/>
    </row>
    <row r="430" spans="1:48" ht="18" customHeight="1">
      <c r="A430" s="44">
        <v>428</v>
      </c>
      <c r="B430" s="71" t="s">
        <v>1076</v>
      </c>
      <c r="C430" s="54" t="s">
        <v>1803</v>
      </c>
      <c r="D430" s="46" t="s">
        <v>116</v>
      </c>
      <c r="E430" s="44" t="s">
        <v>1822</v>
      </c>
      <c r="F430" s="44" t="s">
        <v>1825</v>
      </c>
      <c r="G430" s="44"/>
      <c r="H430" s="44"/>
      <c r="I430" s="44"/>
      <c r="J430" s="47" t="s">
        <v>35</v>
      </c>
      <c r="K430" s="47"/>
      <c r="L430" s="47"/>
      <c r="M430" s="47"/>
      <c r="N430" s="47"/>
      <c r="O430" s="44"/>
      <c r="P430" s="44"/>
      <c r="Q430" s="48">
        <f>VLOOKUP(E430,sheet1!$B$2:$D$3209,3,FALSE)</f>
        <v>444</v>
      </c>
      <c r="R430" s="47" t="s">
        <v>35</v>
      </c>
      <c r="S430" s="47" t="s">
        <v>35</v>
      </c>
      <c r="T430" s="47" t="s">
        <v>35</v>
      </c>
      <c r="U430" s="47" t="s">
        <v>296</v>
      </c>
      <c r="V430" s="47" t="s">
        <v>35</v>
      </c>
      <c r="W430" s="47" t="s">
        <v>35</v>
      </c>
      <c r="X430" s="47" t="s">
        <v>35</v>
      </c>
      <c r="Y430" s="47" t="s">
        <v>35</v>
      </c>
      <c r="Z430" s="47" t="s">
        <v>35</v>
      </c>
      <c r="AA430" s="47" t="s">
        <v>35</v>
      </c>
      <c r="AB430" s="47" t="s">
        <v>35</v>
      </c>
      <c r="AC430" s="47" t="s">
        <v>35</v>
      </c>
      <c r="AD430" s="63" t="str">
        <f>VLOOKUP(E431,sheet1!$B$2:$C$3209,2,FALSE)</f>
        <v>発注№別受入実績照会</v>
      </c>
      <c r="AE430" s="49"/>
      <c r="AF430" s="51" t="s">
        <v>1826</v>
      </c>
      <c r="AG430" s="51" t="s">
        <v>1827</v>
      </c>
      <c r="AH430" s="49" t="str">
        <f t="shared" si="37"/>
        <v>受入実績（発注No,別）</v>
      </c>
      <c r="AI430" s="49"/>
      <c r="AJ430" s="49"/>
      <c r="AK430" s="49"/>
      <c r="AL430" s="49" t="str">
        <f t="shared" si="36"/>
        <v>受入実績（発注No,別）</v>
      </c>
      <c r="AM430" s="49" t="s">
        <v>35</v>
      </c>
      <c r="AN430" s="49" t="s">
        <v>1828</v>
      </c>
      <c r="AO430" s="51" t="str">
        <f t="shared" si="31"/>
        <v>受入実績（発注No.別）</v>
      </c>
      <c r="AP430" s="51" t="str">
        <f t="shared" si="32"/>
        <v>PD5160</v>
      </c>
      <c r="AQ430" s="51" t="s">
        <v>1829</v>
      </c>
      <c r="AR430" s="51" t="s">
        <v>1827</v>
      </c>
      <c r="AS430" s="49" t="str">
        <f t="shared" si="33"/>
        <v/>
      </c>
      <c r="AT430" s="49" t="str">
        <f t="shared" si="34"/>
        <v/>
      </c>
      <c r="AU430" s="49"/>
      <c r="AV430" s="49"/>
    </row>
    <row r="431" spans="1:48" ht="18" customHeight="1">
      <c r="A431" s="44">
        <v>429</v>
      </c>
      <c r="B431" s="71" t="s">
        <v>1076</v>
      </c>
      <c r="C431" s="54" t="s">
        <v>1803</v>
      </c>
      <c r="D431" s="46" t="s">
        <v>116</v>
      </c>
      <c r="E431" s="44" t="s">
        <v>1827</v>
      </c>
      <c r="F431" s="44" t="s">
        <v>1830</v>
      </c>
      <c r="G431" s="44"/>
      <c r="H431" s="44"/>
      <c r="I431" s="44"/>
      <c r="J431" s="47" t="s">
        <v>35</v>
      </c>
      <c r="K431" s="47"/>
      <c r="L431" s="47"/>
      <c r="M431" s="47"/>
      <c r="N431" s="47"/>
      <c r="O431" s="44"/>
      <c r="P431" s="44"/>
      <c r="Q431" s="48">
        <f>VLOOKUP(E431,sheet1!$B$2:$D$3209,3,FALSE)</f>
        <v>477</v>
      </c>
      <c r="R431" s="47" t="s">
        <v>35</v>
      </c>
      <c r="S431" s="47" t="s">
        <v>35</v>
      </c>
      <c r="T431" s="47" t="s">
        <v>35</v>
      </c>
      <c r="U431" s="47" t="s">
        <v>296</v>
      </c>
      <c r="V431" s="47" t="s">
        <v>35</v>
      </c>
      <c r="W431" s="47" t="s">
        <v>35</v>
      </c>
      <c r="X431" s="47" t="s">
        <v>35</v>
      </c>
      <c r="Y431" s="47" t="s">
        <v>35</v>
      </c>
      <c r="Z431" s="47" t="s">
        <v>35</v>
      </c>
      <c r="AA431" s="47" t="s">
        <v>35</v>
      </c>
      <c r="AB431" s="47" t="s">
        <v>35</v>
      </c>
      <c r="AC431" s="47" t="s">
        <v>35</v>
      </c>
      <c r="AD431" s="63" t="str">
        <f>VLOOKUP(E432,sheet1!$B$2:$C$3209,2,FALSE)</f>
        <v>品目別受入実績照会</v>
      </c>
      <c r="AE431" s="49"/>
      <c r="AF431" s="51" t="s">
        <v>1831</v>
      </c>
      <c r="AG431" s="51" t="s">
        <v>1832</v>
      </c>
      <c r="AH431" s="49" t="str">
        <f t="shared" si="37"/>
        <v>受入実績（品目　別）</v>
      </c>
      <c r="AI431" s="49"/>
      <c r="AJ431" s="49"/>
      <c r="AK431" s="49"/>
      <c r="AL431" s="49" t="str">
        <f t="shared" si="36"/>
        <v>受入実績（品目　別）</v>
      </c>
      <c r="AM431" s="49" t="s">
        <v>35</v>
      </c>
      <c r="AN431" s="49" t="s">
        <v>1833</v>
      </c>
      <c r="AO431" s="51" t="str">
        <f t="shared" si="31"/>
        <v>受入実績（品目　別）</v>
      </c>
      <c r="AP431" s="51" t="str">
        <f t="shared" si="32"/>
        <v>PD5170</v>
      </c>
      <c r="AQ431" s="51" t="s">
        <v>1834</v>
      </c>
      <c r="AR431" s="51" t="s">
        <v>1832</v>
      </c>
      <c r="AS431" s="49" t="str">
        <f t="shared" si="33"/>
        <v/>
      </c>
      <c r="AT431" s="49" t="str">
        <f t="shared" si="34"/>
        <v/>
      </c>
      <c r="AU431" s="49"/>
      <c r="AV431" s="49"/>
    </row>
    <row r="432" spans="1:48" ht="18" customHeight="1">
      <c r="A432" s="44">
        <v>430</v>
      </c>
      <c r="B432" s="71" t="s">
        <v>1076</v>
      </c>
      <c r="C432" s="54" t="s">
        <v>1803</v>
      </c>
      <c r="D432" s="46" t="s">
        <v>116</v>
      </c>
      <c r="E432" s="44" t="s">
        <v>1832</v>
      </c>
      <c r="F432" s="44" t="s">
        <v>1835</v>
      </c>
      <c r="G432" s="44"/>
      <c r="H432" s="44"/>
      <c r="I432" s="44"/>
      <c r="J432" s="47" t="s">
        <v>35</v>
      </c>
      <c r="K432" s="47"/>
      <c r="L432" s="47"/>
      <c r="M432" s="47"/>
      <c r="N432" s="47"/>
      <c r="O432" s="44"/>
      <c r="P432" s="44"/>
      <c r="Q432" s="48">
        <f>VLOOKUP(E432,sheet1!$B$2:$D$3209,3,FALSE)</f>
        <v>591</v>
      </c>
      <c r="R432" s="47" t="s">
        <v>35</v>
      </c>
      <c r="S432" s="47" t="s">
        <v>35</v>
      </c>
      <c r="T432" s="47" t="s">
        <v>35</v>
      </c>
      <c r="U432" s="47" t="s">
        <v>296</v>
      </c>
      <c r="V432" s="47" t="s">
        <v>35</v>
      </c>
      <c r="W432" s="47" t="s">
        <v>35</v>
      </c>
      <c r="X432" s="47" t="s">
        <v>35</v>
      </c>
      <c r="Y432" s="47" t="s">
        <v>35</v>
      </c>
      <c r="Z432" s="47" t="s">
        <v>35</v>
      </c>
      <c r="AA432" s="47" t="s">
        <v>35</v>
      </c>
      <c r="AB432" s="47" t="s">
        <v>35</v>
      </c>
      <c r="AC432" s="47" t="s">
        <v>35</v>
      </c>
      <c r="AD432" s="63" t="str">
        <f>VLOOKUP(E433,sheet1!$B$2:$C$3209,2,FALSE)</f>
        <v>仕入先別受入実績照会</v>
      </c>
      <c r="AE432" s="49"/>
      <c r="AF432" s="51" t="s">
        <v>1836</v>
      </c>
      <c r="AG432" s="51" t="s">
        <v>1837</v>
      </c>
      <c r="AH432" s="49" t="str">
        <f t="shared" si="37"/>
        <v>受入実績（仕入先別）</v>
      </c>
      <c r="AI432" s="49"/>
      <c r="AJ432" s="49"/>
      <c r="AK432" s="49"/>
      <c r="AL432" s="49" t="str">
        <f t="shared" si="36"/>
        <v>受入実績（仕入先別）</v>
      </c>
      <c r="AM432" s="49" t="s">
        <v>35</v>
      </c>
      <c r="AN432" s="49" t="s">
        <v>1838</v>
      </c>
      <c r="AO432" s="51" t="str">
        <f t="shared" si="31"/>
        <v>受入実績（仕入先別）</v>
      </c>
      <c r="AP432" s="51" t="str">
        <f t="shared" si="32"/>
        <v>PD5180</v>
      </c>
      <c r="AQ432" s="51" t="s">
        <v>1839</v>
      </c>
      <c r="AR432" s="51" t="s">
        <v>1837</v>
      </c>
      <c r="AS432" s="49" t="str">
        <f t="shared" si="33"/>
        <v/>
      </c>
      <c r="AT432" s="49" t="str">
        <f t="shared" si="34"/>
        <v/>
      </c>
      <c r="AU432" s="49"/>
      <c r="AV432" s="49"/>
    </row>
    <row r="433" spans="1:48" ht="18" customHeight="1">
      <c r="A433" s="44">
        <v>431</v>
      </c>
      <c r="B433" s="71" t="s">
        <v>1076</v>
      </c>
      <c r="C433" s="54" t="s">
        <v>1803</v>
      </c>
      <c r="D433" s="46" t="s">
        <v>116</v>
      </c>
      <c r="E433" s="44" t="s">
        <v>1837</v>
      </c>
      <c r="F433" s="44" t="s">
        <v>1840</v>
      </c>
      <c r="G433" s="44"/>
      <c r="H433" s="44"/>
      <c r="I433" s="44"/>
      <c r="J433" s="47" t="s">
        <v>35</v>
      </c>
      <c r="K433" s="47"/>
      <c r="L433" s="47"/>
      <c r="M433" s="47"/>
      <c r="N433" s="47"/>
      <c r="O433" s="44"/>
      <c r="P433" s="44"/>
      <c r="Q433" s="48">
        <f>VLOOKUP(E433,sheet1!$B$2:$D$3209,3,FALSE)</f>
        <v>566</v>
      </c>
      <c r="R433" s="47" t="s">
        <v>35</v>
      </c>
      <c r="S433" s="47" t="s">
        <v>35</v>
      </c>
      <c r="T433" s="47" t="s">
        <v>35</v>
      </c>
      <c r="U433" s="47" t="s">
        <v>296</v>
      </c>
      <c r="V433" s="47" t="s">
        <v>35</v>
      </c>
      <c r="W433" s="47" t="s">
        <v>35</v>
      </c>
      <c r="X433" s="47" t="s">
        <v>35</v>
      </c>
      <c r="Y433" s="47" t="s">
        <v>35</v>
      </c>
      <c r="Z433" s="47" t="s">
        <v>35</v>
      </c>
      <c r="AA433" s="47" t="s">
        <v>35</v>
      </c>
      <c r="AB433" s="47" t="s">
        <v>35</v>
      </c>
      <c r="AC433" s="47" t="s">
        <v>35</v>
      </c>
      <c r="AD433" s="63" t="str">
        <f>VLOOKUP(E434,sheet1!$B$2:$C$3209,2,FALSE)</f>
        <v>発注担当者別受入実績照会</v>
      </c>
      <c r="AE433" s="49"/>
      <c r="AF433" s="51" t="s">
        <v>1841</v>
      </c>
      <c r="AG433" s="51" t="s">
        <v>1842</v>
      </c>
      <c r="AH433" s="49" t="str">
        <f t="shared" si="37"/>
        <v>受入実績（担当者別）</v>
      </c>
      <c r="AI433" s="49"/>
      <c r="AJ433" s="49"/>
      <c r="AK433" s="49"/>
      <c r="AL433" s="49" t="str">
        <f t="shared" si="36"/>
        <v>受入実績（担当者別）</v>
      </c>
      <c r="AM433" s="49" t="s">
        <v>35</v>
      </c>
      <c r="AN433" s="49" t="s">
        <v>1843</v>
      </c>
      <c r="AO433" s="51" t="str">
        <f t="shared" si="31"/>
        <v>受入実績（担当者別）</v>
      </c>
      <c r="AP433" s="51" t="str">
        <f t="shared" si="32"/>
        <v>PD5190</v>
      </c>
      <c r="AQ433" s="51" t="s">
        <v>1844</v>
      </c>
      <c r="AR433" s="51" t="s">
        <v>1842</v>
      </c>
      <c r="AS433" s="49" t="str">
        <f t="shared" si="33"/>
        <v/>
      </c>
      <c r="AT433" s="49" t="str">
        <f t="shared" si="34"/>
        <v/>
      </c>
      <c r="AU433" s="49"/>
      <c r="AV433" s="49"/>
    </row>
    <row r="434" spans="1:48" ht="18" customHeight="1">
      <c r="A434" s="44">
        <v>432</v>
      </c>
      <c r="B434" s="71" t="s">
        <v>1076</v>
      </c>
      <c r="C434" s="54" t="s">
        <v>1803</v>
      </c>
      <c r="D434" s="46" t="s">
        <v>116</v>
      </c>
      <c r="E434" s="44" t="s">
        <v>1842</v>
      </c>
      <c r="F434" s="44" t="s">
        <v>1845</v>
      </c>
      <c r="G434" s="44"/>
      <c r="H434" s="44"/>
      <c r="I434" s="44"/>
      <c r="J434" s="47" t="s">
        <v>35</v>
      </c>
      <c r="K434" s="47"/>
      <c r="L434" s="47"/>
      <c r="M434" s="47"/>
      <c r="N434" s="47"/>
      <c r="O434" s="44"/>
      <c r="P434" s="44"/>
      <c r="Q434" s="48">
        <f>VLOOKUP(E434,sheet1!$B$2:$D$3209,3,FALSE)</f>
        <v>553</v>
      </c>
      <c r="R434" s="47" t="s">
        <v>35</v>
      </c>
      <c r="S434" s="47" t="s">
        <v>35</v>
      </c>
      <c r="T434" s="47" t="s">
        <v>35</v>
      </c>
      <c r="U434" s="47" t="s">
        <v>296</v>
      </c>
      <c r="V434" s="47" t="s">
        <v>35</v>
      </c>
      <c r="W434" s="47" t="s">
        <v>35</v>
      </c>
      <c r="X434" s="47" t="s">
        <v>35</v>
      </c>
      <c r="Y434" s="47" t="s">
        <v>35</v>
      </c>
      <c r="Z434" s="47" t="s">
        <v>35</v>
      </c>
      <c r="AA434" s="47" t="s">
        <v>35</v>
      </c>
      <c r="AB434" s="47" t="s">
        <v>35</v>
      </c>
      <c r="AC434" s="47" t="s">
        <v>35</v>
      </c>
      <c r="AD434" s="63" t="str">
        <f>VLOOKUP(E435,sheet1!$B$2:$C$3209,2,FALSE)</f>
        <v>引落照会（Ｓ／Ｎ指定）</v>
      </c>
      <c r="AE434" s="49"/>
      <c r="AF434" s="51" t="s">
        <v>1846</v>
      </c>
      <c r="AG434" s="51" t="s">
        <v>1847</v>
      </c>
      <c r="AH434" s="49" t="str">
        <f t="shared" si="37"/>
        <v>引落照会（Ｓ／Ｎ指定）</v>
      </c>
      <c r="AI434" s="49"/>
      <c r="AJ434" s="49"/>
      <c r="AK434" s="49"/>
      <c r="AL434" s="49" t="str">
        <f t="shared" si="36"/>
        <v>引落照会（Ｓ／Ｎ指定）</v>
      </c>
      <c r="AM434" s="49" t="s">
        <v>35</v>
      </c>
      <c r="AN434" s="49" t="s">
        <v>1848</v>
      </c>
      <c r="AO434" s="51" t="str">
        <f t="shared" si="31"/>
        <v>引落照会（Ｓ／Ｎ指定）</v>
      </c>
      <c r="AP434" s="51" t="str">
        <f t="shared" si="32"/>
        <v>PD5290</v>
      </c>
      <c r="AQ434" s="51" t="s">
        <v>1849</v>
      </c>
      <c r="AR434" s="51" t="s">
        <v>1847</v>
      </c>
      <c r="AS434" s="49" t="str">
        <f t="shared" si="33"/>
        <v/>
      </c>
      <c r="AT434" s="49" t="str">
        <f t="shared" si="34"/>
        <v/>
      </c>
      <c r="AU434" s="49"/>
      <c r="AV434" s="49"/>
    </row>
    <row r="435" spans="1:48" ht="18" customHeight="1">
      <c r="A435" s="44">
        <v>433</v>
      </c>
      <c r="B435" s="71" t="s">
        <v>1076</v>
      </c>
      <c r="C435" s="54" t="s">
        <v>1803</v>
      </c>
      <c r="D435" s="46" t="s">
        <v>116</v>
      </c>
      <c r="E435" s="44" t="s">
        <v>1847</v>
      </c>
      <c r="F435" s="44" t="s">
        <v>1848</v>
      </c>
      <c r="G435" s="44"/>
      <c r="H435" s="44"/>
      <c r="I435" s="44"/>
      <c r="J435" s="47" t="s">
        <v>35</v>
      </c>
      <c r="K435" s="47"/>
      <c r="L435" s="47"/>
      <c r="M435" s="47"/>
      <c r="N435" s="47"/>
      <c r="O435" s="44"/>
      <c r="P435" s="44"/>
      <c r="Q435" s="48">
        <f>VLOOKUP(E435,sheet1!$B$2:$D$3209,3,FALSE)</f>
        <v>178</v>
      </c>
      <c r="R435" s="47" t="s">
        <v>35</v>
      </c>
      <c r="S435" s="47" t="s">
        <v>35</v>
      </c>
      <c r="T435" s="47" t="s">
        <v>35</v>
      </c>
      <c r="U435" s="47" t="s">
        <v>296</v>
      </c>
      <c r="V435" s="47" t="s">
        <v>35</v>
      </c>
      <c r="W435" s="47" t="s">
        <v>35</v>
      </c>
      <c r="X435" s="47" t="s">
        <v>35</v>
      </c>
      <c r="Y435" s="47" t="s">
        <v>35</v>
      </c>
      <c r="Z435" s="47" t="s">
        <v>35</v>
      </c>
      <c r="AA435" s="47" t="s">
        <v>35</v>
      </c>
      <c r="AB435" s="47" t="s">
        <v>35</v>
      </c>
      <c r="AC435" s="47" t="s">
        <v>35</v>
      </c>
      <c r="AD435" s="63" t="str">
        <f>VLOOKUP(E436,sheet1!$B$2:$C$3209,2,FALSE)</f>
        <v>受払照会</v>
      </c>
      <c r="AE435" s="49"/>
      <c r="AF435" s="51" t="s">
        <v>1850</v>
      </c>
      <c r="AG435" s="51" t="s">
        <v>1851</v>
      </c>
      <c r="AH435" s="49" t="str">
        <f t="shared" si="37"/>
        <v>受払照会（品目　別）</v>
      </c>
      <c r="AI435" s="49"/>
      <c r="AJ435" s="49"/>
      <c r="AK435" s="49"/>
      <c r="AL435" s="49" t="str">
        <f t="shared" si="36"/>
        <v>受払照会（品目　別）</v>
      </c>
      <c r="AM435" s="49" t="s">
        <v>35</v>
      </c>
      <c r="AN435" s="49" t="s">
        <v>1852</v>
      </c>
      <c r="AO435" s="51" t="str">
        <f t="shared" si="31"/>
        <v>受払照会（品目　別）</v>
      </c>
      <c r="AP435" s="51" t="str">
        <f t="shared" si="32"/>
        <v>PD5200</v>
      </c>
      <c r="AQ435" s="51" t="s">
        <v>1853</v>
      </c>
      <c r="AR435" s="51" t="s">
        <v>1851</v>
      </c>
      <c r="AS435" s="49" t="str">
        <f t="shared" si="33"/>
        <v/>
      </c>
      <c r="AT435" s="49" t="str">
        <f t="shared" si="34"/>
        <v/>
      </c>
      <c r="AU435" s="49"/>
      <c r="AV435" s="49"/>
    </row>
    <row r="436" spans="1:48" ht="18" customHeight="1">
      <c r="A436" s="44">
        <v>434</v>
      </c>
      <c r="B436" s="71" t="s">
        <v>1076</v>
      </c>
      <c r="C436" s="54" t="s">
        <v>1803</v>
      </c>
      <c r="D436" s="46" t="s">
        <v>116</v>
      </c>
      <c r="E436" s="44" t="s">
        <v>1851</v>
      </c>
      <c r="F436" s="44" t="s">
        <v>1854</v>
      </c>
      <c r="G436" s="44"/>
      <c r="H436" s="44"/>
      <c r="I436" s="44"/>
      <c r="J436" s="47" t="s">
        <v>35</v>
      </c>
      <c r="K436" s="47"/>
      <c r="L436" s="47"/>
      <c r="M436" s="47"/>
      <c r="N436" s="47"/>
      <c r="O436" s="44"/>
      <c r="P436" s="44"/>
      <c r="Q436" s="48">
        <f>VLOOKUP(E436,sheet1!$B$2:$D$3209,3,FALSE)</f>
        <v>1063</v>
      </c>
      <c r="R436" s="47" t="s">
        <v>35</v>
      </c>
      <c r="S436" s="47" t="s">
        <v>35</v>
      </c>
      <c r="T436" s="47" t="s">
        <v>35</v>
      </c>
      <c r="U436" s="47" t="s">
        <v>296</v>
      </c>
      <c r="V436" s="47" t="s">
        <v>35</v>
      </c>
      <c r="W436" s="47" t="s">
        <v>35</v>
      </c>
      <c r="X436" s="47" t="s">
        <v>35</v>
      </c>
      <c r="Y436" s="47" t="s">
        <v>35</v>
      </c>
      <c r="Z436" s="47" t="s">
        <v>35</v>
      </c>
      <c r="AA436" s="47" t="s">
        <v>35</v>
      </c>
      <c r="AB436" s="47" t="s">
        <v>35</v>
      </c>
      <c r="AC436" s="47" t="s">
        <v>35</v>
      </c>
      <c r="AD436" s="63" t="str">
        <f>VLOOKUP(E437,sheet1!$B$2:$C$3209,2,FALSE)</f>
        <v>管理場所別受払照会</v>
      </c>
      <c r="AE436" s="49"/>
      <c r="AF436" s="51" t="s">
        <v>1855</v>
      </c>
      <c r="AG436" s="51" t="s">
        <v>1856</v>
      </c>
      <c r="AH436" s="49" t="str">
        <f t="shared" si="37"/>
        <v>受払照会（場所　別）</v>
      </c>
      <c r="AI436" s="49"/>
      <c r="AJ436" s="49"/>
      <c r="AK436" s="49"/>
      <c r="AL436" s="49" t="str">
        <f t="shared" si="36"/>
        <v>受払照会（場所　別）</v>
      </c>
      <c r="AM436" s="49" t="s">
        <v>35</v>
      </c>
      <c r="AN436" s="49" t="s">
        <v>1857</v>
      </c>
      <c r="AO436" s="51" t="str">
        <f t="shared" si="31"/>
        <v>受払照会（場所　別）</v>
      </c>
      <c r="AP436" s="51" t="str">
        <f t="shared" si="32"/>
        <v>PD5140</v>
      </c>
      <c r="AQ436" s="51" t="s">
        <v>1858</v>
      </c>
      <c r="AR436" s="51" t="s">
        <v>1856</v>
      </c>
      <c r="AS436" s="49" t="str">
        <f t="shared" si="33"/>
        <v/>
      </c>
      <c r="AT436" s="49" t="str">
        <f t="shared" si="34"/>
        <v/>
      </c>
      <c r="AU436" s="49"/>
      <c r="AV436" s="49"/>
    </row>
    <row r="437" spans="1:48" ht="18" customHeight="1">
      <c r="A437" s="44">
        <v>435</v>
      </c>
      <c r="B437" s="71" t="s">
        <v>1076</v>
      </c>
      <c r="C437" s="54" t="s">
        <v>1803</v>
      </c>
      <c r="D437" s="46" t="s">
        <v>116</v>
      </c>
      <c r="E437" s="44" t="s">
        <v>1856</v>
      </c>
      <c r="F437" s="44" t="s">
        <v>1859</v>
      </c>
      <c r="G437" s="44"/>
      <c r="H437" s="44"/>
      <c r="I437" s="44"/>
      <c r="J437" s="47" t="s">
        <v>35</v>
      </c>
      <c r="K437" s="47"/>
      <c r="L437" s="47"/>
      <c r="M437" s="47"/>
      <c r="N437" s="47"/>
      <c r="O437" s="44"/>
      <c r="P437" s="44"/>
      <c r="Q437" s="48">
        <f>VLOOKUP(E437,sheet1!$B$2:$D$3209,3,FALSE)</f>
        <v>1125</v>
      </c>
      <c r="R437" s="47" t="s">
        <v>35</v>
      </c>
      <c r="S437" s="47" t="s">
        <v>35</v>
      </c>
      <c r="T437" s="47" t="s">
        <v>35</v>
      </c>
      <c r="U437" s="47" t="s">
        <v>296</v>
      </c>
      <c r="V437" s="47" t="s">
        <v>35</v>
      </c>
      <c r="W437" s="47" t="s">
        <v>35</v>
      </c>
      <c r="X437" s="47" t="s">
        <v>35</v>
      </c>
      <c r="Y437" s="47" t="s">
        <v>35</v>
      </c>
      <c r="Z437" s="47" t="s">
        <v>35</v>
      </c>
      <c r="AA437" s="47" t="s">
        <v>35</v>
      </c>
      <c r="AB437" s="47" t="s">
        <v>35</v>
      </c>
      <c r="AC437" s="47" t="s">
        <v>35</v>
      </c>
      <c r="AD437" s="63" t="str">
        <f>VLOOKUP(E438,sheet1!$B$2:$C$3209,2,FALSE)</f>
        <v>ロット別受払照会</v>
      </c>
      <c r="AE437" s="49"/>
      <c r="AF437" s="51" t="s">
        <v>1860</v>
      </c>
      <c r="AG437" s="51" t="s">
        <v>1861</v>
      </c>
      <c r="AH437" s="49" t="str">
        <f t="shared" si="37"/>
        <v>受払照会（ロット別）</v>
      </c>
      <c r="AI437" s="49"/>
      <c r="AJ437" s="49"/>
      <c r="AK437" s="49"/>
      <c r="AL437" s="49" t="str">
        <f t="shared" si="36"/>
        <v>受払照会（ロット別）</v>
      </c>
      <c r="AM437" s="49" t="s">
        <v>35</v>
      </c>
      <c r="AN437" s="49" t="s">
        <v>1862</v>
      </c>
      <c r="AO437" s="51" t="str">
        <f t="shared" si="31"/>
        <v>受払照会（ロット別）</v>
      </c>
      <c r="AP437" s="51" t="str">
        <f t="shared" si="32"/>
        <v>PD5220</v>
      </c>
      <c r="AQ437" s="51" t="s">
        <v>1863</v>
      </c>
      <c r="AR437" s="51" t="s">
        <v>1861</v>
      </c>
      <c r="AS437" s="49" t="str">
        <f t="shared" si="33"/>
        <v/>
      </c>
      <c r="AT437" s="49" t="str">
        <f t="shared" si="34"/>
        <v/>
      </c>
      <c r="AU437" s="49"/>
      <c r="AV437" s="49"/>
    </row>
    <row r="438" spans="1:48" ht="18" customHeight="1">
      <c r="A438" s="44">
        <v>436</v>
      </c>
      <c r="B438" s="71" t="s">
        <v>1076</v>
      </c>
      <c r="C438" s="54" t="s">
        <v>1803</v>
      </c>
      <c r="D438" s="46" t="s">
        <v>116</v>
      </c>
      <c r="E438" s="44" t="s">
        <v>1861</v>
      </c>
      <c r="F438" s="44" t="s">
        <v>1864</v>
      </c>
      <c r="G438" s="44"/>
      <c r="H438" s="44"/>
      <c r="I438" s="44"/>
      <c r="J438" s="47" t="s">
        <v>35</v>
      </c>
      <c r="K438" s="47"/>
      <c r="L438" s="47"/>
      <c r="M438" s="47"/>
      <c r="N438" s="47"/>
      <c r="O438" s="44"/>
      <c r="P438" s="44"/>
      <c r="Q438" s="48">
        <f>VLOOKUP(E438,sheet1!$B$2:$D$3209,3,FALSE)</f>
        <v>859</v>
      </c>
      <c r="R438" s="47" t="s">
        <v>35</v>
      </c>
      <c r="S438" s="47" t="s">
        <v>35</v>
      </c>
      <c r="T438" s="47" t="s">
        <v>35</v>
      </c>
      <c r="U438" s="47" t="s">
        <v>296</v>
      </c>
      <c r="V438" s="47" t="s">
        <v>35</v>
      </c>
      <c r="W438" s="47" t="s">
        <v>35</v>
      </c>
      <c r="X438" s="47" t="s">
        <v>35</v>
      </c>
      <c r="Y438" s="47" t="s">
        <v>35</v>
      </c>
      <c r="Z438" s="47" t="s">
        <v>35</v>
      </c>
      <c r="AA438" s="47" t="s">
        <v>35</v>
      </c>
      <c r="AB438" s="47" t="s">
        <v>35</v>
      </c>
      <c r="AC438" s="47" t="s">
        <v>35</v>
      </c>
      <c r="AD438" s="63" t="str">
        <f>VLOOKUP(E439,sheet1!$B$2:$C$3209,2,FALSE)</f>
        <v>ロット別受払照会</v>
      </c>
      <c r="AE438" s="49"/>
      <c r="AF438" s="51" t="s">
        <v>1865</v>
      </c>
      <c r="AG438" s="51" t="s">
        <v>1861</v>
      </c>
      <c r="AH438" s="49" t="str">
        <f t="shared" si="37"/>
        <v>移動／支給伝票照会</v>
      </c>
      <c r="AI438" s="49"/>
      <c r="AJ438" s="49"/>
      <c r="AK438" s="49"/>
      <c r="AL438" s="49" t="str">
        <f t="shared" si="36"/>
        <v>移動／支給伝票照会</v>
      </c>
      <c r="AM438" s="49" t="s">
        <v>35</v>
      </c>
      <c r="AN438" s="49" t="s">
        <v>1866</v>
      </c>
      <c r="AO438" s="51" t="str">
        <f t="shared" si="31"/>
        <v>移動／支給伝票照会</v>
      </c>
      <c r="AP438" s="51" t="str">
        <f t="shared" si="32"/>
        <v>PD5220</v>
      </c>
      <c r="AQ438" s="51" t="s">
        <v>1865</v>
      </c>
      <c r="AR438" s="51" t="s">
        <v>1861</v>
      </c>
      <c r="AS438" s="49" t="str">
        <f t="shared" si="33"/>
        <v/>
      </c>
      <c r="AT438" s="49" t="str">
        <f t="shared" si="34"/>
        <v/>
      </c>
      <c r="AU438" s="49"/>
      <c r="AV438" s="49"/>
    </row>
    <row r="439" spans="1:48" ht="18" customHeight="1">
      <c r="A439" s="44">
        <v>437</v>
      </c>
      <c r="B439" s="71" t="s">
        <v>1076</v>
      </c>
      <c r="C439" s="54" t="s">
        <v>1803</v>
      </c>
      <c r="D439" s="46" t="s">
        <v>116</v>
      </c>
      <c r="E439" s="44" t="s">
        <v>1861</v>
      </c>
      <c r="F439" s="44" t="s">
        <v>1867</v>
      </c>
      <c r="G439" s="44"/>
      <c r="H439" s="44"/>
      <c r="I439" s="44"/>
      <c r="J439" s="47" t="s">
        <v>35</v>
      </c>
      <c r="K439" s="47"/>
      <c r="L439" s="47"/>
      <c r="M439" s="47"/>
      <c r="N439" s="47"/>
      <c r="O439" s="44"/>
      <c r="P439" s="44"/>
      <c r="Q439" s="48">
        <f>VLOOKUP(E439,sheet1!$B$2:$D$3209,3,FALSE)</f>
        <v>859</v>
      </c>
      <c r="R439" s="47" t="s">
        <v>35</v>
      </c>
      <c r="S439" s="47" t="s">
        <v>35</v>
      </c>
      <c r="T439" s="47" t="s">
        <v>35</v>
      </c>
      <c r="U439" s="47" t="s">
        <v>296</v>
      </c>
      <c r="V439" s="47" t="s">
        <v>35</v>
      </c>
      <c r="W439" s="47" t="s">
        <v>35</v>
      </c>
      <c r="X439" s="47" t="s">
        <v>35</v>
      </c>
      <c r="Y439" s="47" t="s">
        <v>35</v>
      </c>
      <c r="Z439" s="47" t="s">
        <v>35</v>
      </c>
      <c r="AA439" s="47" t="s">
        <v>35</v>
      </c>
      <c r="AB439" s="47" t="s">
        <v>35</v>
      </c>
      <c r="AC439" s="47" t="s">
        <v>35</v>
      </c>
      <c r="AD439" s="63" t="str">
        <f>VLOOKUP(E440,sheet1!$B$2:$C$3209,2,FALSE)</f>
        <v>支給状況照会</v>
      </c>
      <c r="AE439" s="49"/>
      <c r="AF439" s="51" t="s">
        <v>1868</v>
      </c>
      <c r="AG439" s="51" t="s">
        <v>1869</v>
      </c>
      <c r="AH439" s="49" t="str">
        <f t="shared" si="37"/>
        <v>支給状況</v>
      </c>
      <c r="AI439" s="49"/>
      <c r="AJ439" s="49"/>
      <c r="AK439" s="49"/>
      <c r="AL439" s="49" t="str">
        <f t="shared" si="36"/>
        <v>支給状況</v>
      </c>
      <c r="AM439" s="49" t="s">
        <v>35</v>
      </c>
      <c r="AN439" s="49" t="s">
        <v>1870</v>
      </c>
      <c r="AO439" s="51" t="str">
        <f t="shared" si="31"/>
        <v>支給状況</v>
      </c>
      <c r="AP439" s="51" t="str">
        <f t="shared" si="32"/>
        <v>PD5210</v>
      </c>
      <c r="AQ439" s="51" t="s">
        <v>1871</v>
      </c>
      <c r="AR439" s="51" t="s">
        <v>1869</v>
      </c>
      <c r="AS439" s="49" t="str">
        <f t="shared" si="33"/>
        <v/>
      </c>
      <c r="AT439" s="49" t="str">
        <f t="shared" si="34"/>
        <v/>
      </c>
      <c r="AU439" s="49"/>
      <c r="AV439" s="49"/>
    </row>
    <row r="440" spans="1:48" ht="18" customHeight="1">
      <c r="A440" s="44">
        <v>438</v>
      </c>
      <c r="B440" s="71" t="s">
        <v>1076</v>
      </c>
      <c r="C440" s="54" t="s">
        <v>1803</v>
      </c>
      <c r="D440" s="46" t="s">
        <v>116</v>
      </c>
      <c r="E440" s="44" t="s">
        <v>1869</v>
      </c>
      <c r="F440" s="44" t="s">
        <v>1872</v>
      </c>
      <c r="G440" s="44"/>
      <c r="H440" s="44"/>
      <c r="I440" s="44"/>
      <c r="J440" s="47" t="s">
        <v>35</v>
      </c>
      <c r="K440" s="47"/>
      <c r="L440" s="47"/>
      <c r="M440" s="47"/>
      <c r="N440" s="47"/>
      <c r="O440" s="44"/>
      <c r="P440" s="44"/>
      <c r="Q440" s="48">
        <f>VLOOKUP(E440,sheet1!$B$2:$D$3209,3,FALSE)</f>
        <v>745</v>
      </c>
      <c r="R440" s="47" t="s">
        <v>35</v>
      </c>
      <c r="S440" s="47" t="s">
        <v>35</v>
      </c>
      <c r="T440" s="47" t="s">
        <v>35</v>
      </c>
      <c r="U440" s="47" t="s">
        <v>296</v>
      </c>
      <c r="V440" s="47" t="s">
        <v>35</v>
      </c>
      <c r="W440" s="47" t="s">
        <v>35</v>
      </c>
      <c r="X440" s="47" t="s">
        <v>35</v>
      </c>
      <c r="Y440" s="47" t="s">
        <v>35</v>
      </c>
      <c r="Z440" s="47" t="s">
        <v>35</v>
      </c>
      <c r="AA440" s="47" t="s">
        <v>35</v>
      </c>
      <c r="AB440" s="47" t="s">
        <v>35</v>
      </c>
      <c r="AC440" s="47" t="s">
        <v>35</v>
      </c>
      <c r="AD440" s="63" t="str">
        <f>VLOOKUP(E441,sheet1!$B$2:$C$3209,2,FALSE)</f>
        <v>調整伝票照会</v>
      </c>
      <c r="AE440" s="49"/>
      <c r="AF440" s="51" t="s">
        <v>1873</v>
      </c>
      <c r="AG440" s="51" t="s">
        <v>1874</v>
      </c>
      <c r="AH440" s="49" t="str">
        <f t="shared" si="37"/>
        <v>調整伝票</v>
      </c>
      <c r="AI440" s="49"/>
      <c r="AJ440" s="49"/>
      <c r="AK440" s="49"/>
      <c r="AL440" s="49" t="str">
        <f t="shared" si="36"/>
        <v>調整伝票</v>
      </c>
      <c r="AM440" s="49" t="s">
        <v>35</v>
      </c>
      <c r="AN440" s="49" t="s">
        <v>1875</v>
      </c>
      <c r="AO440" s="51" t="str">
        <f t="shared" si="31"/>
        <v>調整伝票</v>
      </c>
      <c r="AP440" s="51" t="str">
        <f t="shared" si="32"/>
        <v>PD5230</v>
      </c>
      <c r="AQ440" s="51" t="s">
        <v>1876</v>
      </c>
      <c r="AR440" s="51" t="s">
        <v>1874</v>
      </c>
      <c r="AS440" s="49" t="str">
        <f t="shared" si="33"/>
        <v/>
      </c>
      <c r="AT440" s="49" t="str">
        <f t="shared" si="34"/>
        <v/>
      </c>
      <c r="AU440" s="49"/>
      <c r="AV440" s="49"/>
    </row>
    <row r="441" spans="1:48" ht="18" customHeight="1">
      <c r="A441" s="44">
        <v>439</v>
      </c>
      <c r="B441" s="71" t="s">
        <v>1076</v>
      </c>
      <c r="C441" s="54" t="s">
        <v>1803</v>
      </c>
      <c r="D441" s="46" t="s">
        <v>116</v>
      </c>
      <c r="E441" s="44" t="s">
        <v>1874</v>
      </c>
      <c r="F441" s="44" t="s">
        <v>1877</v>
      </c>
      <c r="G441" s="44"/>
      <c r="H441" s="44"/>
      <c r="I441" s="44"/>
      <c r="J441" s="47" t="s">
        <v>35</v>
      </c>
      <c r="K441" s="47"/>
      <c r="L441" s="47"/>
      <c r="M441" s="47"/>
      <c r="N441" s="47"/>
      <c r="O441" s="44"/>
      <c r="P441" s="44"/>
      <c r="Q441" s="48">
        <f>VLOOKUP(E441,sheet1!$B$2:$D$3209,3,FALSE)</f>
        <v>464</v>
      </c>
      <c r="R441" s="47" t="s">
        <v>35</v>
      </c>
      <c r="S441" s="47" t="s">
        <v>35</v>
      </c>
      <c r="T441" s="47" t="s">
        <v>35</v>
      </c>
      <c r="U441" s="47" t="s">
        <v>296</v>
      </c>
      <c r="V441" s="47" t="s">
        <v>35</v>
      </c>
      <c r="W441" s="47" t="s">
        <v>35</v>
      </c>
      <c r="X441" s="47" t="s">
        <v>35</v>
      </c>
      <c r="Y441" s="47" t="s">
        <v>35</v>
      </c>
      <c r="Z441" s="47" t="s">
        <v>35</v>
      </c>
      <c r="AA441" s="47" t="s">
        <v>35</v>
      </c>
      <c r="AB441" s="47" t="s">
        <v>35</v>
      </c>
      <c r="AC441" s="47" t="s">
        <v>35</v>
      </c>
      <c r="AD441" s="63" t="str">
        <f>VLOOKUP(E442,sheet1!$B$2:$C$3209,2,FALSE)</f>
        <v>場所ロット別受払照会</v>
      </c>
      <c r="AE441" s="49"/>
      <c r="AF441" s="51" t="s">
        <v>1878</v>
      </c>
      <c r="AG441" s="51" t="s">
        <v>1879</v>
      </c>
      <c r="AH441" s="49" t="str">
        <f t="shared" si="37"/>
        <v>受払照会（場所ﾛｯﾄ別）</v>
      </c>
      <c r="AI441" s="49"/>
      <c r="AJ441" s="49"/>
      <c r="AK441" s="49"/>
      <c r="AL441" s="49" t="str">
        <f t="shared" si="36"/>
        <v>受払照会（場所ﾛｯﾄ別）</v>
      </c>
      <c r="AM441" s="49" t="s">
        <v>35</v>
      </c>
      <c r="AN441" s="49" t="s">
        <v>1880</v>
      </c>
      <c r="AO441" s="51" t="str">
        <f t="shared" si="31"/>
        <v>受払照会（場所ﾛｯﾄ別）</v>
      </c>
      <c r="AP441" s="51" t="str">
        <f t="shared" si="32"/>
        <v>PD5130</v>
      </c>
      <c r="AQ441" s="51" t="s">
        <v>1878</v>
      </c>
      <c r="AR441" s="51" t="s">
        <v>1879</v>
      </c>
      <c r="AS441" s="49" t="str">
        <f t="shared" si="33"/>
        <v/>
      </c>
      <c r="AT441" s="49" t="str">
        <f t="shared" si="34"/>
        <v/>
      </c>
      <c r="AU441" s="49"/>
      <c r="AV441" s="49"/>
    </row>
    <row r="442" spans="1:48" ht="18" customHeight="1">
      <c r="A442" s="44">
        <v>440</v>
      </c>
      <c r="B442" s="71" t="s">
        <v>1076</v>
      </c>
      <c r="C442" s="54" t="s">
        <v>1803</v>
      </c>
      <c r="D442" s="46" t="s">
        <v>116</v>
      </c>
      <c r="E442" s="44" t="s">
        <v>1879</v>
      </c>
      <c r="F442" s="44" t="s">
        <v>1880</v>
      </c>
      <c r="G442" s="44"/>
      <c r="H442" s="44"/>
      <c r="I442" s="44"/>
      <c r="J442" s="47" t="s">
        <v>35</v>
      </c>
      <c r="K442" s="47"/>
      <c r="L442" s="47"/>
      <c r="M442" s="47"/>
      <c r="N442" s="47"/>
      <c r="O442" s="44"/>
      <c r="P442" s="44"/>
      <c r="Q442" s="48">
        <f>VLOOKUP(E442,sheet1!$B$2:$D$3209,3,FALSE)</f>
        <v>996</v>
      </c>
      <c r="R442" s="47" t="s">
        <v>35</v>
      </c>
      <c r="S442" s="47" t="s">
        <v>35</v>
      </c>
      <c r="T442" s="47" t="s">
        <v>35</v>
      </c>
      <c r="U442" s="47" t="s">
        <v>296</v>
      </c>
      <c r="V442" s="47" t="s">
        <v>35</v>
      </c>
      <c r="W442" s="47" t="s">
        <v>35</v>
      </c>
      <c r="X442" s="47" t="s">
        <v>35</v>
      </c>
      <c r="Y442" s="47" t="s">
        <v>35</v>
      </c>
      <c r="Z442" s="47" t="s">
        <v>35</v>
      </c>
      <c r="AA442" s="47" t="s">
        <v>35</v>
      </c>
      <c r="AB442" s="47" t="s">
        <v>35</v>
      </c>
      <c r="AC442" s="47" t="s">
        <v>35</v>
      </c>
      <c r="AD442" s="63" t="str">
        <f>VLOOKUP(E443,sheet1!$B$2:$C$3209,2,FALSE)</f>
        <v>在庫照会（関連会社を含む）</v>
      </c>
      <c r="AE442" s="49"/>
      <c r="AF442" s="51" t="s">
        <v>1881</v>
      </c>
      <c r="AG442" s="51" t="s">
        <v>1882</v>
      </c>
      <c r="AH442" s="49" t="str">
        <f t="shared" si="37"/>
        <v>在庫照会（関係会社含む）</v>
      </c>
      <c r="AI442" s="49"/>
      <c r="AJ442" s="49"/>
      <c r="AK442" s="49"/>
      <c r="AL442" s="49" t="str">
        <f t="shared" si="36"/>
        <v>在庫照会（関係会社含む）</v>
      </c>
      <c r="AM442" s="49" t="s">
        <v>35</v>
      </c>
      <c r="AN442" s="49" t="s">
        <v>1883</v>
      </c>
      <c r="AO442" s="51" t="str">
        <f t="shared" si="31"/>
        <v>在庫照会（関係会社含む）</v>
      </c>
      <c r="AP442" s="51" t="str">
        <f t="shared" si="32"/>
        <v>PD5330</v>
      </c>
      <c r="AQ442" s="51" t="s">
        <v>1884</v>
      </c>
      <c r="AR442" s="51" t="s">
        <v>1882</v>
      </c>
      <c r="AS442" s="49" t="str">
        <f t="shared" si="33"/>
        <v/>
      </c>
      <c r="AT442" s="49" t="str">
        <f t="shared" si="34"/>
        <v/>
      </c>
      <c r="AU442" s="49"/>
      <c r="AV442" s="49"/>
    </row>
    <row r="443" spans="1:48" ht="18" customHeight="1">
      <c r="A443" s="44">
        <v>441</v>
      </c>
      <c r="B443" s="71" t="s">
        <v>1076</v>
      </c>
      <c r="C443" s="54" t="s">
        <v>1803</v>
      </c>
      <c r="D443" s="46" t="s">
        <v>116</v>
      </c>
      <c r="E443" s="44" t="s">
        <v>1882</v>
      </c>
      <c r="F443" s="44" t="s">
        <v>1883</v>
      </c>
      <c r="G443" s="44"/>
      <c r="H443" s="44"/>
      <c r="I443" s="44"/>
      <c r="J443" s="47" t="s">
        <v>35</v>
      </c>
      <c r="K443" s="47"/>
      <c r="L443" s="47"/>
      <c r="M443" s="47"/>
      <c r="N443" s="47"/>
      <c r="O443" s="44"/>
      <c r="P443" s="44"/>
      <c r="Q443" s="48">
        <f>VLOOKUP(E443,sheet1!$B$2:$D$3209,3,FALSE)</f>
        <v>855</v>
      </c>
      <c r="R443" s="47" t="s">
        <v>35</v>
      </c>
      <c r="S443" s="47" t="s">
        <v>35</v>
      </c>
      <c r="T443" s="47" t="s">
        <v>35</v>
      </c>
      <c r="U443" s="47" t="s">
        <v>296</v>
      </c>
      <c r="V443" s="47" t="s">
        <v>35</v>
      </c>
      <c r="W443" s="47" t="s">
        <v>35</v>
      </c>
      <c r="X443" s="47" t="s">
        <v>35</v>
      </c>
      <c r="Y443" s="47" t="s">
        <v>35</v>
      </c>
      <c r="Z443" s="47" t="s">
        <v>35</v>
      </c>
      <c r="AA443" s="47" t="s">
        <v>35</v>
      </c>
      <c r="AB443" s="47" t="s">
        <v>35</v>
      </c>
      <c r="AC443" s="47" t="s">
        <v>35</v>
      </c>
      <c r="AD443" s="63" t="str">
        <f>VLOOKUP(E444,sheet1!$B$2:$C$3209,2,FALSE)</f>
        <v>在庫受払元帳</v>
      </c>
      <c r="AE443" s="49"/>
      <c r="AF443" s="51" t="s">
        <v>1885</v>
      </c>
      <c r="AG443" s="51" t="s">
        <v>1886</v>
      </c>
      <c r="AH443" s="49" t="str">
        <f t="shared" si="37"/>
        <v>在庫受払元帳　出力</v>
      </c>
      <c r="AI443" s="49"/>
      <c r="AJ443" s="49"/>
      <c r="AK443" s="49"/>
      <c r="AL443" s="49" t="str">
        <f t="shared" si="36"/>
        <v>在庫受払元帳　出力</v>
      </c>
      <c r="AM443" s="49" t="s">
        <v>35</v>
      </c>
      <c r="AN443" s="49" t="s">
        <v>1887</v>
      </c>
      <c r="AO443" s="51" t="str">
        <f t="shared" si="31"/>
        <v>在庫受払元帳　出力</v>
      </c>
      <c r="AP443" s="51" t="str">
        <f t="shared" si="32"/>
        <v>PD5070</v>
      </c>
      <c r="AQ443" s="51" t="s">
        <v>1885</v>
      </c>
      <c r="AR443" s="51" t="s">
        <v>1886</v>
      </c>
      <c r="AS443" s="49" t="str">
        <f t="shared" si="33"/>
        <v/>
      </c>
      <c r="AT443" s="49" t="str">
        <f t="shared" si="34"/>
        <v/>
      </c>
      <c r="AU443" s="49"/>
      <c r="AV443" s="49"/>
    </row>
    <row r="444" spans="1:48" ht="18" customHeight="1">
      <c r="A444" s="44">
        <v>442</v>
      </c>
      <c r="B444" s="71" t="s">
        <v>1076</v>
      </c>
      <c r="C444" s="54" t="s">
        <v>1803</v>
      </c>
      <c r="D444" s="46" t="s">
        <v>116</v>
      </c>
      <c r="E444" s="44" t="s">
        <v>1886</v>
      </c>
      <c r="F444" s="44" t="s">
        <v>1888</v>
      </c>
      <c r="G444" s="44"/>
      <c r="H444" s="44"/>
      <c r="I444" s="44"/>
      <c r="J444" s="47" t="s">
        <v>35</v>
      </c>
      <c r="K444" s="47"/>
      <c r="L444" s="47"/>
      <c r="M444" s="47"/>
      <c r="N444" s="47"/>
      <c r="O444" s="44"/>
      <c r="P444" s="44"/>
      <c r="Q444" s="48">
        <f>VLOOKUP(E444,sheet1!$B$2:$D$3209,3,FALSE)</f>
        <v>961</v>
      </c>
      <c r="R444" s="47" t="s">
        <v>35</v>
      </c>
      <c r="S444" s="47" t="s">
        <v>35</v>
      </c>
      <c r="T444" s="47" t="s">
        <v>35</v>
      </c>
      <c r="U444" s="47" t="s">
        <v>296</v>
      </c>
      <c r="V444" s="47" t="s">
        <v>35</v>
      </c>
      <c r="W444" s="47" t="s">
        <v>35</v>
      </c>
      <c r="X444" s="47" t="s">
        <v>35</v>
      </c>
      <c r="Y444" s="47" t="s">
        <v>35</v>
      </c>
      <c r="Z444" s="47" t="s">
        <v>35</v>
      </c>
      <c r="AA444" s="47" t="s">
        <v>35</v>
      </c>
      <c r="AB444" s="47" t="s">
        <v>35</v>
      </c>
      <c r="AC444" s="47" t="s">
        <v>35</v>
      </c>
      <c r="AD444" s="63" t="str">
        <f>VLOOKUP(E445,sheet1!$B$2:$C$3209,2,FALSE)</f>
        <v>場所別受払元帳</v>
      </c>
      <c r="AE444" s="49"/>
      <c r="AF444" s="51" t="s">
        <v>1889</v>
      </c>
      <c r="AG444" s="51" t="s">
        <v>1890</v>
      </c>
      <c r="AH444" s="49" t="str">
        <f t="shared" si="37"/>
        <v>場所別受払元帳　出力</v>
      </c>
      <c r="AI444" s="49"/>
      <c r="AJ444" s="49"/>
      <c r="AK444" s="49"/>
      <c r="AL444" s="49" t="str">
        <f t="shared" si="36"/>
        <v>場所別受払元帳　出力</v>
      </c>
      <c r="AM444" s="49" t="s">
        <v>35</v>
      </c>
      <c r="AN444" s="49" t="s">
        <v>1891</v>
      </c>
      <c r="AO444" s="51" t="str">
        <f t="shared" si="31"/>
        <v>場所別受払元帳　出力</v>
      </c>
      <c r="AP444" s="51" t="str">
        <f t="shared" si="32"/>
        <v>PD5080</v>
      </c>
      <c r="AQ444" s="51" t="s">
        <v>1889</v>
      </c>
      <c r="AR444" s="51" t="s">
        <v>1890</v>
      </c>
      <c r="AS444" s="49" t="str">
        <f t="shared" si="33"/>
        <v/>
      </c>
      <c r="AT444" s="49" t="str">
        <f t="shared" si="34"/>
        <v/>
      </c>
      <c r="AU444" s="49"/>
      <c r="AV444" s="49"/>
    </row>
    <row r="445" spans="1:48" ht="18" customHeight="1">
      <c r="A445" s="44">
        <v>443</v>
      </c>
      <c r="B445" s="71" t="s">
        <v>1076</v>
      </c>
      <c r="C445" s="54" t="s">
        <v>1803</v>
      </c>
      <c r="D445" s="46" t="s">
        <v>116</v>
      </c>
      <c r="E445" s="44" t="s">
        <v>1890</v>
      </c>
      <c r="F445" s="44" t="s">
        <v>1892</v>
      </c>
      <c r="G445" s="44"/>
      <c r="H445" s="44"/>
      <c r="I445" s="44"/>
      <c r="J445" s="47" t="s">
        <v>35</v>
      </c>
      <c r="K445" s="47"/>
      <c r="L445" s="47"/>
      <c r="M445" s="47"/>
      <c r="N445" s="47"/>
      <c r="O445" s="44"/>
      <c r="P445" s="44"/>
      <c r="Q445" s="48">
        <f>VLOOKUP(E445,sheet1!$B$2:$D$3209,3,FALSE)</f>
        <v>919</v>
      </c>
      <c r="R445" s="47" t="s">
        <v>35</v>
      </c>
      <c r="S445" s="47" t="s">
        <v>35</v>
      </c>
      <c r="T445" s="47" t="s">
        <v>35</v>
      </c>
      <c r="U445" s="47" t="s">
        <v>296</v>
      </c>
      <c r="V445" s="47" t="s">
        <v>35</v>
      </c>
      <c r="W445" s="47" t="s">
        <v>35</v>
      </c>
      <c r="X445" s="47" t="s">
        <v>35</v>
      </c>
      <c r="Y445" s="47" t="s">
        <v>35</v>
      </c>
      <c r="Z445" s="47" t="s">
        <v>35</v>
      </c>
      <c r="AA445" s="47" t="s">
        <v>35</v>
      </c>
      <c r="AB445" s="47" t="s">
        <v>35</v>
      </c>
      <c r="AC445" s="47" t="s">
        <v>35</v>
      </c>
      <c r="AD445" s="63" t="str">
        <f>VLOOKUP(E446,sheet1!$B$2:$C$3209,2,FALSE)</f>
        <v>マイナス在庫一覧表</v>
      </c>
      <c r="AE445" s="49"/>
      <c r="AF445" s="51" t="s">
        <v>1893</v>
      </c>
      <c r="AG445" s="51" t="s">
        <v>1894</v>
      </c>
      <c r="AH445" s="49" t="str">
        <f t="shared" si="37"/>
        <v>マイナス在庫一覧表</v>
      </c>
      <c r="AI445" s="49"/>
      <c r="AJ445" s="49"/>
      <c r="AK445" s="49"/>
      <c r="AL445" s="49" t="str">
        <f t="shared" si="36"/>
        <v>マイナス在庫一覧表</v>
      </c>
      <c r="AM445" s="49" t="s">
        <v>35</v>
      </c>
      <c r="AN445" s="49" t="s">
        <v>1895</v>
      </c>
      <c r="AO445" s="51" t="str">
        <f t="shared" si="31"/>
        <v>マイナス在庫一覧表</v>
      </c>
      <c r="AP445" s="51" t="str">
        <f t="shared" si="32"/>
        <v>PD5100</v>
      </c>
      <c r="AQ445" s="51" t="s">
        <v>1896</v>
      </c>
      <c r="AR445" s="51" t="s">
        <v>1894</v>
      </c>
      <c r="AS445" s="49" t="str">
        <f t="shared" si="33"/>
        <v/>
      </c>
      <c r="AT445" s="49" t="str">
        <f t="shared" si="34"/>
        <v/>
      </c>
      <c r="AU445" s="49"/>
      <c r="AV445" s="49"/>
    </row>
    <row r="446" spans="1:48" ht="18" customHeight="1">
      <c r="A446" s="44">
        <v>444</v>
      </c>
      <c r="B446" s="71" t="s">
        <v>1076</v>
      </c>
      <c r="C446" s="54" t="s">
        <v>1803</v>
      </c>
      <c r="D446" s="46" t="s">
        <v>116</v>
      </c>
      <c r="E446" s="44" t="s">
        <v>1894</v>
      </c>
      <c r="F446" s="44" t="s">
        <v>1897</v>
      </c>
      <c r="G446" s="44"/>
      <c r="H446" s="44"/>
      <c r="I446" s="44"/>
      <c r="J446" s="47" t="s">
        <v>35</v>
      </c>
      <c r="K446" s="47"/>
      <c r="L446" s="47"/>
      <c r="M446" s="47"/>
      <c r="N446" s="47"/>
      <c r="O446" s="44"/>
      <c r="P446" s="44"/>
      <c r="Q446" s="48">
        <f>VLOOKUP(E446,sheet1!$B$2:$D$3209,3,FALSE)</f>
        <v>572</v>
      </c>
      <c r="R446" s="47" t="s">
        <v>35</v>
      </c>
      <c r="S446" s="47" t="s">
        <v>35</v>
      </c>
      <c r="T446" s="47" t="s">
        <v>35</v>
      </c>
      <c r="U446" s="47" t="s">
        <v>296</v>
      </c>
      <c r="V446" s="47" t="s">
        <v>35</v>
      </c>
      <c r="W446" s="47" t="s">
        <v>35</v>
      </c>
      <c r="X446" s="47" t="s">
        <v>35</v>
      </c>
      <c r="Y446" s="47" t="s">
        <v>35</v>
      </c>
      <c r="Z446" s="47" t="s">
        <v>35</v>
      </c>
      <c r="AA446" s="47" t="s">
        <v>35</v>
      </c>
      <c r="AB446" s="47" t="s">
        <v>35</v>
      </c>
      <c r="AC446" s="47" t="s">
        <v>35</v>
      </c>
      <c r="AD446" s="63" t="str">
        <f>VLOOKUP(E447,sheet1!$B$2:$C$3209,2,FALSE)</f>
        <v>在庫一覧表</v>
      </c>
      <c r="AE446" s="49"/>
      <c r="AF446" s="51" t="s">
        <v>1898</v>
      </c>
      <c r="AG446" s="51" t="s">
        <v>1899</v>
      </c>
      <c r="AH446" s="49" t="str">
        <f t="shared" si="37"/>
        <v>在庫一覧表</v>
      </c>
      <c r="AI446" s="49"/>
      <c r="AJ446" s="49"/>
      <c r="AK446" s="49"/>
      <c r="AL446" s="49" t="str">
        <f t="shared" si="36"/>
        <v>在庫一覧表</v>
      </c>
      <c r="AM446" s="49" t="s">
        <v>35</v>
      </c>
      <c r="AN446" s="49" t="s">
        <v>1900</v>
      </c>
      <c r="AO446" s="51" t="str">
        <f t="shared" si="31"/>
        <v>在庫一覧表</v>
      </c>
      <c r="AP446" s="51" t="str">
        <f t="shared" si="32"/>
        <v>PD9150</v>
      </c>
      <c r="AQ446" s="51" t="s">
        <v>1901</v>
      </c>
      <c r="AR446" s="51" t="s">
        <v>559</v>
      </c>
      <c r="AS446" s="49" t="str">
        <f t="shared" si="33"/>
        <v/>
      </c>
      <c r="AT446" s="49" t="str">
        <f t="shared" si="34"/>
        <v/>
      </c>
      <c r="AU446" s="49"/>
      <c r="AV446" s="49"/>
    </row>
    <row r="447" spans="1:48" ht="18" customHeight="1">
      <c r="A447" s="44">
        <v>445</v>
      </c>
      <c r="B447" s="71" t="s">
        <v>1076</v>
      </c>
      <c r="C447" s="54" t="s">
        <v>1803</v>
      </c>
      <c r="D447" s="46" t="s">
        <v>116</v>
      </c>
      <c r="E447" s="44" t="s">
        <v>1899</v>
      </c>
      <c r="F447" s="44" t="s">
        <v>1902</v>
      </c>
      <c r="G447" s="44"/>
      <c r="H447" s="44"/>
      <c r="I447" s="44"/>
      <c r="J447" s="47" t="s">
        <v>35</v>
      </c>
      <c r="K447" s="47"/>
      <c r="L447" s="47"/>
      <c r="M447" s="47"/>
      <c r="N447" s="47"/>
      <c r="O447" s="44"/>
      <c r="P447" s="44"/>
      <c r="Q447" s="48">
        <f>VLOOKUP(E447,sheet1!$B$2:$D$3209,3,FALSE)</f>
        <v>1398</v>
      </c>
      <c r="R447" s="47" t="s">
        <v>35</v>
      </c>
      <c r="S447" s="47" t="s">
        <v>35</v>
      </c>
      <c r="T447" s="47" t="s">
        <v>35</v>
      </c>
      <c r="U447" s="47" t="s">
        <v>296</v>
      </c>
      <c r="V447" s="47" t="s">
        <v>35</v>
      </c>
      <c r="W447" s="47" t="s">
        <v>35</v>
      </c>
      <c r="X447" s="47" t="s">
        <v>35</v>
      </c>
      <c r="Y447" s="47" t="s">
        <v>35</v>
      </c>
      <c r="Z447" s="47" t="s">
        <v>35</v>
      </c>
      <c r="AA447" s="47" t="s">
        <v>35</v>
      </c>
      <c r="AB447" s="47" t="s">
        <v>35</v>
      </c>
      <c r="AC447" s="47" t="s">
        <v>35</v>
      </c>
      <c r="AD447" s="63" t="str">
        <f>VLOOKUP(E448,sheet1!$B$2:$C$3209,2,FALSE)</f>
        <v>マイナス在庫関連品目リスト　</v>
      </c>
      <c r="AE447" s="49"/>
      <c r="AF447" s="51" t="s">
        <v>1903</v>
      </c>
      <c r="AG447" s="51" t="s">
        <v>1904</v>
      </c>
      <c r="AH447" s="49" t="str">
        <f t="shared" si="37"/>
        <v>マイナス在庫関連品目</v>
      </c>
      <c r="AI447" s="49"/>
      <c r="AJ447" s="49"/>
      <c r="AK447" s="49"/>
      <c r="AL447" s="49" t="str">
        <f t="shared" si="36"/>
        <v>マイナス在庫関連品目</v>
      </c>
      <c r="AM447" s="49" t="s">
        <v>35</v>
      </c>
      <c r="AN447" s="49" t="s">
        <v>1905</v>
      </c>
      <c r="AO447" s="51" t="str">
        <f t="shared" si="31"/>
        <v>マイナス在庫関連品目リスト</v>
      </c>
      <c r="AP447" s="51" t="str">
        <f t="shared" si="32"/>
        <v>PD5300</v>
      </c>
      <c r="AQ447" s="51" t="s">
        <v>1906</v>
      </c>
      <c r="AR447" s="51" t="s">
        <v>1904</v>
      </c>
      <c r="AS447" s="49" t="str">
        <f t="shared" si="33"/>
        <v/>
      </c>
      <c r="AT447" s="49" t="str">
        <f t="shared" si="34"/>
        <v/>
      </c>
      <c r="AU447" s="49"/>
      <c r="AV447" s="49"/>
    </row>
    <row r="448" spans="1:48" ht="18" customHeight="1">
      <c r="A448" s="44">
        <v>446</v>
      </c>
      <c r="B448" s="71" t="s">
        <v>1076</v>
      </c>
      <c r="C448" s="54" t="s">
        <v>1803</v>
      </c>
      <c r="D448" s="46" t="s">
        <v>116</v>
      </c>
      <c r="E448" s="44" t="s">
        <v>1904</v>
      </c>
      <c r="F448" s="44" t="s">
        <v>1905</v>
      </c>
      <c r="G448" s="44"/>
      <c r="H448" s="44"/>
      <c r="I448" s="44"/>
      <c r="J448" s="47" t="s">
        <v>35</v>
      </c>
      <c r="K448" s="47"/>
      <c r="L448" s="47"/>
      <c r="M448" s="47"/>
      <c r="N448" s="47"/>
      <c r="O448" s="44"/>
      <c r="P448" s="44"/>
      <c r="Q448" s="48">
        <f>VLOOKUP(E448,sheet1!$B$2:$D$3209,3,FALSE)</f>
        <v>807</v>
      </c>
      <c r="R448" s="47" t="s">
        <v>35</v>
      </c>
      <c r="S448" s="47" t="s">
        <v>296</v>
      </c>
      <c r="T448" s="47" t="s">
        <v>35</v>
      </c>
      <c r="U448" s="47" t="s">
        <v>296</v>
      </c>
      <c r="V448" s="47" t="s">
        <v>35</v>
      </c>
      <c r="W448" s="47" t="s">
        <v>35</v>
      </c>
      <c r="X448" s="47" t="s">
        <v>35</v>
      </c>
      <c r="Y448" s="47" t="s">
        <v>35</v>
      </c>
      <c r="Z448" s="47" t="s">
        <v>35</v>
      </c>
      <c r="AA448" s="47" t="s">
        <v>35</v>
      </c>
      <c r="AB448" s="47" t="s">
        <v>35</v>
      </c>
      <c r="AC448" s="47" t="s">
        <v>35</v>
      </c>
      <c r="AD448" s="63" t="str">
        <f>VLOOKUP(E449,sheet1!$B$2:$C$3209,2,FALSE)</f>
        <v>部製品ﾛｹｰｼｮﾝﾀｯｸｼｰﾙ</v>
      </c>
      <c r="AE448" s="49"/>
      <c r="AF448" s="51" t="s">
        <v>1907</v>
      </c>
      <c r="AG448" s="51" t="s">
        <v>1908</v>
      </c>
      <c r="AH448" s="49" t="str">
        <f t="shared" si="37"/>
        <v>部製品ﾛｹｰｼｮﾝﾀｯｸｼｰﾙ</v>
      </c>
      <c r="AI448" s="49"/>
      <c r="AJ448" s="49"/>
      <c r="AK448" s="49"/>
      <c r="AL448" s="49" t="str">
        <f t="shared" si="36"/>
        <v>部製品ﾛｹｰｼｮﾝﾀｯｸｼｰﾙ</v>
      </c>
      <c r="AM448" s="49" t="s">
        <v>35</v>
      </c>
      <c r="AN448" s="49" t="s">
        <v>1909</v>
      </c>
      <c r="AO448" s="51" t="str">
        <f t="shared" si="31"/>
        <v>部製品ﾛｹｰｼｮﾝﾀｯｸｼｰﾙ</v>
      </c>
      <c r="AP448" s="51" t="str">
        <f t="shared" si="32"/>
        <v>PD5150</v>
      </c>
      <c r="AQ448" s="51" t="s">
        <v>1907</v>
      </c>
      <c r="AR448" s="51" t="s">
        <v>1908</v>
      </c>
      <c r="AS448" s="49" t="str">
        <f t="shared" si="33"/>
        <v/>
      </c>
      <c r="AT448" s="49" t="str">
        <f t="shared" si="34"/>
        <v/>
      </c>
      <c r="AU448" s="49"/>
      <c r="AV448" s="49"/>
    </row>
    <row r="449" spans="1:48" ht="18" customHeight="1">
      <c r="A449" s="44">
        <v>447</v>
      </c>
      <c r="B449" s="71" t="s">
        <v>1076</v>
      </c>
      <c r="C449" s="54" t="s">
        <v>1803</v>
      </c>
      <c r="D449" s="46" t="s">
        <v>116</v>
      </c>
      <c r="E449" s="44" t="s">
        <v>1908</v>
      </c>
      <c r="F449" s="44" t="s">
        <v>1910</v>
      </c>
      <c r="G449" s="44"/>
      <c r="H449" s="44"/>
      <c r="I449" s="44"/>
      <c r="J449" s="47" t="s">
        <v>35</v>
      </c>
      <c r="K449" s="47"/>
      <c r="L449" s="47"/>
      <c r="M449" s="47"/>
      <c r="N449" s="47"/>
      <c r="O449" s="44"/>
      <c r="P449" s="44"/>
      <c r="Q449" s="48">
        <f>VLOOKUP(E449,sheet1!$B$2:$D$3209,3,FALSE)</f>
        <v>590</v>
      </c>
      <c r="R449" s="47" t="s">
        <v>35</v>
      </c>
      <c r="S449" s="47" t="s">
        <v>35</v>
      </c>
      <c r="T449" s="47" t="s">
        <v>35</v>
      </c>
      <c r="U449" s="47" t="s">
        <v>296</v>
      </c>
      <c r="V449" s="47" t="s">
        <v>35</v>
      </c>
      <c r="W449" s="47" t="s">
        <v>35</v>
      </c>
      <c r="X449" s="47" t="s">
        <v>35</v>
      </c>
      <c r="Y449" s="47" t="s">
        <v>35</v>
      </c>
      <c r="Z449" s="47" t="s">
        <v>35</v>
      </c>
      <c r="AA449" s="47" t="s">
        <v>35</v>
      </c>
      <c r="AB449" s="47" t="s">
        <v>35</v>
      </c>
      <c r="AC449" s="47" t="s">
        <v>35</v>
      </c>
      <c r="AD449" s="63" t="str">
        <f>VLOOKUP(E450,sheet1!$B$2:$C$3209,2,FALSE)</f>
        <v>期間別棚卸滞留品</v>
      </c>
      <c r="AE449" s="49"/>
      <c r="AF449" s="51" t="s">
        <v>1911</v>
      </c>
      <c r="AG449" s="51" t="s">
        <v>1912</v>
      </c>
      <c r="AH449" s="49" t="str">
        <f t="shared" si="37"/>
        <v>期間別棚卸滞留品</v>
      </c>
      <c r="AI449" s="49"/>
      <c r="AJ449" s="49"/>
      <c r="AK449" s="49"/>
      <c r="AL449" s="49" t="str">
        <f t="shared" si="36"/>
        <v>期間別棚卸滞留品</v>
      </c>
      <c r="AM449" s="49" t="s">
        <v>35</v>
      </c>
      <c r="AN449" s="49" t="s">
        <v>1913</v>
      </c>
      <c r="AO449" s="51" t="str">
        <f t="shared" si="31"/>
        <v>期間別棚卸滞留品</v>
      </c>
      <c r="AP449" s="51" t="str">
        <f t="shared" si="32"/>
        <v>PD6380</v>
      </c>
      <c r="AQ449" s="51" t="s">
        <v>1911</v>
      </c>
      <c r="AR449" s="51" t="s">
        <v>1914</v>
      </c>
      <c r="AS449" s="49" t="str">
        <f t="shared" si="33"/>
        <v/>
      </c>
      <c r="AT449" s="49" t="str">
        <f t="shared" si="34"/>
        <v/>
      </c>
      <c r="AU449" s="49"/>
      <c r="AV449" s="49"/>
    </row>
    <row r="450" spans="1:48" ht="18" customHeight="1">
      <c r="A450" s="44">
        <v>448</v>
      </c>
      <c r="B450" s="71" t="s">
        <v>1076</v>
      </c>
      <c r="C450" s="54" t="s">
        <v>1803</v>
      </c>
      <c r="D450" s="53" t="s">
        <v>116</v>
      </c>
      <c r="E450" s="44" t="s">
        <v>1912</v>
      </c>
      <c r="F450" s="44" t="s">
        <v>1915</v>
      </c>
      <c r="G450" s="44"/>
      <c r="H450" s="44"/>
      <c r="I450" s="44"/>
      <c r="J450" s="47" t="s">
        <v>35</v>
      </c>
      <c r="K450" s="47"/>
      <c r="L450" s="47"/>
      <c r="M450" s="47"/>
      <c r="N450" s="47"/>
      <c r="O450" s="44"/>
      <c r="P450" s="44"/>
      <c r="Q450" s="48">
        <f>VLOOKUP(E450,sheet1!$B$2:$D$3209,3,FALSE)</f>
        <v>240</v>
      </c>
      <c r="R450" s="47" t="s">
        <v>35</v>
      </c>
      <c r="S450" s="47" t="s">
        <v>35</v>
      </c>
      <c r="T450" s="47" t="s">
        <v>35</v>
      </c>
      <c r="U450" s="47" t="s">
        <v>296</v>
      </c>
      <c r="V450" s="47" t="s">
        <v>35</v>
      </c>
      <c r="W450" s="47" t="s">
        <v>35</v>
      </c>
      <c r="X450" s="47" t="s">
        <v>35</v>
      </c>
      <c r="Y450" s="47" t="s">
        <v>35</v>
      </c>
      <c r="Z450" s="47" t="s">
        <v>35</v>
      </c>
      <c r="AA450" s="47" t="s">
        <v>35</v>
      </c>
      <c r="AB450" s="47" t="s">
        <v>35</v>
      </c>
      <c r="AC450" s="47" t="s">
        <v>35</v>
      </c>
      <c r="AD450" s="63" t="str">
        <f>VLOOKUP(E451,sheet1!$B$2:$C$3209,2,FALSE)</f>
        <v>品目別月別入出庫集計表</v>
      </c>
      <c r="AE450" s="49"/>
      <c r="AF450" s="51" t="s">
        <v>1916</v>
      </c>
      <c r="AG450" s="51" t="s">
        <v>1917</v>
      </c>
      <c r="AH450" s="49" t="str">
        <f t="shared" si="37"/>
        <v>品目別月別入出庫集計表</v>
      </c>
      <c r="AI450" s="49"/>
      <c r="AJ450" s="49"/>
      <c r="AK450" s="49"/>
      <c r="AL450" s="49" t="str">
        <f t="shared" si="36"/>
        <v>品目別月別入出庫集計表</v>
      </c>
      <c r="AM450" s="49" t="s">
        <v>35</v>
      </c>
      <c r="AN450" s="49" t="s">
        <v>1918</v>
      </c>
      <c r="AO450" s="51" t="str">
        <f t="shared" si="31"/>
        <v>品目別月別入出庫集計表</v>
      </c>
      <c r="AP450" s="51" t="str">
        <f t="shared" si="32"/>
        <v>SA2410</v>
      </c>
      <c r="AQ450" s="51" t="s">
        <v>1916</v>
      </c>
      <c r="AR450" s="51" t="s">
        <v>1919</v>
      </c>
      <c r="AS450" s="49" t="str">
        <f t="shared" si="33"/>
        <v/>
      </c>
      <c r="AT450" s="49" t="str">
        <f t="shared" si="34"/>
        <v/>
      </c>
      <c r="AU450" s="49"/>
      <c r="AV450" s="49"/>
    </row>
    <row r="451" spans="1:48" ht="18" customHeight="1">
      <c r="A451" s="44">
        <v>449</v>
      </c>
      <c r="B451" s="71" t="s">
        <v>1076</v>
      </c>
      <c r="C451" s="54" t="s">
        <v>1803</v>
      </c>
      <c r="D451" s="53" t="s">
        <v>116</v>
      </c>
      <c r="E451" s="44" t="s">
        <v>1917</v>
      </c>
      <c r="F451" s="44" t="s">
        <v>1920</v>
      </c>
      <c r="G451" s="44"/>
      <c r="H451" s="44"/>
      <c r="I451" s="44"/>
      <c r="J451" s="47" t="s">
        <v>35</v>
      </c>
      <c r="K451" s="47"/>
      <c r="L451" s="47"/>
      <c r="M451" s="47"/>
      <c r="N451" s="47"/>
      <c r="O451" s="44"/>
      <c r="P451" s="44"/>
      <c r="Q451" s="48">
        <f>VLOOKUP(E451,sheet1!$B$2:$D$3209,3,FALSE)</f>
        <v>15</v>
      </c>
      <c r="R451" s="47" t="s">
        <v>35</v>
      </c>
      <c r="S451" s="47" t="s">
        <v>35</v>
      </c>
      <c r="T451" s="47" t="s">
        <v>35</v>
      </c>
      <c r="U451" s="47" t="s">
        <v>296</v>
      </c>
      <c r="V451" s="47" t="s">
        <v>35</v>
      </c>
      <c r="W451" s="47" t="s">
        <v>35</v>
      </c>
      <c r="X451" s="47" t="s">
        <v>35</v>
      </c>
      <c r="Y451" s="47" t="s">
        <v>35</v>
      </c>
      <c r="Z451" s="47" t="s">
        <v>35</v>
      </c>
      <c r="AA451" s="47" t="s">
        <v>35</v>
      </c>
      <c r="AB451" s="47" t="s">
        <v>35</v>
      </c>
      <c r="AC451" s="47" t="s">
        <v>35</v>
      </c>
      <c r="AD451" s="63" t="str">
        <f>VLOOKUP(E452,sheet1!$B$2:$C$3209,2,FALSE)</f>
        <v>適正在庫割れ警告表</v>
      </c>
      <c r="AE451" s="49"/>
      <c r="AF451" s="51" t="s">
        <v>1921</v>
      </c>
      <c r="AG451" s="51" t="s">
        <v>1922</v>
      </c>
      <c r="AH451" s="49" t="str">
        <f t="shared" si="37"/>
        <v>適正在庫割れ警告表</v>
      </c>
      <c r="AI451" s="49"/>
      <c r="AJ451" s="49"/>
      <c r="AK451" s="49"/>
      <c r="AL451" s="49" t="str">
        <f t="shared" si="36"/>
        <v>適正在庫割れ警告表</v>
      </c>
      <c r="AM451" s="49" t="s">
        <v>35</v>
      </c>
      <c r="AN451" s="49" t="s">
        <v>1923</v>
      </c>
      <c r="AO451" s="51" t="str">
        <f t="shared" si="31"/>
        <v>受入ロット別滞留表</v>
      </c>
      <c r="AP451" s="51" t="str">
        <f t="shared" si="32"/>
        <v>PD6400</v>
      </c>
      <c r="AQ451" s="51" t="s">
        <v>1924</v>
      </c>
      <c r="AR451" s="51" t="s">
        <v>1925</v>
      </c>
      <c r="AS451" s="49" t="str">
        <f t="shared" si="33"/>
        <v/>
      </c>
      <c r="AT451" s="49" t="str">
        <f t="shared" si="34"/>
        <v/>
      </c>
      <c r="AU451" s="49"/>
      <c r="AV451" s="49"/>
    </row>
    <row r="452" spans="1:48" ht="18" customHeight="1">
      <c r="A452" s="44">
        <v>450</v>
      </c>
      <c r="B452" s="71" t="s">
        <v>1076</v>
      </c>
      <c r="C452" s="54" t="s">
        <v>1803</v>
      </c>
      <c r="D452" s="53" t="s">
        <v>116</v>
      </c>
      <c r="E452" s="44" t="s">
        <v>1922</v>
      </c>
      <c r="F452" s="44" t="s">
        <v>1926</v>
      </c>
      <c r="G452" s="44"/>
      <c r="H452" s="44"/>
      <c r="I452" s="44"/>
      <c r="J452" s="47" t="s">
        <v>35</v>
      </c>
      <c r="K452" s="47"/>
      <c r="L452" s="47"/>
      <c r="M452" s="47"/>
      <c r="N452" s="47"/>
      <c r="O452" s="44"/>
      <c r="P452" s="44"/>
      <c r="Q452" s="48">
        <f>VLOOKUP(E452,sheet1!$B$2:$D$3209,3,FALSE)</f>
        <v>16</v>
      </c>
      <c r="R452" s="47" t="s">
        <v>35</v>
      </c>
      <c r="S452" s="47" t="s">
        <v>296</v>
      </c>
      <c r="T452" s="47" t="s">
        <v>35</v>
      </c>
      <c r="U452" s="47" t="s">
        <v>296</v>
      </c>
      <c r="V452" s="47" t="s">
        <v>35</v>
      </c>
      <c r="W452" s="47" t="s">
        <v>296</v>
      </c>
      <c r="X452" s="47" t="s">
        <v>296</v>
      </c>
      <c r="Y452" s="47" t="s">
        <v>296</v>
      </c>
      <c r="Z452" s="47" t="s">
        <v>35</v>
      </c>
      <c r="AA452" s="47" t="s">
        <v>296</v>
      </c>
      <c r="AB452" s="47" t="s">
        <v>35</v>
      </c>
      <c r="AC452" s="47" t="s">
        <v>35</v>
      </c>
      <c r="AD452" s="63" t="str">
        <f>VLOOKUP(E453,sheet1!$B$2:$C$3209,2,FALSE)</f>
        <v>受入ロット別滞留リスト</v>
      </c>
      <c r="AE452" s="49"/>
      <c r="AF452" s="51" t="s">
        <v>1927</v>
      </c>
      <c r="AG452" s="51" t="s">
        <v>1928</v>
      </c>
      <c r="AH452" s="49" t="str">
        <f t="shared" si="37"/>
        <v>受入ロット別滞留表</v>
      </c>
      <c r="AI452" s="49"/>
      <c r="AJ452" s="49"/>
      <c r="AK452" s="49"/>
      <c r="AL452" s="49" t="str">
        <f t="shared" si="36"/>
        <v>受入ロット別滞留表</v>
      </c>
      <c r="AM452" s="49" t="s">
        <v>35</v>
      </c>
      <c r="AN452" s="49" t="s">
        <v>1929</v>
      </c>
      <c r="AO452" s="51" t="str">
        <f t="shared" si="31"/>
        <v>滞留在庫受払処理</v>
      </c>
      <c r="AP452" s="51" t="str">
        <f t="shared" si="32"/>
        <v>CS3700</v>
      </c>
      <c r="AQ452" s="51" t="s">
        <v>1930</v>
      </c>
      <c r="AR452" s="51" t="s">
        <v>1931</v>
      </c>
      <c r="AS452" s="49" t="str">
        <f t="shared" si="33"/>
        <v/>
      </c>
      <c r="AT452" s="49" t="str">
        <f t="shared" si="34"/>
        <v/>
      </c>
      <c r="AU452" s="49"/>
      <c r="AV452" s="49"/>
    </row>
    <row r="453" spans="1:48" ht="18" customHeight="1">
      <c r="A453" s="44">
        <v>451</v>
      </c>
      <c r="B453" s="71" t="s">
        <v>1076</v>
      </c>
      <c r="C453" s="54" t="s">
        <v>1803</v>
      </c>
      <c r="D453" s="53" t="s">
        <v>116</v>
      </c>
      <c r="E453" s="44" t="s">
        <v>1928</v>
      </c>
      <c r="F453" s="44" t="s">
        <v>1932</v>
      </c>
      <c r="G453" s="44"/>
      <c r="H453" s="44"/>
      <c r="I453" s="44"/>
      <c r="J453" s="47" t="s">
        <v>35</v>
      </c>
      <c r="K453" s="47"/>
      <c r="L453" s="47"/>
      <c r="M453" s="47"/>
      <c r="N453" s="47"/>
      <c r="O453" s="44"/>
      <c r="P453" s="44"/>
      <c r="Q453" s="48">
        <f>VLOOKUP(E453,sheet1!$B$2:$D$3209,3,FALSE)</f>
        <v>81</v>
      </c>
      <c r="R453" s="47" t="s">
        <v>35</v>
      </c>
      <c r="S453" s="47" t="s">
        <v>296</v>
      </c>
      <c r="T453" s="47"/>
      <c r="U453" s="47" t="s">
        <v>296</v>
      </c>
      <c r="V453" s="47" t="s">
        <v>296</v>
      </c>
      <c r="W453" s="47" t="s">
        <v>296</v>
      </c>
      <c r="X453" s="47" t="s">
        <v>296</v>
      </c>
      <c r="Y453" s="47" t="s">
        <v>296</v>
      </c>
      <c r="Z453" s="47" t="s">
        <v>296</v>
      </c>
      <c r="AA453" s="47" t="s">
        <v>35</v>
      </c>
      <c r="AB453" s="47" t="s">
        <v>35</v>
      </c>
      <c r="AC453" s="47" t="s">
        <v>35</v>
      </c>
      <c r="AD453" s="63" t="str">
        <f>VLOOKUP(E454,sheet1!$B$2:$C$3209,2,FALSE)</f>
        <v>金庫在庫一覧</v>
      </c>
      <c r="AE453" s="49"/>
      <c r="AF453" s="51" t="s">
        <v>1933</v>
      </c>
      <c r="AG453" s="51" t="s">
        <v>1934</v>
      </c>
      <c r="AH453" s="49" t="str">
        <f t="shared" si="37"/>
        <v>金庫在庫一覧</v>
      </c>
      <c r="AI453" s="49"/>
      <c r="AJ453" s="49"/>
      <c r="AK453" s="49"/>
      <c r="AL453" s="49" t="str">
        <f t="shared" si="36"/>
        <v>支給ﾌﾟﾙｰﾌﾘｽﾄ</v>
      </c>
      <c r="AM453" s="49" t="s">
        <v>35</v>
      </c>
      <c r="AN453" s="49" t="s">
        <v>1935</v>
      </c>
      <c r="AO453" s="51" t="str">
        <f t="shared" si="31"/>
        <v/>
      </c>
      <c r="AP453" s="51" t="str">
        <f t="shared" si="32"/>
        <v/>
      </c>
      <c r="AQ453" s="49"/>
      <c r="AR453" s="49"/>
      <c r="AS453" s="49" t="str">
        <f t="shared" si="33"/>
        <v/>
      </c>
      <c r="AT453" s="49" t="str">
        <f t="shared" si="34"/>
        <v/>
      </c>
      <c r="AU453" s="49"/>
      <c r="AV453" s="49"/>
    </row>
    <row r="454" spans="1:48" ht="18" customHeight="1">
      <c r="A454" s="44">
        <v>452</v>
      </c>
      <c r="B454" s="71" t="s">
        <v>1076</v>
      </c>
      <c r="C454" s="54" t="s">
        <v>1803</v>
      </c>
      <c r="D454" s="53" t="s">
        <v>116</v>
      </c>
      <c r="E454" s="44" t="s">
        <v>1934</v>
      </c>
      <c r="F454" s="44" t="s">
        <v>1936</v>
      </c>
      <c r="G454" s="44"/>
      <c r="H454" s="44"/>
      <c r="I454" s="44"/>
      <c r="J454" s="47" t="s">
        <v>35</v>
      </c>
      <c r="K454" s="47"/>
      <c r="L454" s="47"/>
      <c r="M454" s="47"/>
      <c r="N454" s="47"/>
      <c r="O454" s="44"/>
      <c r="P454" s="44"/>
      <c r="Q454" s="48">
        <f>VLOOKUP(E454,sheet1!$B$2:$D$3209,3,FALSE)</f>
        <v>16</v>
      </c>
      <c r="R454" s="47" t="s">
        <v>35</v>
      </c>
      <c r="S454" s="47" t="s">
        <v>296</v>
      </c>
      <c r="T454" s="47"/>
      <c r="U454" s="47" t="s">
        <v>296</v>
      </c>
      <c r="V454" s="47" t="s">
        <v>296</v>
      </c>
      <c r="W454" s="47" t="s">
        <v>296</v>
      </c>
      <c r="X454" s="47" t="s">
        <v>296</v>
      </c>
      <c r="Y454" s="47" t="s">
        <v>296</v>
      </c>
      <c r="Z454" s="47" t="s">
        <v>296</v>
      </c>
      <c r="AA454" s="47" t="s">
        <v>296</v>
      </c>
      <c r="AB454" s="47"/>
      <c r="AC454" s="47" t="s">
        <v>35</v>
      </c>
      <c r="AD454" s="63" t="str">
        <f>VLOOKUP(E455,sheet1!$B$2:$C$3209,2,FALSE)</f>
        <v>ｻｰﾋﾞｽ実動品目</v>
      </c>
      <c r="AE454" s="49"/>
      <c r="AF454" s="51" t="s">
        <v>1937</v>
      </c>
      <c r="AG454" s="51" t="s">
        <v>1938</v>
      </c>
      <c r="AH454" s="49" t="str">
        <f t="shared" si="37"/>
        <v>ｻｰﾋﾞｽ実動品</v>
      </c>
      <c r="AI454" s="49"/>
      <c r="AJ454" s="49"/>
      <c r="AK454" s="49"/>
      <c r="AL454" s="49" t="str">
        <f t="shared" si="36"/>
        <v>調整ﾌﾟﾙｰﾌﾘｽﾄ</v>
      </c>
      <c r="AM454" s="49" t="s">
        <v>35</v>
      </c>
      <c r="AN454" s="49" t="s">
        <v>1939</v>
      </c>
      <c r="AO454" s="51" t="str">
        <f t="shared" si="31"/>
        <v/>
      </c>
      <c r="AP454" s="51" t="str">
        <f t="shared" si="32"/>
        <v/>
      </c>
      <c r="AQ454" s="49"/>
      <c r="AR454" s="49"/>
      <c r="AS454" s="49" t="str">
        <f t="shared" si="33"/>
        <v/>
      </c>
      <c r="AT454" s="49" t="str">
        <f t="shared" si="34"/>
        <v/>
      </c>
      <c r="AU454" s="49"/>
      <c r="AV454" s="49"/>
    </row>
    <row r="455" spans="1:48" ht="18" customHeight="1">
      <c r="A455" s="44">
        <v>453</v>
      </c>
      <c r="B455" s="71" t="s">
        <v>1076</v>
      </c>
      <c r="C455" s="54" t="s">
        <v>1803</v>
      </c>
      <c r="D455" s="53" t="s">
        <v>116</v>
      </c>
      <c r="E455" s="44" t="s">
        <v>1938</v>
      </c>
      <c r="F455" s="44" t="s">
        <v>1940</v>
      </c>
      <c r="G455" s="44"/>
      <c r="H455" s="44"/>
      <c r="I455" s="44"/>
      <c r="J455" s="47" t="s">
        <v>35</v>
      </c>
      <c r="K455" s="47"/>
      <c r="L455" s="47"/>
      <c r="M455" s="47"/>
      <c r="N455" s="47"/>
      <c r="O455" s="44"/>
      <c r="P455" s="44"/>
      <c r="Q455" s="48">
        <f>VLOOKUP(E455,sheet1!$B$2:$D$3209,3,FALSE)</f>
        <v>18</v>
      </c>
      <c r="R455" s="47" t="s">
        <v>35</v>
      </c>
      <c r="S455" s="47" t="s">
        <v>296</v>
      </c>
      <c r="T455" s="47"/>
      <c r="U455" s="47" t="s">
        <v>296</v>
      </c>
      <c r="V455" s="47" t="s">
        <v>296</v>
      </c>
      <c r="W455" s="47" t="s">
        <v>296</v>
      </c>
      <c r="X455" s="47" t="s">
        <v>296</v>
      </c>
      <c r="Y455" s="47" t="s">
        <v>296</v>
      </c>
      <c r="Z455" s="47" t="s">
        <v>296</v>
      </c>
      <c r="AA455" s="47" t="s">
        <v>296</v>
      </c>
      <c r="AB455" s="47"/>
      <c r="AC455" s="47" t="s">
        <v>35</v>
      </c>
      <c r="AD455" s="63" t="str">
        <f>VLOOKUP(E456,sheet1!$B$2:$C$3209,2,FALSE)</f>
        <v>サービスパーツ未出庫一覧                    JCM</v>
      </c>
      <c r="AE455" s="49"/>
      <c r="AF455" s="51" t="s">
        <v>1941</v>
      </c>
      <c r="AG455" s="51" t="s">
        <v>1794</v>
      </c>
      <c r="AH455" s="49" t="str">
        <f t="shared" si="37"/>
        <v>ｻｰﾋﾞｽﾊﾟｰﾂ未出庫一覧</v>
      </c>
      <c r="AI455" s="49"/>
      <c r="AJ455" s="49"/>
      <c r="AK455" s="49"/>
      <c r="AL455" s="49" t="str">
        <f t="shared" si="36"/>
        <v>受入ﾌﾟﾙｰﾌﾘｽﾄ</v>
      </c>
      <c r="AM455" s="49" t="s">
        <v>35</v>
      </c>
      <c r="AN455" s="49" t="s">
        <v>1942</v>
      </c>
      <c r="AO455" s="51" t="str">
        <f t="shared" si="31"/>
        <v/>
      </c>
      <c r="AP455" s="51" t="str">
        <f t="shared" si="32"/>
        <v/>
      </c>
      <c r="AQ455" s="49"/>
      <c r="AR455" s="49"/>
      <c r="AS455" s="49" t="str">
        <f t="shared" si="33"/>
        <v/>
      </c>
      <c r="AT455" s="49" t="str">
        <f t="shared" si="34"/>
        <v/>
      </c>
      <c r="AU455" s="49"/>
      <c r="AV455" s="49"/>
    </row>
    <row r="456" spans="1:48" ht="18" customHeight="1">
      <c r="A456" s="44">
        <v>454</v>
      </c>
      <c r="B456" s="71" t="s">
        <v>1076</v>
      </c>
      <c r="C456" s="54" t="s">
        <v>1803</v>
      </c>
      <c r="D456" s="53" t="s">
        <v>116</v>
      </c>
      <c r="E456" s="44" t="s">
        <v>1794</v>
      </c>
      <c r="F456" s="44" t="s">
        <v>1943</v>
      </c>
      <c r="G456" s="44"/>
      <c r="H456" s="44"/>
      <c r="I456" s="44"/>
      <c r="J456" s="47" t="s">
        <v>35</v>
      </c>
      <c r="K456" s="47"/>
      <c r="L456" s="47"/>
      <c r="M456" s="47"/>
      <c r="N456" s="47"/>
      <c r="O456" s="44"/>
      <c r="P456" s="44"/>
      <c r="Q456" s="48">
        <f>VLOOKUP(E456,sheet1!$B$2:$D$3209,3,FALSE)</f>
        <v>424</v>
      </c>
      <c r="R456" s="47" t="s">
        <v>35</v>
      </c>
      <c r="S456" s="47" t="s">
        <v>296</v>
      </c>
      <c r="T456" s="47"/>
      <c r="U456" s="47" t="s">
        <v>296</v>
      </c>
      <c r="V456" s="47" t="s">
        <v>296</v>
      </c>
      <c r="W456" s="47" t="s">
        <v>296</v>
      </c>
      <c r="X456" s="47" t="s">
        <v>296</v>
      </c>
      <c r="Y456" s="47" t="s">
        <v>296</v>
      </c>
      <c r="Z456" s="47" t="s">
        <v>296</v>
      </c>
      <c r="AA456" s="47" t="s">
        <v>296</v>
      </c>
      <c r="AB456" s="47"/>
      <c r="AC456" s="47" t="s">
        <v>35</v>
      </c>
      <c r="AD456" s="63" t="str">
        <f>VLOOKUP(E457,sheet1!$B$2:$C$3209,2,FALSE)</f>
        <v>滞留在庫受払処理</v>
      </c>
      <c r="AE456" s="49"/>
      <c r="AF456" s="51" t="s">
        <v>1944</v>
      </c>
      <c r="AG456" s="51" t="s">
        <v>1945</v>
      </c>
      <c r="AH456" s="49" t="str">
        <f t="shared" si="37"/>
        <v>滞留在庫受払処理</v>
      </c>
      <c r="AI456" s="49"/>
      <c r="AJ456" s="49"/>
      <c r="AK456" s="49"/>
      <c r="AL456" s="49"/>
      <c r="AM456" s="49"/>
      <c r="AN456" s="49"/>
      <c r="AO456" s="51" t="str">
        <f t="shared" si="31"/>
        <v/>
      </c>
      <c r="AP456" s="51" t="str">
        <f t="shared" si="32"/>
        <v/>
      </c>
      <c r="AQ456" s="49"/>
      <c r="AR456" s="49"/>
      <c r="AS456" s="49" t="str">
        <f t="shared" si="33"/>
        <v/>
      </c>
      <c r="AT456" s="49" t="str">
        <f t="shared" si="34"/>
        <v/>
      </c>
      <c r="AU456" s="49"/>
      <c r="AV456" s="49"/>
    </row>
    <row r="457" spans="1:48" ht="18" customHeight="1">
      <c r="A457" s="44">
        <v>455</v>
      </c>
      <c r="B457" s="71" t="s">
        <v>1076</v>
      </c>
      <c r="C457" s="54" t="s">
        <v>1803</v>
      </c>
      <c r="D457" s="53" t="s">
        <v>116</v>
      </c>
      <c r="E457" s="44" t="s">
        <v>1945</v>
      </c>
      <c r="F457" s="44" t="s">
        <v>1946</v>
      </c>
      <c r="G457" s="44"/>
      <c r="H457" s="44"/>
      <c r="I457" s="44"/>
      <c r="J457" s="47" t="s">
        <v>35</v>
      </c>
      <c r="K457" s="47"/>
      <c r="L457" s="47"/>
      <c r="M457" s="47"/>
      <c r="N457" s="47"/>
      <c r="O457" s="44"/>
      <c r="P457" s="44"/>
      <c r="Q457" s="48">
        <f>VLOOKUP(E457,sheet1!$B$2:$D$3209,3,FALSE)</f>
        <v>30</v>
      </c>
      <c r="R457" s="47" t="s">
        <v>35</v>
      </c>
      <c r="S457" s="47" t="s">
        <v>296</v>
      </c>
      <c r="T457" s="47"/>
      <c r="U457" s="47" t="s">
        <v>296</v>
      </c>
      <c r="V457" s="47" t="s">
        <v>296</v>
      </c>
      <c r="W457" s="47" t="s">
        <v>296</v>
      </c>
      <c r="X457" s="47" t="s">
        <v>296</v>
      </c>
      <c r="Y457" s="47" t="s">
        <v>296</v>
      </c>
      <c r="Z457" s="47" t="s">
        <v>296</v>
      </c>
      <c r="AA457" s="47" t="s">
        <v>296</v>
      </c>
      <c r="AB457" s="47"/>
      <c r="AC457" s="47" t="s">
        <v>35</v>
      </c>
      <c r="AD457" s="63" t="e">
        <f>VLOOKUP(E458,sheet1!$B$2:$C$3209,2,FALSE)</f>
        <v>#N/A</v>
      </c>
      <c r="AE457" s="49"/>
      <c r="AF457" s="51" t="s">
        <v>1947</v>
      </c>
      <c r="AG457" s="51" t="s">
        <v>1948</v>
      </c>
      <c r="AH457" s="49" t="str">
        <f t="shared" si="37"/>
        <v>ｻｰﾋﾞｽ実動在庫一覧表</v>
      </c>
      <c r="AI457" s="49"/>
      <c r="AJ457" s="49"/>
      <c r="AK457" s="49"/>
      <c r="AL457" s="49"/>
      <c r="AM457" s="49"/>
      <c r="AN457" s="49"/>
      <c r="AO457" s="51" t="str">
        <f t="shared" si="31"/>
        <v/>
      </c>
      <c r="AP457" s="51" t="str">
        <f t="shared" si="32"/>
        <v/>
      </c>
      <c r="AQ457" s="49"/>
      <c r="AR457" s="49"/>
      <c r="AS457" s="49" t="str">
        <f t="shared" si="33"/>
        <v/>
      </c>
      <c r="AT457" s="49" t="str">
        <f t="shared" si="34"/>
        <v/>
      </c>
      <c r="AU457" s="49"/>
      <c r="AV457" s="49"/>
    </row>
    <row r="458" spans="1:48" ht="18" customHeight="1">
      <c r="A458" s="44">
        <v>456</v>
      </c>
      <c r="B458" s="71" t="s">
        <v>1076</v>
      </c>
      <c r="C458" s="54" t="s">
        <v>1803</v>
      </c>
      <c r="D458" s="53" t="s">
        <v>116</v>
      </c>
      <c r="E458" s="44" t="s">
        <v>1948</v>
      </c>
      <c r="F458" s="44" t="s">
        <v>1949</v>
      </c>
      <c r="G458" s="44"/>
      <c r="H458" s="44"/>
      <c r="I458" s="44"/>
      <c r="J458" s="47" t="s">
        <v>35</v>
      </c>
      <c r="K458" s="47"/>
      <c r="L458" s="47"/>
      <c r="M458" s="47"/>
      <c r="N458" s="47"/>
      <c r="O458" s="44"/>
      <c r="P458" s="44"/>
      <c r="Q458" s="48" t="e">
        <f>VLOOKUP(E458,sheet1!$B$2:$D$3209,3,FALSE)</f>
        <v>#N/A</v>
      </c>
      <c r="R458" s="47" t="s">
        <v>35</v>
      </c>
      <c r="S458" s="47" t="s">
        <v>296</v>
      </c>
      <c r="T458" s="47"/>
      <c r="U458" s="47" t="s">
        <v>296</v>
      </c>
      <c r="V458" s="47" t="s">
        <v>296</v>
      </c>
      <c r="W458" s="47" t="s">
        <v>296</v>
      </c>
      <c r="X458" s="47" t="s">
        <v>296</v>
      </c>
      <c r="Y458" s="47" t="s">
        <v>296</v>
      </c>
      <c r="Z458" s="47" t="s">
        <v>296</v>
      </c>
      <c r="AA458" s="47" t="s">
        <v>296</v>
      </c>
      <c r="AB458" s="47"/>
      <c r="AC458" s="47" t="s">
        <v>35</v>
      </c>
      <c r="AD458" s="63"/>
      <c r="AE458" s="49"/>
      <c r="AF458" s="51"/>
      <c r="AG458" s="51"/>
      <c r="AH458" s="49"/>
      <c r="AI458" s="49"/>
      <c r="AJ458" s="49"/>
      <c r="AK458" s="49"/>
      <c r="AL458" s="49"/>
      <c r="AM458" s="49"/>
      <c r="AN458" s="49"/>
      <c r="AO458" s="51" t="str">
        <f t="shared" si="31"/>
        <v/>
      </c>
      <c r="AP458" s="51" t="str">
        <f t="shared" si="32"/>
        <v/>
      </c>
      <c r="AQ458" s="49"/>
      <c r="AR458" s="49"/>
      <c r="AS458" s="49" t="str">
        <f t="shared" si="33"/>
        <v/>
      </c>
      <c r="AT458" s="49" t="str">
        <f t="shared" si="34"/>
        <v/>
      </c>
      <c r="AU458" s="49"/>
      <c r="AV458" s="49"/>
    </row>
    <row r="459" spans="1:48" ht="18" customHeight="1">
      <c r="A459" s="44">
        <v>457</v>
      </c>
      <c r="B459" s="71" t="s">
        <v>1076</v>
      </c>
      <c r="C459" s="54" t="s">
        <v>1803</v>
      </c>
      <c r="D459" s="53" t="s">
        <v>116</v>
      </c>
      <c r="E459" s="44"/>
      <c r="F459" s="44" t="s">
        <v>1950</v>
      </c>
      <c r="G459" s="44"/>
      <c r="H459" s="44"/>
      <c r="I459" s="44"/>
      <c r="J459" s="47"/>
      <c r="K459" s="47"/>
      <c r="L459" s="47"/>
      <c r="M459" s="47"/>
      <c r="N459" s="47"/>
      <c r="O459" s="44"/>
      <c r="P459" s="44"/>
      <c r="Q459" s="48"/>
      <c r="R459" s="47"/>
      <c r="S459" s="47" t="s">
        <v>296</v>
      </c>
      <c r="T459" s="47"/>
      <c r="U459" s="47" t="s">
        <v>296</v>
      </c>
      <c r="V459" s="47" t="s">
        <v>296</v>
      </c>
      <c r="W459" s="47" t="s">
        <v>296</v>
      </c>
      <c r="X459" s="47" t="s">
        <v>296</v>
      </c>
      <c r="Y459" s="47" t="s">
        <v>296</v>
      </c>
      <c r="Z459" s="47" t="s">
        <v>296</v>
      </c>
      <c r="AA459" s="47" t="s">
        <v>296</v>
      </c>
      <c r="AB459" s="47" t="s">
        <v>35</v>
      </c>
      <c r="AC459" s="47" t="s">
        <v>296</v>
      </c>
      <c r="AD459" s="63"/>
      <c r="AE459" s="49"/>
      <c r="AF459" s="51"/>
      <c r="AG459" s="51"/>
      <c r="AH459" s="49"/>
      <c r="AI459" s="49"/>
      <c r="AJ459" s="49"/>
      <c r="AK459" s="49"/>
      <c r="AL459" s="49"/>
      <c r="AM459" s="49"/>
      <c r="AN459" s="49"/>
      <c r="AO459" s="51" t="str">
        <f t="shared" si="31"/>
        <v/>
      </c>
      <c r="AP459" s="51" t="str">
        <f t="shared" si="32"/>
        <v/>
      </c>
      <c r="AQ459" s="49"/>
      <c r="AR459" s="49"/>
      <c r="AS459" s="49" t="str">
        <f t="shared" si="33"/>
        <v/>
      </c>
      <c r="AT459" s="49" t="str">
        <f t="shared" si="34"/>
        <v/>
      </c>
      <c r="AU459" s="49"/>
      <c r="AV459" s="49"/>
    </row>
    <row r="460" spans="1:48" ht="18" customHeight="1">
      <c r="A460" s="44">
        <v>458</v>
      </c>
      <c r="B460" s="71" t="s">
        <v>1076</v>
      </c>
      <c r="C460" s="54" t="s">
        <v>1803</v>
      </c>
      <c r="D460" s="53" t="s">
        <v>116</v>
      </c>
      <c r="E460" s="44"/>
      <c r="F460" s="44" t="s">
        <v>1951</v>
      </c>
      <c r="G460" s="44"/>
      <c r="H460" s="44"/>
      <c r="I460" s="44"/>
      <c r="J460" s="47"/>
      <c r="K460" s="47"/>
      <c r="L460" s="47"/>
      <c r="M460" s="47"/>
      <c r="N460" s="47"/>
      <c r="O460" s="44"/>
      <c r="P460" s="44"/>
      <c r="Q460" s="48"/>
      <c r="R460" s="47"/>
      <c r="S460" s="47" t="s">
        <v>296</v>
      </c>
      <c r="T460" s="47"/>
      <c r="U460" s="47" t="s">
        <v>296</v>
      </c>
      <c r="V460" s="47" t="s">
        <v>296</v>
      </c>
      <c r="W460" s="47" t="s">
        <v>296</v>
      </c>
      <c r="X460" s="47" t="s">
        <v>296</v>
      </c>
      <c r="Y460" s="47" t="s">
        <v>296</v>
      </c>
      <c r="Z460" s="47" t="s">
        <v>296</v>
      </c>
      <c r="AA460" s="47" t="s">
        <v>296</v>
      </c>
      <c r="AB460" s="47" t="s">
        <v>35</v>
      </c>
      <c r="AC460" s="47" t="s">
        <v>296</v>
      </c>
      <c r="AD460" s="63"/>
      <c r="AE460" s="49"/>
      <c r="AF460" s="51"/>
      <c r="AG460" s="51"/>
      <c r="AH460" s="49"/>
      <c r="AI460" s="49"/>
      <c r="AJ460" s="49"/>
      <c r="AK460" s="49"/>
      <c r="AL460" s="49"/>
      <c r="AM460" s="49"/>
      <c r="AN460" s="49"/>
      <c r="AO460" s="51" t="str">
        <f t="shared" si="31"/>
        <v/>
      </c>
      <c r="AP460" s="51" t="str">
        <f t="shared" si="32"/>
        <v/>
      </c>
      <c r="AQ460" s="49"/>
      <c r="AR460" s="49"/>
      <c r="AS460" s="49" t="str">
        <f t="shared" si="33"/>
        <v/>
      </c>
      <c r="AT460" s="49" t="str">
        <f t="shared" si="34"/>
        <v/>
      </c>
      <c r="AU460" s="49"/>
      <c r="AV460" s="49"/>
    </row>
    <row r="461" spans="1:48" ht="18" customHeight="1">
      <c r="A461" s="44">
        <v>459</v>
      </c>
      <c r="B461" s="71" t="s">
        <v>1076</v>
      </c>
      <c r="C461" s="54" t="s">
        <v>1803</v>
      </c>
      <c r="D461" s="53" t="s">
        <v>116</v>
      </c>
      <c r="E461" s="44"/>
      <c r="F461" s="44" t="s">
        <v>1952</v>
      </c>
      <c r="G461" s="44"/>
      <c r="H461" s="44"/>
      <c r="I461" s="44"/>
      <c r="J461" s="47"/>
      <c r="K461" s="47"/>
      <c r="L461" s="47"/>
      <c r="M461" s="47"/>
      <c r="N461" s="47"/>
      <c r="O461" s="44"/>
      <c r="P461" s="44"/>
      <c r="Q461" s="48"/>
      <c r="R461" s="47"/>
      <c r="S461" s="47" t="s">
        <v>296</v>
      </c>
      <c r="T461" s="47"/>
      <c r="U461" s="47" t="s">
        <v>296</v>
      </c>
      <c r="V461" s="47" t="s">
        <v>296</v>
      </c>
      <c r="W461" s="47" t="s">
        <v>296</v>
      </c>
      <c r="X461" s="47" t="s">
        <v>296</v>
      </c>
      <c r="Y461" s="47" t="s">
        <v>296</v>
      </c>
      <c r="Z461" s="47" t="s">
        <v>296</v>
      </c>
      <c r="AA461" s="47" t="s">
        <v>296</v>
      </c>
      <c r="AB461" s="47" t="s">
        <v>35</v>
      </c>
      <c r="AC461" s="47" t="s">
        <v>296</v>
      </c>
      <c r="AD461" s="63"/>
      <c r="AE461" s="49"/>
      <c r="AF461" s="51"/>
      <c r="AG461" s="51"/>
      <c r="AH461" s="49"/>
      <c r="AI461" s="49"/>
      <c r="AJ461" s="49"/>
      <c r="AK461" s="49"/>
      <c r="AL461" s="49"/>
      <c r="AM461" s="49"/>
      <c r="AN461" s="49"/>
      <c r="AO461" s="51"/>
      <c r="AP461" s="51"/>
      <c r="AQ461" s="49"/>
      <c r="AR461" s="49"/>
      <c r="AS461" s="49"/>
      <c r="AT461" s="49"/>
      <c r="AU461" s="49"/>
      <c r="AV461" s="49"/>
    </row>
    <row r="462" spans="1:48" ht="18" customHeight="1">
      <c r="A462" s="44">
        <v>460</v>
      </c>
      <c r="B462" s="71" t="s">
        <v>1076</v>
      </c>
      <c r="C462" s="54" t="s">
        <v>1803</v>
      </c>
      <c r="D462" s="53" t="s">
        <v>116</v>
      </c>
      <c r="E462" s="44" t="s">
        <v>1953</v>
      </c>
      <c r="F462" s="44" t="e">
        <f>#REF!</f>
        <v>#REF!</v>
      </c>
      <c r="G462" s="44"/>
      <c r="H462" s="44"/>
      <c r="I462" s="44"/>
      <c r="J462" s="47"/>
      <c r="K462" s="47"/>
      <c r="L462" s="47"/>
      <c r="M462" s="47"/>
      <c r="N462" s="47"/>
      <c r="O462" s="44"/>
      <c r="P462" s="44"/>
      <c r="Q462" s="48"/>
      <c r="R462" s="47"/>
      <c r="S462" s="47"/>
      <c r="T462" s="47"/>
      <c r="U462" s="47"/>
      <c r="V462" s="47"/>
      <c r="W462" s="47"/>
      <c r="X462" s="47"/>
      <c r="Y462" s="47" t="s">
        <v>35</v>
      </c>
      <c r="Z462" s="47" t="s">
        <v>296</v>
      </c>
      <c r="AA462" s="47" t="s">
        <v>296</v>
      </c>
      <c r="AB462" s="47"/>
      <c r="AC462" s="47" t="s">
        <v>296</v>
      </c>
      <c r="AD462" s="63" t="str">
        <f>VLOOKUP(E463,sheet1!$B$2:$C$3209,2,FALSE)</f>
        <v>ＬＬＣ　再設定 初期画面付</v>
      </c>
      <c r="AE462" s="49"/>
      <c r="AF462" s="51" t="s">
        <v>1954</v>
      </c>
      <c r="AG462" s="51" t="s">
        <v>1955</v>
      </c>
      <c r="AH462" s="49" t="str">
        <f t="shared" ref="AH462:AH477" si="38">TRIM(MID(AF462,4,100))</f>
        <v>ローレベル再設定</v>
      </c>
      <c r="AI462" s="49"/>
      <c r="AJ462" s="49"/>
      <c r="AK462" s="49"/>
      <c r="AL462" s="49"/>
      <c r="AM462" s="49"/>
      <c r="AN462" s="49"/>
      <c r="AO462" s="51" t="str">
        <f t="shared" ref="AO462:AO716" si="39">TRIM(MIDB(AQ462,4,99))</f>
        <v/>
      </c>
      <c r="AP462" s="51" t="str">
        <f t="shared" ref="AP462:AP716" si="40">TRIM(AR462)</f>
        <v/>
      </c>
      <c r="AQ462" s="49"/>
      <c r="AR462" s="49"/>
      <c r="AS462" s="49" t="str">
        <f t="shared" ref="AS462:AS716" si="41">TRIM(MID(AU462,4,99))</f>
        <v/>
      </c>
      <c r="AT462" s="49" t="str">
        <f t="shared" ref="AT462:AT716" si="42">TRIM(AV462)</f>
        <v/>
      </c>
      <c r="AU462" s="49"/>
      <c r="AV462" s="49"/>
    </row>
    <row r="463" spans="1:48" ht="18" customHeight="1">
      <c r="A463" s="44">
        <v>461</v>
      </c>
      <c r="B463" s="71" t="s">
        <v>1076</v>
      </c>
      <c r="C463" s="53" t="s">
        <v>1956</v>
      </c>
      <c r="D463" s="53" t="s">
        <v>116</v>
      </c>
      <c r="E463" s="44" t="s">
        <v>1955</v>
      </c>
      <c r="F463" s="44" t="s">
        <v>1957</v>
      </c>
      <c r="G463" s="44"/>
      <c r="H463" s="44"/>
      <c r="I463" s="44"/>
      <c r="J463" s="47" t="s">
        <v>35</v>
      </c>
      <c r="K463" s="47"/>
      <c r="L463" s="47"/>
      <c r="M463" s="47"/>
      <c r="N463" s="47"/>
      <c r="O463" s="44"/>
      <c r="P463" s="44"/>
      <c r="Q463" s="48">
        <f>VLOOKUP(E463,sheet1!$B$2:$D$3209,3,FALSE)</f>
        <v>23</v>
      </c>
      <c r="R463" s="47" t="s">
        <v>35</v>
      </c>
      <c r="S463" s="47" t="s">
        <v>296</v>
      </c>
      <c r="T463" s="47"/>
      <c r="U463" s="47" t="s">
        <v>296</v>
      </c>
      <c r="V463" s="47" t="s">
        <v>296</v>
      </c>
      <c r="W463" s="47" t="s">
        <v>296</v>
      </c>
      <c r="X463" s="47" t="s">
        <v>296</v>
      </c>
      <c r="Y463" s="47" t="s">
        <v>296</v>
      </c>
      <c r="Z463" s="47" t="s">
        <v>296</v>
      </c>
      <c r="AA463" s="47" t="s">
        <v>296</v>
      </c>
      <c r="AB463" s="47"/>
      <c r="AC463" s="47" t="s">
        <v>35</v>
      </c>
      <c r="AD463" s="63" t="str">
        <f>VLOOKUP(E464,sheet1!$B$2:$C$3209,2,FALSE)</f>
        <v>構成Ｍ失効日チェック    夜の日次処理</v>
      </c>
      <c r="AE463" s="49"/>
      <c r="AF463" s="51" t="s">
        <v>1958</v>
      </c>
      <c r="AG463" s="51" t="s">
        <v>1959</v>
      </c>
      <c r="AH463" s="49" t="str">
        <f t="shared" si="38"/>
        <v>失効日チェック</v>
      </c>
      <c r="AI463" s="49"/>
      <c r="AJ463" s="49"/>
      <c r="AK463" s="49"/>
      <c r="AL463" s="49"/>
      <c r="AM463" s="49"/>
      <c r="AN463" s="49"/>
      <c r="AO463" s="51" t="str">
        <f t="shared" si="39"/>
        <v/>
      </c>
      <c r="AP463" s="51" t="str">
        <f t="shared" si="40"/>
        <v/>
      </c>
      <c r="AQ463" s="49"/>
      <c r="AR463" s="49"/>
      <c r="AS463" s="49" t="str">
        <f t="shared" si="41"/>
        <v/>
      </c>
      <c r="AT463" s="49" t="str">
        <f t="shared" si="42"/>
        <v/>
      </c>
      <c r="AU463" s="49"/>
      <c r="AV463" s="49"/>
    </row>
    <row r="464" spans="1:48" ht="18" customHeight="1">
      <c r="A464" s="44">
        <v>462</v>
      </c>
      <c r="B464" s="71" t="s">
        <v>1076</v>
      </c>
      <c r="C464" s="54" t="s">
        <v>1956</v>
      </c>
      <c r="D464" s="53" t="s">
        <v>116</v>
      </c>
      <c r="E464" s="44" t="s">
        <v>1959</v>
      </c>
      <c r="F464" s="44" t="s">
        <v>1960</v>
      </c>
      <c r="G464" s="44"/>
      <c r="H464" s="44"/>
      <c r="I464" s="44"/>
      <c r="J464" s="47" t="s">
        <v>35</v>
      </c>
      <c r="K464" s="47"/>
      <c r="L464" s="47"/>
      <c r="M464" s="47"/>
      <c r="N464" s="47"/>
      <c r="O464" s="44"/>
      <c r="P464" s="44"/>
      <c r="Q464" s="48">
        <f>VLOOKUP(E464,sheet1!$B$2:$D$3209,3,FALSE)</f>
        <v>152</v>
      </c>
      <c r="R464" s="47" t="s">
        <v>35</v>
      </c>
      <c r="S464" s="47" t="s">
        <v>296</v>
      </c>
      <c r="T464" s="47"/>
      <c r="U464" s="47" t="s">
        <v>296</v>
      </c>
      <c r="V464" s="47" t="s">
        <v>296</v>
      </c>
      <c r="W464" s="47" t="s">
        <v>296</v>
      </c>
      <c r="X464" s="47" t="s">
        <v>296</v>
      </c>
      <c r="Y464" s="47" t="s">
        <v>296</v>
      </c>
      <c r="Z464" s="47" t="s">
        <v>296</v>
      </c>
      <c r="AA464" s="47" t="s">
        <v>296</v>
      </c>
      <c r="AB464" s="47"/>
      <c r="AC464" s="47" t="s">
        <v>35</v>
      </c>
      <c r="AD464" s="63" t="str">
        <f>VLOOKUP(E465,sheet1!$B$2:$C$3209,2,FALSE)</f>
        <v>構成Ｍ発行日チェック    夜の日次処理</v>
      </c>
      <c r="AE464" s="49"/>
      <c r="AF464" s="51" t="s">
        <v>1961</v>
      </c>
      <c r="AG464" s="51" t="s">
        <v>1962</v>
      </c>
      <c r="AH464" s="49" t="str">
        <f t="shared" si="38"/>
        <v>発効日チェック</v>
      </c>
      <c r="AI464" s="49"/>
      <c r="AJ464" s="49"/>
      <c r="AK464" s="49"/>
      <c r="AL464" s="49"/>
      <c r="AM464" s="49"/>
      <c r="AN464" s="49"/>
      <c r="AO464" s="51" t="str">
        <f t="shared" si="39"/>
        <v/>
      </c>
      <c r="AP464" s="51" t="str">
        <f t="shared" si="40"/>
        <v/>
      </c>
      <c r="AQ464" s="49"/>
      <c r="AR464" s="49"/>
      <c r="AS464" s="49" t="str">
        <f t="shared" si="41"/>
        <v/>
      </c>
      <c r="AT464" s="49" t="str">
        <f t="shared" si="42"/>
        <v/>
      </c>
      <c r="AU464" s="49"/>
      <c r="AV464" s="49"/>
    </row>
    <row r="465" spans="1:48" ht="18" customHeight="1">
      <c r="A465" s="44">
        <v>463</v>
      </c>
      <c r="B465" s="71" t="s">
        <v>1076</v>
      </c>
      <c r="C465" s="54" t="s">
        <v>1956</v>
      </c>
      <c r="D465" s="53" t="s">
        <v>116</v>
      </c>
      <c r="E465" s="44" t="s">
        <v>1962</v>
      </c>
      <c r="F465" s="44" t="s">
        <v>1963</v>
      </c>
      <c r="G465" s="44"/>
      <c r="H465" s="44"/>
      <c r="I465" s="44"/>
      <c r="J465" s="47" t="s">
        <v>35</v>
      </c>
      <c r="K465" s="47"/>
      <c r="L465" s="47"/>
      <c r="M465" s="47"/>
      <c r="N465" s="47"/>
      <c r="O465" s="44"/>
      <c r="P465" s="44"/>
      <c r="Q465" s="48">
        <f>VLOOKUP(E465,sheet1!$B$2:$D$3209,3,FALSE)</f>
        <v>136</v>
      </c>
      <c r="R465" s="47" t="s">
        <v>35</v>
      </c>
      <c r="S465" s="47" t="s">
        <v>296</v>
      </c>
      <c r="T465" s="47"/>
      <c r="U465" s="47" t="s">
        <v>296</v>
      </c>
      <c r="V465" s="47" t="s">
        <v>296</v>
      </c>
      <c r="W465" s="47" t="s">
        <v>296</v>
      </c>
      <c r="X465" s="47" t="s">
        <v>296</v>
      </c>
      <c r="Y465" s="47" t="s">
        <v>296</v>
      </c>
      <c r="Z465" s="47" t="s">
        <v>296</v>
      </c>
      <c r="AA465" s="47" t="s">
        <v>296</v>
      </c>
      <c r="AB465" s="47"/>
      <c r="AC465" s="47" t="s">
        <v>35</v>
      </c>
      <c r="AD465" s="63" t="str">
        <f>VLOOKUP(E466,sheet1!$B$2:$C$3209,2,FALSE)</f>
        <v>引当振替入力</v>
      </c>
      <c r="AE465" s="49"/>
      <c r="AF465" s="51" t="s">
        <v>1964</v>
      </c>
      <c r="AG465" s="51" t="s">
        <v>1965</v>
      </c>
      <c r="AH465" s="49" t="str">
        <f t="shared" si="38"/>
        <v>引当振替入力</v>
      </c>
      <c r="AI465" s="49"/>
      <c r="AJ465" s="49"/>
      <c r="AK465" s="49"/>
      <c r="AL465" s="49"/>
      <c r="AM465" s="49"/>
      <c r="AN465" s="49"/>
      <c r="AO465" s="51" t="str">
        <f t="shared" si="39"/>
        <v/>
      </c>
      <c r="AP465" s="51" t="str">
        <f t="shared" si="40"/>
        <v/>
      </c>
      <c r="AQ465" s="49"/>
      <c r="AR465" s="49"/>
      <c r="AS465" s="49" t="str">
        <f t="shared" si="41"/>
        <v/>
      </c>
      <c r="AT465" s="49" t="str">
        <f t="shared" si="42"/>
        <v/>
      </c>
      <c r="AU465" s="49"/>
      <c r="AV465" s="49"/>
    </row>
    <row r="466" spans="1:48" ht="18" customHeight="1">
      <c r="A466" s="44">
        <v>464</v>
      </c>
      <c r="B466" s="71" t="s">
        <v>1076</v>
      </c>
      <c r="C466" s="54" t="s">
        <v>1956</v>
      </c>
      <c r="D466" s="53" t="s">
        <v>116</v>
      </c>
      <c r="E466" s="44" t="s">
        <v>1965</v>
      </c>
      <c r="F466" s="44" t="s">
        <v>1684</v>
      </c>
      <c r="G466" s="44"/>
      <c r="H466" s="44"/>
      <c r="I466" s="44"/>
      <c r="J466" s="47" t="s">
        <v>35</v>
      </c>
      <c r="K466" s="47"/>
      <c r="L466" s="47"/>
      <c r="M466" s="47"/>
      <c r="N466" s="47"/>
      <c r="O466" s="44"/>
      <c r="P466" s="44"/>
      <c r="Q466" s="48">
        <f>VLOOKUP(E466,sheet1!$B$2:$D$3209,3,FALSE)</f>
        <v>7168</v>
      </c>
      <c r="R466" s="47" t="s">
        <v>35</v>
      </c>
      <c r="S466" s="47" t="s">
        <v>296</v>
      </c>
      <c r="T466" s="47"/>
      <c r="U466" s="47" t="s">
        <v>296</v>
      </c>
      <c r="V466" s="47" t="s">
        <v>296</v>
      </c>
      <c r="W466" s="47" t="s">
        <v>296</v>
      </c>
      <c r="X466" s="47" t="s">
        <v>296</v>
      </c>
      <c r="Y466" s="47" t="s">
        <v>296</v>
      </c>
      <c r="Z466" s="47" t="s">
        <v>296</v>
      </c>
      <c r="AA466" s="47" t="s">
        <v>296</v>
      </c>
      <c r="AB466" s="47"/>
      <c r="AC466" s="47" t="s">
        <v>35</v>
      </c>
      <c r="AD466" s="63" t="e">
        <f>VLOOKUP(E467,sheet1!$B$2:$C$3209,2,FALSE)</f>
        <v>#N/A</v>
      </c>
      <c r="AE466" s="49"/>
      <c r="AF466" s="51" t="s">
        <v>1966</v>
      </c>
      <c r="AG466" s="51" t="s">
        <v>344</v>
      </c>
      <c r="AH466" s="49" t="str">
        <f t="shared" si="38"/>
        <v>各伝票・マスタﾃﾞｰﾀﾁｪｯｸ</v>
      </c>
      <c r="AI466" s="49"/>
      <c r="AJ466" s="49"/>
      <c r="AK466" s="49"/>
      <c r="AL466" s="49"/>
      <c r="AM466" s="49"/>
      <c r="AN466" s="49"/>
      <c r="AO466" s="51" t="str">
        <f t="shared" si="39"/>
        <v/>
      </c>
      <c r="AP466" s="51" t="str">
        <f t="shared" si="40"/>
        <v/>
      </c>
      <c r="AQ466" s="49"/>
      <c r="AR466" s="49"/>
      <c r="AS466" s="49" t="str">
        <f t="shared" si="41"/>
        <v/>
      </c>
      <c r="AT466" s="49" t="str">
        <f t="shared" si="42"/>
        <v/>
      </c>
      <c r="AU466" s="49"/>
      <c r="AV466" s="49"/>
    </row>
    <row r="467" spans="1:48" ht="18" customHeight="1">
      <c r="A467" s="44">
        <v>465</v>
      </c>
      <c r="B467" s="71" t="s">
        <v>1076</v>
      </c>
      <c r="C467" s="54" t="s">
        <v>1956</v>
      </c>
      <c r="D467" s="53" t="s">
        <v>116</v>
      </c>
      <c r="E467" s="44" t="s">
        <v>344</v>
      </c>
      <c r="F467" s="44" t="s">
        <v>1967</v>
      </c>
      <c r="G467" s="44"/>
      <c r="H467" s="44"/>
      <c r="I467" s="44"/>
      <c r="J467" s="47"/>
      <c r="K467" s="47" t="s">
        <v>35</v>
      </c>
      <c r="L467" s="47"/>
      <c r="M467" s="47"/>
      <c r="N467" s="47"/>
      <c r="O467" s="44"/>
      <c r="P467" s="44"/>
      <c r="Q467" s="48" t="e">
        <f>VLOOKUP(E467,sheet1!$B$2:$D$3209,3,FALSE)</f>
        <v>#N/A</v>
      </c>
      <c r="R467" s="47" t="s">
        <v>35</v>
      </c>
      <c r="S467" s="47" t="s">
        <v>296</v>
      </c>
      <c r="T467" s="47"/>
      <c r="U467" s="47" t="s">
        <v>296</v>
      </c>
      <c r="V467" s="47" t="s">
        <v>296</v>
      </c>
      <c r="W467" s="47" t="s">
        <v>296</v>
      </c>
      <c r="X467" s="47" t="s">
        <v>296</v>
      </c>
      <c r="Y467" s="47" t="s">
        <v>296</v>
      </c>
      <c r="Z467" s="47" t="s">
        <v>296</v>
      </c>
      <c r="AA467" s="47" t="s">
        <v>296</v>
      </c>
      <c r="AB467" s="47"/>
      <c r="AC467" s="47" t="s">
        <v>35</v>
      </c>
      <c r="AD467" s="63" t="e">
        <f>VLOOKUP(E468,sheet1!$B$2:$C$3209,2,FALSE)</f>
        <v>#N/A</v>
      </c>
      <c r="AE467" s="49"/>
      <c r="AF467" s="51" t="s">
        <v>1968</v>
      </c>
      <c r="AG467" s="57" t="s">
        <v>116</v>
      </c>
      <c r="AH467" s="49" t="str">
        <f t="shared" si="38"/>
        <v>ﾃｰﾌﾟ初期化(装置:TAP01 )</v>
      </c>
      <c r="AI467" s="49"/>
      <c r="AJ467" s="49"/>
      <c r="AK467" s="49"/>
      <c r="AL467" s="49"/>
      <c r="AM467" s="49"/>
      <c r="AN467" s="49"/>
      <c r="AO467" s="51" t="str">
        <f t="shared" si="39"/>
        <v/>
      </c>
      <c r="AP467" s="51" t="str">
        <f t="shared" si="40"/>
        <v/>
      </c>
      <c r="AQ467" s="49"/>
      <c r="AR467" s="49"/>
      <c r="AS467" s="49" t="str">
        <f t="shared" si="41"/>
        <v/>
      </c>
      <c r="AT467" s="49" t="str">
        <f t="shared" si="42"/>
        <v/>
      </c>
      <c r="AU467" s="49"/>
      <c r="AV467" s="49"/>
    </row>
    <row r="468" spans="1:48" ht="18" customHeight="1">
      <c r="A468" s="44">
        <v>466</v>
      </c>
      <c r="B468" s="71" t="s">
        <v>1076</v>
      </c>
      <c r="C468" s="54" t="s">
        <v>1956</v>
      </c>
      <c r="D468" s="53" t="s">
        <v>116</v>
      </c>
      <c r="E468" s="44" t="s">
        <v>116</v>
      </c>
      <c r="F468" s="44" t="s">
        <v>1969</v>
      </c>
      <c r="G468" s="44"/>
      <c r="H468" s="44"/>
      <c r="I468" s="44"/>
      <c r="J468" s="47" t="s">
        <v>35</v>
      </c>
      <c r="K468" s="47"/>
      <c r="L468" s="47"/>
      <c r="M468" s="47"/>
      <c r="N468" s="47"/>
      <c r="O468" s="44"/>
      <c r="P468" s="44"/>
      <c r="Q468" s="48" t="e">
        <f>VLOOKUP(E468,sheet1!$B$2:$D$3209,3,FALSE)</f>
        <v>#N/A</v>
      </c>
      <c r="R468" s="47" t="s">
        <v>35</v>
      </c>
      <c r="S468" s="47" t="s">
        <v>296</v>
      </c>
      <c r="T468" s="47"/>
      <c r="U468" s="47" t="s">
        <v>296</v>
      </c>
      <c r="V468" s="47" t="s">
        <v>296</v>
      </c>
      <c r="W468" s="47" t="s">
        <v>296</v>
      </c>
      <c r="X468" s="47" t="s">
        <v>296</v>
      </c>
      <c r="Y468" s="47" t="s">
        <v>296</v>
      </c>
      <c r="Z468" s="47" t="s">
        <v>296</v>
      </c>
      <c r="AA468" s="47" t="s">
        <v>296</v>
      </c>
      <c r="AB468" s="47"/>
      <c r="AC468" s="47" t="s">
        <v>35</v>
      </c>
      <c r="AD468" s="63" t="e">
        <f>VLOOKUP(E469,sheet1!$B$2:$C$3209,2,FALSE)</f>
        <v>#N/A</v>
      </c>
      <c r="AE468" s="49"/>
      <c r="AF468" s="51" t="s">
        <v>1970</v>
      </c>
      <c r="AG468" s="57" t="s">
        <v>116</v>
      </c>
      <c r="AH468" s="49" t="str">
        <f t="shared" si="38"/>
        <v>IPLする日付および時刻の変更</v>
      </c>
      <c r="AI468" s="49"/>
      <c r="AJ468" s="49"/>
      <c r="AK468" s="49"/>
      <c r="AL468" s="49"/>
      <c r="AM468" s="49"/>
      <c r="AN468" s="49"/>
      <c r="AO468" s="51" t="str">
        <f t="shared" si="39"/>
        <v/>
      </c>
      <c r="AP468" s="51" t="str">
        <f t="shared" si="40"/>
        <v/>
      </c>
      <c r="AQ468" s="49"/>
      <c r="AR468" s="49"/>
      <c r="AS468" s="49" t="str">
        <f t="shared" si="41"/>
        <v/>
      </c>
      <c r="AT468" s="49" t="str">
        <f t="shared" si="42"/>
        <v/>
      </c>
      <c r="AU468" s="49"/>
      <c r="AV468" s="49"/>
    </row>
    <row r="469" spans="1:48" ht="18" customHeight="1">
      <c r="A469" s="44">
        <v>467</v>
      </c>
      <c r="B469" s="71" t="s">
        <v>1076</v>
      </c>
      <c r="C469" s="54" t="s">
        <v>1956</v>
      </c>
      <c r="D469" s="53" t="s">
        <v>116</v>
      </c>
      <c r="E469" s="44" t="s">
        <v>116</v>
      </c>
      <c r="F469" s="44" t="s">
        <v>1971</v>
      </c>
      <c r="G469" s="44"/>
      <c r="H469" s="44"/>
      <c r="I469" s="44"/>
      <c r="J469" s="47" t="s">
        <v>35</v>
      </c>
      <c r="K469" s="47"/>
      <c r="L469" s="47"/>
      <c r="M469" s="47"/>
      <c r="N469" s="47"/>
      <c r="O469" s="44"/>
      <c r="P469" s="44"/>
      <c r="Q469" s="48" t="e">
        <f>VLOOKUP(E469,sheet1!$B$2:$D$3209,3,FALSE)</f>
        <v>#N/A</v>
      </c>
      <c r="R469" s="47" t="s">
        <v>35</v>
      </c>
      <c r="S469" s="47" t="s">
        <v>296</v>
      </c>
      <c r="T469" s="47"/>
      <c r="U469" s="47" t="s">
        <v>296</v>
      </c>
      <c r="V469" s="47" t="s">
        <v>296</v>
      </c>
      <c r="W469" s="47" t="s">
        <v>296</v>
      </c>
      <c r="X469" s="47" t="s">
        <v>296</v>
      </c>
      <c r="Y469" s="47" t="s">
        <v>296</v>
      </c>
      <c r="Z469" s="47" t="s">
        <v>296</v>
      </c>
      <c r="AA469" s="47" t="s">
        <v>296</v>
      </c>
      <c r="AB469" s="47"/>
      <c r="AC469" s="47" t="s">
        <v>35</v>
      </c>
      <c r="AD469" s="63" t="e">
        <f>VLOOKUP(E470,sheet1!$B$2:$C$3209,2,FALSE)</f>
        <v>#N/A</v>
      </c>
      <c r="AE469" s="49"/>
      <c r="AF469" s="51" t="s">
        <v>1972</v>
      </c>
      <c r="AG469" s="57" t="s">
        <v>116</v>
      </c>
      <c r="AH469" s="49" t="str">
        <f t="shared" si="38"/>
        <v>ﾕｰｻﾞ･ﾌﾟﾛﾌｧｲﾙを有効にする</v>
      </c>
      <c r="AI469" s="49"/>
      <c r="AJ469" s="49"/>
      <c r="AK469" s="49"/>
      <c r="AL469" s="49"/>
      <c r="AM469" s="49"/>
      <c r="AN469" s="49"/>
      <c r="AO469" s="51" t="str">
        <f t="shared" si="39"/>
        <v/>
      </c>
      <c r="AP469" s="51" t="str">
        <f t="shared" si="40"/>
        <v/>
      </c>
      <c r="AQ469" s="49"/>
      <c r="AR469" s="49"/>
      <c r="AS469" s="49" t="str">
        <f t="shared" si="41"/>
        <v/>
      </c>
      <c r="AT469" s="49" t="str">
        <f t="shared" si="42"/>
        <v/>
      </c>
      <c r="AU469" s="49"/>
      <c r="AV469" s="49"/>
    </row>
    <row r="470" spans="1:48" ht="18" customHeight="1">
      <c r="A470" s="44">
        <v>468</v>
      </c>
      <c r="B470" s="71" t="s">
        <v>1076</v>
      </c>
      <c r="C470" s="54" t="s">
        <v>1956</v>
      </c>
      <c r="D470" s="53" t="s">
        <v>116</v>
      </c>
      <c r="E470" s="44" t="s">
        <v>116</v>
      </c>
      <c r="F470" s="44" t="s">
        <v>1973</v>
      </c>
      <c r="G470" s="44"/>
      <c r="H470" s="44"/>
      <c r="I470" s="44"/>
      <c r="J470" s="47" t="s">
        <v>35</v>
      </c>
      <c r="K470" s="47"/>
      <c r="L470" s="47"/>
      <c r="M470" s="47"/>
      <c r="N470" s="47"/>
      <c r="O470" s="44"/>
      <c r="P470" s="44"/>
      <c r="Q470" s="48" t="e">
        <f>VLOOKUP(E470,sheet1!$B$2:$D$3209,3,FALSE)</f>
        <v>#N/A</v>
      </c>
      <c r="R470" s="47" t="s">
        <v>35</v>
      </c>
      <c r="S470" s="47" t="s">
        <v>296</v>
      </c>
      <c r="T470" s="47"/>
      <c r="U470" s="47" t="s">
        <v>296</v>
      </c>
      <c r="V470" s="47" t="s">
        <v>296</v>
      </c>
      <c r="W470" s="47" t="s">
        <v>296</v>
      </c>
      <c r="X470" s="47" t="s">
        <v>296</v>
      </c>
      <c r="Y470" s="47" t="s">
        <v>296</v>
      </c>
      <c r="Z470" s="47" t="s">
        <v>296</v>
      </c>
      <c r="AA470" s="47" t="s">
        <v>296</v>
      </c>
      <c r="AB470" s="47"/>
      <c r="AC470" s="47" t="s">
        <v>35</v>
      </c>
      <c r="AD470" s="63" t="e">
        <f>VLOOKUP(E471,sheet1!$B$2:$C$3209,2,FALSE)</f>
        <v>#N/A</v>
      </c>
      <c r="AE470" s="49"/>
      <c r="AF470" s="51" t="s">
        <v>1974</v>
      </c>
      <c r="AG470" s="57" t="s">
        <v>116</v>
      </c>
      <c r="AH470" s="49" t="str">
        <f t="shared" si="38"/>
        <v>ﾕｰｻﾞ･ﾌﾟﾛﾌｧｲﾙを無効にする</v>
      </c>
      <c r="AI470" s="49"/>
      <c r="AJ470" s="49"/>
      <c r="AK470" s="49"/>
      <c r="AL470" s="49"/>
      <c r="AM470" s="49"/>
      <c r="AN470" s="49"/>
      <c r="AO470" s="51" t="str">
        <f t="shared" si="39"/>
        <v/>
      </c>
      <c r="AP470" s="51" t="str">
        <f t="shared" si="40"/>
        <v/>
      </c>
      <c r="AQ470" s="49"/>
      <c r="AR470" s="49"/>
      <c r="AS470" s="49" t="str">
        <f t="shared" si="41"/>
        <v/>
      </c>
      <c r="AT470" s="49" t="str">
        <f t="shared" si="42"/>
        <v/>
      </c>
      <c r="AU470" s="49"/>
      <c r="AV470" s="49"/>
    </row>
    <row r="471" spans="1:48" ht="18" customHeight="1">
      <c r="A471" s="44">
        <v>469</v>
      </c>
      <c r="B471" s="71" t="s">
        <v>1076</v>
      </c>
      <c r="C471" s="54" t="s">
        <v>1956</v>
      </c>
      <c r="D471" s="53" t="s">
        <v>116</v>
      </c>
      <c r="E471" s="44" t="s">
        <v>116</v>
      </c>
      <c r="F471" s="44" t="s">
        <v>1975</v>
      </c>
      <c r="G471" s="44"/>
      <c r="H471" s="44"/>
      <c r="I471" s="44"/>
      <c r="J471" s="47" t="s">
        <v>35</v>
      </c>
      <c r="K471" s="47"/>
      <c r="L471" s="47"/>
      <c r="M471" s="47"/>
      <c r="N471" s="47"/>
      <c r="O471" s="44"/>
      <c r="P471" s="44"/>
      <c r="Q471" s="48" t="e">
        <f>VLOOKUP(E471,sheet1!$B$2:$D$3209,3,FALSE)</f>
        <v>#N/A</v>
      </c>
      <c r="R471" s="47" t="s">
        <v>35</v>
      </c>
      <c r="S471" s="47" t="s">
        <v>296</v>
      </c>
      <c r="T471" s="47"/>
      <c r="U471" s="47" t="s">
        <v>296</v>
      </c>
      <c r="V471" s="47" t="s">
        <v>296</v>
      </c>
      <c r="W471" s="47" t="s">
        <v>296</v>
      </c>
      <c r="X471" s="47" t="s">
        <v>296</v>
      </c>
      <c r="Y471" s="47" t="s">
        <v>296</v>
      </c>
      <c r="Z471" s="47" t="s">
        <v>296</v>
      </c>
      <c r="AA471" s="47" t="s">
        <v>296</v>
      </c>
      <c r="AB471" s="47"/>
      <c r="AC471" s="47" t="s">
        <v>35</v>
      </c>
      <c r="AD471" s="63" t="e">
        <f>VLOOKUP(E472,sheet1!$B$2:$C$3209,2,FALSE)</f>
        <v>#N/A</v>
      </c>
      <c r="AE471" s="49"/>
      <c r="AF471" s="51" t="s">
        <v>1976</v>
      </c>
      <c r="AG471" s="57" t="s">
        <v>116</v>
      </c>
      <c r="AH471" s="49" t="str">
        <f t="shared" si="38"/>
        <v>ジョブ・スケジュール項目処理</v>
      </c>
      <c r="AI471" s="49"/>
      <c r="AJ471" s="49"/>
      <c r="AK471" s="49"/>
      <c r="AL471" s="49"/>
      <c r="AM471" s="49"/>
      <c r="AN471" s="49"/>
      <c r="AO471" s="51" t="str">
        <f t="shared" si="39"/>
        <v/>
      </c>
      <c r="AP471" s="51" t="str">
        <f t="shared" si="40"/>
        <v/>
      </c>
      <c r="AQ471" s="49"/>
      <c r="AR471" s="49"/>
      <c r="AS471" s="49" t="str">
        <f t="shared" si="41"/>
        <v/>
      </c>
      <c r="AT471" s="49" t="str">
        <f t="shared" si="42"/>
        <v/>
      </c>
      <c r="AU471" s="49"/>
      <c r="AV471" s="49"/>
    </row>
    <row r="472" spans="1:48" ht="18" customHeight="1">
      <c r="A472" s="44">
        <v>470</v>
      </c>
      <c r="B472" s="71" t="s">
        <v>1076</v>
      </c>
      <c r="C472" s="54" t="s">
        <v>1956</v>
      </c>
      <c r="D472" s="53" t="s">
        <v>116</v>
      </c>
      <c r="E472" s="44" t="s">
        <v>116</v>
      </c>
      <c r="F472" s="44" t="s">
        <v>1977</v>
      </c>
      <c r="G472" s="44"/>
      <c r="H472" s="44"/>
      <c r="I472" s="44"/>
      <c r="J472" s="47" t="s">
        <v>35</v>
      </c>
      <c r="K472" s="47"/>
      <c r="L472" s="47"/>
      <c r="M472" s="47"/>
      <c r="N472" s="47"/>
      <c r="O472" s="44"/>
      <c r="P472" s="44"/>
      <c r="Q472" s="48" t="e">
        <f>VLOOKUP(E472,sheet1!$B$2:$D$3209,3,FALSE)</f>
        <v>#N/A</v>
      </c>
      <c r="R472" s="47" t="s">
        <v>35</v>
      </c>
      <c r="S472" s="47" t="s">
        <v>296</v>
      </c>
      <c r="T472" s="47"/>
      <c r="U472" s="47" t="s">
        <v>296</v>
      </c>
      <c r="V472" s="47" t="s">
        <v>296</v>
      </c>
      <c r="W472" s="47" t="s">
        <v>296</v>
      </c>
      <c r="X472" s="47" t="s">
        <v>296</v>
      </c>
      <c r="Y472" s="47" t="s">
        <v>296</v>
      </c>
      <c r="Z472" s="47" t="s">
        <v>296</v>
      </c>
      <c r="AA472" s="47" t="s">
        <v>296</v>
      </c>
      <c r="AB472" s="47"/>
      <c r="AC472" s="47" t="s">
        <v>35</v>
      </c>
      <c r="AD472" s="63" t="e">
        <f>VLOOKUP(E473,sheet1!$B$2:$C$3209,2,FALSE)</f>
        <v>#N/A</v>
      </c>
      <c r="AE472" s="49"/>
      <c r="AF472" s="51" t="s">
        <v>1978</v>
      </c>
      <c r="AG472" s="57" t="s">
        <v>116</v>
      </c>
      <c r="AH472" s="49" t="str">
        <f t="shared" si="38"/>
        <v>ﾌﾟﾛｼﾞｪｸﾄﾏｽﾀｰﾒﾝﾃ</v>
      </c>
      <c r="AI472" s="49"/>
      <c r="AJ472" s="49"/>
      <c r="AK472" s="49"/>
      <c r="AL472" s="49"/>
      <c r="AM472" s="49"/>
      <c r="AN472" s="49"/>
      <c r="AO472" s="51" t="str">
        <f t="shared" si="39"/>
        <v/>
      </c>
      <c r="AP472" s="51" t="str">
        <f t="shared" si="40"/>
        <v/>
      </c>
      <c r="AQ472" s="49"/>
      <c r="AR472" s="49"/>
      <c r="AS472" s="49" t="str">
        <f t="shared" si="41"/>
        <v/>
      </c>
      <c r="AT472" s="49" t="str">
        <f t="shared" si="42"/>
        <v/>
      </c>
      <c r="AU472" s="49"/>
      <c r="AV472" s="49"/>
    </row>
    <row r="473" spans="1:48" ht="18" customHeight="1">
      <c r="A473" s="44">
        <v>471</v>
      </c>
      <c r="B473" s="71" t="s">
        <v>1076</v>
      </c>
      <c r="C473" s="54" t="s">
        <v>1956</v>
      </c>
      <c r="D473" s="53" t="s">
        <v>116</v>
      </c>
      <c r="E473" s="44" t="s">
        <v>116</v>
      </c>
      <c r="F473" s="44" t="s">
        <v>1979</v>
      </c>
      <c r="G473" s="44"/>
      <c r="H473" s="44"/>
      <c r="I473" s="44"/>
      <c r="J473" s="47" t="s">
        <v>35</v>
      </c>
      <c r="K473" s="47"/>
      <c r="L473" s="47"/>
      <c r="M473" s="47"/>
      <c r="N473" s="47"/>
      <c r="O473" s="44"/>
      <c r="P473" s="44"/>
      <c r="Q473" s="48" t="e">
        <f>VLOOKUP(E473,sheet1!$B$2:$D$3209,3,FALSE)</f>
        <v>#N/A</v>
      </c>
      <c r="R473" s="47" t="s">
        <v>35</v>
      </c>
      <c r="S473" s="47" t="s">
        <v>296</v>
      </c>
      <c r="T473" s="47"/>
      <c r="U473" s="47" t="s">
        <v>296</v>
      </c>
      <c r="V473" s="47" t="s">
        <v>296</v>
      </c>
      <c r="W473" s="47" t="s">
        <v>296</v>
      </c>
      <c r="X473" s="47" t="s">
        <v>296</v>
      </c>
      <c r="Y473" s="47" t="s">
        <v>296</v>
      </c>
      <c r="Z473" s="47" t="s">
        <v>296</v>
      </c>
      <c r="AA473" s="47" t="s">
        <v>296</v>
      </c>
      <c r="AB473" s="47"/>
      <c r="AC473" s="47" t="s">
        <v>35</v>
      </c>
      <c r="AD473" s="63" t="e">
        <f>VLOOKUP(E474,sheet1!$B$2:$C$3209,2,FALSE)</f>
        <v>#N/A</v>
      </c>
      <c r="AE473" s="49"/>
      <c r="AF473" s="51" t="s">
        <v>1980</v>
      </c>
      <c r="AG473" s="57" t="s">
        <v>116</v>
      </c>
      <c r="AH473" s="49" t="str">
        <f t="shared" si="38"/>
        <v>棚卸確定日の端末使用制限MSG</v>
      </c>
      <c r="AI473" s="49"/>
      <c r="AJ473" s="49"/>
      <c r="AK473" s="49"/>
      <c r="AL473" s="49"/>
      <c r="AM473" s="49"/>
      <c r="AN473" s="49"/>
      <c r="AO473" s="51" t="str">
        <f t="shared" si="39"/>
        <v/>
      </c>
      <c r="AP473" s="51" t="str">
        <f t="shared" si="40"/>
        <v/>
      </c>
      <c r="AQ473" s="49"/>
      <c r="AR473" s="49"/>
      <c r="AS473" s="49" t="str">
        <f t="shared" si="41"/>
        <v/>
      </c>
      <c r="AT473" s="49" t="str">
        <f t="shared" si="42"/>
        <v/>
      </c>
      <c r="AU473" s="49"/>
      <c r="AV473" s="49"/>
    </row>
    <row r="474" spans="1:48" ht="18" customHeight="1">
      <c r="A474" s="44">
        <v>472</v>
      </c>
      <c r="B474" s="71" t="s">
        <v>1076</v>
      </c>
      <c r="C474" s="54" t="s">
        <v>1956</v>
      </c>
      <c r="D474" s="53" t="s">
        <v>116</v>
      </c>
      <c r="E474" s="44" t="s">
        <v>116</v>
      </c>
      <c r="F474" s="44" t="s">
        <v>1981</v>
      </c>
      <c r="G474" s="44"/>
      <c r="H474" s="44"/>
      <c r="I474" s="44"/>
      <c r="J474" s="47" t="s">
        <v>35</v>
      </c>
      <c r="K474" s="47"/>
      <c r="L474" s="47"/>
      <c r="M474" s="47"/>
      <c r="N474" s="47"/>
      <c r="O474" s="44"/>
      <c r="P474" s="44"/>
      <c r="Q474" s="48" t="e">
        <f>VLOOKUP(E474,sheet1!$B$2:$D$3209,3,FALSE)</f>
        <v>#N/A</v>
      </c>
      <c r="R474" s="47" t="s">
        <v>35</v>
      </c>
      <c r="S474" s="47" t="s">
        <v>296</v>
      </c>
      <c r="T474" s="47"/>
      <c r="U474" s="47" t="s">
        <v>296</v>
      </c>
      <c r="V474" s="47" t="s">
        <v>296</v>
      </c>
      <c r="W474" s="47" t="s">
        <v>296</v>
      </c>
      <c r="X474" s="47" t="s">
        <v>296</v>
      </c>
      <c r="Y474" s="47" t="s">
        <v>296</v>
      </c>
      <c r="Z474" s="47" t="s">
        <v>296</v>
      </c>
      <c r="AA474" s="47" t="s">
        <v>296</v>
      </c>
      <c r="AB474" s="47"/>
      <c r="AC474" s="47" t="s">
        <v>35</v>
      </c>
      <c r="AD474" s="63" t="e">
        <f>VLOOKUP(E475,sheet1!$B$2:$C$3209,2,FALSE)</f>
        <v>#N/A</v>
      </c>
      <c r="AE474" s="49"/>
      <c r="AF474" s="51" t="s">
        <v>1982</v>
      </c>
      <c r="AG474" s="57" t="s">
        <v>116</v>
      </c>
      <c r="AH474" s="49" t="str">
        <f t="shared" si="38"/>
        <v>棚卸確定前の検証DBV200,SR550</v>
      </c>
      <c r="AI474" s="49"/>
      <c r="AJ474" s="49"/>
      <c r="AK474" s="49"/>
      <c r="AL474" s="49"/>
      <c r="AM474" s="49"/>
      <c r="AN474" s="49"/>
      <c r="AO474" s="51" t="str">
        <f t="shared" si="39"/>
        <v/>
      </c>
      <c r="AP474" s="51" t="str">
        <f t="shared" si="40"/>
        <v/>
      </c>
      <c r="AQ474" s="49"/>
      <c r="AR474" s="49"/>
      <c r="AS474" s="49" t="str">
        <f t="shared" si="41"/>
        <v/>
      </c>
      <c r="AT474" s="49" t="str">
        <f t="shared" si="42"/>
        <v/>
      </c>
      <c r="AU474" s="49"/>
      <c r="AV474" s="49"/>
    </row>
    <row r="475" spans="1:48" ht="18" customHeight="1">
      <c r="A475" s="44">
        <v>473</v>
      </c>
      <c r="B475" s="71" t="s">
        <v>1076</v>
      </c>
      <c r="C475" s="54" t="s">
        <v>1956</v>
      </c>
      <c r="D475" s="53" t="s">
        <v>116</v>
      </c>
      <c r="E475" s="44" t="s">
        <v>116</v>
      </c>
      <c r="F475" s="44" t="s">
        <v>1983</v>
      </c>
      <c r="G475" s="44"/>
      <c r="H475" s="44"/>
      <c r="I475" s="44"/>
      <c r="J475" s="47" t="s">
        <v>35</v>
      </c>
      <c r="K475" s="47"/>
      <c r="L475" s="47"/>
      <c r="M475" s="47"/>
      <c r="N475" s="47"/>
      <c r="O475" s="44"/>
      <c r="P475" s="44"/>
      <c r="Q475" s="48" t="e">
        <f>VLOOKUP(E475,sheet1!$B$2:$D$3209,3,FALSE)</f>
        <v>#N/A</v>
      </c>
      <c r="R475" s="47" t="s">
        <v>35</v>
      </c>
      <c r="S475" s="47" t="s">
        <v>296</v>
      </c>
      <c r="T475" s="47"/>
      <c r="U475" s="47" t="s">
        <v>296</v>
      </c>
      <c r="V475" s="47" t="s">
        <v>296</v>
      </c>
      <c r="W475" s="47" t="s">
        <v>296</v>
      </c>
      <c r="X475" s="47" t="s">
        <v>296</v>
      </c>
      <c r="Y475" s="47" t="s">
        <v>296</v>
      </c>
      <c r="Z475" s="47" t="s">
        <v>296</v>
      </c>
      <c r="AA475" s="47" t="s">
        <v>296</v>
      </c>
      <c r="AB475" s="47"/>
      <c r="AC475" s="47" t="s">
        <v>35</v>
      </c>
      <c r="AD475" s="63" t="e">
        <f>VLOOKUP(E476,sheet1!$B$2:$C$3209,2,FALSE)</f>
        <v>#N/A</v>
      </c>
      <c r="AE475" s="49"/>
      <c r="AF475" s="51" t="s">
        <v>1984</v>
      </c>
      <c r="AG475" s="57" t="s">
        <v>116</v>
      </c>
      <c r="AH475" s="49" t="str">
        <f t="shared" si="38"/>
        <v>ﾃｽﾄ棚卸更新</v>
      </c>
      <c r="AI475" s="49"/>
      <c r="AJ475" s="49"/>
      <c r="AK475" s="49"/>
      <c r="AL475" s="49"/>
      <c r="AM475" s="49"/>
      <c r="AN475" s="49"/>
      <c r="AO475" s="51" t="str">
        <f t="shared" si="39"/>
        <v/>
      </c>
      <c r="AP475" s="51" t="str">
        <f t="shared" si="40"/>
        <v/>
      </c>
      <c r="AQ475" s="49"/>
      <c r="AR475" s="49"/>
      <c r="AS475" s="49" t="str">
        <f t="shared" si="41"/>
        <v/>
      </c>
      <c r="AT475" s="49" t="str">
        <f t="shared" si="42"/>
        <v/>
      </c>
      <c r="AU475" s="49"/>
      <c r="AV475" s="49"/>
    </row>
    <row r="476" spans="1:48" ht="18" customHeight="1">
      <c r="A476" s="44">
        <v>474</v>
      </c>
      <c r="B476" s="71" t="s">
        <v>1076</v>
      </c>
      <c r="C476" s="54" t="s">
        <v>1956</v>
      </c>
      <c r="D476" s="53" t="s">
        <v>116</v>
      </c>
      <c r="E476" s="44" t="s">
        <v>116</v>
      </c>
      <c r="F476" s="44" t="s">
        <v>1985</v>
      </c>
      <c r="G476" s="44"/>
      <c r="H476" s="44"/>
      <c r="I476" s="44"/>
      <c r="J476" s="47" t="s">
        <v>35</v>
      </c>
      <c r="K476" s="47"/>
      <c r="L476" s="47"/>
      <c r="M476" s="47"/>
      <c r="N476" s="47"/>
      <c r="O476" s="44"/>
      <c r="P476" s="44"/>
      <c r="Q476" s="48" t="e">
        <f>VLOOKUP(E476,sheet1!$B$2:$D$3209,3,FALSE)</f>
        <v>#N/A</v>
      </c>
      <c r="R476" s="47" t="s">
        <v>35</v>
      </c>
      <c r="S476" s="47" t="s">
        <v>296</v>
      </c>
      <c r="T476" s="47"/>
      <c r="U476" s="47" t="s">
        <v>296</v>
      </c>
      <c r="V476" s="47" t="s">
        <v>296</v>
      </c>
      <c r="W476" s="47" t="s">
        <v>296</v>
      </c>
      <c r="X476" s="47" t="s">
        <v>296</v>
      </c>
      <c r="Y476" s="47" t="s">
        <v>296</v>
      </c>
      <c r="Z476" s="47" t="s">
        <v>296</v>
      </c>
      <c r="AA476" s="47" t="s">
        <v>296</v>
      </c>
      <c r="AB476" s="47"/>
      <c r="AC476" s="47" t="s">
        <v>35</v>
      </c>
      <c r="AD476" s="63" t="e">
        <f>VLOOKUP(E477,sheet1!$B$2:$C$3209,2,FALSE)</f>
        <v>#N/A</v>
      </c>
      <c r="AE476" s="49"/>
      <c r="AF476" s="51" t="s">
        <v>1986</v>
      </c>
      <c r="AG476" s="57" t="s">
        <v>116</v>
      </c>
      <c r="AH476" s="49" t="str">
        <f t="shared" si="38"/>
        <v>ﾃｽﾄ棚卸更新の結果検証</v>
      </c>
      <c r="AI476" s="49"/>
      <c r="AJ476" s="49"/>
      <c r="AK476" s="49"/>
      <c r="AL476" s="49"/>
      <c r="AM476" s="49"/>
      <c r="AN476" s="49"/>
      <c r="AO476" s="51" t="str">
        <f t="shared" si="39"/>
        <v/>
      </c>
      <c r="AP476" s="51" t="str">
        <f t="shared" si="40"/>
        <v/>
      </c>
      <c r="AQ476" s="49"/>
      <c r="AR476" s="49"/>
      <c r="AS476" s="49" t="str">
        <f t="shared" si="41"/>
        <v/>
      </c>
      <c r="AT476" s="49" t="str">
        <f t="shared" si="42"/>
        <v/>
      </c>
      <c r="AU476" s="49"/>
      <c r="AV476" s="49"/>
    </row>
    <row r="477" spans="1:48" ht="18" customHeight="1">
      <c r="A477" s="44">
        <v>475</v>
      </c>
      <c r="B477" s="71" t="s">
        <v>1076</v>
      </c>
      <c r="C477" s="54" t="s">
        <v>1956</v>
      </c>
      <c r="D477" s="53" t="s">
        <v>116</v>
      </c>
      <c r="E477" s="44" t="s">
        <v>116</v>
      </c>
      <c r="F477" s="44" t="s">
        <v>1987</v>
      </c>
      <c r="G477" s="44"/>
      <c r="H477" s="44"/>
      <c r="I477" s="44"/>
      <c r="J477" s="47" t="s">
        <v>35</v>
      </c>
      <c r="K477" s="47"/>
      <c r="L477" s="47"/>
      <c r="M477" s="47"/>
      <c r="N477" s="47"/>
      <c r="O477" s="44"/>
      <c r="P477" s="44"/>
      <c r="Q477" s="48" t="e">
        <f>VLOOKUP(E477,sheet1!$B$2:$D$3209,3,FALSE)</f>
        <v>#N/A</v>
      </c>
      <c r="R477" s="47" t="s">
        <v>35</v>
      </c>
      <c r="S477" s="47" t="s">
        <v>296</v>
      </c>
      <c r="T477" s="47"/>
      <c r="U477" s="47" t="s">
        <v>296</v>
      </c>
      <c r="V477" s="47" t="s">
        <v>296</v>
      </c>
      <c r="W477" s="47" t="s">
        <v>296</v>
      </c>
      <c r="X477" s="47" t="s">
        <v>296</v>
      </c>
      <c r="Y477" s="47" t="s">
        <v>296</v>
      </c>
      <c r="Z477" s="47" t="s">
        <v>296</v>
      </c>
      <c r="AA477" s="47" t="s">
        <v>296</v>
      </c>
      <c r="AB477" s="47"/>
      <c r="AC477" s="47" t="s">
        <v>35</v>
      </c>
      <c r="AD477" s="63" t="e">
        <f>VLOOKUP(E478,sheet1!$B$2:$C$3209,2,FALSE)</f>
        <v>#N/A</v>
      </c>
      <c r="AE477" s="49"/>
      <c r="AF477" s="51" t="s">
        <v>1988</v>
      </c>
      <c r="AG477" s="57" t="s">
        <v>116</v>
      </c>
      <c r="AH477" s="49" t="str">
        <f t="shared" si="38"/>
        <v>棚卸処理管理ファイルメンテ</v>
      </c>
      <c r="AI477" s="49"/>
      <c r="AJ477" s="49"/>
      <c r="AK477" s="49"/>
      <c r="AL477" s="49"/>
      <c r="AM477" s="49"/>
      <c r="AN477" s="49"/>
      <c r="AO477" s="51" t="str">
        <f t="shared" si="39"/>
        <v/>
      </c>
      <c r="AP477" s="51" t="str">
        <f t="shared" si="40"/>
        <v/>
      </c>
      <c r="AQ477" s="49"/>
      <c r="AR477" s="49"/>
      <c r="AS477" s="49" t="str">
        <f t="shared" si="41"/>
        <v/>
      </c>
      <c r="AT477" s="49" t="str">
        <f t="shared" si="42"/>
        <v/>
      </c>
      <c r="AU477" s="49"/>
      <c r="AV477" s="49"/>
    </row>
    <row r="478" spans="1:48" ht="18" customHeight="1">
      <c r="A478" s="44">
        <v>476</v>
      </c>
      <c r="B478" s="71" t="s">
        <v>1076</v>
      </c>
      <c r="C478" s="54" t="s">
        <v>1956</v>
      </c>
      <c r="D478" s="53" t="s">
        <v>116</v>
      </c>
      <c r="E478" s="44" t="s">
        <v>116</v>
      </c>
      <c r="F478" s="44" t="s">
        <v>1989</v>
      </c>
      <c r="G478" s="44"/>
      <c r="H478" s="44"/>
      <c r="I478" s="44"/>
      <c r="J478" s="47" t="s">
        <v>35</v>
      </c>
      <c r="K478" s="47"/>
      <c r="L478" s="47"/>
      <c r="M478" s="47"/>
      <c r="N478" s="47"/>
      <c r="O478" s="44"/>
      <c r="P478" s="44"/>
      <c r="Q478" s="48" t="e">
        <f>VLOOKUP(E478,sheet1!$B$2:$D$3209,3,FALSE)</f>
        <v>#N/A</v>
      </c>
      <c r="R478" s="47" t="s">
        <v>35</v>
      </c>
      <c r="S478" s="47" t="s">
        <v>296</v>
      </c>
      <c r="T478" s="47"/>
      <c r="U478" s="47" t="s">
        <v>296</v>
      </c>
      <c r="V478" s="47" t="s">
        <v>296</v>
      </c>
      <c r="W478" s="47" t="s">
        <v>296</v>
      </c>
      <c r="X478" s="47" t="s">
        <v>296</v>
      </c>
      <c r="Y478" s="47" t="s">
        <v>296</v>
      </c>
      <c r="Z478" s="47" t="s">
        <v>296</v>
      </c>
      <c r="AA478" s="47" t="s">
        <v>296</v>
      </c>
      <c r="AB478" s="47"/>
      <c r="AC478" s="47" t="s">
        <v>35</v>
      </c>
      <c r="AD478" s="63" t="e">
        <f>VLOOKUP(E479,sheet1!$B$2:$C$3209,2,FALSE)</f>
        <v>#N/A</v>
      </c>
      <c r="AE478" s="49"/>
      <c r="AF478" s="49"/>
      <c r="AG478" s="49" t="s">
        <v>116</v>
      </c>
      <c r="AH478" s="49" t="s">
        <v>116</v>
      </c>
      <c r="AI478" s="49"/>
      <c r="AJ478" s="49"/>
      <c r="AK478" s="49"/>
      <c r="AL478" s="49" t="str">
        <f t="shared" ref="AL478:AL494" si="43">TRIM(AN478)</f>
        <v>製品受払月報　品目Ｔ別</v>
      </c>
      <c r="AM478" s="49" t="s">
        <v>35</v>
      </c>
      <c r="AN478" s="49" t="s">
        <v>1990</v>
      </c>
      <c r="AO478" s="51" t="str">
        <f t="shared" si="39"/>
        <v/>
      </c>
      <c r="AP478" s="51" t="str">
        <f t="shared" si="40"/>
        <v/>
      </c>
      <c r="AQ478" s="51"/>
      <c r="AR478" s="51"/>
      <c r="AS478" s="49" t="str">
        <f t="shared" si="41"/>
        <v/>
      </c>
      <c r="AT478" s="49" t="str">
        <f t="shared" si="42"/>
        <v/>
      </c>
      <c r="AU478" s="49"/>
      <c r="AV478" s="49"/>
    </row>
    <row r="479" spans="1:48" ht="18" customHeight="1">
      <c r="A479" s="44">
        <v>477</v>
      </c>
      <c r="B479" s="71" t="s">
        <v>1076</v>
      </c>
      <c r="C479" s="53" t="s">
        <v>1991</v>
      </c>
      <c r="D479" s="53" t="s">
        <v>116</v>
      </c>
      <c r="E479" s="44"/>
      <c r="F479" s="44" t="s">
        <v>1990</v>
      </c>
      <c r="G479" s="44"/>
      <c r="H479" s="44"/>
      <c r="I479" s="44"/>
      <c r="J479" s="47" t="s">
        <v>35</v>
      </c>
      <c r="K479" s="47"/>
      <c r="L479" s="47"/>
      <c r="M479" s="47"/>
      <c r="N479" s="47"/>
      <c r="O479" s="44"/>
      <c r="P479" s="44"/>
      <c r="Q479" s="48" t="e">
        <f>VLOOKUP(E479,sheet1!$B$2:$D$3209,3,FALSE)</f>
        <v>#N/A</v>
      </c>
      <c r="R479" s="47"/>
      <c r="S479" s="47" t="s">
        <v>296</v>
      </c>
      <c r="T479" s="47" t="s">
        <v>35</v>
      </c>
      <c r="U479" s="47" t="s">
        <v>296</v>
      </c>
      <c r="V479" s="47" t="s">
        <v>296</v>
      </c>
      <c r="W479" s="47" t="s">
        <v>296</v>
      </c>
      <c r="X479" s="47" t="s">
        <v>296</v>
      </c>
      <c r="Y479" s="47" t="s">
        <v>296</v>
      </c>
      <c r="Z479" s="47" t="s">
        <v>296</v>
      </c>
      <c r="AA479" s="47" t="s">
        <v>296</v>
      </c>
      <c r="AB479" s="47" t="s">
        <v>35</v>
      </c>
      <c r="AC479" s="47" t="s">
        <v>296</v>
      </c>
      <c r="AD479" s="63" t="e">
        <f>VLOOKUP(E480,sheet1!$B$2:$C$3209,2,FALSE)</f>
        <v>#N/A</v>
      </c>
      <c r="AE479" s="49"/>
      <c r="AF479" s="49"/>
      <c r="AG479" s="49" t="s">
        <v>116</v>
      </c>
      <c r="AH479" s="49" t="s">
        <v>116</v>
      </c>
      <c r="AI479" s="49"/>
      <c r="AJ479" s="49"/>
      <c r="AK479" s="49"/>
      <c r="AL479" s="49" t="str">
        <f t="shared" si="43"/>
        <v>製品受払月報（機種別）</v>
      </c>
      <c r="AM479" s="49" t="s">
        <v>35</v>
      </c>
      <c r="AN479" s="49" t="s">
        <v>1992</v>
      </c>
      <c r="AO479" s="51" t="str">
        <f t="shared" si="39"/>
        <v/>
      </c>
      <c r="AP479" s="51" t="str">
        <f t="shared" si="40"/>
        <v/>
      </c>
      <c r="AQ479" s="51"/>
      <c r="AR479" s="51"/>
      <c r="AS479" s="49" t="str">
        <f t="shared" si="41"/>
        <v/>
      </c>
      <c r="AT479" s="49" t="str">
        <f t="shared" si="42"/>
        <v/>
      </c>
      <c r="AU479" s="49"/>
      <c r="AV479" s="49"/>
    </row>
    <row r="480" spans="1:48" ht="18" customHeight="1">
      <c r="A480" s="44">
        <v>478</v>
      </c>
      <c r="B480" s="71" t="s">
        <v>1076</v>
      </c>
      <c r="C480" s="54" t="s">
        <v>1991</v>
      </c>
      <c r="D480" s="46" t="s">
        <v>116</v>
      </c>
      <c r="E480" s="44"/>
      <c r="F480" s="44" t="s">
        <v>1992</v>
      </c>
      <c r="G480" s="44"/>
      <c r="H480" s="44"/>
      <c r="I480" s="44"/>
      <c r="J480" s="47" t="s">
        <v>35</v>
      </c>
      <c r="K480" s="47"/>
      <c r="L480" s="47"/>
      <c r="M480" s="47"/>
      <c r="N480" s="47"/>
      <c r="O480" s="44"/>
      <c r="P480" s="44"/>
      <c r="Q480" s="48" t="e">
        <f>VLOOKUP(E480,sheet1!$B$2:$D$3209,3,FALSE)</f>
        <v>#N/A</v>
      </c>
      <c r="R480" s="47"/>
      <c r="S480" s="47" t="s">
        <v>296</v>
      </c>
      <c r="T480" s="47" t="s">
        <v>35</v>
      </c>
      <c r="U480" s="47" t="s">
        <v>296</v>
      </c>
      <c r="V480" s="47" t="s">
        <v>296</v>
      </c>
      <c r="W480" s="47" t="s">
        <v>296</v>
      </c>
      <c r="X480" s="47" t="s">
        <v>296</v>
      </c>
      <c r="Y480" s="47" t="s">
        <v>296</v>
      </c>
      <c r="Z480" s="47" t="s">
        <v>296</v>
      </c>
      <c r="AA480" s="47" t="s">
        <v>296</v>
      </c>
      <c r="AB480" s="47" t="s">
        <v>35</v>
      </c>
      <c r="AC480" s="47" t="s">
        <v>296</v>
      </c>
      <c r="AD480" s="73" t="e">
        <f>VLOOKUP(E481,sheet1!$B$2:$C$3209,2,FALSE)</f>
        <v>#N/A</v>
      </c>
      <c r="AE480" s="49"/>
      <c r="AF480" s="49"/>
      <c r="AG480" s="49" t="s">
        <v>116</v>
      </c>
      <c r="AH480" s="49" t="s">
        <v>116</v>
      </c>
      <c r="AI480" s="49"/>
      <c r="AJ480" s="49"/>
      <c r="AK480" s="49"/>
      <c r="AL480" s="49" t="str">
        <f t="shared" si="43"/>
        <v>課別受払月報</v>
      </c>
      <c r="AM480" s="49" t="s">
        <v>35</v>
      </c>
      <c r="AN480" s="49" t="s">
        <v>1993</v>
      </c>
      <c r="AO480" s="51" t="str">
        <f t="shared" si="39"/>
        <v/>
      </c>
      <c r="AP480" s="51" t="str">
        <f t="shared" si="40"/>
        <v/>
      </c>
      <c r="AQ480" s="51"/>
      <c r="AR480" s="51"/>
      <c r="AS480" s="49" t="str">
        <f t="shared" si="41"/>
        <v/>
      </c>
      <c r="AT480" s="49" t="str">
        <f t="shared" si="42"/>
        <v/>
      </c>
      <c r="AU480" s="49"/>
      <c r="AV480" s="49"/>
    </row>
    <row r="481" spans="1:48" ht="18" customHeight="1">
      <c r="A481" s="44">
        <v>479</v>
      </c>
      <c r="B481" s="71" t="s">
        <v>1076</v>
      </c>
      <c r="C481" s="54" t="s">
        <v>1991</v>
      </c>
      <c r="D481" s="46" t="s">
        <v>116</v>
      </c>
      <c r="E481" s="44"/>
      <c r="F481" s="44" t="s">
        <v>1994</v>
      </c>
      <c r="G481" s="44"/>
      <c r="H481" s="44"/>
      <c r="I481" s="44"/>
      <c r="J481" s="47" t="s">
        <v>35</v>
      </c>
      <c r="K481" s="47"/>
      <c r="L481" s="47"/>
      <c r="M481" s="47"/>
      <c r="N481" s="47"/>
      <c r="O481" s="44"/>
      <c r="P481" s="44"/>
      <c r="Q481" s="48" t="e">
        <f>VLOOKUP(E481,sheet1!$B$2:$D$3209,3,FALSE)</f>
        <v>#N/A</v>
      </c>
      <c r="R481" s="47"/>
      <c r="S481" s="47" t="s">
        <v>296</v>
      </c>
      <c r="T481" s="47" t="s">
        <v>35</v>
      </c>
      <c r="U481" s="47" t="s">
        <v>296</v>
      </c>
      <c r="V481" s="47" t="s">
        <v>296</v>
      </c>
      <c r="W481" s="47" t="s">
        <v>296</v>
      </c>
      <c r="X481" s="47" t="s">
        <v>296</v>
      </c>
      <c r="Y481" s="47" t="s">
        <v>296</v>
      </c>
      <c r="Z481" s="47" t="s">
        <v>296</v>
      </c>
      <c r="AA481" s="47" t="s">
        <v>296</v>
      </c>
      <c r="AB481" s="47" t="s">
        <v>35</v>
      </c>
      <c r="AC481" s="47" t="s">
        <v>296</v>
      </c>
      <c r="AD481" s="73" t="e">
        <f>VLOOKUP(E482,sheet1!$B$2:$C$3209,2,FALSE)</f>
        <v>#N/A</v>
      </c>
      <c r="AE481" s="49"/>
      <c r="AF481" s="49"/>
      <c r="AG481" s="49" t="s">
        <v>116</v>
      </c>
      <c r="AH481" s="49" t="s">
        <v>116</v>
      </c>
      <c r="AI481" s="49"/>
      <c r="AJ481" s="49"/>
      <c r="AK481" s="49"/>
      <c r="AL481" s="49" t="str">
        <f t="shared" si="43"/>
        <v>在庫受払報告</v>
      </c>
      <c r="AM481" s="49" t="s">
        <v>35</v>
      </c>
      <c r="AN481" s="49" t="s">
        <v>1995</v>
      </c>
      <c r="AO481" s="51" t="str">
        <f t="shared" si="39"/>
        <v/>
      </c>
      <c r="AP481" s="51" t="str">
        <f t="shared" si="40"/>
        <v/>
      </c>
      <c r="AQ481" s="51"/>
      <c r="AR481" s="51"/>
      <c r="AS481" s="49" t="str">
        <f t="shared" si="41"/>
        <v/>
      </c>
      <c r="AT481" s="49" t="str">
        <f t="shared" si="42"/>
        <v/>
      </c>
      <c r="AU481" s="49"/>
      <c r="AV481" s="49"/>
    </row>
    <row r="482" spans="1:48" ht="18" customHeight="1">
      <c r="A482" s="44">
        <v>480</v>
      </c>
      <c r="B482" s="71" t="s">
        <v>1076</v>
      </c>
      <c r="C482" s="54" t="s">
        <v>1991</v>
      </c>
      <c r="D482" s="46" t="s">
        <v>116</v>
      </c>
      <c r="E482" s="44"/>
      <c r="F482" s="44" t="s">
        <v>1996</v>
      </c>
      <c r="G482" s="44"/>
      <c r="H482" s="44"/>
      <c r="I482" s="44"/>
      <c r="J482" s="47" t="s">
        <v>35</v>
      </c>
      <c r="K482" s="47"/>
      <c r="L482" s="47"/>
      <c r="M482" s="47"/>
      <c r="N482" s="47"/>
      <c r="O482" s="44"/>
      <c r="P482" s="44"/>
      <c r="Q482" s="48" t="e">
        <f>VLOOKUP(E482,sheet1!$B$2:$D$3209,3,FALSE)</f>
        <v>#N/A</v>
      </c>
      <c r="R482" s="47"/>
      <c r="S482" s="47" t="s">
        <v>296</v>
      </c>
      <c r="T482" s="47" t="s">
        <v>35</v>
      </c>
      <c r="U482" s="47" t="s">
        <v>296</v>
      </c>
      <c r="V482" s="47" t="s">
        <v>296</v>
      </c>
      <c r="W482" s="47" t="s">
        <v>296</v>
      </c>
      <c r="X482" s="47" t="s">
        <v>296</v>
      </c>
      <c r="Y482" s="47" t="s">
        <v>296</v>
      </c>
      <c r="Z482" s="47" t="s">
        <v>296</v>
      </c>
      <c r="AA482" s="47" t="s">
        <v>296</v>
      </c>
      <c r="AB482" s="47" t="s">
        <v>35</v>
      </c>
      <c r="AC482" s="47" t="s">
        <v>296</v>
      </c>
      <c r="AD482" s="73" t="e">
        <f>VLOOKUP(E483,sheet1!$B$2:$C$3209,2,FALSE)</f>
        <v>#N/A</v>
      </c>
      <c r="AE482" s="49"/>
      <c r="AF482" s="49"/>
      <c r="AG482" s="49" t="s">
        <v>116</v>
      </c>
      <c r="AH482" s="49" t="s">
        <v>116</v>
      </c>
      <c r="AI482" s="49"/>
      <c r="AJ482" s="49"/>
      <c r="AK482" s="49"/>
      <c r="AL482" s="49" t="str">
        <f t="shared" si="43"/>
        <v>調整伝票確認表</v>
      </c>
      <c r="AM482" s="49" t="s">
        <v>35</v>
      </c>
      <c r="AN482" s="49" t="s">
        <v>1997</v>
      </c>
      <c r="AO482" s="51" t="str">
        <f t="shared" si="39"/>
        <v/>
      </c>
      <c r="AP482" s="51" t="str">
        <f t="shared" si="40"/>
        <v/>
      </c>
      <c r="AQ482" s="51"/>
      <c r="AR482" s="51"/>
      <c r="AS482" s="49" t="str">
        <f t="shared" si="41"/>
        <v/>
      </c>
      <c r="AT482" s="49" t="str">
        <f t="shared" si="42"/>
        <v/>
      </c>
      <c r="AU482" s="49"/>
      <c r="AV482" s="49"/>
    </row>
    <row r="483" spans="1:48" ht="18" customHeight="1">
      <c r="A483" s="44">
        <v>481</v>
      </c>
      <c r="B483" s="71" t="s">
        <v>1076</v>
      </c>
      <c r="C483" s="54" t="s">
        <v>1991</v>
      </c>
      <c r="D483" s="46" t="s">
        <v>116</v>
      </c>
      <c r="E483" s="44"/>
      <c r="F483" s="44" t="s">
        <v>1998</v>
      </c>
      <c r="G483" s="44"/>
      <c r="H483" s="44"/>
      <c r="I483" s="44"/>
      <c r="J483" s="47" t="s">
        <v>35</v>
      </c>
      <c r="K483" s="47"/>
      <c r="L483" s="47"/>
      <c r="M483" s="47"/>
      <c r="N483" s="47"/>
      <c r="O483" s="44"/>
      <c r="P483" s="44"/>
      <c r="Q483" s="48" t="e">
        <f>VLOOKUP(E483,sheet1!$B$2:$D$3209,3,FALSE)</f>
        <v>#N/A</v>
      </c>
      <c r="R483" s="47"/>
      <c r="S483" s="47" t="s">
        <v>296</v>
      </c>
      <c r="T483" s="47" t="s">
        <v>35</v>
      </c>
      <c r="U483" s="47" t="s">
        <v>296</v>
      </c>
      <c r="V483" s="47" t="s">
        <v>296</v>
      </c>
      <c r="W483" s="47" t="s">
        <v>296</v>
      </c>
      <c r="X483" s="47" t="s">
        <v>296</v>
      </c>
      <c r="Y483" s="47" t="s">
        <v>296</v>
      </c>
      <c r="Z483" s="47" t="s">
        <v>296</v>
      </c>
      <c r="AA483" s="47" t="s">
        <v>296</v>
      </c>
      <c r="AB483" s="47" t="s">
        <v>35</v>
      </c>
      <c r="AC483" s="47" t="s">
        <v>296</v>
      </c>
      <c r="AD483" s="73" t="e">
        <f>VLOOKUP(E484,sheet1!$B$2:$C$3209,2,FALSE)</f>
        <v>#N/A</v>
      </c>
      <c r="AE483" s="49"/>
      <c r="AF483" s="49"/>
      <c r="AG483" s="49" t="s">
        <v>116</v>
      </c>
      <c r="AH483" s="49" t="s">
        <v>116</v>
      </c>
      <c r="AI483" s="49"/>
      <c r="AJ483" s="49"/>
      <c r="AK483" s="49"/>
      <c r="AL483" s="49" t="str">
        <f t="shared" si="43"/>
        <v>月次在庫金額報告書</v>
      </c>
      <c r="AM483" s="49" t="s">
        <v>35</v>
      </c>
      <c r="AN483" s="49" t="s">
        <v>1999</v>
      </c>
      <c r="AO483" s="51" t="str">
        <f t="shared" si="39"/>
        <v/>
      </c>
      <c r="AP483" s="51" t="str">
        <f t="shared" si="40"/>
        <v/>
      </c>
      <c r="AQ483" s="51"/>
      <c r="AR483" s="51"/>
      <c r="AS483" s="49" t="str">
        <f t="shared" si="41"/>
        <v/>
      </c>
      <c r="AT483" s="49" t="str">
        <f t="shared" si="42"/>
        <v/>
      </c>
      <c r="AU483" s="49"/>
      <c r="AV483" s="49"/>
    </row>
    <row r="484" spans="1:48" ht="18" customHeight="1">
      <c r="A484" s="44">
        <v>482</v>
      </c>
      <c r="B484" s="71" t="s">
        <v>1076</v>
      </c>
      <c r="C484" s="54" t="s">
        <v>1991</v>
      </c>
      <c r="D484" s="46" t="s">
        <v>116</v>
      </c>
      <c r="E484" s="44"/>
      <c r="F484" s="44" t="s">
        <v>2000</v>
      </c>
      <c r="G484" s="44"/>
      <c r="H484" s="44"/>
      <c r="I484" s="44"/>
      <c r="J484" s="47" t="s">
        <v>35</v>
      </c>
      <c r="K484" s="47"/>
      <c r="L484" s="47"/>
      <c r="M484" s="47"/>
      <c r="N484" s="47"/>
      <c r="O484" s="44"/>
      <c r="P484" s="44"/>
      <c r="Q484" s="48" t="e">
        <f>VLOOKUP(E484,sheet1!$B$2:$D$3209,3,FALSE)</f>
        <v>#N/A</v>
      </c>
      <c r="R484" s="47"/>
      <c r="S484" s="47" t="s">
        <v>296</v>
      </c>
      <c r="T484" s="47" t="s">
        <v>35</v>
      </c>
      <c r="U484" s="47" t="s">
        <v>296</v>
      </c>
      <c r="V484" s="47" t="s">
        <v>296</v>
      </c>
      <c r="W484" s="47" t="s">
        <v>296</v>
      </c>
      <c r="X484" s="47" t="s">
        <v>296</v>
      </c>
      <c r="Y484" s="47" t="s">
        <v>296</v>
      </c>
      <c r="Z484" s="47" t="s">
        <v>296</v>
      </c>
      <c r="AA484" s="47" t="s">
        <v>296</v>
      </c>
      <c r="AB484" s="47" t="s">
        <v>35</v>
      </c>
      <c r="AC484" s="47" t="s">
        <v>296</v>
      </c>
      <c r="AD484" s="73" t="e">
        <f>VLOOKUP(E485,sheet1!$B$2:$C$3209,2,FALSE)</f>
        <v>#N/A</v>
      </c>
      <c r="AE484" s="49"/>
      <c r="AF484" s="49"/>
      <c r="AG484" s="49" t="s">
        <v>116</v>
      </c>
      <c r="AH484" s="49" t="s">
        <v>116</v>
      </c>
      <c r="AI484" s="49"/>
      <c r="AJ484" s="49"/>
      <c r="AK484" s="49"/>
      <c r="AL484" s="49" t="str">
        <f t="shared" si="43"/>
        <v>部課別仕損材料一覧表</v>
      </c>
      <c r="AM484" s="49" t="s">
        <v>35</v>
      </c>
      <c r="AN484" s="49" t="s">
        <v>2001</v>
      </c>
      <c r="AO484" s="51" t="str">
        <f t="shared" si="39"/>
        <v/>
      </c>
      <c r="AP484" s="51" t="str">
        <f t="shared" si="40"/>
        <v/>
      </c>
      <c r="AQ484" s="51"/>
      <c r="AR484" s="51"/>
      <c r="AS484" s="49" t="str">
        <f t="shared" si="41"/>
        <v/>
      </c>
      <c r="AT484" s="49" t="str">
        <f t="shared" si="42"/>
        <v/>
      </c>
      <c r="AU484" s="49"/>
      <c r="AV484" s="49"/>
    </row>
    <row r="485" spans="1:48" ht="18" customHeight="1">
      <c r="A485" s="44">
        <v>483</v>
      </c>
      <c r="B485" s="71" t="s">
        <v>1076</v>
      </c>
      <c r="C485" s="54" t="s">
        <v>1991</v>
      </c>
      <c r="D485" s="46" t="s">
        <v>116</v>
      </c>
      <c r="E485" s="44"/>
      <c r="F485" s="44" t="s">
        <v>2002</v>
      </c>
      <c r="G485" s="44"/>
      <c r="H485" s="44"/>
      <c r="I485" s="44"/>
      <c r="J485" s="47" t="s">
        <v>35</v>
      </c>
      <c r="K485" s="47"/>
      <c r="L485" s="47"/>
      <c r="M485" s="47"/>
      <c r="N485" s="47"/>
      <c r="O485" s="44"/>
      <c r="P485" s="44"/>
      <c r="Q485" s="48" t="e">
        <f>VLOOKUP(E485,sheet1!$B$2:$D$3209,3,FALSE)</f>
        <v>#N/A</v>
      </c>
      <c r="R485" s="47"/>
      <c r="S485" s="47" t="s">
        <v>296</v>
      </c>
      <c r="T485" s="47" t="s">
        <v>35</v>
      </c>
      <c r="U485" s="47" t="s">
        <v>296</v>
      </c>
      <c r="V485" s="47" t="s">
        <v>296</v>
      </c>
      <c r="W485" s="47" t="s">
        <v>296</v>
      </c>
      <c r="X485" s="47" t="s">
        <v>296</v>
      </c>
      <c r="Y485" s="47" t="s">
        <v>296</v>
      </c>
      <c r="Z485" s="47" t="s">
        <v>296</v>
      </c>
      <c r="AA485" s="47" t="s">
        <v>296</v>
      </c>
      <c r="AB485" s="47" t="s">
        <v>35</v>
      </c>
      <c r="AC485" s="47" t="s">
        <v>296</v>
      </c>
      <c r="AD485" s="73" t="e">
        <f>VLOOKUP(E486,sheet1!$B$2:$C$3209,2,FALSE)</f>
        <v>#N/A</v>
      </c>
      <c r="AE485" s="49"/>
      <c r="AF485" s="49"/>
      <c r="AG485" s="49" t="s">
        <v>116</v>
      </c>
      <c r="AH485" s="49" t="s">
        <v>116</v>
      </c>
      <c r="AI485" s="49"/>
      <c r="AJ485" s="49"/>
      <c r="AK485" s="49"/>
      <c r="AL485" s="49" t="str">
        <f t="shared" si="43"/>
        <v>伝票集計表</v>
      </c>
      <c r="AM485" s="49" t="s">
        <v>35</v>
      </c>
      <c r="AN485" s="49" t="s">
        <v>2003</v>
      </c>
      <c r="AO485" s="51" t="str">
        <f t="shared" si="39"/>
        <v/>
      </c>
      <c r="AP485" s="51" t="str">
        <f t="shared" si="40"/>
        <v/>
      </c>
      <c r="AQ485" s="51"/>
      <c r="AR485" s="51"/>
      <c r="AS485" s="49" t="str">
        <f t="shared" si="41"/>
        <v/>
      </c>
      <c r="AT485" s="49" t="str">
        <f t="shared" si="42"/>
        <v/>
      </c>
      <c r="AU485" s="49"/>
      <c r="AV485" s="49"/>
    </row>
    <row r="486" spans="1:48" ht="18" customHeight="1">
      <c r="A486" s="44">
        <v>484</v>
      </c>
      <c r="B486" s="71" t="s">
        <v>1076</v>
      </c>
      <c r="C486" s="54" t="s">
        <v>1991</v>
      </c>
      <c r="D486" s="46" t="s">
        <v>116</v>
      </c>
      <c r="E486" s="44"/>
      <c r="F486" s="44" t="s">
        <v>2004</v>
      </c>
      <c r="G486" s="44"/>
      <c r="H486" s="44"/>
      <c r="I486" s="44"/>
      <c r="J486" s="47" t="s">
        <v>35</v>
      </c>
      <c r="K486" s="47"/>
      <c r="L486" s="47"/>
      <c r="M486" s="47"/>
      <c r="N486" s="47"/>
      <c r="O486" s="44"/>
      <c r="P486" s="44"/>
      <c r="Q486" s="48" t="e">
        <f>VLOOKUP(E486,sheet1!$B$2:$D$3209,3,FALSE)</f>
        <v>#N/A</v>
      </c>
      <c r="R486" s="47"/>
      <c r="S486" s="47" t="s">
        <v>296</v>
      </c>
      <c r="T486" s="47" t="s">
        <v>35</v>
      </c>
      <c r="U486" s="47" t="s">
        <v>296</v>
      </c>
      <c r="V486" s="47" t="s">
        <v>296</v>
      </c>
      <c r="W486" s="47" t="s">
        <v>296</v>
      </c>
      <c r="X486" s="47" t="s">
        <v>296</v>
      </c>
      <c r="Y486" s="47" t="s">
        <v>296</v>
      </c>
      <c r="Z486" s="47" t="s">
        <v>296</v>
      </c>
      <c r="AA486" s="47" t="s">
        <v>296</v>
      </c>
      <c r="AB486" s="47" t="s">
        <v>35</v>
      </c>
      <c r="AC486" s="47" t="s">
        <v>296</v>
      </c>
      <c r="AD486" s="73" t="str">
        <f>VLOOKUP(E487,sheet1!$B$2:$C$3209,2,FALSE)</f>
        <v>プログラム・ストップＣＬＰ</v>
      </c>
      <c r="AE486" s="49"/>
      <c r="AF486" s="51" t="s">
        <v>2005</v>
      </c>
      <c r="AG486" s="51" t="s">
        <v>2006</v>
      </c>
      <c r="AH486" s="49" t="str">
        <f t="shared" ref="AH486:AH606" si="44">TRIM(MID(AF486,4,100))</f>
        <v>支払締切日入力</v>
      </c>
      <c r="AI486" s="49"/>
      <c r="AJ486" s="49"/>
      <c r="AK486" s="49"/>
      <c r="AL486" s="49" t="str">
        <f t="shared" si="43"/>
        <v>ｺｽﾄﾀﾞｳﾝ実績　部課明細</v>
      </c>
      <c r="AM486" s="49" t="s">
        <v>35</v>
      </c>
      <c r="AN486" s="49" t="s">
        <v>2007</v>
      </c>
      <c r="AO486" s="51" t="str">
        <f t="shared" si="39"/>
        <v>支払締切日入力</v>
      </c>
      <c r="AP486" s="51" t="str">
        <f t="shared" si="40"/>
        <v>PD8045</v>
      </c>
      <c r="AQ486" s="51" t="s">
        <v>2005</v>
      </c>
      <c r="AR486" s="51" t="s">
        <v>2006</v>
      </c>
      <c r="AS486" s="49" t="str">
        <f t="shared" si="41"/>
        <v/>
      </c>
      <c r="AT486" s="49" t="str">
        <f t="shared" si="42"/>
        <v/>
      </c>
      <c r="AU486" s="49"/>
      <c r="AV486" s="49"/>
    </row>
    <row r="487" spans="1:48" ht="18" customHeight="1">
      <c r="A487" s="44">
        <v>485</v>
      </c>
      <c r="B487" s="71" t="s">
        <v>1076</v>
      </c>
      <c r="C487" s="54" t="s">
        <v>1991</v>
      </c>
      <c r="D487" s="46" t="s">
        <v>116</v>
      </c>
      <c r="E487" s="44" t="s">
        <v>2006</v>
      </c>
      <c r="F487" s="44" t="s">
        <v>2008</v>
      </c>
      <c r="G487" s="44"/>
      <c r="H487" s="44"/>
      <c r="I487" s="44"/>
      <c r="J487" s="47" t="s">
        <v>35</v>
      </c>
      <c r="K487" s="47"/>
      <c r="L487" s="47"/>
      <c r="M487" s="47"/>
      <c r="N487" s="47"/>
      <c r="O487" s="44"/>
      <c r="P487" s="44"/>
      <c r="Q487" s="48">
        <f>VLOOKUP(E487,sheet1!$B$2:$D$3209,3,FALSE)</f>
        <v>220</v>
      </c>
      <c r="R487" s="47" t="s">
        <v>35</v>
      </c>
      <c r="S487" s="47" t="s">
        <v>35</v>
      </c>
      <c r="T487" s="47"/>
      <c r="U487" s="47" t="s">
        <v>296</v>
      </c>
      <c r="V487" s="47" t="s">
        <v>296</v>
      </c>
      <c r="W487" s="47" t="s">
        <v>296</v>
      </c>
      <c r="X487" s="47" t="s">
        <v>296</v>
      </c>
      <c r="Y487" s="47" t="s">
        <v>296</v>
      </c>
      <c r="Z487" s="47" t="s">
        <v>296</v>
      </c>
      <c r="AA487" s="47" t="s">
        <v>296</v>
      </c>
      <c r="AB487" s="47"/>
      <c r="AC487" s="47" t="s">
        <v>35</v>
      </c>
      <c r="AD487" s="73" t="str">
        <f>VLOOKUP(E488,sheet1!$B$2:$C$3209,2,FALSE)</f>
        <v>プログラム・ストップＣＬＰ</v>
      </c>
      <c r="AE487" s="49"/>
      <c r="AF487" s="51" t="s">
        <v>2009</v>
      </c>
      <c r="AG487" s="51" t="s">
        <v>2010</v>
      </c>
      <c r="AH487" s="49" t="str">
        <f t="shared" si="44"/>
        <v>月次締切日入力</v>
      </c>
      <c r="AI487" s="49"/>
      <c r="AJ487" s="49"/>
      <c r="AK487" s="49"/>
      <c r="AL487" s="49" t="str">
        <f t="shared" si="43"/>
        <v>ｺｽﾄﾀﾞｳﾝ実績　部課集計</v>
      </c>
      <c r="AM487" s="49" t="s">
        <v>35</v>
      </c>
      <c r="AN487" s="49" t="s">
        <v>2011</v>
      </c>
      <c r="AO487" s="51" t="str">
        <f t="shared" si="39"/>
        <v>月次締切日入力</v>
      </c>
      <c r="AP487" s="51" t="str">
        <f t="shared" si="40"/>
        <v>PD8050</v>
      </c>
      <c r="AQ487" s="51" t="s">
        <v>2009</v>
      </c>
      <c r="AR487" s="51" t="s">
        <v>2010</v>
      </c>
      <c r="AS487" s="49" t="str">
        <f t="shared" si="41"/>
        <v/>
      </c>
      <c r="AT487" s="49" t="str">
        <f t="shared" si="42"/>
        <v/>
      </c>
      <c r="AU487" s="49"/>
      <c r="AV487" s="49"/>
    </row>
    <row r="488" spans="1:48" ht="18" customHeight="1">
      <c r="A488" s="44">
        <v>486</v>
      </c>
      <c r="B488" s="71" t="s">
        <v>1076</v>
      </c>
      <c r="C488" s="54" t="s">
        <v>1991</v>
      </c>
      <c r="D488" s="46" t="s">
        <v>116</v>
      </c>
      <c r="E488" s="44" t="s">
        <v>2010</v>
      </c>
      <c r="F488" s="44" t="s">
        <v>2012</v>
      </c>
      <c r="G488" s="44"/>
      <c r="H488" s="44"/>
      <c r="I488" s="44"/>
      <c r="J488" s="47" t="s">
        <v>35</v>
      </c>
      <c r="K488" s="47"/>
      <c r="L488" s="47"/>
      <c r="M488" s="47"/>
      <c r="N488" s="47"/>
      <c r="O488" s="44"/>
      <c r="P488" s="44"/>
      <c r="Q488" s="48">
        <f>VLOOKUP(E488,sheet1!$B$2:$D$3209,3,FALSE)</f>
        <v>188</v>
      </c>
      <c r="R488" s="47" t="s">
        <v>35</v>
      </c>
      <c r="S488" s="47" t="s">
        <v>35</v>
      </c>
      <c r="T488" s="47"/>
      <c r="U488" s="47" t="s">
        <v>296</v>
      </c>
      <c r="V488" s="47" t="s">
        <v>296</v>
      </c>
      <c r="W488" s="47" t="s">
        <v>296</v>
      </c>
      <c r="X488" s="47" t="s">
        <v>296</v>
      </c>
      <c r="Y488" s="47" t="s">
        <v>296</v>
      </c>
      <c r="Z488" s="47" t="s">
        <v>296</v>
      </c>
      <c r="AA488" s="47" t="s">
        <v>296</v>
      </c>
      <c r="AB488" s="47"/>
      <c r="AC488" s="47" t="s">
        <v>35</v>
      </c>
      <c r="AD488" s="73" t="str">
        <f>VLOOKUP(E489,sheet1!$B$2:$C$3209,2,FALSE)</f>
        <v>検収通知書発行19/10/01～10%対応</v>
      </c>
      <c r="AE488" s="49"/>
      <c r="AF488" s="51" t="s">
        <v>2013</v>
      </c>
      <c r="AG488" s="51" t="s">
        <v>2014</v>
      </c>
      <c r="AH488" s="49" t="str">
        <f t="shared" si="44"/>
        <v>検収通知票作成</v>
      </c>
      <c r="AI488" s="49"/>
      <c r="AJ488" s="49"/>
      <c r="AK488" s="49"/>
      <c r="AL488" s="49" t="str">
        <f t="shared" si="43"/>
        <v>ｺｽﾄﾀﾞｳﾝ実績　担当明細</v>
      </c>
      <c r="AM488" s="49" t="s">
        <v>35</v>
      </c>
      <c r="AN488" s="49" t="s">
        <v>2015</v>
      </c>
      <c r="AO488" s="51" t="str">
        <f t="shared" si="39"/>
        <v>検収通知票作成</v>
      </c>
      <c r="AP488" s="51" t="str">
        <f t="shared" si="40"/>
        <v>PD8061</v>
      </c>
      <c r="AQ488" s="51" t="s">
        <v>2016</v>
      </c>
      <c r="AR488" s="51" t="s">
        <v>2014</v>
      </c>
      <c r="AS488" s="49" t="str">
        <f t="shared" si="41"/>
        <v/>
      </c>
      <c r="AT488" s="49" t="str">
        <f t="shared" si="42"/>
        <v/>
      </c>
      <c r="AU488" s="49"/>
      <c r="AV488" s="49"/>
    </row>
    <row r="489" spans="1:48" ht="18" customHeight="1">
      <c r="A489" s="44">
        <v>487</v>
      </c>
      <c r="B489" s="71" t="s">
        <v>1076</v>
      </c>
      <c r="C489" s="54" t="s">
        <v>1991</v>
      </c>
      <c r="D489" s="46" t="s">
        <v>116</v>
      </c>
      <c r="E489" s="44" t="s">
        <v>2014</v>
      </c>
      <c r="F489" s="44" t="s">
        <v>2017</v>
      </c>
      <c r="G489" s="44"/>
      <c r="H489" s="44"/>
      <c r="I489" s="44"/>
      <c r="J489" s="47" t="s">
        <v>35</v>
      </c>
      <c r="K489" s="47"/>
      <c r="L489" s="47"/>
      <c r="M489" s="47"/>
      <c r="N489" s="47"/>
      <c r="O489" s="44"/>
      <c r="P489" s="44"/>
      <c r="Q489" s="48">
        <f>VLOOKUP(E489,sheet1!$B$2:$D$3209,3,FALSE)</f>
        <v>1650</v>
      </c>
      <c r="R489" s="47" t="s">
        <v>35</v>
      </c>
      <c r="S489" s="47" t="s">
        <v>35</v>
      </c>
      <c r="T489" s="47"/>
      <c r="U489" s="47" t="s">
        <v>296</v>
      </c>
      <c r="V489" s="47" t="s">
        <v>296</v>
      </c>
      <c r="W489" s="47" t="s">
        <v>296</v>
      </c>
      <c r="X489" s="47" t="s">
        <v>296</v>
      </c>
      <c r="Y489" s="47" t="s">
        <v>296</v>
      </c>
      <c r="Z489" s="47" t="s">
        <v>296</v>
      </c>
      <c r="AA489" s="47" t="s">
        <v>35</v>
      </c>
      <c r="AB489" s="47"/>
      <c r="AC489" s="47" t="s">
        <v>35</v>
      </c>
      <c r="AD489" s="73" t="str">
        <f>VLOOKUP(E491,sheet1!$B$2:$C$3209,2,FALSE)</f>
        <v>コストダウン実績表　課別仕入先別明細</v>
      </c>
      <c r="AE489" s="49"/>
      <c r="AF489" s="51" t="s">
        <v>2018</v>
      </c>
      <c r="AG489" s="51" t="s">
        <v>2019</v>
      </c>
      <c r="AH489" s="49" t="str">
        <f t="shared" si="44"/>
        <v>ｺｽﾄﾀﾞｳﾝ実績　部課明細</v>
      </c>
      <c r="AI489" s="49"/>
      <c r="AJ489" s="49"/>
      <c r="AK489" s="49"/>
      <c r="AL489" s="49" t="str">
        <f t="shared" si="43"/>
        <v>ｺｽﾄﾀﾞｳﾝ実績　担当集計</v>
      </c>
      <c r="AM489" s="49" t="s">
        <v>35</v>
      </c>
      <c r="AN489" s="49" t="s">
        <v>2020</v>
      </c>
      <c r="AO489" s="51" t="str">
        <f t="shared" si="39"/>
        <v>仕入消費税　付与指示</v>
      </c>
      <c r="AP489" s="51" t="str">
        <f t="shared" si="40"/>
        <v>PD8061</v>
      </c>
      <c r="AQ489" s="51" t="s">
        <v>2021</v>
      </c>
      <c r="AR489" s="51" t="s">
        <v>2014</v>
      </c>
      <c r="AS489" s="49" t="str">
        <f t="shared" si="41"/>
        <v/>
      </c>
      <c r="AT489" s="49" t="str">
        <f t="shared" si="42"/>
        <v/>
      </c>
      <c r="AU489" s="49"/>
      <c r="AV489" s="49"/>
    </row>
    <row r="490" spans="1:48" ht="18" customHeight="1">
      <c r="A490" s="44">
        <v>488</v>
      </c>
      <c r="B490" s="71" t="s">
        <v>1076</v>
      </c>
      <c r="C490" s="54" t="s">
        <v>1991</v>
      </c>
      <c r="D490" s="46" t="s">
        <v>116</v>
      </c>
      <c r="E490" s="44" t="s">
        <v>2014</v>
      </c>
      <c r="F490" s="44" t="s">
        <v>2022</v>
      </c>
      <c r="G490" s="44"/>
      <c r="H490" s="44"/>
      <c r="I490" s="44"/>
      <c r="J490" s="47"/>
      <c r="K490" s="47"/>
      <c r="L490" s="47"/>
      <c r="M490" s="47"/>
      <c r="N490" s="47"/>
      <c r="O490" s="44"/>
      <c r="P490" s="44"/>
      <c r="Q490" s="48"/>
      <c r="R490" s="47"/>
      <c r="S490" s="47" t="s">
        <v>35</v>
      </c>
      <c r="T490" s="47"/>
      <c r="U490" s="47" t="s">
        <v>296</v>
      </c>
      <c r="V490" s="47" t="s">
        <v>296</v>
      </c>
      <c r="W490" s="47" t="s">
        <v>296</v>
      </c>
      <c r="X490" s="47" t="s">
        <v>296</v>
      </c>
      <c r="Y490" s="47" t="s">
        <v>296</v>
      </c>
      <c r="Z490" s="47" t="s">
        <v>296</v>
      </c>
      <c r="AA490" s="47" t="s">
        <v>296</v>
      </c>
      <c r="AB490" s="47"/>
      <c r="AC490" s="47" t="s">
        <v>296</v>
      </c>
      <c r="AD490" s="73" t="str">
        <f>VLOOKUP(E492,sheet1!$B$2:$C$3209,2,FALSE)</f>
        <v>コストダウン実績表　課別仕入先別集計</v>
      </c>
      <c r="AE490" s="49"/>
      <c r="AF490" s="51" t="s">
        <v>2023</v>
      </c>
      <c r="AG490" s="51" t="s">
        <v>2024</v>
      </c>
      <c r="AH490" s="49" t="str">
        <f t="shared" si="44"/>
        <v>ｺｽﾄﾀﾞｳﾝ実績　部課集計</v>
      </c>
      <c r="AI490" s="49"/>
      <c r="AJ490" s="49"/>
      <c r="AK490" s="49"/>
      <c r="AL490" s="49" t="str">
        <f t="shared" si="43"/>
        <v>月次受入差額一覧表</v>
      </c>
      <c r="AM490" s="49" t="s">
        <v>35</v>
      </c>
      <c r="AN490" s="49" t="s">
        <v>2025</v>
      </c>
      <c r="AO490" s="51" t="str">
        <f t="shared" si="39"/>
        <v>ｺｽﾄﾀﾞｳﾝ実績　部課明細</v>
      </c>
      <c r="AP490" s="51" t="str">
        <f t="shared" si="40"/>
        <v>PD8130</v>
      </c>
      <c r="AQ490" s="51" t="s">
        <v>2018</v>
      </c>
      <c r="AR490" s="51" t="s">
        <v>2026</v>
      </c>
      <c r="AS490" s="49" t="str">
        <f t="shared" si="41"/>
        <v>ｺｽﾄﾀﾞｳﾝ実績　部課明細</v>
      </c>
      <c r="AT490" s="49" t="str">
        <f t="shared" si="42"/>
        <v>PD8130</v>
      </c>
      <c r="AU490" s="51" t="s">
        <v>2018</v>
      </c>
      <c r="AV490" s="51" t="s">
        <v>2026</v>
      </c>
    </row>
    <row r="491" spans="1:48" ht="18" customHeight="1">
      <c r="A491" s="44">
        <v>489</v>
      </c>
      <c r="B491" s="71" t="s">
        <v>1076</v>
      </c>
      <c r="C491" s="54" t="s">
        <v>1991</v>
      </c>
      <c r="D491" s="46" t="s">
        <v>116</v>
      </c>
      <c r="E491" s="44" t="s">
        <v>2019</v>
      </c>
      <c r="F491" s="44" t="s">
        <v>2007</v>
      </c>
      <c r="G491" s="44"/>
      <c r="H491" s="44"/>
      <c r="I491" s="44"/>
      <c r="J491" s="47" t="s">
        <v>35</v>
      </c>
      <c r="K491" s="47"/>
      <c r="L491" s="47"/>
      <c r="M491" s="47"/>
      <c r="N491" s="47"/>
      <c r="O491" s="44"/>
      <c r="P491" s="44"/>
      <c r="Q491" s="48">
        <f>VLOOKUP(E491,sheet1!$B$2:$D$3209,3,FALSE)</f>
        <v>35</v>
      </c>
      <c r="R491" s="47" t="s">
        <v>35</v>
      </c>
      <c r="S491" s="47" t="s">
        <v>35</v>
      </c>
      <c r="T491" s="47" t="s">
        <v>35</v>
      </c>
      <c r="U491" s="47" t="s">
        <v>35</v>
      </c>
      <c r="V491" s="47" t="s">
        <v>35</v>
      </c>
      <c r="W491" s="47" t="s">
        <v>35</v>
      </c>
      <c r="X491" s="47" t="s">
        <v>35</v>
      </c>
      <c r="Y491" s="47" t="s">
        <v>35</v>
      </c>
      <c r="Z491" s="47" t="s">
        <v>35</v>
      </c>
      <c r="AA491" s="47" t="s">
        <v>35</v>
      </c>
      <c r="AB491" s="47" t="s">
        <v>35</v>
      </c>
      <c r="AC491" s="47" t="s">
        <v>35</v>
      </c>
      <c r="AD491" s="73" t="str">
        <f>VLOOKUP(E493,sheet1!$B$2:$C$3209,2,FALSE)</f>
        <v>コストダウン実績表　発注担当者別仕入先別明細</v>
      </c>
      <c r="AE491" s="49"/>
      <c r="AF491" s="51" t="s">
        <v>2027</v>
      </c>
      <c r="AG491" s="51" t="s">
        <v>2028</v>
      </c>
      <c r="AH491" s="49" t="str">
        <f t="shared" si="44"/>
        <v>ｺｽﾄﾀﾞｳﾝ実績　担当明細</v>
      </c>
      <c r="AI491" s="49"/>
      <c r="AJ491" s="49"/>
      <c r="AK491" s="49"/>
      <c r="AL491" s="49" t="str">
        <f t="shared" si="43"/>
        <v>月次受入差額推移表(1)</v>
      </c>
      <c r="AM491" s="49" t="s">
        <v>35</v>
      </c>
      <c r="AN491" s="49" t="s">
        <v>2029</v>
      </c>
      <c r="AO491" s="51" t="str">
        <f t="shared" si="39"/>
        <v>ｺｽﾄﾀﾞｳﾝ実績　部課集計</v>
      </c>
      <c r="AP491" s="51" t="str">
        <f t="shared" si="40"/>
        <v>PD8134</v>
      </c>
      <c r="AQ491" s="51" t="s">
        <v>2023</v>
      </c>
      <c r="AR491" s="51" t="s">
        <v>2030</v>
      </c>
      <c r="AS491" s="49" t="str">
        <f t="shared" si="41"/>
        <v>ｺｽﾄﾀﾞｳﾝ実績　部課集計</v>
      </c>
      <c r="AT491" s="49" t="str">
        <f t="shared" si="42"/>
        <v>PD8134</v>
      </c>
      <c r="AU491" s="51" t="s">
        <v>2023</v>
      </c>
      <c r="AV491" s="51" t="s">
        <v>2030</v>
      </c>
    </row>
    <row r="492" spans="1:48" ht="18" customHeight="1">
      <c r="A492" s="44">
        <v>490</v>
      </c>
      <c r="B492" s="71" t="s">
        <v>1076</v>
      </c>
      <c r="C492" s="54" t="s">
        <v>1991</v>
      </c>
      <c r="D492" s="46" t="s">
        <v>116</v>
      </c>
      <c r="E492" s="44" t="s">
        <v>2024</v>
      </c>
      <c r="F492" s="44" t="s">
        <v>2011</v>
      </c>
      <c r="G492" s="44"/>
      <c r="H492" s="44"/>
      <c r="I492" s="44"/>
      <c r="J492" s="47" t="s">
        <v>35</v>
      </c>
      <c r="K492" s="47"/>
      <c r="L492" s="47"/>
      <c r="M492" s="47"/>
      <c r="N492" s="47"/>
      <c r="O492" s="44"/>
      <c r="P492" s="44"/>
      <c r="Q492" s="48">
        <f>VLOOKUP(E492,sheet1!$B$2:$D$3209,3,FALSE)</f>
        <v>32</v>
      </c>
      <c r="R492" s="47" t="s">
        <v>35</v>
      </c>
      <c r="S492" s="47" t="s">
        <v>35</v>
      </c>
      <c r="T492" s="47" t="s">
        <v>35</v>
      </c>
      <c r="U492" s="47" t="s">
        <v>35</v>
      </c>
      <c r="V492" s="47" t="s">
        <v>35</v>
      </c>
      <c r="W492" s="47" t="s">
        <v>35</v>
      </c>
      <c r="X492" s="47" t="s">
        <v>35</v>
      </c>
      <c r="Y492" s="47" t="s">
        <v>35</v>
      </c>
      <c r="Z492" s="47" t="s">
        <v>35</v>
      </c>
      <c r="AA492" s="47" t="s">
        <v>35</v>
      </c>
      <c r="AB492" s="47" t="s">
        <v>35</v>
      </c>
      <c r="AC492" s="47" t="s">
        <v>35</v>
      </c>
      <c r="AD492" s="73" t="str">
        <f>VLOOKUP(E494,sheet1!$B$2:$C$3209,2,FALSE)</f>
        <v>コストダウン実績表　担当者別集計</v>
      </c>
      <c r="AE492" s="49"/>
      <c r="AF492" s="51" t="s">
        <v>2031</v>
      </c>
      <c r="AG492" s="51" t="s">
        <v>2032</v>
      </c>
      <c r="AH492" s="49" t="str">
        <f t="shared" si="44"/>
        <v>ｺｽﾄﾀﾞｳﾝ実績　担当集計</v>
      </c>
      <c r="AI492" s="49"/>
      <c r="AJ492" s="49"/>
      <c r="AK492" s="49"/>
      <c r="AL492" s="49" t="str">
        <f t="shared" si="43"/>
        <v>月次受入差額推移表(2)</v>
      </c>
      <c r="AM492" s="49" t="s">
        <v>35</v>
      </c>
      <c r="AN492" s="49" t="s">
        <v>2033</v>
      </c>
      <c r="AO492" s="51" t="str">
        <f t="shared" si="39"/>
        <v>ｺｽﾄﾀﾞｳﾝ実績　担当明細</v>
      </c>
      <c r="AP492" s="51" t="str">
        <f t="shared" si="40"/>
        <v>PD8140</v>
      </c>
      <c r="AQ492" s="51" t="s">
        <v>2027</v>
      </c>
      <c r="AR492" s="51" t="s">
        <v>2034</v>
      </c>
      <c r="AS492" s="49" t="str">
        <f t="shared" si="41"/>
        <v>ｺｽﾄﾀﾞｳﾝ実績　担当明細</v>
      </c>
      <c r="AT492" s="49" t="str">
        <f t="shared" si="42"/>
        <v>PD8140</v>
      </c>
      <c r="AU492" s="51" t="s">
        <v>2027</v>
      </c>
      <c r="AV492" s="51" t="s">
        <v>2034</v>
      </c>
    </row>
    <row r="493" spans="1:48" ht="18" customHeight="1">
      <c r="A493" s="44">
        <v>491</v>
      </c>
      <c r="B493" s="71" t="s">
        <v>1076</v>
      </c>
      <c r="C493" s="54" t="s">
        <v>1991</v>
      </c>
      <c r="D493" s="46" t="s">
        <v>116</v>
      </c>
      <c r="E493" s="44" t="s">
        <v>2028</v>
      </c>
      <c r="F493" s="44" t="s">
        <v>2015</v>
      </c>
      <c r="G493" s="44"/>
      <c r="H493" s="44"/>
      <c r="I493" s="44"/>
      <c r="J493" s="47" t="s">
        <v>35</v>
      </c>
      <c r="K493" s="47"/>
      <c r="L493" s="47"/>
      <c r="M493" s="47"/>
      <c r="N493" s="47"/>
      <c r="O493" s="44"/>
      <c r="P493" s="44"/>
      <c r="Q493" s="48">
        <f>VLOOKUP(E493,sheet1!$B$2:$D$3209,3,FALSE)</f>
        <v>35</v>
      </c>
      <c r="R493" s="47" t="s">
        <v>35</v>
      </c>
      <c r="S493" s="47" t="s">
        <v>35</v>
      </c>
      <c r="T493" s="47" t="s">
        <v>35</v>
      </c>
      <c r="U493" s="47" t="s">
        <v>35</v>
      </c>
      <c r="V493" s="47" t="s">
        <v>35</v>
      </c>
      <c r="W493" s="47" t="s">
        <v>35</v>
      </c>
      <c r="X493" s="47" t="s">
        <v>35</v>
      </c>
      <c r="Y493" s="47" t="s">
        <v>35</v>
      </c>
      <c r="Z493" s="47" t="s">
        <v>35</v>
      </c>
      <c r="AA493" s="47" t="s">
        <v>35</v>
      </c>
      <c r="AB493" s="47" t="s">
        <v>35</v>
      </c>
      <c r="AC493" s="47" t="s">
        <v>35</v>
      </c>
      <c r="AD493" s="73" t="e">
        <f>VLOOKUP(E495,sheet1!$B$2:$C$3209,2,FALSE)</f>
        <v>#N/A</v>
      </c>
      <c r="AE493" s="49"/>
      <c r="AF493" s="51"/>
      <c r="AG493" s="51"/>
      <c r="AH493" s="49" t="str">
        <f t="shared" si="44"/>
        <v/>
      </c>
      <c r="AI493" s="49"/>
      <c r="AJ493" s="49"/>
      <c r="AK493" s="49"/>
      <c r="AL493" s="49" t="str">
        <f t="shared" si="43"/>
        <v>ﾛｯﾄ別月次生産報告　作</v>
      </c>
      <c r="AM493" s="49" t="s">
        <v>35</v>
      </c>
      <c r="AN493" s="49" t="s">
        <v>2035</v>
      </c>
      <c r="AO493" s="51" t="str">
        <f t="shared" si="39"/>
        <v>ｺｽﾄﾀﾞｳﾝ実績　担当集計</v>
      </c>
      <c r="AP493" s="51" t="str">
        <f t="shared" si="40"/>
        <v>PD8144</v>
      </c>
      <c r="AQ493" s="51" t="s">
        <v>2031</v>
      </c>
      <c r="AR493" s="51" t="s">
        <v>2036</v>
      </c>
      <c r="AS493" s="49" t="str">
        <f t="shared" si="41"/>
        <v>ｺｽﾄﾀﾞｳﾝ実績　担当集計</v>
      </c>
      <c r="AT493" s="49" t="str">
        <f t="shared" si="42"/>
        <v>PD8144</v>
      </c>
      <c r="AU493" s="51" t="s">
        <v>2031</v>
      </c>
      <c r="AV493" s="51" t="s">
        <v>2036</v>
      </c>
    </row>
    <row r="494" spans="1:48" ht="18" customHeight="1">
      <c r="A494" s="44">
        <v>492</v>
      </c>
      <c r="B494" s="71" t="s">
        <v>1076</v>
      </c>
      <c r="C494" s="54" t="s">
        <v>1991</v>
      </c>
      <c r="D494" s="46" t="s">
        <v>116</v>
      </c>
      <c r="E494" s="44" t="s">
        <v>2032</v>
      </c>
      <c r="F494" s="44" t="s">
        <v>2020</v>
      </c>
      <c r="G494" s="44"/>
      <c r="H494" s="44"/>
      <c r="I494" s="44"/>
      <c r="J494" s="47" t="s">
        <v>35</v>
      </c>
      <c r="K494" s="47"/>
      <c r="L494" s="47"/>
      <c r="M494" s="47"/>
      <c r="N494" s="47"/>
      <c r="O494" s="44"/>
      <c r="P494" s="44"/>
      <c r="Q494" s="48">
        <f>VLOOKUP(E494,sheet1!$B$2:$D$3209,3,FALSE)</f>
        <v>32</v>
      </c>
      <c r="R494" s="47" t="s">
        <v>35</v>
      </c>
      <c r="S494" s="47" t="s">
        <v>35</v>
      </c>
      <c r="T494" s="47" t="s">
        <v>35</v>
      </c>
      <c r="U494" s="47" t="s">
        <v>35</v>
      </c>
      <c r="V494" s="47" t="s">
        <v>35</v>
      </c>
      <c r="W494" s="47" t="s">
        <v>35</v>
      </c>
      <c r="X494" s="47" t="s">
        <v>35</v>
      </c>
      <c r="Y494" s="47" t="s">
        <v>35</v>
      </c>
      <c r="Z494" s="47" t="s">
        <v>35</v>
      </c>
      <c r="AA494" s="47" t="s">
        <v>35</v>
      </c>
      <c r="AB494" s="47" t="s">
        <v>35</v>
      </c>
      <c r="AC494" s="47" t="s">
        <v>35</v>
      </c>
      <c r="AD494" s="73" t="e">
        <f>VLOOKUP(E496,sheet1!$B$2:$C$3209,2,FALSE)</f>
        <v>#N/A</v>
      </c>
      <c r="AE494" s="49"/>
      <c r="AF494" s="51"/>
      <c r="AG494" s="51"/>
      <c r="AH494" s="49" t="str">
        <f t="shared" si="44"/>
        <v/>
      </c>
      <c r="AI494" s="49"/>
      <c r="AJ494" s="49"/>
      <c r="AK494" s="49"/>
      <c r="AL494" s="49" t="str">
        <f t="shared" si="43"/>
        <v>ﾛｯﾄ別月次生産報告　実</v>
      </c>
      <c r="AM494" s="49" t="s">
        <v>35</v>
      </c>
      <c r="AN494" s="49" t="s">
        <v>2037</v>
      </c>
      <c r="AO494" s="51" t="str">
        <f t="shared" si="39"/>
        <v/>
      </c>
      <c r="AP494" s="51" t="str">
        <f t="shared" si="40"/>
        <v/>
      </c>
      <c r="AQ494" s="51"/>
      <c r="AR494" s="51"/>
      <c r="AS494" s="49" t="str">
        <f t="shared" si="41"/>
        <v/>
      </c>
      <c r="AT494" s="49" t="str">
        <f t="shared" si="42"/>
        <v/>
      </c>
      <c r="AU494" s="51"/>
      <c r="AV494" s="51"/>
    </row>
    <row r="495" spans="1:48" ht="18" customHeight="1">
      <c r="A495" s="44">
        <v>493</v>
      </c>
      <c r="B495" s="71" t="s">
        <v>1076</v>
      </c>
      <c r="C495" s="54" t="s">
        <v>1991</v>
      </c>
      <c r="D495" s="46" t="s">
        <v>116</v>
      </c>
      <c r="E495" s="44"/>
      <c r="F495" s="44" t="s">
        <v>2038</v>
      </c>
      <c r="G495" s="44"/>
      <c r="H495" s="44"/>
      <c r="I495" s="44"/>
      <c r="J495" s="47" t="s">
        <v>35</v>
      </c>
      <c r="K495" s="47"/>
      <c r="L495" s="47"/>
      <c r="M495" s="47"/>
      <c r="N495" s="47"/>
      <c r="O495" s="44"/>
      <c r="P495" s="44"/>
      <c r="Q495" s="48" t="e">
        <f>VLOOKUP(E495,sheet1!$B$2:$D$3209,3,FALSE)</f>
        <v>#N/A</v>
      </c>
      <c r="R495" s="47"/>
      <c r="S495" s="47" t="s">
        <v>296</v>
      </c>
      <c r="T495" s="47" t="s">
        <v>35</v>
      </c>
      <c r="U495" s="47" t="s">
        <v>296</v>
      </c>
      <c r="V495" s="47" t="s">
        <v>296</v>
      </c>
      <c r="W495" s="47" t="s">
        <v>296</v>
      </c>
      <c r="X495" s="47" t="s">
        <v>296</v>
      </c>
      <c r="Y495" s="47" t="s">
        <v>296</v>
      </c>
      <c r="Z495" s="47" t="s">
        <v>296</v>
      </c>
      <c r="AA495" s="47" t="s">
        <v>296</v>
      </c>
      <c r="AB495" s="47" t="s">
        <v>35</v>
      </c>
      <c r="AC495" s="47" t="s">
        <v>296</v>
      </c>
      <c r="AD495" s="73" t="e">
        <f>VLOOKUP(E497,sheet1!$B$2:$C$3209,2,FALSE)</f>
        <v>#N/A</v>
      </c>
      <c r="AE495" s="49"/>
      <c r="AF495" s="51"/>
      <c r="AG495" s="51"/>
      <c r="AH495" s="49" t="str">
        <f t="shared" si="44"/>
        <v/>
      </c>
      <c r="AI495" s="49"/>
      <c r="AJ495" s="49"/>
      <c r="AK495" s="49"/>
      <c r="AL495" s="49"/>
      <c r="AM495" s="49"/>
      <c r="AN495" s="49"/>
      <c r="AO495" s="51" t="str">
        <f t="shared" si="39"/>
        <v/>
      </c>
      <c r="AP495" s="51" t="str">
        <f t="shared" si="40"/>
        <v/>
      </c>
      <c r="AQ495" s="51"/>
      <c r="AR495" s="51"/>
      <c r="AS495" s="49" t="str">
        <f t="shared" si="41"/>
        <v/>
      </c>
      <c r="AT495" s="49" t="str">
        <f t="shared" si="42"/>
        <v/>
      </c>
      <c r="AU495" s="51"/>
      <c r="AV495" s="51"/>
    </row>
    <row r="496" spans="1:48" ht="18" customHeight="1">
      <c r="A496" s="44">
        <v>494</v>
      </c>
      <c r="B496" s="71" t="s">
        <v>1076</v>
      </c>
      <c r="C496" s="54" t="s">
        <v>1991</v>
      </c>
      <c r="D496" s="46" t="s">
        <v>116</v>
      </c>
      <c r="E496" s="44"/>
      <c r="F496" s="44" t="s">
        <v>2029</v>
      </c>
      <c r="G496" s="44"/>
      <c r="H496" s="44"/>
      <c r="I496" s="44"/>
      <c r="J496" s="47" t="s">
        <v>35</v>
      </c>
      <c r="K496" s="47"/>
      <c r="L496" s="47"/>
      <c r="M496" s="47"/>
      <c r="N496" s="47"/>
      <c r="O496" s="44"/>
      <c r="P496" s="44"/>
      <c r="Q496" s="48" t="e">
        <f>VLOOKUP(E496,sheet1!$B$2:$D$3209,3,FALSE)</f>
        <v>#N/A</v>
      </c>
      <c r="R496" s="47"/>
      <c r="S496" s="47" t="s">
        <v>296</v>
      </c>
      <c r="T496" s="47" t="s">
        <v>35</v>
      </c>
      <c r="U496" s="47" t="s">
        <v>296</v>
      </c>
      <c r="V496" s="47" t="s">
        <v>296</v>
      </c>
      <c r="W496" s="47" t="s">
        <v>296</v>
      </c>
      <c r="X496" s="47" t="s">
        <v>296</v>
      </c>
      <c r="Y496" s="47" t="s">
        <v>296</v>
      </c>
      <c r="Z496" s="47" t="s">
        <v>296</v>
      </c>
      <c r="AA496" s="47" t="s">
        <v>296</v>
      </c>
      <c r="AB496" s="47" t="s">
        <v>35</v>
      </c>
      <c r="AC496" s="47" t="s">
        <v>296</v>
      </c>
      <c r="AD496" s="73" t="str">
        <f>VLOOKUP(E498,sheet1!$B$2:$C$3209,2,FALSE)</f>
        <v>返品入力</v>
      </c>
      <c r="AE496" s="49"/>
      <c r="AF496" s="51" t="s">
        <v>2039</v>
      </c>
      <c r="AG496" s="51" t="s">
        <v>1594</v>
      </c>
      <c r="AH496" s="49" t="str">
        <f t="shared" si="44"/>
        <v>ﾛｯﾄ別月次生産報告　作</v>
      </c>
      <c r="AI496" s="49"/>
      <c r="AJ496" s="49"/>
      <c r="AK496" s="49"/>
      <c r="AL496" s="49"/>
      <c r="AM496" s="49"/>
      <c r="AN496" s="49"/>
      <c r="AO496" s="51" t="str">
        <f t="shared" si="39"/>
        <v/>
      </c>
      <c r="AP496" s="51" t="str">
        <f t="shared" si="40"/>
        <v/>
      </c>
      <c r="AQ496" s="51"/>
      <c r="AR496" s="51"/>
      <c r="AS496" s="49" t="str">
        <f t="shared" si="41"/>
        <v/>
      </c>
      <c r="AT496" s="49" t="str">
        <f t="shared" si="42"/>
        <v/>
      </c>
      <c r="AU496" s="49"/>
      <c r="AV496" s="49"/>
    </row>
    <row r="497" spans="1:48" ht="18" customHeight="1">
      <c r="A497" s="44">
        <v>495</v>
      </c>
      <c r="B497" s="71" t="s">
        <v>1076</v>
      </c>
      <c r="C497" s="54" t="s">
        <v>1991</v>
      </c>
      <c r="D497" s="46" t="s">
        <v>116</v>
      </c>
      <c r="E497" s="44"/>
      <c r="F497" s="44" t="s">
        <v>2033</v>
      </c>
      <c r="G497" s="44"/>
      <c r="H497" s="44"/>
      <c r="I497" s="44"/>
      <c r="J497" s="47" t="s">
        <v>35</v>
      </c>
      <c r="K497" s="47"/>
      <c r="L497" s="47"/>
      <c r="M497" s="47"/>
      <c r="N497" s="47"/>
      <c r="O497" s="44"/>
      <c r="P497" s="44"/>
      <c r="Q497" s="48" t="e">
        <f>VLOOKUP(E497,sheet1!$B$2:$D$3209,3,FALSE)</f>
        <v>#N/A</v>
      </c>
      <c r="R497" s="47"/>
      <c r="S497" s="47" t="s">
        <v>296</v>
      </c>
      <c r="T497" s="47" t="s">
        <v>35</v>
      </c>
      <c r="U497" s="47" t="s">
        <v>296</v>
      </c>
      <c r="V497" s="47" t="s">
        <v>296</v>
      </c>
      <c r="W497" s="47" t="s">
        <v>296</v>
      </c>
      <c r="X497" s="47" t="s">
        <v>296</v>
      </c>
      <c r="Y497" s="47" t="s">
        <v>296</v>
      </c>
      <c r="Z497" s="47" t="s">
        <v>296</v>
      </c>
      <c r="AA497" s="47" t="s">
        <v>296</v>
      </c>
      <c r="AB497" s="47" t="s">
        <v>35</v>
      </c>
      <c r="AC497" s="47" t="s">
        <v>296</v>
      </c>
      <c r="AD497" s="75" t="str">
        <f>VLOOKUP(E499,sheet1!$B$2:$C$3209,2,FALSE)</f>
        <v>月次生産報告書（実績数）</v>
      </c>
      <c r="AE497" s="49"/>
      <c r="AF497" s="51" t="s">
        <v>2040</v>
      </c>
      <c r="AG497" s="51" t="s">
        <v>2041</v>
      </c>
      <c r="AH497" s="49" t="str">
        <f t="shared" si="44"/>
        <v>ﾛｯﾄ別月次生産報告　実</v>
      </c>
      <c r="AI497" s="49"/>
      <c r="AJ497" s="49"/>
      <c r="AK497" s="49"/>
      <c r="AL497" s="49"/>
      <c r="AM497" s="49"/>
      <c r="AN497" s="49"/>
      <c r="AO497" s="51" t="str">
        <f t="shared" si="39"/>
        <v>ﾛｯﾄ別月次生産報告　作</v>
      </c>
      <c r="AP497" s="51" t="str">
        <f t="shared" si="40"/>
        <v>PD4110</v>
      </c>
      <c r="AQ497" s="51" t="s">
        <v>2039</v>
      </c>
      <c r="AR497" s="51" t="s">
        <v>1594</v>
      </c>
      <c r="AS497" s="49" t="str">
        <f t="shared" si="41"/>
        <v>ﾛｯﾄ別月次生産報告　作</v>
      </c>
      <c r="AT497" s="49" t="str">
        <f t="shared" si="42"/>
        <v>PD4210</v>
      </c>
      <c r="AU497" s="51" t="s">
        <v>2039</v>
      </c>
      <c r="AV497" s="51" t="s">
        <v>1651</v>
      </c>
    </row>
    <row r="498" spans="1:48" ht="18" customHeight="1">
      <c r="A498" s="44">
        <v>496</v>
      </c>
      <c r="B498" s="71" t="s">
        <v>1076</v>
      </c>
      <c r="C498" s="54" t="s">
        <v>1991</v>
      </c>
      <c r="D498" s="46" t="s">
        <v>116</v>
      </c>
      <c r="E498" s="44" t="s">
        <v>1594</v>
      </c>
      <c r="F498" s="44" t="s">
        <v>2035</v>
      </c>
      <c r="G498" s="44"/>
      <c r="H498" s="44"/>
      <c r="I498" s="44"/>
      <c r="J498" s="47" t="s">
        <v>35</v>
      </c>
      <c r="K498" s="47"/>
      <c r="L498" s="47"/>
      <c r="M498" s="47"/>
      <c r="N498" s="47"/>
      <c r="O498" s="44"/>
      <c r="P498" s="44"/>
      <c r="Q498" s="48">
        <f>VLOOKUP(E498,sheet1!$B$2:$D$3209,3,FALSE)</f>
        <v>3333</v>
      </c>
      <c r="R498" s="47" t="s">
        <v>35</v>
      </c>
      <c r="S498" s="47" t="s">
        <v>35</v>
      </c>
      <c r="T498" s="47" t="s">
        <v>35</v>
      </c>
      <c r="U498" s="47" t="s">
        <v>35</v>
      </c>
      <c r="V498" s="47" t="s">
        <v>35</v>
      </c>
      <c r="W498" s="47" t="s">
        <v>35</v>
      </c>
      <c r="X498" s="47" t="s">
        <v>35</v>
      </c>
      <c r="Y498" s="47" t="s">
        <v>35</v>
      </c>
      <c r="Z498" s="47" t="s">
        <v>35</v>
      </c>
      <c r="AA498" s="47" t="s">
        <v>35</v>
      </c>
      <c r="AB498" s="47" t="s">
        <v>35</v>
      </c>
      <c r="AC498" s="47" t="s">
        <v>35</v>
      </c>
      <c r="AD498" s="75"/>
      <c r="AE498" s="49"/>
      <c r="AF498" s="51" t="s">
        <v>2042</v>
      </c>
      <c r="AG498" s="51" t="s">
        <v>2043</v>
      </c>
      <c r="AH498" s="49" t="str">
        <f t="shared" si="44"/>
        <v>検収通知リスト</v>
      </c>
      <c r="AI498" s="49"/>
      <c r="AJ498" s="49"/>
      <c r="AK498" s="49"/>
      <c r="AL498" s="49"/>
      <c r="AM498" s="49"/>
      <c r="AN498" s="49"/>
      <c r="AO498" s="51" t="str">
        <f t="shared" si="39"/>
        <v>ﾛｯﾄ別月次生産報告　実</v>
      </c>
      <c r="AP498" s="51" t="str">
        <f t="shared" si="40"/>
        <v>PD8230</v>
      </c>
      <c r="AQ498" s="51" t="s">
        <v>2040</v>
      </c>
      <c r="AR498" s="51" t="s">
        <v>2041</v>
      </c>
      <c r="AS498" s="49" t="str">
        <f t="shared" si="41"/>
        <v>ﾛｯﾄ別月次生産報告　実</v>
      </c>
      <c r="AT498" s="49" t="str">
        <f t="shared" si="42"/>
        <v>PD8230</v>
      </c>
      <c r="AU498" s="51" t="s">
        <v>2040</v>
      </c>
      <c r="AV498" s="51" t="s">
        <v>2041</v>
      </c>
    </row>
    <row r="499" spans="1:48" ht="18" customHeight="1">
      <c r="A499" s="44">
        <v>497</v>
      </c>
      <c r="B499" s="71" t="s">
        <v>1076</v>
      </c>
      <c r="C499" s="54" t="s">
        <v>1991</v>
      </c>
      <c r="D499" s="46" t="s">
        <v>116</v>
      </c>
      <c r="E499" s="44" t="s">
        <v>2041</v>
      </c>
      <c r="F499" s="44" t="s">
        <v>2037</v>
      </c>
      <c r="G499" s="44"/>
      <c r="H499" s="44"/>
      <c r="I499" s="44"/>
      <c r="J499" s="47" t="s">
        <v>35</v>
      </c>
      <c r="K499" s="47"/>
      <c r="L499" s="47"/>
      <c r="M499" s="47"/>
      <c r="N499" s="47"/>
      <c r="O499" s="44"/>
      <c r="P499" s="44"/>
      <c r="Q499" s="48">
        <f>VLOOKUP(E499,sheet1!$B$2:$D$3209,3,FALSE)</f>
        <v>342</v>
      </c>
      <c r="R499" s="47" t="s">
        <v>35</v>
      </c>
      <c r="S499" s="47" t="s">
        <v>35</v>
      </c>
      <c r="T499" s="47" t="s">
        <v>35</v>
      </c>
      <c r="U499" s="47" t="s">
        <v>35</v>
      </c>
      <c r="V499" s="47" t="s">
        <v>35</v>
      </c>
      <c r="W499" s="47" t="s">
        <v>35</v>
      </c>
      <c r="X499" s="47" t="s">
        <v>35</v>
      </c>
      <c r="Y499" s="47" t="s">
        <v>35</v>
      </c>
      <c r="Z499" s="47" t="s">
        <v>35</v>
      </c>
      <c r="AA499" s="47" t="s">
        <v>35</v>
      </c>
      <c r="AB499" s="47" t="s">
        <v>35</v>
      </c>
      <c r="AC499" s="47" t="s">
        <v>35</v>
      </c>
      <c r="AD499" s="75"/>
      <c r="AE499" s="49"/>
      <c r="AF499" s="51" t="s">
        <v>2044</v>
      </c>
      <c r="AG499" s="51" t="s">
        <v>2045</v>
      </c>
      <c r="AH499" s="49" t="str">
        <f t="shared" si="44"/>
        <v>受入差額ファイル作成</v>
      </c>
      <c r="AI499" s="49"/>
      <c r="AJ499" s="49"/>
      <c r="AK499" s="49"/>
      <c r="AL499" s="49"/>
      <c r="AM499" s="49"/>
      <c r="AN499" s="49"/>
      <c r="AO499" s="51" t="str">
        <f t="shared" si="39"/>
        <v>外貨検収通知書</v>
      </c>
      <c r="AP499" s="51" t="str">
        <f t="shared" si="40"/>
        <v>PD8062</v>
      </c>
      <c r="AQ499" s="51" t="s">
        <v>2046</v>
      </c>
      <c r="AR499" s="51" t="s">
        <v>2047</v>
      </c>
      <c r="AS499" s="49" t="str">
        <f t="shared" si="41"/>
        <v/>
      </c>
      <c r="AT499" s="49" t="str">
        <f t="shared" si="42"/>
        <v/>
      </c>
      <c r="AU499" s="49"/>
      <c r="AV499" s="49"/>
    </row>
    <row r="500" spans="1:48" ht="18" customHeight="1">
      <c r="A500" s="44">
        <v>498</v>
      </c>
      <c r="B500" s="71" t="s">
        <v>1076</v>
      </c>
      <c r="C500" s="54" t="s">
        <v>1991</v>
      </c>
      <c r="D500" s="46" t="s">
        <v>116</v>
      </c>
      <c r="E500" s="44" t="s">
        <v>2047</v>
      </c>
      <c r="F500" s="44" t="s">
        <v>2048</v>
      </c>
      <c r="G500" s="44"/>
      <c r="H500" s="44"/>
      <c r="I500" s="44"/>
      <c r="J500" s="47"/>
      <c r="K500" s="47"/>
      <c r="L500" s="47"/>
      <c r="M500" s="47"/>
      <c r="N500" s="47"/>
      <c r="O500" s="44"/>
      <c r="P500" s="44"/>
      <c r="Q500" s="48"/>
      <c r="R500" s="47"/>
      <c r="S500" s="47" t="s">
        <v>35</v>
      </c>
      <c r="T500" s="47"/>
      <c r="U500" s="47" t="s">
        <v>296</v>
      </c>
      <c r="V500" s="47" t="s">
        <v>296</v>
      </c>
      <c r="W500" s="47" t="s">
        <v>296</v>
      </c>
      <c r="X500" s="47" t="s">
        <v>296</v>
      </c>
      <c r="Y500" s="47" t="s">
        <v>296</v>
      </c>
      <c r="Z500" s="47" t="s">
        <v>296</v>
      </c>
      <c r="AA500" s="47" t="s">
        <v>296</v>
      </c>
      <c r="AB500" s="47"/>
      <c r="AC500" s="47" t="s">
        <v>296</v>
      </c>
      <c r="AD500" s="73" t="str">
        <f>VLOOKUP(E508,sheet1!$B$2:$C$3209,2,FALSE)</f>
        <v>棚卸開始宣言                                 JCM</v>
      </c>
      <c r="AE500" s="49"/>
      <c r="AF500" s="51" t="s">
        <v>2049</v>
      </c>
      <c r="AG500" s="51" t="s">
        <v>2050</v>
      </c>
      <c r="AH500" s="49" t="str">
        <f t="shared" si="44"/>
        <v>開始宣言</v>
      </c>
      <c r="AI500" s="49"/>
      <c r="AJ500" s="49"/>
      <c r="AK500" s="49"/>
      <c r="AL500" s="49" t="str">
        <f t="shared" ref="AL500:AL544" si="45">TRIM(AN500)</f>
        <v>棚卸ﾀｯｸｼｰﾙ発行</v>
      </c>
      <c r="AM500" s="49" t="s">
        <v>35</v>
      </c>
      <c r="AN500" s="49" t="s">
        <v>2051</v>
      </c>
      <c r="AO500" s="51" t="str">
        <f t="shared" si="39"/>
        <v>検収通知票</v>
      </c>
      <c r="AP500" s="51" t="str">
        <f t="shared" si="40"/>
        <v>PD8061</v>
      </c>
      <c r="AQ500" s="51" t="s">
        <v>2052</v>
      </c>
      <c r="AR500" s="51" t="s">
        <v>2014</v>
      </c>
      <c r="AS500" s="49" t="str">
        <f t="shared" si="41"/>
        <v/>
      </c>
      <c r="AT500" s="49" t="str">
        <f t="shared" si="42"/>
        <v/>
      </c>
      <c r="AU500" s="49"/>
      <c r="AV500" s="49"/>
    </row>
    <row r="501" spans="1:48" ht="18" customHeight="1">
      <c r="A501" s="44">
        <v>499</v>
      </c>
      <c r="B501" s="71" t="s">
        <v>1076</v>
      </c>
      <c r="C501" s="54" t="s">
        <v>1991</v>
      </c>
      <c r="D501" s="46" t="s">
        <v>116</v>
      </c>
      <c r="E501" s="44" t="s">
        <v>2014</v>
      </c>
      <c r="F501" s="44" t="s">
        <v>2053</v>
      </c>
      <c r="G501" s="44"/>
      <c r="H501" s="44"/>
      <c r="I501" s="44"/>
      <c r="J501" s="47"/>
      <c r="K501" s="47"/>
      <c r="L501" s="47"/>
      <c r="M501" s="47"/>
      <c r="N501" s="47"/>
      <c r="O501" s="44"/>
      <c r="P501" s="44"/>
      <c r="Q501" s="48"/>
      <c r="R501" s="47"/>
      <c r="S501" s="47" t="s">
        <v>35</v>
      </c>
      <c r="T501" s="47"/>
      <c r="U501" s="47" t="s">
        <v>296</v>
      </c>
      <c r="V501" s="47" t="s">
        <v>296</v>
      </c>
      <c r="W501" s="47" t="s">
        <v>296</v>
      </c>
      <c r="X501" s="47" t="s">
        <v>296</v>
      </c>
      <c r="Y501" s="47" t="s">
        <v>296</v>
      </c>
      <c r="Z501" s="47" t="s">
        <v>296</v>
      </c>
      <c r="AA501" s="47" t="s">
        <v>296</v>
      </c>
      <c r="AB501" s="47"/>
      <c r="AC501" s="47" t="s">
        <v>296</v>
      </c>
      <c r="AD501" s="73"/>
      <c r="AE501" s="49"/>
      <c r="AF501" s="51" t="s">
        <v>2054</v>
      </c>
      <c r="AG501" s="51" t="s">
        <v>2055</v>
      </c>
      <c r="AH501" s="49" t="str">
        <f t="shared" si="44"/>
        <v>棚卸ﾀｯｸｼｰﾙ発行</v>
      </c>
      <c r="AI501" s="49"/>
      <c r="AJ501" s="49"/>
      <c r="AK501" s="49"/>
      <c r="AL501" s="49" t="str">
        <f t="shared" si="45"/>
        <v>棚卸リスト</v>
      </c>
      <c r="AM501" s="49" t="s">
        <v>35</v>
      </c>
      <c r="AN501" s="49" t="s">
        <v>2056</v>
      </c>
      <c r="AO501" s="51" t="str">
        <f t="shared" si="39"/>
        <v>検収通知リスト</v>
      </c>
      <c r="AP501" s="51" t="str">
        <f t="shared" si="40"/>
        <v>PD8070</v>
      </c>
      <c r="AQ501" s="51" t="s">
        <v>2042</v>
      </c>
      <c r="AR501" s="51" t="s">
        <v>2043</v>
      </c>
      <c r="AS501" s="49" t="str">
        <f t="shared" si="41"/>
        <v/>
      </c>
      <c r="AT501" s="49" t="str">
        <f t="shared" si="42"/>
        <v/>
      </c>
      <c r="AU501" s="49"/>
      <c r="AV501" s="49"/>
    </row>
    <row r="502" spans="1:48" ht="18" customHeight="1">
      <c r="A502" s="44">
        <v>500</v>
      </c>
      <c r="B502" s="71" t="s">
        <v>1076</v>
      </c>
      <c r="C502" s="54" t="s">
        <v>1991</v>
      </c>
      <c r="D502" s="46" t="s">
        <v>116</v>
      </c>
      <c r="E502" s="44" t="s">
        <v>2043</v>
      </c>
      <c r="F502" s="44" t="s">
        <v>2057</v>
      </c>
      <c r="G502" s="44"/>
      <c r="H502" s="44"/>
      <c r="I502" s="44"/>
      <c r="J502" s="47" t="s">
        <v>35</v>
      </c>
      <c r="K502" s="47"/>
      <c r="L502" s="47"/>
      <c r="M502" s="47"/>
      <c r="N502" s="47"/>
      <c r="O502" s="44"/>
      <c r="P502" s="44"/>
      <c r="Q502" s="48">
        <f>VLOOKUP(E502,sheet1!$B$2:$D$3209,3,FALSE)</f>
        <v>688</v>
      </c>
      <c r="R502" s="47" t="s">
        <v>35</v>
      </c>
      <c r="S502" s="47" t="s">
        <v>35</v>
      </c>
      <c r="T502" s="47"/>
      <c r="U502" s="47" t="s">
        <v>296</v>
      </c>
      <c r="V502" s="47" t="s">
        <v>296</v>
      </c>
      <c r="W502" s="47" t="s">
        <v>296</v>
      </c>
      <c r="X502" s="47" t="s">
        <v>296</v>
      </c>
      <c r="Y502" s="47" t="s">
        <v>296</v>
      </c>
      <c r="Z502" s="47" t="s">
        <v>296</v>
      </c>
      <c r="AA502" s="47" t="s">
        <v>296</v>
      </c>
      <c r="AB502" s="47"/>
      <c r="AC502" s="47" t="s">
        <v>35</v>
      </c>
      <c r="AD502" s="73" t="str">
        <f>VLOOKUP(E510,sheet1!$B$2:$C$3209,2,FALSE)</f>
        <v>棚卸ﾘｽﾄ～画面入力                          JCM</v>
      </c>
      <c r="AE502" s="49"/>
      <c r="AF502" s="51" t="s">
        <v>2058</v>
      </c>
      <c r="AG502" s="51" t="s">
        <v>2059</v>
      </c>
      <c r="AH502" s="49" t="str">
        <f t="shared" si="44"/>
        <v>棚卸リスト</v>
      </c>
      <c r="AI502" s="49"/>
      <c r="AJ502" s="49"/>
      <c r="AK502" s="49"/>
      <c r="AL502" s="49" t="str">
        <f t="shared" si="45"/>
        <v>棚卸リスト（手書）</v>
      </c>
      <c r="AM502" s="49" t="s">
        <v>35</v>
      </c>
      <c r="AN502" s="49" t="s">
        <v>2060</v>
      </c>
      <c r="AO502" s="51" t="str">
        <f t="shared" si="39"/>
        <v>検収通知書データダウンロード</v>
      </c>
      <c r="AP502" s="51" t="str">
        <f t="shared" si="40"/>
        <v>PD8075</v>
      </c>
      <c r="AQ502" s="51" t="s">
        <v>2061</v>
      </c>
      <c r="AR502" s="51" t="s">
        <v>2062</v>
      </c>
      <c r="AS502" s="49" t="str">
        <f t="shared" si="41"/>
        <v/>
      </c>
      <c r="AT502" s="49" t="str">
        <f t="shared" si="42"/>
        <v/>
      </c>
      <c r="AU502" s="49"/>
      <c r="AV502" s="49"/>
    </row>
    <row r="503" spans="1:48" ht="18" customHeight="1">
      <c r="A503" s="44">
        <v>501</v>
      </c>
      <c r="B503" s="71" t="s">
        <v>1076</v>
      </c>
      <c r="C503" s="54" t="s">
        <v>1991</v>
      </c>
      <c r="D503" s="46" t="s">
        <v>116</v>
      </c>
      <c r="E503" s="44" t="s">
        <v>2062</v>
      </c>
      <c r="F503" s="44" t="s">
        <v>2063</v>
      </c>
      <c r="G503" s="44"/>
      <c r="H503" s="44"/>
      <c r="I503" s="44"/>
      <c r="J503" s="47"/>
      <c r="K503" s="47"/>
      <c r="L503" s="47"/>
      <c r="M503" s="47"/>
      <c r="N503" s="47"/>
      <c r="O503" s="44"/>
      <c r="P503" s="44"/>
      <c r="Q503" s="48"/>
      <c r="R503" s="47"/>
      <c r="S503" s="47" t="s">
        <v>35</v>
      </c>
      <c r="T503" s="47"/>
      <c r="U503" s="47" t="s">
        <v>296</v>
      </c>
      <c r="V503" s="47" t="s">
        <v>296</v>
      </c>
      <c r="W503" s="47" t="s">
        <v>296</v>
      </c>
      <c r="X503" s="47" t="s">
        <v>296</v>
      </c>
      <c r="Y503" s="47" t="s">
        <v>296</v>
      </c>
      <c r="Z503" s="47" t="s">
        <v>296</v>
      </c>
      <c r="AA503" s="47" t="s">
        <v>296</v>
      </c>
      <c r="AB503" s="47"/>
      <c r="AC503" s="47" t="s">
        <v>296</v>
      </c>
      <c r="AD503" s="73" t="str">
        <f>VLOOKUP(E511,sheet1!$B$2:$C$3209,2,FALSE)</f>
        <v>棚卸ﾘｽﾄ（手書）                            JCM</v>
      </c>
      <c r="AE503" s="49"/>
      <c r="AF503" s="51" t="s">
        <v>2064</v>
      </c>
      <c r="AG503" s="51" t="s">
        <v>2065</v>
      </c>
      <c r="AH503" s="49" t="str">
        <f t="shared" si="44"/>
        <v>棚卸リスト（手書）</v>
      </c>
      <c r="AI503" s="49"/>
      <c r="AJ503" s="49"/>
      <c r="AK503" s="49"/>
      <c r="AL503" s="49" t="str">
        <f t="shared" si="45"/>
        <v>棚卸リスト　再作成</v>
      </c>
      <c r="AM503" s="49" t="s">
        <v>35</v>
      </c>
      <c r="AN503" s="49" t="s">
        <v>2066</v>
      </c>
      <c r="AO503" s="51" t="str">
        <f t="shared" si="39"/>
        <v>実際製造原価受払い(JTS)</v>
      </c>
      <c r="AP503" s="51" t="str">
        <f t="shared" si="40"/>
        <v>CHKURG</v>
      </c>
      <c r="AQ503" s="51" t="s">
        <v>2067</v>
      </c>
      <c r="AR503" s="51" t="s">
        <v>2068</v>
      </c>
      <c r="AS503" s="49" t="str">
        <f t="shared" si="41"/>
        <v/>
      </c>
      <c r="AT503" s="49" t="str">
        <f t="shared" si="42"/>
        <v/>
      </c>
      <c r="AU503" s="49"/>
      <c r="AV503" s="49"/>
    </row>
    <row r="504" spans="1:48" ht="18" customHeight="1">
      <c r="A504" s="44">
        <v>502</v>
      </c>
      <c r="B504" s="71" t="s">
        <v>1076</v>
      </c>
      <c r="C504" s="54" t="s">
        <v>1991</v>
      </c>
      <c r="D504" s="46" t="s">
        <v>116</v>
      </c>
      <c r="E504" s="44" t="s">
        <v>2068</v>
      </c>
      <c r="F504" s="44" t="s">
        <v>2069</v>
      </c>
      <c r="G504" s="44"/>
      <c r="H504" s="44"/>
      <c r="I504" s="44"/>
      <c r="J504" s="47"/>
      <c r="K504" s="47"/>
      <c r="L504" s="47"/>
      <c r="M504" s="47"/>
      <c r="N504" s="47"/>
      <c r="O504" s="44"/>
      <c r="P504" s="44"/>
      <c r="Q504" s="48"/>
      <c r="R504" s="47"/>
      <c r="S504" s="47" t="s">
        <v>35</v>
      </c>
      <c r="T504" s="47"/>
      <c r="U504" s="47" t="s">
        <v>296</v>
      </c>
      <c r="V504" s="47" t="s">
        <v>296</v>
      </c>
      <c r="W504" s="47" t="s">
        <v>296</v>
      </c>
      <c r="X504" s="47" t="s">
        <v>296</v>
      </c>
      <c r="Y504" s="47" t="s">
        <v>296</v>
      </c>
      <c r="Z504" s="47" t="s">
        <v>296</v>
      </c>
      <c r="AA504" s="47" t="s">
        <v>296</v>
      </c>
      <c r="AB504" s="47"/>
      <c r="AC504" s="47" t="s">
        <v>296</v>
      </c>
      <c r="AD504" s="73" t="str">
        <f>VLOOKUP(E512,sheet1!$B$2:$C$3209,2,FALSE)</f>
        <v>棚卸ﾘｽﾄ（再発行）～画面入力                JCM</v>
      </c>
      <c r="AE504" s="49"/>
      <c r="AF504" s="51" t="s">
        <v>2070</v>
      </c>
      <c r="AG504" s="51" t="s">
        <v>2071</v>
      </c>
      <c r="AH504" s="49" t="str">
        <f t="shared" si="44"/>
        <v>棚卸リスト　再作成</v>
      </c>
      <c r="AI504" s="49"/>
      <c r="AJ504" s="49"/>
      <c r="AK504" s="49"/>
      <c r="AL504" s="49" t="str">
        <f t="shared" si="45"/>
        <v>新規受入ロットシール</v>
      </c>
      <c r="AM504" s="49" t="s">
        <v>35</v>
      </c>
      <c r="AN504" s="49" t="s">
        <v>2072</v>
      </c>
      <c r="AO504" s="51" t="str">
        <f t="shared" si="39"/>
        <v>経費振替リスト(JTS)</v>
      </c>
      <c r="AP504" s="51" t="str">
        <f t="shared" si="40"/>
        <v>CHKURG</v>
      </c>
      <c r="AQ504" s="51" t="s">
        <v>2073</v>
      </c>
      <c r="AR504" s="51" t="s">
        <v>2068</v>
      </c>
      <c r="AS504" s="49" t="str">
        <f t="shared" si="41"/>
        <v/>
      </c>
      <c r="AT504" s="49" t="str">
        <f t="shared" si="42"/>
        <v/>
      </c>
      <c r="AU504" s="49"/>
      <c r="AV504" s="49"/>
    </row>
    <row r="505" spans="1:48" ht="18" customHeight="1">
      <c r="A505" s="44">
        <v>503</v>
      </c>
      <c r="B505" s="71" t="s">
        <v>1076</v>
      </c>
      <c r="C505" s="54" t="s">
        <v>1991</v>
      </c>
      <c r="D505" s="46" t="s">
        <v>116</v>
      </c>
      <c r="E505" s="44" t="s">
        <v>2068</v>
      </c>
      <c r="F505" s="44" t="s">
        <v>2074</v>
      </c>
      <c r="G505" s="44"/>
      <c r="H505" s="44"/>
      <c r="I505" s="44"/>
      <c r="J505" s="47"/>
      <c r="K505" s="47"/>
      <c r="L505" s="47"/>
      <c r="M505" s="47"/>
      <c r="N505" s="47"/>
      <c r="O505" s="44"/>
      <c r="P505" s="44"/>
      <c r="Q505" s="48"/>
      <c r="R505" s="47"/>
      <c r="S505" s="47" t="s">
        <v>35</v>
      </c>
      <c r="T505" s="47"/>
      <c r="U505" s="47" t="s">
        <v>296</v>
      </c>
      <c r="V505" s="47" t="s">
        <v>296</v>
      </c>
      <c r="W505" s="47" t="s">
        <v>296</v>
      </c>
      <c r="X505" s="47" t="s">
        <v>296</v>
      </c>
      <c r="Y505" s="47" t="s">
        <v>296</v>
      </c>
      <c r="Z505" s="47" t="s">
        <v>296</v>
      </c>
      <c r="AA505" s="47" t="s">
        <v>296</v>
      </c>
      <c r="AB505" s="47"/>
      <c r="AC505" s="47" t="s">
        <v>296</v>
      </c>
      <c r="AD505" s="73" t="str">
        <f>VLOOKUP(E513,sheet1!$B$2:$C$3209,2,FALSE)</f>
        <v>棚卸用新規受入ﾛｯﾄ№採番＆ﾀｯｸｼｰﾙ発行</v>
      </c>
      <c r="AE505" s="49"/>
      <c r="AF505" s="51" t="s">
        <v>2075</v>
      </c>
      <c r="AG505" s="51" t="s">
        <v>2076</v>
      </c>
      <c r="AH505" s="49" t="str">
        <f t="shared" si="44"/>
        <v>新規受入ロットシール</v>
      </c>
      <c r="AI505" s="49"/>
      <c r="AJ505" s="49"/>
      <c r="AK505" s="49"/>
      <c r="AL505" s="49" t="str">
        <f t="shared" si="45"/>
        <v>棚卸ﾘｽﾄ ｼﾘｱﾙNo.明細表</v>
      </c>
      <c r="AM505" s="49" t="s">
        <v>35</v>
      </c>
      <c r="AN505" s="49" t="s">
        <v>2077</v>
      </c>
      <c r="AO505" s="51" t="str">
        <f t="shared" si="39"/>
        <v>販売課別仕入金額集計表(JTS)</v>
      </c>
      <c r="AP505" s="51" t="str">
        <f t="shared" si="40"/>
        <v>PTSER0</v>
      </c>
      <c r="AQ505" s="51" t="s">
        <v>2078</v>
      </c>
      <c r="AR505" s="51" t="s">
        <v>2079</v>
      </c>
      <c r="AS505" s="49" t="str">
        <f t="shared" si="41"/>
        <v/>
      </c>
      <c r="AT505" s="49" t="str">
        <f t="shared" si="42"/>
        <v/>
      </c>
      <c r="AU505" s="49"/>
      <c r="AV505" s="49"/>
    </row>
    <row r="506" spans="1:48" ht="18" customHeight="1">
      <c r="A506" s="44">
        <v>504</v>
      </c>
      <c r="B506" s="71" t="s">
        <v>1076</v>
      </c>
      <c r="C506" s="54" t="s">
        <v>1991</v>
      </c>
      <c r="D506" s="46" t="s">
        <v>116</v>
      </c>
      <c r="E506" s="44" t="s">
        <v>2079</v>
      </c>
      <c r="F506" s="44" t="s">
        <v>2080</v>
      </c>
      <c r="G506" s="44"/>
      <c r="H506" s="44"/>
      <c r="I506" s="44"/>
      <c r="J506" s="47"/>
      <c r="K506" s="47"/>
      <c r="L506" s="47"/>
      <c r="M506" s="47"/>
      <c r="N506" s="47"/>
      <c r="O506" s="44"/>
      <c r="P506" s="44"/>
      <c r="Q506" s="48"/>
      <c r="R506" s="47"/>
      <c r="S506" s="47" t="s">
        <v>35</v>
      </c>
      <c r="T506" s="47"/>
      <c r="U506" s="47" t="s">
        <v>296</v>
      </c>
      <c r="V506" s="47" t="s">
        <v>296</v>
      </c>
      <c r="W506" s="47" t="s">
        <v>296</v>
      </c>
      <c r="X506" s="47" t="s">
        <v>296</v>
      </c>
      <c r="Y506" s="47" t="s">
        <v>296</v>
      </c>
      <c r="Z506" s="47" t="s">
        <v>296</v>
      </c>
      <c r="AA506" s="47" t="s">
        <v>296</v>
      </c>
      <c r="AB506" s="47"/>
      <c r="AC506" s="47" t="s">
        <v>296</v>
      </c>
      <c r="AD506" s="73"/>
      <c r="AE506" s="49"/>
      <c r="AF506" s="51" t="s">
        <v>2081</v>
      </c>
      <c r="AG506" s="51" t="s">
        <v>2082</v>
      </c>
      <c r="AH506" s="49" t="str">
        <f t="shared" si="44"/>
        <v>棚卸立会リスト</v>
      </c>
      <c r="AI506" s="49"/>
      <c r="AJ506" s="49"/>
      <c r="AK506" s="49"/>
      <c r="AL506" s="49" t="str">
        <f t="shared" si="45"/>
        <v>棚卸照会（場所）</v>
      </c>
      <c r="AM506" s="49" t="s">
        <v>35</v>
      </c>
      <c r="AN506" s="49" t="s">
        <v>2083</v>
      </c>
      <c r="AO506" s="51" t="str">
        <f t="shared" si="39"/>
        <v/>
      </c>
      <c r="AP506" s="51" t="str">
        <f t="shared" si="40"/>
        <v/>
      </c>
      <c r="AQ506" s="49"/>
      <c r="AR506" s="49"/>
      <c r="AS506" s="49" t="str">
        <f t="shared" si="41"/>
        <v/>
      </c>
      <c r="AT506" s="49" t="str">
        <f t="shared" si="42"/>
        <v/>
      </c>
      <c r="AU506" s="49"/>
      <c r="AV506" s="49"/>
    </row>
    <row r="507" spans="1:48" ht="18" customHeight="1">
      <c r="A507" s="44">
        <v>505</v>
      </c>
      <c r="B507" s="71" t="s">
        <v>1076</v>
      </c>
      <c r="C507" s="54" t="s">
        <v>1991</v>
      </c>
      <c r="D507" s="46" t="s">
        <v>116</v>
      </c>
      <c r="E507" s="44" t="s">
        <v>2045</v>
      </c>
      <c r="F507" s="44" t="s">
        <v>2084</v>
      </c>
      <c r="G507" s="44"/>
      <c r="H507" s="44"/>
      <c r="I507" s="44"/>
      <c r="J507" s="47" t="s">
        <v>35</v>
      </c>
      <c r="K507" s="47"/>
      <c r="L507" s="47"/>
      <c r="M507" s="47"/>
      <c r="N507" s="47"/>
      <c r="O507" s="44"/>
      <c r="P507" s="44"/>
      <c r="Q507" s="48">
        <f>VLOOKUP(E507,sheet1!$B$2:$D$3209,3,FALSE)</f>
        <v>175</v>
      </c>
      <c r="R507" s="47" t="s">
        <v>35</v>
      </c>
      <c r="S507" s="47" t="s">
        <v>296</v>
      </c>
      <c r="T507" s="47"/>
      <c r="U507" s="47" t="s">
        <v>296</v>
      </c>
      <c r="V507" s="47" t="s">
        <v>296</v>
      </c>
      <c r="W507" s="47" t="s">
        <v>296</v>
      </c>
      <c r="X507" s="47" t="s">
        <v>296</v>
      </c>
      <c r="Y507" s="47" t="s">
        <v>296</v>
      </c>
      <c r="Z507" s="47" t="s">
        <v>296</v>
      </c>
      <c r="AA507" s="47" t="s">
        <v>296</v>
      </c>
      <c r="AB507" s="47"/>
      <c r="AC507" s="47" t="s">
        <v>35</v>
      </c>
      <c r="AD507" s="73"/>
      <c r="AE507" s="49"/>
      <c r="AF507" s="51" t="s">
        <v>2085</v>
      </c>
      <c r="AG507" s="51" t="s">
        <v>2086</v>
      </c>
      <c r="AH507" s="49" t="str">
        <f t="shared" si="44"/>
        <v>棚卸ﾘｽﾄ(再作成準備)</v>
      </c>
      <c r="AI507" s="49"/>
      <c r="AJ507" s="49"/>
      <c r="AK507" s="49"/>
      <c r="AL507" s="49" t="str">
        <f t="shared" si="45"/>
        <v>棚卸照会（発注No.）</v>
      </c>
      <c r="AM507" s="49" t="s">
        <v>35</v>
      </c>
      <c r="AN507" s="49" t="s">
        <v>2087</v>
      </c>
      <c r="AO507" s="51" t="str">
        <f t="shared" si="39"/>
        <v>開始宣言</v>
      </c>
      <c r="AP507" s="51" t="str">
        <f t="shared" si="40"/>
        <v>PD6010</v>
      </c>
      <c r="AQ507" s="51" t="s">
        <v>2088</v>
      </c>
      <c r="AR507" s="51" t="s">
        <v>2050</v>
      </c>
      <c r="AS507" s="49" t="str">
        <f t="shared" si="41"/>
        <v/>
      </c>
      <c r="AT507" s="49" t="str">
        <f t="shared" si="42"/>
        <v/>
      </c>
      <c r="AU507" s="49"/>
      <c r="AV507" s="49"/>
    </row>
    <row r="508" spans="1:48" ht="18" customHeight="1">
      <c r="A508" s="44">
        <v>506</v>
      </c>
      <c r="B508" s="71" t="s">
        <v>1076</v>
      </c>
      <c r="C508" s="45" t="s">
        <v>2089</v>
      </c>
      <c r="D508" s="46" t="s">
        <v>116</v>
      </c>
      <c r="E508" s="44" t="s">
        <v>2050</v>
      </c>
      <c r="F508" s="44" t="s">
        <v>2090</v>
      </c>
      <c r="G508" s="44"/>
      <c r="H508" s="44"/>
      <c r="I508" s="44"/>
      <c r="J508" s="47" t="s">
        <v>35</v>
      </c>
      <c r="K508" s="47"/>
      <c r="L508" s="47"/>
      <c r="M508" s="47"/>
      <c r="N508" s="47"/>
      <c r="O508" s="44"/>
      <c r="P508" s="44"/>
      <c r="Q508" s="48">
        <f>VLOOKUP(E508,sheet1!$B$2:$D$3209,3,FALSE)</f>
        <v>258</v>
      </c>
      <c r="R508" s="47" t="s">
        <v>35</v>
      </c>
      <c r="S508" s="47" t="s">
        <v>35</v>
      </c>
      <c r="T508" s="47" t="s">
        <v>35</v>
      </c>
      <c r="U508" s="47" t="s">
        <v>296</v>
      </c>
      <c r="V508" s="47" t="s">
        <v>296</v>
      </c>
      <c r="W508" s="47" t="s">
        <v>296</v>
      </c>
      <c r="X508" s="47" t="s">
        <v>296</v>
      </c>
      <c r="Y508" s="47" t="s">
        <v>296</v>
      </c>
      <c r="Z508" s="47" t="s">
        <v>296</v>
      </c>
      <c r="AA508" s="47" t="s">
        <v>296</v>
      </c>
      <c r="AB508" s="47"/>
      <c r="AC508" s="47" t="s">
        <v>35</v>
      </c>
      <c r="AD508" s="73"/>
      <c r="AE508" s="49"/>
      <c r="AF508" s="51" t="s">
        <v>2091</v>
      </c>
      <c r="AG508" s="51" t="s">
        <v>2092</v>
      </c>
      <c r="AH508" s="49" t="str">
        <f t="shared" si="44"/>
        <v>差異分析計算</v>
      </c>
      <c r="AI508" s="49"/>
      <c r="AJ508" s="49"/>
      <c r="AK508" s="49"/>
      <c r="AL508" s="49" t="str">
        <f t="shared" si="45"/>
        <v>棚卸照会（ＳＥＱ）</v>
      </c>
      <c r="AM508" s="49" t="s">
        <v>35</v>
      </c>
      <c r="AN508" s="49" t="s">
        <v>2093</v>
      </c>
      <c r="AO508" s="51" t="str">
        <f t="shared" si="39"/>
        <v>棚卸ﾀｯｸｼｰﾙ発行</v>
      </c>
      <c r="AP508" s="51" t="str">
        <f t="shared" si="40"/>
        <v>PD6090</v>
      </c>
      <c r="AQ508" s="51" t="s">
        <v>2094</v>
      </c>
      <c r="AR508" s="51" t="s">
        <v>2055</v>
      </c>
      <c r="AS508" s="49" t="str">
        <f t="shared" si="41"/>
        <v>棚卸ﾀｯｸｼｰﾙ発行</v>
      </c>
      <c r="AT508" s="49" t="str">
        <f t="shared" si="42"/>
        <v>PD6090</v>
      </c>
      <c r="AU508" s="51" t="s">
        <v>2094</v>
      </c>
      <c r="AV508" s="51" t="s">
        <v>2055</v>
      </c>
    </row>
    <row r="509" spans="1:48" ht="18" customHeight="1">
      <c r="A509" s="44">
        <v>507</v>
      </c>
      <c r="B509" s="71" t="s">
        <v>1076</v>
      </c>
      <c r="C509" s="52" t="s">
        <v>2089</v>
      </c>
      <c r="D509" s="46" t="s">
        <v>116</v>
      </c>
      <c r="E509" s="44" t="s">
        <v>2055</v>
      </c>
      <c r="F509" s="44" t="s">
        <v>2095</v>
      </c>
      <c r="G509" s="44"/>
      <c r="H509" s="44"/>
      <c r="I509" s="44"/>
      <c r="J509" s="47" t="s">
        <v>35</v>
      </c>
      <c r="K509" s="47"/>
      <c r="L509" s="47"/>
      <c r="M509" s="47"/>
      <c r="N509" s="47"/>
      <c r="O509" s="44"/>
      <c r="P509" s="44"/>
      <c r="Q509" s="48">
        <f>VLOOKUP(E509,sheet1!$B$2:$D$3209,3,FALSE)</f>
        <v>330</v>
      </c>
      <c r="R509" s="47" t="s">
        <v>35</v>
      </c>
      <c r="S509" s="47" t="s">
        <v>35</v>
      </c>
      <c r="T509" s="47" t="s">
        <v>35</v>
      </c>
      <c r="U509" s="47" t="s">
        <v>35</v>
      </c>
      <c r="V509" s="47" t="s">
        <v>35</v>
      </c>
      <c r="W509" s="47" t="s">
        <v>296</v>
      </c>
      <c r="X509" s="47" t="s">
        <v>35</v>
      </c>
      <c r="Y509" s="47" t="s">
        <v>35</v>
      </c>
      <c r="Z509" s="47" t="s">
        <v>35</v>
      </c>
      <c r="AA509" s="47" t="s">
        <v>35</v>
      </c>
      <c r="AB509" s="47" t="s">
        <v>35</v>
      </c>
      <c r="AC509" s="47" t="s">
        <v>35</v>
      </c>
      <c r="AD509" s="73"/>
      <c r="AE509" s="49"/>
      <c r="AF509" s="51" t="s">
        <v>2096</v>
      </c>
      <c r="AG509" s="44" t="s">
        <v>116</v>
      </c>
      <c r="AH509" s="49" t="str">
        <f t="shared" si="44"/>
        <v>在庫照会（関係会社含む）</v>
      </c>
      <c r="AI509" s="49"/>
      <c r="AJ509" s="49"/>
      <c r="AK509" s="49"/>
      <c r="AL509" s="49" t="str">
        <f t="shared" si="45"/>
        <v>在庫差異合計表</v>
      </c>
      <c r="AM509" s="49" t="s">
        <v>35</v>
      </c>
      <c r="AN509" s="49" t="s">
        <v>2097</v>
      </c>
      <c r="AO509" s="51" t="str">
        <f t="shared" si="39"/>
        <v>棚卸リスト</v>
      </c>
      <c r="AP509" s="51" t="str">
        <f t="shared" si="40"/>
        <v>PD6020</v>
      </c>
      <c r="AQ509" s="51" t="s">
        <v>2098</v>
      </c>
      <c r="AR509" s="51" t="s">
        <v>2059</v>
      </c>
      <c r="AS509" s="49" t="str">
        <f t="shared" si="41"/>
        <v>棚卸リスト</v>
      </c>
      <c r="AT509" s="49" t="str">
        <f t="shared" si="42"/>
        <v>PD6020</v>
      </c>
      <c r="AU509" s="51" t="s">
        <v>2098</v>
      </c>
      <c r="AV509" s="51" t="s">
        <v>2059</v>
      </c>
    </row>
    <row r="510" spans="1:48" ht="18" customHeight="1">
      <c r="A510" s="44">
        <v>508</v>
      </c>
      <c r="B510" s="71" t="s">
        <v>1076</v>
      </c>
      <c r="C510" s="52" t="s">
        <v>2089</v>
      </c>
      <c r="D510" s="46" t="s">
        <v>116</v>
      </c>
      <c r="E510" s="44" t="s">
        <v>2059</v>
      </c>
      <c r="F510" s="44" t="s">
        <v>2099</v>
      </c>
      <c r="G510" s="44"/>
      <c r="H510" s="44"/>
      <c r="I510" s="44"/>
      <c r="J510" s="47" t="s">
        <v>35</v>
      </c>
      <c r="K510" s="47"/>
      <c r="L510" s="47"/>
      <c r="M510" s="47"/>
      <c r="N510" s="47"/>
      <c r="O510" s="44"/>
      <c r="P510" s="44"/>
      <c r="Q510" s="48">
        <f>VLOOKUP(E510,sheet1!$B$2:$D$3209,3,FALSE)</f>
        <v>571</v>
      </c>
      <c r="R510" s="47" t="s">
        <v>35</v>
      </c>
      <c r="S510" s="47" t="s">
        <v>35</v>
      </c>
      <c r="T510" s="47" t="s">
        <v>35</v>
      </c>
      <c r="U510" s="47" t="s">
        <v>35</v>
      </c>
      <c r="V510" s="47" t="s">
        <v>35</v>
      </c>
      <c r="W510" s="47" t="s">
        <v>35</v>
      </c>
      <c r="X510" s="47" t="s">
        <v>35</v>
      </c>
      <c r="Y510" s="47" t="s">
        <v>35</v>
      </c>
      <c r="Z510" s="47" t="s">
        <v>35</v>
      </c>
      <c r="AA510" s="47" t="s">
        <v>35</v>
      </c>
      <c r="AB510" s="47" t="s">
        <v>35</v>
      </c>
      <c r="AC510" s="47" t="s">
        <v>35</v>
      </c>
      <c r="AD510" s="73" t="str">
        <f>VLOOKUP(E520,sheet1!$B$2:$C$3209,2,FALSE)</f>
        <v>棚卸入力照会　品目別</v>
      </c>
      <c r="AE510" s="49"/>
      <c r="AF510" s="51" t="s">
        <v>2100</v>
      </c>
      <c r="AG510" s="51" t="s">
        <v>2101</v>
      </c>
      <c r="AH510" s="49" t="str">
        <f t="shared" si="44"/>
        <v>棚卸照会（品目）</v>
      </c>
      <c r="AI510" s="49"/>
      <c r="AJ510" s="49"/>
      <c r="AK510" s="49"/>
      <c r="AL510" s="49" t="str">
        <f t="shared" si="45"/>
        <v>在庫差異集計表</v>
      </c>
      <c r="AM510" s="49" t="s">
        <v>35</v>
      </c>
      <c r="AN510" s="49" t="s">
        <v>2102</v>
      </c>
      <c r="AO510" s="51" t="str">
        <f t="shared" si="39"/>
        <v>棚卸リスト（手書）</v>
      </c>
      <c r="AP510" s="51" t="str">
        <f t="shared" si="40"/>
        <v>PD6060</v>
      </c>
      <c r="AQ510" s="51" t="s">
        <v>2064</v>
      </c>
      <c r="AR510" s="51" t="s">
        <v>2065</v>
      </c>
      <c r="AS510" s="49" t="str">
        <f t="shared" si="41"/>
        <v>棚卸リスト（手書）</v>
      </c>
      <c r="AT510" s="49" t="str">
        <f t="shared" si="42"/>
        <v>PD6060</v>
      </c>
      <c r="AU510" s="51" t="s">
        <v>2064</v>
      </c>
      <c r="AV510" s="51" t="s">
        <v>2065</v>
      </c>
    </row>
    <row r="511" spans="1:48" ht="18" customHeight="1">
      <c r="A511" s="44">
        <v>509</v>
      </c>
      <c r="B511" s="71" t="s">
        <v>1076</v>
      </c>
      <c r="C511" s="52" t="s">
        <v>2089</v>
      </c>
      <c r="D511" s="46" t="s">
        <v>116</v>
      </c>
      <c r="E511" s="44" t="s">
        <v>2065</v>
      </c>
      <c r="F511" s="44" t="s">
        <v>2103</v>
      </c>
      <c r="G511" s="44"/>
      <c r="H511" s="44"/>
      <c r="I511" s="44"/>
      <c r="J511" s="47" t="s">
        <v>35</v>
      </c>
      <c r="K511" s="47"/>
      <c r="L511" s="47"/>
      <c r="M511" s="47"/>
      <c r="N511" s="47"/>
      <c r="O511" s="44"/>
      <c r="P511" s="44"/>
      <c r="Q511" s="48">
        <f>VLOOKUP(E511,sheet1!$B$2:$D$3209,3,FALSE)</f>
        <v>540</v>
      </c>
      <c r="R511" s="47" t="s">
        <v>35</v>
      </c>
      <c r="S511" s="47" t="s">
        <v>35</v>
      </c>
      <c r="T511" s="47" t="s">
        <v>35</v>
      </c>
      <c r="U511" s="47" t="s">
        <v>35</v>
      </c>
      <c r="V511" s="47" t="s">
        <v>35</v>
      </c>
      <c r="W511" s="47" t="s">
        <v>35</v>
      </c>
      <c r="X511" s="47" t="s">
        <v>35</v>
      </c>
      <c r="Y511" s="47" t="s">
        <v>35</v>
      </c>
      <c r="Z511" s="47" t="s">
        <v>35</v>
      </c>
      <c r="AA511" s="47" t="s">
        <v>35</v>
      </c>
      <c r="AB511" s="47" t="s">
        <v>35</v>
      </c>
      <c r="AC511" s="47" t="s">
        <v>35</v>
      </c>
      <c r="AD511" s="73" t="str">
        <f>VLOOKUP(E521,sheet1!$B$2:$C$3209,2,FALSE)</f>
        <v>棚卸入力照会　場所別</v>
      </c>
      <c r="AE511" s="49"/>
      <c r="AF511" s="51" t="s">
        <v>2104</v>
      </c>
      <c r="AG511" s="51" t="s">
        <v>2105</v>
      </c>
      <c r="AH511" s="49" t="str">
        <f t="shared" si="44"/>
        <v>棚卸照会（場所）</v>
      </c>
      <c r="AI511" s="49"/>
      <c r="AJ511" s="49"/>
      <c r="AK511" s="49"/>
      <c r="AL511" s="49" t="str">
        <f t="shared" si="45"/>
        <v>在庫差異明細表</v>
      </c>
      <c r="AM511" s="49" t="s">
        <v>35</v>
      </c>
      <c r="AN511" s="49" t="s">
        <v>2106</v>
      </c>
      <c r="AO511" s="51" t="str">
        <f t="shared" si="39"/>
        <v>棚卸リスト　再作成</v>
      </c>
      <c r="AP511" s="51" t="str">
        <f t="shared" si="40"/>
        <v>PD6070</v>
      </c>
      <c r="AQ511" s="51" t="s">
        <v>2070</v>
      </c>
      <c r="AR511" s="51" t="s">
        <v>2071</v>
      </c>
      <c r="AS511" s="49" t="str">
        <f t="shared" si="41"/>
        <v>棚卸リスト　再作成</v>
      </c>
      <c r="AT511" s="49" t="str">
        <f t="shared" si="42"/>
        <v>PD6070</v>
      </c>
      <c r="AU511" s="51" t="s">
        <v>2070</v>
      </c>
      <c r="AV511" s="51" t="s">
        <v>2071</v>
      </c>
    </row>
    <row r="512" spans="1:48" ht="18" customHeight="1">
      <c r="A512" s="44">
        <v>510</v>
      </c>
      <c r="B512" s="71" t="s">
        <v>1076</v>
      </c>
      <c r="C512" s="52" t="s">
        <v>2089</v>
      </c>
      <c r="D512" s="46" t="s">
        <v>116</v>
      </c>
      <c r="E512" s="44" t="s">
        <v>2071</v>
      </c>
      <c r="F512" s="44" t="s">
        <v>2107</v>
      </c>
      <c r="G512" s="44"/>
      <c r="H512" s="44"/>
      <c r="I512" s="44"/>
      <c r="J512" s="47" t="s">
        <v>35</v>
      </c>
      <c r="K512" s="47"/>
      <c r="L512" s="47"/>
      <c r="M512" s="47"/>
      <c r="N512" s="47"/>
      <c r="O512" s="44"/>
      <c r="P512" s="44"/>
      <c r="Q512" s="48">
        <f>VLOOKUP(E512,sheet1!$B$2:$D$3209,3,FALSE)</f>
        <v>317</v>
      </c>
      <c r="R512" s="47" t="s">
        <v>35</v>
      </c>
      <c r="S512" s="47" t="s">
        <v>35</v>
      </c>
      <c r="T512" s="47" t="s">
        <v>35</v>
      </c>
      <c r="U512" s="47" t="s">
        <v>35</v>
      </c>
      <c r="V512" s="47" t="s">
        <v>35</v>
      </c>
      <c r="W512" s="47" t="s">
        <v>35</v>
      </c>
      <c r="X512" s="47" t="s">
        <v>35</v>
      </c>
      <c r="Y512" s="47" t="s">
        <v>35</v>
      </c>
      <c r="Z512" s="47" t="s">
        <v>35</v>
      </c>
      <c r="AA512" s="47" t="s">
        <v>35</v>
      </c>
      <c r="AB512" s="47" t="s">
        <v>35</v>
      </c>
      <c r="AC512" s="47" t="s">
        <v>35</v>
      </c>
      <c r="AD512" s="73" t="str">
        <f>VLOOKUP(E522,sheet1!$B$2:$C$3209,2,FALSE)</f>
        <v>棚卸入力照会　発注№順</v>
      </c>
      <c r="AE512" s="49"/>
      <c r="AF512" s="51" t="s">
        <v>2108</v>
      </c>
      <c r="AG512" s="51" t="s">
        <v>2109</v>
      </c>
      <c r="AH512" s="49" t="str">
        <f t="shared" si="44"/>
        <v>棚卸照会（発注No.）</v>
      </c>
      <c r="AI512" s="49"/>
      <c r="AJ512" s="49"/>
      <c r="AK512" s="49"/>
      <c r="AL512" s="49" t="str">
        <f t="shared" si="45"/>
        <v>部課別区分別集計表</v>
      </c>
      <c r="AM512" s="49" t="s">
        <v>35</v>
      </c>
      <c r="AN512" s="49" t="s">
        <v>2110</v>
      </c>
      <c r="AO512" s="51" t="str">
        <f t="shared" si="39"/>
        <v>新規受入ロットシール</v>
      </c>
      <c r="AP512" s="51" t="str">
        <f t="shared" si="40"/>
        <v>PD6135</v>
      </c>
      <c r="AQ512" s="51" t="s">
        <v>2075</v>
      </c>
      <c r="AR512" s="51" t="s">
        <v>2076</v>
      </c>
      <c r="AS512" s="49" t="str">
        <f t="shared" si="41"/>
        <v>新規受入ロットシール</v>
      </c>
      <c r="AT512" s="49" t="str">
        <f t="shared" si="42"/>
        <v>PD6135</v>
      </c>
      <c r="AU512" s="51" t="s">
        <v>2075</v>
      </c>
      <c r="AV512" s="51" t="s">
        <v>2076</v>
      </c>
    </row>
    <row r="513" spans="1:48" ht="18" customHeight="1">
      <c r="A513" s="44">
        <v>511</v>
      </c>
      <c r="B513" s="71" t="s">
        <v>1076</v>
      </c>
      <c r="C513" s="52" t="s">
        <v>2089</v>
      </c>
      <c r="D513" s="46" t="s">
        <v>116</v>
      </c>
      <c r="E513" s="44" t="s">
        <v>2076</v>
      </c>
      <c r="F513" s="44" t="s">
        <v>2111</v>
      </c>
      <c r="G513" s="44"/>
      <c r="H513" s="44"/>
      <c r="I513" s="44"/>
      <c r="J513" s="47" t="s">
        <v>35</v>
      </c>
      <c r="K513" s="47"/>
      <c r="L513" s="47"/>
      <c r="M513" s="47"/>
      <c r="N513" s="47"/>
      <c r="O513" s="44"/>
      <c r="P513" s="44"/>
      <c r="Q513" s="48">
        <f>VLOOKUP(E513,sheet1!$B$2:$D$3209,3,FALSE)</f>
        <v>331</v>
      </c>
      <c r="R513" s="47" t="s">
        <v>35</v>
      </c>
      <c r="S513" s="47" t="s">
        <v>35</v>
      </c>
      <c r="T513" s="47" t="s">
        <v>35</v>
      </c>
      <c r="U513" s="47" t="s">
        <v>35</v>
      </c>
      <c r="V513" s="47" t="s">
        <v>35</v>
      </c>
      <c r="W513" s="47" t="s">
        <v>35</v>
      </c>
      <c r="X513" s="47" t="s">
        <v>35</v>
      </c>
      <c r="Y513" s="47" t="s">
        <v>35</v>
      </c>
      <c r="Z513" s="47" t="s">
        <v>35</v>
      </c>
      <c r="AA513" s="47" t="s">
        <v>35</v>
      </c>
      <c r="AB513" s="47" t="s">
        <v>35</v>
      </c>
      <c r="AC513" s="47" t="s">
        <v>35</v>
      </c>
      <c r="AD513" s="73" t="str">
        <f>VLOOKUP(E523,sheet1!$B$2:$C$3209,2,FALSE)</f>
        <v>棚卸入力照会SEQ№順</v>
      </c>
      <c r="AE513" s="49"/>
      <c r="AF513" s="51" t="s">
        <v>2112</v>
      </c>
      <c r="AG513" s="51" t="s">
        <v>2113</v>
      </c>
      <c r="AH513" s="49" t="str">
        <f t="shared" si="44"/>
        <v>棚卸照会（ＳＥＱ）</v>
      </c>
      <c r="AI513" s="49"/>
      <c r="AJ513" s="49"/>
      <c r="AK513" s="49"/>
      <c r="AL513" s="49" t="str">
        <f t="shared" si="45"/>
        <v>部課別区分別集計表（滞留品）</v>
      </c>
      <c r="AM513" s="49" t="s">
        <v>35</v>
      </c>
      <c r="AN513" s="49" t="s">
        <v>2114</v>
      </c>
      <c r="AO513" s="51" t="str">
        <f t="shared" si="39"/>
        <v/>
      </c>
      <c r="AP513" s="51" t="str">
        <f t="shared" si="40"/>
        <v/>
      </c>
      <c r="AQ513" s="51"/>
      <c r="AR513" s="51"/>
      <c r="AS513" s="49" t="str">
        <f t="shared" si="41"/>
        <v/>
      </c>
      <c r="AT513" s="49" t="str">
        <f t="shared" si="42"/>
        <v/>
      </c>
      <c r="AU513" s="51"/>
      <c r="AV513" s="51"/>
    </row>
    <row r="514" spans="1:48" ht="18" customHeight="1">
      <c r="A514" s="44">
        <v>512</v>
      </c>
      <c r="B514" s="71" t="s">
        <v>1076</v>
      </c>
      <c r="C514" s="52" t="s">
        <v>2089</v>
      </c>
      <c r="D514" s="46" t="s">
        <v>116</v>
      </c>
      <c r="E514" s="44" t="s">
        <v>2115</v>
      </c>
      <c r="F514" s="44" t="s">
        <v>2077</v>
      </c>
      <c r="G514" s="44"/>
      <c r="H514" s="44"/>
      <c r="I514" s="44"/>
      <c r="J514" s="47" t="s">
        <v>35</v>
      </c>
      <c r="K514" s="47"/>
      <c r="L514" s="47"/>
      <c r="M514" s="47"/>
      <c r="N514" s="47"/>
      <c r="O514" s="44"/>
      <c r="P514" s="44"/>
      <c r="Q514" s="48">
        <f>VLOOKUP(E514,sheet1!$B$2:$D$3209,3,FALSE)</f>
        <v>452</v>
      </c>
      <c r="R514" s="47" t="s">
        <v>35</v>
      </c>
      <c r="S514" s="47" t="s">
        <v>296</v>
      </c>
      <c r="T514" s="47" t="s">
        <v>35</v>
      </c>
      <c r="U514" s="47" t="s">
        <v>296</v>
      </c>
      <c r="V514" s="47" t="s">
        <v>35</v>
      </c>
      <c r="W514" s="47" t="s">
        <v>296</v>
      </c>
      <c r="X514" s="47" t="s">
        <v>296</v>
      </c>
      <c r="Y514" s="47" t="s">
        <v>296</v>
      </c>
      <c r="Z514" s="47" t="s">
        <v>35</v>
      </c>
      <c r="AA514" s="47" t="s">
        <v>296</v>
      </c>
      <c r="AB514" s="47" t="s">
        <v>35</v>
      </c>
      <c r="AC514" s="47" t="s">
        <v>35</v>
      </c>
      <c r="AD514" s="73"/>
      <c r="AE514" s="49"/>
      <c r="AF514" s="51" t="s">
        <v>2116</v>
      </c>
      <c r="AG514" s="51" t="s">
        <v>2117</v>
      </c>
      <c r="AH514" s="49" t="str">
        <f t="shared" si="44"/>
        <v>在庫差異合計表</v>
      </c>
      <c r="AI514" s="49"/>
      <c r="AJ514" s="49"/>
      <c r="AK514" s="49"/>
      <c r="AL514" s="49" t="str">
        <f t="shared" si="45"/>
        <v>部課別区分別合計表</v>
      </c>
      <c r="AM514" s="49" t="s">
        <v>35</v>
      </c>
      <c r="AN514" s="49" t="s">
        <v>2118</v>
      </c>
      <c r="AO514" s="51" t="str">
        <f t="shared" si="39"/>
        <v>棚卸入力</v>
      </c>
      <c r="AP514" s="51" t="str">
        <f t="shared" si="40"/>
        <v>PD6140</v>
      </c>
      <c r="AQ514" s="51" t="s">
        <v>2119</v>
      </c>
      <c r="AR514" s="51" t="s">
        <v>2120</v>
      </c>
      <c r="AS514" s="49" t="str">
        <f t="shared" si="41"/>
        <v>棚卸入力</v>
      </c>
      <c r="AT514" s="49" t="str">
        <f t="shared" si="42"/>
        <v>PD6140</v>
      </c>
      <c r="AU514" s="51" t="s">
        <v>2119</v>
      </c>
      <c r="AV514" s="51" t="s">
        <v>2120</v>
      </c>
    </row>
    <row r="515" spans="1:48" ht="18" customHeight="1">
      <c r="A515" s="44">
        <v>513</v>
      </c>
      <c r="B515" s="71" t="s">
        <v>1076</v>
      </c>
      <c r="C515" s="52" t="s">
        <v>2089</v>
      </c>
      <c r="D515" s="46" t="s">
        <v>116</v>
      </c>
      <c r="E515" s="44" t="s">
        <v>2120</v>
      </c>
      <c r="F515" s="44" t="s">
        <v>2121</v>
      </c>
      <c r="G515" s="44"/>
      <c r="H515" s="44"/>
      <c r="I515" s="44"/>
      <c r="J515" s="47" t="s">
        <v>35</v>
      </c>
      <c r="K515" s="47"/>
      <c r="L515" s="47"/>
      <c r="M515" s="47"/>
      <c r="N515" s="47"/>
      <c r="O515" s="44"/>
      <c r="P515" s="44"/>
      <c r="Q515" s="48">
        <f>VLOOKUP(E515,sheet1!$B$2:$D$3209,3,FALSE)</f>
        <v>2036</v>
      </c>
      <c r="R515" s="47" t="s">
        <v>35</v>
      </c>
      <c r="S515" s="47" t="s">
        <v>35</v>
      </c>
      <c r="T515" s="47" t="s">
        <v>35</v>
      </c>
      <c r="U515" s="47" t="s">
        <v>35</v>
      </c>
      <c r="V515" s="47" t="s">
        <v>35</v>
      </c>
      <c r="W515" s="47" t="s">
        <v>35</v>
      </c>
      <c r="X515" s="47" t="s">
        <v>296</v>
      </c>
      <c r="Y515" s="47" t="s">
        <v>35</v>
      </c>
      <c r="Z515" s="47" t="s">
        <v>35</v>
      </c>
      <c r="AA515" s="47" t="s">
        <v>35</v>
      </c>
      <c r="AB515" s="47" t="s">
        <v>35</v>
      </c>
      <c r="AC515" s="47" t="s">
        <v>35</v>
      </c>
      <c r="AD515" s="73"/>
      <c r="AE515" s="49"/>
      <c r="AF515" s="51" t="s">
        <v>2122</v>
      </c>
      <c r="AG515" s="51" t="s">
        <v>2123</v>
      </c>
      <c r="AH515" s="49" t="str">
        <f t="shared" si="44"/>
        <v>在庫差異集計表</v>
      </c>
      <c r="AI515" s="49"/>
      <c r="AJ515" s="49"/>
      <c r="AK515" s="49"/>
      <c r="AL515" s="49" t="str">
        <f t="shared" si="45"/>
        <v>部課別区分別合計表（滞留品）</v>
      </c>
      <c r="AM515" s="49" t="s">
        <v>35</v>
      </c>
      <c r="AN515" s="49" t="s">
        <v>2124</v>
      </c>
      <c r="AO515" s="51" t="str">
        <f t="shared" si="39"/>
        <v/>
      </c>
      <c r="AP515" s="51" t="str">
        <f t="shared" si="40"/>
        <v/>
      </c>
      <c r="AQ515" s="51"/>
      <c r="AR515" s="51"/>
      <c r="AS515" s="49" t="str">
        <f t="shared" si="41"/>
        <v/>
      </c>
      <c r="AT515" s="49" t="str">
        <f t="shared" si="42"/>
        <v/>
      </c>
      <c r="AU515" s="51"/>
      <c r="AV515" s="51"/>
    </row>
    <row r="516" spans="1:48" ht="18" customHeight="1">
      <c r="A516" s="44">
        <v>514</v>
      </c>
      <c r="B516" s="71" t="s">
        <v>1076</v>
      </c>
      <c r="C516" s="52" t="s">
        <v>2089</v>
      </c>
      <c r="D516" s="46" t="s">
        <v>116</v>
      </c>
      <c r="E516" s="44" t="s">
        <v>2082</v>
      </c>
      <c r="F516" s="44" t="s">
        <v>2125</v>
      </c>
      <c r="G516" s="44"/>
      <c r="H516" s="44"/>
      <c r="I516" s="44"/>
      <c r="J516" s="47" t="s">
        <v>35</v>
      </c>
      <c r="K516" s="47"/>
      <c r="L516" s="47"/>
      <c r="M516" s="47"/>
      <c r="N516" s="47"/>
      <c r="O516" s="44"/>
      <c r="P516" s="44"/>
      <c r="Q516" s="48">
        <f>VLOOKUP(E516,sheet1!$B$2:$D$3209,3,FALSE)</f>
        <v>479</v>
      </c>
      <c r="R516" s="47" t="s">
        <v>35</v>
      </c>
      <c r="S516" s="47" t="s">
        <v>296</v>
      </c>
      <c r="T516" s="47"/>
      <c r="U516" s="47" t="s">
        <v>296</v>
      </c>
      <c r="V516" s="47" t="s">
        <v>296</v>
      </c>
      <c r="W516" s="47" t="s">
        <v>296</v>
      </c>
      <c r="X516" s="47" t="s">
        <v>296</v>
      </c>
      <c r="Y516" s="47" t="s">
        <v>296</v>
      </c>
      <c r="Z516" s="47" t="s">
        <v>296</v>
      </c>
      <c r="AA516" s="47" t="s">
        <v>296</v>
      </c>
      <c r="AB516" s="47"/>
      <c r="AC516" s="47" t="s">
        <v>35</v>
      </c>
      <c r="AD516" s="73"/>
      <c r="AE516" s="49"/>
      <c r="AF516" s="51" t="s">
        <v>2126</v>
      </c>
      <c r="AG516" s="51" t="s">
        <v>2127</v>
      </c>
      <c r="AH516" s="49" t="str">
        <f t="shared" si="44"/>
        <v>在庫差異明細表</v>
      </c>
      <c r="AI516" s="49"/>
      <c r="AJ516" s="49"/>
      <c r="AK516" s="49"/>
      <c r="AL516" s="49" t="str">
        <f t="shared" si="45"/>
        <v>部課区分場所別集計表</v>
      </c>
      <c r="AM516" s="49" t="s">
        <v>35</v>
      </c>
      <c r="AN516" s="49" t="s">
        <v>2128</v>
      </c>
      <c r="AO516" s="51" t="str">
        <f t="shared" si="39"/>
        <v/>
      </c>
      <c r="AP516" s="51" t="str">
        <f t="shared" si="40"/>
        <v/>
      </c>
      <c r="AQ516" s="51"/>
      <c r="AR516" s="51"/>
      <c r="AS516" s="49" t="str">
        <f t="shared" si="41"/>
        <v/>
      </c>
      <c r="AT516" s="49" t="str">
        <f t="shared" si="42"/>
        <v/>
      </c>
      <c r="AU516" s="51"/>
      <c r="AV516" s="51"/>
    </row>
    <row r="517" spans="1:48" ht="18" customHeight="1">
      <c r="A517" s="44">
        <v>515</v>
      </c>
      <c r="B517" s="71" t="s">
        <v>1076</v>
      </c>
      <c r="C517" s="52" t="s">
        <v>2089</v>
      </c>
      <c r="D517" s="46" t="s">
        <v>116</v>
      </c>
      <c r="E517" s="44" t="s">
        <v>2086</v>
      </c>
      <c r="F517" s="44" t="s">
        <v>2129</v>
      </c>
      <c r="G517" s="44"/>
      <c r="H517" s="44"/>
      <c r="I517" s="44"/>
      <c r="J517" s="47" t="s">
        <v>35</v>
      </c>
      <c r="K517" s="47"/>
      <c r="L517" s="47"/>
      <c r="M517" s="47"/>
      <c r="N517" s="47"/>
      <c r="O517" s="44"/>
      <c r="P517" s="44"/>
      <c r="Q517" s="48">
        <f>VLOOKUP(E517,sheet1!$B$2:$D$3209,3,FALSE)</f>
        <v>433</v>
      </c>
      <c r="R517" s="47" t="s">
        <v>35</v>
      </c>
      <c r="S517" s="47" t="s">
        <v>296</v>
      </c>
      <c r="T517" s="47"/>
      <c r="U517" s="47" t="s">
        <v>296</v>
      </c>
      <c r="V517" s="47" t="s">
        <v>296</v>
      </c>
      <c r="W517" s="47" t="s">
        <v>296</v>
      </c>
      <c r="X517" s="47" t="s">
        <v>296</v>
      </c>
      <c r="Y517" s="47" t="s">
        <v>296</v>
      </c>
      <c r="Z517" s="47" t="s">
        <v>296</v>
      </c>
      <c r="AA517" s="47" t="s">
        <v>296</v>
      </c>
      <c r="AB517" s="47"/>
      <c r="AC517" s="47" t="s">
        <v>35</v>
      </c>
      <c r="AD517" s="73"/>
      <c r="AE517" s="49"/>
      <c r="AF517" s="51" t="s">
        <v>2130</v>
      </c>
      <c r="AG517" s="51" t="s">
        <v>2131</v>
      </c>
      <c r="AH517" s="49" t="str">
        <f t="shared" si="44"/>
        <v>在庫差異実際原価セット</v>
      </c>
      <c r="AI517" s="49"/>
      <c r="AJ517" s="49"/>
      <c r="AK517" s="49"/>
      <c r="AL517" s="49" t="str">
        <f t="shared" si="45"/>
        <v>部課区分場所別集計表（滞留）</v>
      </c>
      <c r="AM517" s="49" t="s">
        <v>35</v>
      </c>
      <c r="AN517" s="49" t="s">
        <v>2132</v>
      </c>
      <c r="AO517" s="51" t="str">
        <f t="shared" si="39"/>
        <v>差異分析計算</v>
      </c>
      <c r="AP517" s="51" t="str">
        <f t="shared" si="40"/>
        <v>PD6195</v>
      </c>
      <c r="AQ517" s="51" t="s">
        <v>2133</v>
      </c>
      <c r="AR517" s="51" t="s">
        <v>2092</v>
      </c>
      <c r="AS517" s="49" t="str">
        <f t="shared" si="41"/>
        <v/>
      </c>
      <c r="AT517" s="49" t="str">
        <f t="shared" si="42"/>
        <v/>
      </c>
      <c r="AU517" s="51"/>
      <c r="AV517" s="51"/>
    </row>
    <row r="518" spans="1:48" ht="18" customHeight="1">
      <c r="A518" s="44">
        <v>516</v>
      </c>
      <c r="B518" s="71" t="s">
        <v>1076</v>
      </c>
      <c r="C518" s="52" t="s">
        <v>2089</v>
      </c>
      <c r="D518" s="46" t="s">
        <v>116</v>
      </c>
      <c r="E518" s="44" t="s">
        <v>2092</v>
      </c>
      <c r="F518" s="44" t="s">
        <v>2134</v>
      </c>
      <c r="G518" s="44"/>
      <c r="H518" s="44"/>
      <c r="I518" s="44"/>
      <c r="J518" s="47" t="s">
        <v>35</v>
      </c>
      <c r="K518" s="47"/>
      <c r="L518" s="47"/>
      <c r="M518" s="47"/>
      <c r="N518" s="47"/>
      <c r="O518" s="44"/>
      <c r="P518" s="44"/>
      <c r="Q518" s="48">
        <f>VLOOKUP(E518,sheet1!$B$2:$D$3209,3,FALSE)</f>
        <v>526</v>
      </c>
      <c r="R518" s="47" t="s">
        <v>35</v>
      </c>
      <c r="S518" s="47" t="s">
        <v>35</v>
      </c>
      <c r="T518" s="47"/>
      <c r="U518" s="47" t="s">
        <v>296</v>
      </c>
      <c r="V518" s="47" t="s">
        <v>296</v>
      </c>
      <c r="W518" s="47" t="s">
        <v>296</v>
      </c>
      <c r="X518" s="47" t="s">
        <v>296</v>
      </c>
      <c r="Y518" s="47" t="s">
        <v>296</v>
      </c>
      <c r="Z518" s="47" t="s">
        <v>296</v>
      </c>
      <c r="AA518" s="47" t="s">
        <v>296</v>
      </c>
      <c r="AB518" s="47"/>
      <c r="AC518" s="47" t="s">
        <v>35</v>
      </c>
      <c r="AD518" s="73" t="e">
        <f>VLOOKUP(E528,sheet1!$B$2:$C$3209,2,FALSE)</f>
        <v>#N/A</v>
      </c>
      <c r="AE518" s="49"/>
      <c r="AF518" s="51" t="s">
        <v>2135</v>
      </c>
      <c r="AG518" s="51" t="s">
        <v>2136</v>
      </c>
      <c r="AH518" s="49" t="str">
        <f t="shared" si="44"/>
        <v>部課別区分別集計表</v>
      </c>
      <c r="AI518" s="49"/>
      <c r="AJ518" s="49"/>
      <c r="AK518" s="49"/>
      <c r="AL518" s="49" t="str">
        <f t="shared" si="45"/>
        <v>部課区分場所別合計表</v>
      </c>
      <c r="AM518" s="49" t="s">
        <v>35</v>
      </c>
      <c r="AN518" s="49" t="s">
        <v>2137</v>
      </c>
      <c r="AO518" s="51" t="str">
        <f t="shared" si="39"/>
        <v/>
      </c>
      <c r="AP518" s="51" t="str">
        <f t="shared" si="40"/>
        <v/>
      </c>
      <c r="AQ518" s="51"/>
      <c r="AR518" s="51"/>
      <c r="AS518" s="49" t="str">
        <f t="shared" si="41"/>
        <v/>
      </c>
      <c r="AT518" s="49" t="str">
        <f t="shared" si="42"/>
        <v/>
      </c>
      <c r="AU518" s="51"/>
      <c r="AV518" s="51"/>
    </row>
    <row r="519" spans="1:48" ht="18" customHeight="1">
      <c r="A519" s="44">
        <v>517</v>
      </c>
      <c r="B519" s="71" t="s">
        <v>1076</v>
      </c>
      <c r="C519" s="52" t="s">
        <v>2089</v>
      </c>
      <c r="D519" s="46" t="s">
        <v>116</v>
      </c>
      <c r="E519" s="44" t="s">
        <v>116</v>
      </c>
      <c r="F519" s="44" t="s">
        <v>1883</v>
      </c>
      <c r="G519" s="44"/>
      <c r="H519" s="44"/>
      <c r="I519" s="44"/>
      <c r="J519" s="47" t="s">
        <v>35</v>
      </c>
      <c r="K519" s="47"/>
      <c r="L519" s="47"/>
      <c r="M519" s="47"/>
      <c r="N519" s="47"/>
      <c r="O519" s="44"/>
      <c r="P519" s="44"/>
      <c r="Q519" s="48" t="e">
        <f>VLOOKUP(E519,sheet1!$B$2:$D$3209,3,FALSE)</f>
        <v>#N/A</v>
      </c>
      <c r="R519" s="47" t="s">
        <v>35</v>
      </c>
      <c r="S519" s="47" t="s">
        <v>296</v>
      </c>
      <c r="T519" s="47"/>
      <c r="U519" s="47" t="s">
        <v>296</v>
      </c>
      <c r="V519" s="47" t="s">
        <v>296</v>
      </c>
      <c r="W519" s="47" t="s">
        <v>296</v>
      </c>
      <c r="X519" s="47" t="s">
        <v>296</v>
      </c>
      <c r="Y519" s="47" t="s">
        <v>296</v>
      </c>
      <c r="Z519" s="47" t="s">
        <v>296</v>
      </c>
      <c r="AA519" s="47" t="s">
        <v>296</v>
      </c>
      <c r="AB519" s="47"/>
      <c r="AC519" s="47" t="s">
        <v>35</v>
      </c>
      <c r="AD519" s="73" t="e">
        <f>VLOOKUP(E529,sheet1!$B$2:$C$3209,2,FALSE)</f>
        <v>#N/A</v>
      </c>
      <c r="AE519" s="49"/>
      <c r="AF519" s="51" t="s">
        <v>2138</v>
      </c>
      <c r="AG519" s="51" t="s">
        <v>2136</v>
      </c>
      <c r="AH519" s="49" t="str">
        <f t="shared" si="44"/>
        <v>部課別区分別集計表（滞留品）</v>
      </c>
      <c r="AI519" s="49"/>
      <c r="AJ519" s="49"/>
      <c r="AK519" s="49"/>
      <c r="AL519" s="49" t="str">
        <f t="shared" si="45"/>
        <v>部課区分場所別合計表（滞留）</v>
      </c>
      <c r="AM519" s="49" t="s">
        <v>35</v>
      </c>
      <c r="AN519" s="49" t="s">
        <v>2139</v>
      </c>
      <c r="AO519" s="51" t="str">
        <f t="shared" si="39"/>
        <v>棚卸照会（品目）</v>
      </c>
      <c r="AP519" s="51" t="str">
        <f t="shared" si="40"/>
        <v>PD6150</v>
      </c>
      <c r="AQ519" s="51" t="s">
        <v>2140</v>
      </c>
      <c r="AR519" s="51" t="s">
        <v>2101</v>
      </c>
      <c r="AS519" s="49" t="str">
        <f t="shared" si="41"/>
        <v>棚卸照会（品目）</v>
      </c>
      <c r="AT519" s="49" t="str">
        <f t="shared" si="42"/>
        <v>PD6150</v>
      </c>
      <c r="AU519" s="51" t="s">
        <v>2141</v>
      </c>
      <c r="AV519" s="51" t="s">
        <v>2101</v>
      </c>
    </row>
    <row r="520" spans="1:48" ht="18" customHeight="1">
      <c r="A520" s="44">
        <v>518</v>
      </c>
      <c r="B520" s="71" t="s">
        <v>1076</v>
      </c>
      <c r="C520" s="52" t="s">
        <v>2089</v>
      </c>
      <c r="D520" s="46" t="s">
        <v>116</v>
      </c>
      <c r="E520" s="44" t="s">
        <v>2101</v>
      </c>
      <c r="F520" s="44" t="s">
        <v>2142</v>
      </c>
      <c r="G520" s="44"/>
      <c r="H520" s="44"/>
      <c r="I520" s="44"/>
      <c r="J520" s="47" t="s">
        <v>35</v>
      </c>
      <c r="K520" s="47"/>
      <c r="L520" s="47"/>
      <c r="M520" s="47"/>
      <c r="N520" s="47"/>
      <c r="O520" s="44"/>
      <c r="P520" s="44"/>
      <c r="Q520" s="48">
        <f>VLOOKUP(E520,sheet1!$B$2:$D$3209,3,FALSE)</f>
        <v>549</v>
      </c>
      <c r="R520" s="47" t="s">
        <v>35</v>
      </c>
      <c r="S520" s="47" t="s">
        <v>35</v>
      </c>
      <c r="T520" s="47" t="s">
        <v>35</v>
      </c>
      <c r="U520" s="47" t="s">
        <v>35</v>
      </c>
      <c r="V520" s="47" t="s">
        <v>35</v>
      </c>
      <c r="W520" s="47" t="s">
        <v>35</v>
      </c>
      <c r="X520" s="47" t="s">
        <v>35</v>
      </c>
      <c r="Y520" s="47" t="s">
        <v>35</v>
      </c>
      <c r="Z520" s="47" t="s">
        <v>35</v>
      </c>
      <c r="AA520" s="47" t="s">
        <v>35</v>
      </c>
      <c r="AB520" s="47" t="s">
        <v>35</v>
      </c>
      <c r="AC520" s="47" t="s">
        <v>35</v>
      </c>
      <c r="AD520" s="73" t="e">
        <f>VLOOKUP(E530,sheet1!$B$2:$C$3209,2,FALSE)</f>
        <v>#N/A</v>
      </c>
      <c r="AE520" s="49"/>
      <c r="AF520" s="51" t="s">
        <v>2143</v>
      </c>
      <c r="AG520" s="57" t="s">
        <v>116</v>
      </c>
      <c r="AH520" s="49" t="str">
        <f t="shared" si="44"/>
        <v>部課別区分別合計表</v>
      </c>
      <c r="AI520" s="49"/>
      <c r="AJ520" s="49"/>
      <c r="AK520" s="49"/>
      <c r="AL520" s="49" t="str">
        <f t="shared" si="45"/>
        <v>機種別合計表</v>
      </c>
      <c r="AM520" s="49" t="s">
        <v>35</v>
      </c>
      <c r="AN520" s="49" t="s">
        <v>2144</v>
      </c>
      <c r="AO520" s="51" t="str">
        <f t="shared" si="39"/>
        <v>棚卸照会（場所）</v>
      </c>
      <c r="AP520" s="51" t="str">
        <f t="shared" si="40"/>
        <v>PD6160</v>
      </c>
      <c r="AQ520" s="51" t="s">
        <v>2145</v>
      </c>
      <c r="AR520" s="51" t="s">
        <v>2105</v>
      </c>
      <c r="AS520" s="49" t="str">
        <f t="shared" si="41"/>
        <v>棚卸照会（場所）</v>
      </c>
      <c r="AT520" s="49" t="str">
        <f t="shared" si="42"/>
        <v>PD6160</v>
      </c>
      <c r="AU520" s="51" t="s">
        <v>2145</v>
      </c>
      <c r="AV520" s="51" t="s">
        <v>2105</v>
      </c>
    </row>
    <row r="521" spans="1:48" ht="18" customHeight="1">
      <c r="A521" s="44">
        <v>519</v>
      </c>
      <c r="B521" s="71" t="s">
        <v>1076</v>
      </c>
      <c r="C521" s="52" t="s">
        <v>2089</v>
      </c>
      <c r="D521" s="46" t="s">
        <v>116</v>
      </c>
      <c r="E521" s="44" t="s">
        <v>2105</v>
      </c>
      <c r="F521" s="44" t="s">
        <v>2146</v>
      </c>
      <c r="G521" s="44"/>
      <c r="H521" s="44"/>
      <c r="I521" s="44"/>
      <c r="J521" s="47" t="s">
        <v>35</v>
      </c>
      <c r="K521" s="47"/>
      <c r="L521" s="47"/>
      <c r="M521" s="47"/>
      <c r="N521" s="47"/>
      <c r="O521" s="44"/>
      <c r="P521" s="44"/>
      <c r="Q521" s="48">
        <f>VLOOKUP(E521,sheet1!$B$2:$D$3209,3,FALSE)</f>
        <v>543</v>
      </c>
      <c r="R521" s="47" t="s">
        <v>35</v>
      </c>
      <c r="S521" s="47" t="s">
        <v>35</v>
      </c>
      <c r="T521" s="47" t="s">
        <v>35</v>
      </c>
      <c r="U521" s="47" t="s">
        <v>35</v>
      </c>
      <c r="V521" s="47" t="s">
        <v>35</v>
      </c>
      <c r="W521" s="47" t="s">
        <v>35</v>
      </c>
      <c r="X521" s="47" t="s">
        <v>35</v>
      </c>
      <c r="Y521" s="47" t="s">
        <v>35</v>
      </c>
      <c r="Z521" s="47" t="s">
        <v>35</v>
      </c>
      <c r="AA521" s="47" t="s">
        <v>35</v>
      </c>
      <c r="AB521" s="47" t="s">
        <v>35</v>
      </c>
      <c r="AC521" s="47" t="s">
        <v>35</v>
      </c>
      <c r="AD521" s="73" t="e">
        <f>VLOOKUP(E531,sheet1!$B$2:$C$3209,2,FALSE)</f>
        <v>#N/A</v>
      </c>
      <c r="AE521" s="49"/>
      <c r="AF521" s="51" t="s">
        <v>2147</v>
      </c>
      <c r="AG521" s="57" t="s">
        <v>116</v>
      </c>
      <c r="AH521" s="49" t="str">
        <f t="shared" si="44"/>
        <v>部課別区分別合計表（滞留品）</v>
      </c>
      <c r="AI521" s="49"/>
      <c r="AJ521" s="49"/>
      <c r="AK521" s="49"/>
      <c r="AL521" s="49" t="str">
        <f t="shared" si="45"/>
        <v>機種別合計表（滞留品）</v>
      </c>
      <c r="AM521" s="49" t="s">
        <v>35</v>
      </c>
      <c r="AN521" s="49" t="s">
        <v>2148</v>
      </c>
      <c r="AO521" s="51" t="str">
        <f t="shared" si="39"/>
        <v>棚卸照会（発注No.）</v>
      </c>
      <c r="AP521" s="51" t="str">
        <f t="shared" si="40"/>
        <v>PD6170</v>
      </c>
      <c r="AQ521" s="51" t="s">
        <v>2149</v>
      </c>
      <c r="AR521" s="51" t="s">
        <v>2109</v>
      </c>
      <c r="AS521" s="49" t="str">
        <f t="shared" si="41"/>
        <v>棚卸照会（発注No.）</v>
      </c>
      <c r="AT521" s="49" t="str">
        <f t="shared" si="42"/>
        <v>PD6170</v>
      </c>
      <c r="AU521" s="51" t="s">
        <v>2149</v>
      </c>
      <c r="AV521" s="51" t="s">
        <v>2109</v>
      </c>
    </row>
    <row r="522" spans="1:48" ht="18" customHeight="1">
      <c r="A522" s="44">
        <v>520</v>
      </c>
      <c r="B522" s="71" t="s">
        <v>1076</v>
      </c>
      <c r="C522" s="52" t="s">
        <v>2089</v>
      </c>
      <c r="D522" s="46" t="s">
        <v>116</v>
      </c>
      <c r="E522" s="44" t="s">
        <v>2109</v>
      </c>
      <c r="F522" s="44" t="s">
        <v>2150</v>
      </c>
      <c r="G522" s="44"/>
      <c r="H522" s="44"/>
      <c r="I522" s="44"/>
      <c r="J522" s="47" t="s">
        <v>35</v>
      </c>
      <c r="K522" s="47"/>
      <c r="L522" s="47"/>
      <c r="M522" s="47"/>
      <c r="N522" s="47"/>
      <c r="O522" s="44"/>
      <c r="P522" s="44"/>
      <c r="Q522" s="48">
        <f>VLOOKUP(E522,sheet1!$B$2:$D$3209,3,FALSE)</f>
        <v>471</v>
      </c>
      <c r="R522" s="47" t="s">
        <v>35</v>
      </c>
      <c r="S522" s="47" t="s">
        <v>35</v>
      </c>
      <c r="T522" s="47" t="s">
        <v>35</v>
      </c>
      <c r="U522" s="47" t="s">
        <v>35</v>
      </c>
      <c r="V522" s="47" t="s">
        <v>35</v>
      </c>
      <c r="W522" s="47" t="s">
        <v>35</v>
      </c>
      <c r="X522" s="47" t="s">
        <v>35</v>
      </c>
      <c r="Y522" s="47" t="s">
        <v>35</v>
      </c>
      <c r="Z522" s="47" t="s">
        <v>35</v>
      </c>
      <c r="AA522" s="47" t="s">
        <v>35</v>
      </c>
      <c r="AB522" s="47" t="s">
        <v>35</v>
      </c>
      <c r="AC522" s="47" t="s">
        <v>35</v>
      </c>
      <c r="AD522" s="73" t="e">
        <f>VLOOKUP(E532,sheet1!$B$2:$C$3209,2,FALSE)</f>
        <v>#N/A</v>
      </c>
      <c r="AE522" s="49"/>
      <c r="AF522" s="51" t="s">
        <v>2151</v>
      </c>
      <c r="AG522" s="51" t="s">
        <v>2136</v>
      </c>
      <c r="AH522" s="49" t="str">
        <f t="shared" si="44"/>
        <v>部課区分場所別集計表</v>
      </c>
      <c r="AI522" s="49"/>
      <c r="AJ522" s="49"/>
      <c r="AK522" s="49"/>
      <c r="AL522" s="49" t="str">
        <f t="shared" si="45"/>
        <v>機種別集計表</v>
      </c>
      <c r="AM522" s="49" t="s">
        <v>35</v>
      </c>
      <c r="AN522" s="49" t="s">
        <v>2152</v>
      </c>
      <c r="AO522" s="51" t="str">
        <f t="shared" si="39"/>
        <v>棚卸照会（ＳＥＱ）</v>
      </c>
      <c r="AP522" s="51" t="str">
        <f t="shared" si="40"/>
        <v>PD6180</v>
      </c>
      <c r="AQ522" s="51" t="s">
        <v>2153</v>
      </c>
      <c r="AR522" s="51" t="s">
        <v>2113</v>
      </c>
      <c r="AS522" s="49" t="str">
        <f t="shared" si="41"/>
        <v>棚卸照会（ＳＥＱ）</v>
      </c>
      <c r="AT522" s="49" t="str">
        <f t="shared" si="42"/>
        <v>PD6180</v>
      </c>
      <c r="AU522" s="51" t="s">
        <v>2153</v>
      </c>
      <c r="AV522" s="51" t="s">
        <v>2113</v>
      </c>
    </row>
    <row r="523" spans="1:48" ht="18" customHeight="1">
      <c r="A523" s="44">
        <v>521</v>
      </c>
      <c r="B523" s="71" t="s">
        <v>1076</v>
      </c>
      <c r="C523" s="52" t="s">
        <v>2089</v>
      </c>
      <c r="D523" s="46" t="s">
        <v>116</v>
      </c>
      <c r="E523" s="44" t="s">
        <v>2113</v>
      </c>
      <c r="F523" s="44" t="s">
        <v>2154</v>
      </c>
      <c r="G523" s="44"/>
      <c r="H523" s="44"/>
      <c r="I523" s="44"/>
      <c r="J523" s="47" t="s">
        <v>35</v>
      </c>
      <c r="K523" s="47"/>
      <c r="L523" s="47"/>
      <c r="M523" s="47"/>
      <c r="N523" s="47"/>
      <c r="O523" s="44"/>
      <c r="P523" s="44"/>
      <c r="Q523" s="48">
        <f>VLOOKUP(E523,sheet1!$B$2:$D$3209,3,FALSE)</f>
        <v>460</v>
      </c>
      <c r="R523" s="47" t="s">
        <v>35</v>
      </c>
      <c r="S523" s="47" t="s">
        <v>35</v>
      </c>
      <c r="T523" s="47" t="s">
        <v>35</v>
      </c>
      <c r="U523" s="47" t="s">
        <v>35</v>
      </c>
      <c r="V523" s="47" t="s">
        <v>35</v>
      </c>
      <c r="W523" s="47" t="s">
        <v>35</v>
      </c>
      <c r="X523" s="47" t="s">
        <v>35</v>
      </c>
      <c r="Y523" s="47" t="s">
        <v>35</v>
      </c>
      <c r="Z523" s="47" t="s">
        <v>35</v>
      </c>
      <c r="AA523" s="47" t="s">
        <v>35</v>
      </c>
      <c r="AB523" s="47" t="s">
        <v>35</v>
      </c>
      <c r="AC523" s="47" t="s">
        <v>35</v>
      </c>
      <c r="AD523" s="73" t="str">
        <f>VLOOKUP(E545,sheet1!$B$2:$C$3209,2,FALSE)</f>
        <v>実地棚卸表印刷</v>
      </c>
      <c r="AE523" s="49"/>
      <c r="AF523" s="51" t="s">
        <v>2155</v>
      </c>
      <c r="AG523" s="51" t="s">
        <v>2136</v>
      </c>
      <c r="AH523" s="49" t="str">
        <f t="shared" si="44"/>
        <v>部課区分場所別集計表（滞留）</v>
      </c>
      <c r="AI523" s="49"/>
      <c r="AJ523" s="49"/>
      <c r="AK523" s="49"/>
      <c r="AL523" s="49" t="str">
        <f t="shared" si="45"/>
        <v>機種別集計表（滞留品）</v>
      </c>
      <c r="AM523" s="49" t="s">
        <v>35</v>
      </c>
      <c r="AN523" s="49" t="s">
        <v>2156</v>
      </c>
      <c r="AO523" s="51" t="str">
        <f t="shared" si="39"/>
        <v>在庫差異合計表</v>
      </c>
      <c r="AP523" s="51" t="str">
        <f t="shared" si="40"/>
        <v>PD6210</v>
      </c>
      <c r="AQ523" s="51" t="s">
        <v>2157</v>
      </c>
      <c r="AR523" s="51" t="s">
        <v>2117</v>
      </c>
      <c r="AS523" s="49" t="str">
        <f t="shared" si="41"/>
        <v>在庫差異合計表</v>
      </c>
      <c r="AT523" s="49" t="str">
        <f t="shared" si="42"/>
        <v>PD6210</v>
      </c>
      <c r="AU523" s="51" t="s">
        <v>2157</v>
      </c>
      <c r="AV523" s="51" t="s">
        <v>2117</v>
      </c>
    </row>
    <row r="524" spans="1:48" ht="18" customHeight="1">
      <c r="A524" s="44">
        <v>522</v>
      </c>
      <c r="B524" s="71" t="s">
        <v>1076</v>
      </c>
      <c r="C524" s="52" t="s">
        <v>2089</v>
      </c>
      <c r="D524" s="46" t="s">
        <v>116</v>
      </c>
      <c r="E524" s="44" t="s">
        <v>2117</v>
      </c>
      <c r="F524" s="44" t="s">
        <v>2097</v>
      </c>
      <c r="G524" s="44"/>
      <c r="H524" s="44"/>
      <c r="I524" s="44"/>
      <c r="J524" s="47" t="s">
        <v>35</v>
      </c>
      <c r="K524" s="47"/>
      <c r="L524" s="47"/>
      <c r="M524" s="47"/>
      <c r="N524" s="47"/>
      <c r="O524" s="44"/>
      <c r="P524" s="44"/>
      <c r="Q524" s="48">
        <f>VLOOKUP(E524,sheet1!$B$2:$D$3209,3,FALSE)</f>
        <v>180</v>
      </c>
      <c r="R524" s="47" t="s">
        <v>35</v>
      </c>
      <c r="S524" s="47" t="s">
        <v>35</v>
      </c>
      <c r="T524" s="47"/>
      <c r="U524" s="47" t="s">
        <v>35</v>
      </c>
      <c r="V524" s="47" t="s">
        <v>35</v>
      </c>
      <c r="W524" s="47" t="s">
        <v>35</v>
      </c>
      <c r="X524" s="47" t="s">
        <v>35</v>
      </c>
      <c r="Y524" s="47" t="s">
        <v>35</v>
      </c>
      <c r="Z524" s="47" t="s">
        <v>35</v>
      </c>
      <c r="AA524" s="47" t="s">
        <v>35</v>
      </c>
      <c r="AB524" s="47" t="s">
        <v>35</v>
      </c>
      <c r="AC524" s="47" t="s">
        <v>35</v>
      </c>
      <c r="AD524" s="73" t="e">
        <f>VLOOKUP(E560,sheet1!$B$2:$C$3209,2,FALSE)</f>
        <v>#N/A</v>
      </c>
      <c r="AE524" s="49"/>
      <c r="AF524" s="51" t="s">
        <v>2158</v>
      </c>
      <c r="AG524" s="57" t="s">
        <v>116</v>
      </c>
      <c r="AH524" s="49" t="str">
        <f t="shared" si="44"/>
        <v>部課区分場所別合計表</v>
      </c>
      <c r="AI524" s="49"/>
      <c r="AJ524" s="49"/>
      <c r="AK524" s="49"/>
      <c r="AL524" s="49" t="str">
        <f t="shared" si="45"/>
        <v>部課区分機種別集計表（滞留）</v>
      </c>
      <c r="AM524" s="49" t="s">
        <v>35</v>
      </c>
      <c r="AN524" s="49" t="s">
        <v>2159</v>
      </c>
      <c r="AO524" s="51" t="str">
        <f t="shared" si="39"/>
        <v>在庫差異集計表</v>
      </c>
      <c r="AP524" s="51" t="str">
        <f t="shared" si="40"/>
        <v>PD6220</v>
      </c>
      <c r="AQ524" s="51" t="s">
        <v>2160</v>
      </c>
      <c r="AR524" s="51" t="s">
        <v>2123</v>
      </c>
      <c r="AS524" s="49" t="str">
        <f t="shared" si="41"/>
        <v>在庫差異集計表</v>
      </c>
      <c r="AT524" s="49" t="str">
        <f t="shared" si="42"/>
        <v>PD6220</v>
      </c>
      <c r="AU524" s="51" t="s">
        <v>2160</v>
      </c>
      <c r="AV524" s="51" t="s">
        <v>2123</v>
      </c>
    </row>
    <row r="525" spans="1:48" ht="18" customHeight="1">
      <c r="A525" s="44">
        <v>523</v>
      </c>
      <c r="B525" s="71" t="s">
        <v>1076</v>
      </c>
      <c r="C525" s="52" t="s">
        <v>2089</v>
      </c>
      <c r="D525" s="46" t="s">
        <v>116</v>
      </c>
      <c r="E525" s="44" t="s">
        <v>2123</v>
      </c>
      <c r="F525" s="44" t="s">
        <v>2102</v>
      </c>
      <c r="G525" s="44"/>
      <c r="H525" s="44"/>
      <c r="I525" s="44"/>
      <c r="J525" s="47" t="s">
        <v>35</v>
      </c>
      <c r="K525" s="47"/>
      <c r="L525" s="47"/>
      <c r="M525" s="47"/>
      <c r="N525" s="47"/>
      <c r="O525" s="44"/>
      <c r="P525" s="44"/>
      <c r="Q525" s="48">
        <f>VLOOKUP(E525,sheet1!$B$2:$D$3209,3,FALSE)</f>
        <v>290</v>
      </c>
      <c r="R525" s="47" t="s">
        <v>35</v>
      </c>
      <c r="S525" s="47" t="s">
        <v>35</v>
      </c>
      <c r="T525" s="47"/>
      <c r="U525" s="47" t="s">
        <v>35</v>
      </c>
      <c r="V525" s="47" t="s">
        <v>35</v>
      </c>
      <c r="W525" s="47" t="s">
        <v>35</v>
      </c>
      <c r="X525" s="47" t="s">
        <v>35</v>
      </c>
      <c r="Y525" s="47" t="s">
        <v>35</v>
      </c>
      <c r="Z525" s="47" t="s">
        <v>35</v>
      </c>
      <c r="AA525" s="47" t="s">
        <v>35</v>
      </c>
      <c r="AB525" s="47" t="s">
        <v>35</v>
      </c>
      <c r="AC525" s="47" t="s">
        <v>35</v>
      </c>
      <c r="AD525" s="73" t="e">
        <f>VLOOKUP(E562,sheet1!$B$2:$C$3209,2,FALSE)</f>
        <v>#N/A</v>
      </c>
      <c r="AE525" s="49"/>
      <c r="AF525" s="51" t="s">
        <v>2161</v>
      </c>
      <c r="AG525" s="57" t="s">
        <v>116</v>
      </c>
      <c r="AH525" s="49" t="str">
        <f t="shared" si="44"/>
        <v>部課区分場所別合計表（滞留）</v>
      </c>
      <c r="AI525" s="49"/>
      <c r="AJ525" s="49"/>
      <c r="AK525" s="49"/>
      <c r="AL525" s="49" t="str">
        <f t="shared" si="45"/>
        <v>場所区分部課別合計表</v>
      </c>
      <c r="AM525" s="49" t="s">
        <v>35</v>
      </c>
      <c r="AN525" s="49" t="s">
        <v>2162</v>
      </c>
      <c r="AO525" s="51" t="str">
        <f t="shared" si="39"/>
        <v>在庫差異明細表</v>
      </c>
      <c r="AP525" s="51" t="str">
        <f t="shared" si="40"/>
        <v>PD6230</v>
      </c>
      <c r="AQ525" s="51" t="s">
        <v>2126</v>
      </c>
      <c r="AR525" s="51" t="s">
        <v>2127</v>
      </c>
      <c r="AS525" s="49" t="str">
        <f t="shared" si="41"/>
        <v>在庫差異明細表</v>
      </c>
      <c r="AT525" s="49" t="str">
        <f t="shared" si="42"/>
        <v>PD6230</v>
      </c>
      <c r="AU525" s="51" t="s">
        <v>2126</v>
      </c>
      <c r="AV525" s="51" t="s">
        <v>2127</v>
      </c>
    </row>
    <row r="526" spans="1:48" ht="18" customHeight="1">
      <c r="A526" s="44">
        <v>524</v>
      </c>
      <c r="B526" s="71" t="s">
        <v>1076</v>
      </c>
      <c r="C526" s="52" t="s">
        <v>2089</v>
      </c>
      <c r="D526" s="46" t="s">
        <v>116</v>
      </c>
      <c r="E526" s="44" t="s">
        <v>2127</v>
      </c>
      <c r="F526" s="44" t="s">
        <v>2106</v>
      </c>
      <c r="G526" s="44"/>
      <c r="H526" s="44"/>
      <c r="I526" s="44"/>
      <c r="J526" s="47" t="s">
        <v>35</v>
      </c>
      <c r="K526" s="47"/>
      <c r="L526" s="47"/>
      <c r="M526" s="47"/>
      <c r="N526" s="47"/>
      <c r="O526" s="44"/>
      <c r="P526" s="44"/>
      <c r="Q526" s="48">
        <f>VLOOKUP(E526,sheet1!$B$2:$D$3209,3,FALSE)</f>
        <v>601</v>
      </c>
      <c r="R526" s="47" t="s">
        <v>35</v>
      </c>
      <c r="S526" s="47" t="s">
        <v>35</v>
      </c>
      <c r="T526" s="47"/>
      <c r="U526" s="47" t="s">
        <v>35</v>
      </c>
      <c r="V526" s="47" t="s">
        <v>35</v>
      </c>
      <c r="W526" s="47" t="s">
        <v>35</v>
      </c>
      <c r="X526" s="47" t="s">
        <v>35</v>
      </c>
      <c r="Y526" s="47" t="s">
        <v>35</v>
      </c>
      <c r="Z526" s="47" t="s">
        <v>35</v>
      </c>
      <c r="AA526" s="47" t="s">
        <v>35</v>
      </c>
      <c r="AB526" s="47" t="s">
        <v>35</v>
      </c>
      <c r="AC526" s="47" t="s">
        <v>35</v>
      </c>
      <c r="AD526" s="73" t="e">
        <f>VLOOKUP(E563,sheet1!$B$2:$C$3209,2,FALSE)</f>
        <v>#N/A</v>
      </c>
      <c r="AE526" s="49"/>
      <c r="AF526" s="51" t="s">
        <v>2163</v>
      </c>
      <c r="AG526" s="57" t="s">
        <v>116</v>
      </c>
      <c r="AH526" s="49" t="str">
        <f t="shared" si="44"/>
        <v>機種別合計表</v>
      </c>
      <c r="AI526" s="49"/>
      <c r="AJ526" s="49"/>
      <c r="AK526" s="49"/>
      <c r="AL526" s="49" t="str">
        <f t="shared" si="45"/>
        <v>場所区分部課別合計表（滞留）</v>
      </c>
      <c r="AM526" s="49" t="s">
        <v>35</v>
      </c>
      <c r="AN526" s="49" t="s">
        <v>2164</v>
      </c>
      <c r="AO526" s="51" t="str">
        <f t="shared" si="39"/>
        <v/>
      </c>
      <c r="AP526" s="51" t="str">
        <f t="shared" si="40"/>
        <v/>
      </c>
      <c r="AQ526" s="51"/>
      <c r="AR526" s="51"/>
      <c r="AS526" s="49" t="str">
        <f t="shared" si="41"/>
        <v/>
      </c>
      <c r="AT526" s="49" t="str">
        <f t="shared" si="42"/>
        <v/>
      </c>
      <c r="AU526" s="49"/>
      <c r="AV526" s="49"/>
    </row>
    <row r="527" spans="1:48" ht="18" customHeight="1">
      <c r="A527" s="44">
        <v>525</v>
      </c>
      <c r="B527" s="71" t="s">
        <v>1076</v>
      </c>
      <c r="C527" s="52" t="s">
        <v>2089</v>
      </c>
      <c r="D527" s="46" t="s">
        <v>116</v>
      </c>
      <c r="E527" s="44" t="s">
        <v>2131</v>
      </c>
      <c r="F527" s="44" t="s">
        <v>2165</v>
      </c>
      <c r="G527" s="44"/>
      <c r="H527" s="44"/>
      <c r="I527" s="44"/>
      <c r="J527" s="47" t="s">
        <v>35</v>
      </c>
      <c r="K527" s="47"/>
      <c r="L527" s="47"/>
      <c r="M527" s="47"/>
      <c r="N527" s="47"/>
      <c r="O527" s="44"/>
      <c r="P527" s="44"/>
      <c r="Q527" s="48">
        <f>VLOOKUP(E527,sheet1!$B$2:$D$3209,3,FALSE)</f>
        <v>15</v>
      </c>
      <c r="R527" s="47" t="s">
        <v>35</v>
      </c>
      <c r="S527" s="47" t="s">
        <v>296</v>
      </c>
      <c r="T527" s="47"/>
      <c r="U527" s="47" t="s">
        <v>296</v>
      </c>
      <c r="V527" s="47" t="s">
        <v>296</v>
      </c>
      <c r="W527" s="47" t="s">
        <v>296</v>
      </c>
      <c r="X527" s="47" t="s">
        <v>296</v>
      </c>
      <c r="Y527" s="47" t="s">
        <v>296</v>
      </c>
      <c r="Z527" s="47" t="s">
        <v>296</v>
      </c>
      <c r="AA527" s="47" t="s">
        <v>296</v>
      </c>
      <c r="AB527" s="47"/>
      <c r="AC527" s="47" t="s">
        <v>35</v>
      </c>
      <c r="AD527" s="73" t="str">
        <f>VLOOKUP(E565,sheet1!$B$2:$C$3209,2,FALSE)</f>
        <v>参考原価入力</v>
      </c>
      <c r="AE527" s="49"/>
      <c r="AF527" s="51" t="s">
        <v>2166</v>
      </c>
      <c r="AG527" s="57" t="s">
        <v>116</v>
      </c>
      <c r="AH527" s="49" t="str">
        <f t="shared" si="44"/>
        <v>機種別合計表（滞留品）</v>
      </c>
      <c r="AI527" s="49"/>
      <c r="AJ527" s="49"/>
      <c r="AK527" s="49"/>
      <c r="AL527" s="49" t="str">
        <f t="shared" si="45"/>
        <v>低価法在庫再評価用データ抽出</v>
      </c>
      <c r="AM527" s="49" t="s">
        <v>35</v>
      </c>
      <c r="AN527" s="49" t="s">
        <v>2167</v>
      </c>
      <c r="AO527" s="51" t="str">
        <f t="shared" si="39"/>
        <v>部課別区分別集計表</v>
      </c>
      <c r="AP527" s="51" t="str">
        <f t="shared" si="40"/>
        <v>AC0000D</v>
      </c>
      <c r="AQ527" s="51" t="s">
        <v>2135</v>
      </c>
      <c r="AR527" s="51" t="s">
        <v>2136</v>
      </c>
      <c r="AS527" s="49" t="str">
        <f t="shared" si="41"/>
        <v>部課別区分別集計表</v>
      </c>
      <c r="AT527" s="49" t="str">
        <f t="shared" si="42"/>
        <v>AC0000D</v>
      </c>
      <c r="AU527" s="49" t="s">
        <v>2135</v>
      </c>
      <c r="AV527" s="49" t="s">
        <v>2136</v>
      </c>
    </row>
    <row r="528" spans="1:48" ht="18" customHeight="1">
      <c r="A528" s="44">
        <v>526</v>
      </c>
      <c r="B528" s="71" t="s">
        <v>1076</v>
      </c>
      <c r="C528" s="52" t="s">
        <v>2089</v>
      </c>
      <c r="D528" s="53" t="s">
        <v>2168</v>
      </c>
      <c r="E528" s="44" t="s">
        <v>2136</v>
      </c>
      <c r="F528" s="44" t="s">
        <v>2169</v>
      </c>
      <c r="G528" s="44"/>
      <c r="H528" s="44"/>
      <c r="I528" s="44"/>
      <c r="J528" s="47" t="s">
        <v>35</v>
      </c>
      <c r="K528" s="47"/>
      <c r="L528" s="47"/>
      <c r="M528" s="47"/>
      <c r="N528" s="47"/>
      <c r="O528" s="44"/>
      <c r="P528" s="44"/>
      <c r="Q528" s="48" t="e">
        <f>VLOOKUP(E528,sheet1!$B$2:$D$3209,3,FALSE)</f>
        <v>#N/A</v>
      </c>
      <c r="R528" s="47" t="s">
        <v>35</v>
      </c>
      <c r="S528" s="47" t="s">
        <v>35</v>
      </c>
      <c r="T528" s="47" t="s">
        <v>35</v>
      </c>
      <c r="U528" s="47" t="s">
        <v>35</v>
      </c>
      <c r="V528" s="47" t="s">
        <v>35</v>
      </c>
      <c r="W528" s="47" t="s">
        <v>35</v>
      </c>
      <c r="X528" s="47" t="s">
        <v>35</v>
      </c>
      <c r="Y528" s="47" t="s">
        <v>35</v>
      </c>
      <c r="Z528" s="47" t="s">
        <v>35</v>
      </c>
      <c r="AA528" s="47" t="s">
        <v>35</v>
      </c>
      <c r="AB528" s="47" t="s">
        <v>35</v>
      </c>
      <c r="AC528" s="47" t="s">
        <v>35</v>
      </c>
      <c r="AD528" s="73" t="str">
        <f>VLOOKUP(E567,sheet1!$B$2:$C$3209,2,FALSE)</f>
        <v>参考原価リスト（品目別）</v>
      </c>
      <c r="AE528" s="49"/>
      <c r="AF528" s="51" t="s">
        <v>2170</v>
      </c>
      <c r="AG528" s="51" t="s">
        <v>2136</v>
      </c>
      <c r="AH528" s="49" t="str">
        <f t="shared" si="44"/>
        <v>機種別集計表</v>
      </c>
      <c r="AI528" s="49"/>
      <c r="AJ528" s="49"/>
      <c r="AK528" s="49"/>
      <c r="AL528" s="49" t="str">
        <f t="shared" si="45"/>
        <v>６部門別流動・滞留在庫表</v>
      </c>
      <c r="AM528" s="49" t="s">
        <v>35</v>
      </c>
      <c r="AN528" s="49" t="s">
        <v>2171</v>
      </c>
      <c r="AO528" s="51" t="str">
        <f t="shared" si="39"/>
        <v>部課別区分別集計表（滞留品）</v>
      </c>
      <c r="AP528" s="51" t="str">
        <f t="shared" si="40"/>
        <v>AC0000D</v>
      </c>
      <c r="AQ528" s="51" t="s">
        <v>2138</v>
      </c>
      <c r="AR528" s="51" t="s">
        <v>2136</v>
      </c>
      <c r="AS528" s="49" t="str">
        <f t="shared" si="41"/>
        <v>部課別区分別集計表（滞留品）</v>
      </c>
      <c r="AT528" s="49" t="str">
        <f t="shared" si="42"/>
        <v>AC0000D</v>
      </c>
      <c r="AU528" s="49" t="s">
        <v>2138</v>
      </c>
      <c r="AV528" s="49" t="s">
        <v>2136</v>
      </c>
    </row>
    <row r="529" spans="1:48" ht="18" customHeight="1">
      <c r="A529" s="44">
        <v>527</v>
      </c>
      <c r="B529" s="71" t="s">
        <v>1076</v>
      </c>
      <c r="C529" s="52" t="s">
        <v>2089</v>
      </c>
      <c r="D529" s="54" t="s">
        <v>2168</v>
      </c>
      <c r="E529" s="44" t="s">
        <v>2136</v>
      </c>
      <c r="F529" s="44" t="s">
        <v>2114</v>
      </c>
      <c r="G529" s="44"/>
      <c r="H529" s="44"/>
      <c r="I529" s="44"/>
      <c r="J529" s="47" t="s">
        <v>35</v>
      </c>
      <c r="K529" s="47"/>
      <c r="L529" s="47"/>
      <c r="M529" s="47"/>
      <c r="N529" s="47"/>
      <c r="O529" s="44"/>
      <c r="P529" s="44"/>
      <c r="Q529" s="48" t="e">
        <f>VLOOKUP(E529,sheet1!$B$2:$D$3209,3,FALSE)</f>
        <v>#N/A</v>
      </c>
      <c r="R529" s="47" t="s">
        <v>35</v>
      </c>
      <c r="S529" s="47" t="s">
        <v>35</v>
      </c>
      <c r="T529" s="47" t="s">
        <v>35</v>
      </c>
      <c r="U529" s="47" t="s">
        <v>35</v>
      </c>
      <c r="V529" s="47" t="s">
        <v>35</v>
      </c>
      <c r="W529" s="47" t="s">
        <v>35</v>
      </c>
      <c r="X529" s="47" t="s">
        <v>35</v>
      </c>
      <c r="Y529" s="47" t="s">
        <v>35</v>
      </c>
      <c r="Z529" s="47" t="s">
        <v>35</v>
      </c>
      <c r="AA529" s="47" t="s">
        <v>35</v>
      </c>
      <c r="AB529" s="47" t="s">
        <v>35</v>
      </c>
      <c r="AC529" s="47" t="s">
        <v>35</v>
      </c>
      <c r="AD529" s="73" t="e">
        <f>VLOOKUP(E539,sheet1!$B$2:$C$3209,2,FALSE)</f>
        <v>#N/A</v>
      </c>
      <c r="AE529" s="49"/>
      <c r="AF529" s="51" t="s">
        <v>2172</v>
      </c>
      <c r="AG529" s="51" t="s">
        <v>2136</v>
      </c>
      <c r="AH529" s="49" t="str">
        <f t="shared" si="44"/>
        <v>機種別集計表（滞留品）</v>
      </c>
      <c r="AI529" s="49"/>
      <c r="AJ529" s="49"/>
      <c r="AK529" s="49"/>
      <c r="AL529" s="49" t="str">
        <f t="shared" si="45"/>
        <v>実地棚卸表印刷</v>
      </c>
      <c r="AM529" s="49" t="s">
        <v>35</v>
      </c>
      <c r="AN529" s="49" t="s">
        <v>2173</v>
      </c>
      <c r="AO529" s="51" t="str">
        <f t="shared" si="39"/>
        <v>部課別区分別合計表</v>
      </c>
      <c r="AP529" s="51" t="str">
        <f t="shared" si="40"/>
        <v/>
      </c>
      <c r="AQ529" s="51" t="s">
        <v>2143</v>
      </c>
      <c r="AR529" s="51"/>
      <c r="AS529" s="49" t="str">
        <f t="shared" si="41"/>
        <v>部課別区分別合計表</v>
      </c>
      <c r="AT529" s="49" t="str">
        <f t="shared" si="42"/>
        <v/>
      </c>
      <c r="AU529" s="49" t="s">
        <v>2143</v>
      </c>
      <c r="AV529" s="49"/>
    </row>
    <row r="530" spans="1:48" ht="18" customHeight="1">
      <c r="A530" s="44">
        <v>528</v>
      </c>
      <c r="B530" s="71" t="s">
        <v>1076</v>
      </c>
      <c r="C530" s="52" t="s">
        <v>2089</v>
      </c>
      <c r="D530" s="54" t="s">
        <v>2168</v>
      </c>
      <c r="E530" s="44" t="s">
        <v>116</v>
      </c>
      <c r="F530" s="44" t="s">
        <v>2174</v>
      </c>
      <c r="G530" s="44"/>
      <c r="H530" s="44"/>
      <c r="I530" s="44"/>
      <c r="J530" s="47" t="s">
        <v>35</v>
      </c>
      <c r="K530" s="47"/>
      <c r="L530" s="47"/>
      <c r="M530" s="47"/>
      <c r="N530" s="47"/>
      <c r="O530" s="44"/>
      <c r="P530" s="44"/>
      <c r="Q530" s="48" t="e">
        <f>VLOOKUP(E530,sheet1!$B$2:$D$3209,3,FALSE)</f>
        <v>#N/A</v>
      </c>
      <c r="R530" s="47" t="s">
        <v>35</v>
      </c>
      <c r="S530" s="47" t="s">
        <v>35</v>
      </c>
      <c r="T530" s="47" t="s">
        <v>35</v>
      </c>
      <c r="U530" s="47" t="s">
        <v>35</v>
      </c>
      <c r="V530" s="47" t="s">
        <v>35</v>
      </c>
      <c r="W530" s="47" t="s">
        <v>35</v>
      </c>
      <c r="X530" s="47" t="s">
        <v>35</v>
      </c>
      <c r="Y530" s="47" t="s">
        <v>35</v>
      </c>
      <c r="Z530" s="47" t="s">
        <v>35</v>
      </c>
      <c r="AA530" s="47" t="s">
        <v>35</v>
      </c>
      <c r="AB530" s="47" t="s">
        <v>35</v>
      </c>
      <c r="AC530" s="47" t="s">
        <v>35</v>
      </c>
      <c r="AD530" s="73" t="e">
        <f>VLOOKUP(E540,sheet1!$B$2:$C$3209,2,FALSE)</f>
        <v>#N/A</v>
      </c>
      <c r="AE530" s="49"/>
      <c r="AF530" s="51" t="s">
        <v>2175</v>
      </c>
      <c r="AG530" s="51" t="s">
        <v>2136</v>
      </c>
      <c r="AH530" s="49" t="str">
        <f t="shared" si="44"/>
        <v>部課区分機種別集計表（滞留）</v>
      </c>
      <c r="AI530" s="49"/>
      <c r="AJ530" s="49"/>
      <c r="AK530" s="49"/>
      <c r="AL530" s="49" t="str">
        <f t="shared" si="45"/>
        <v>機種別流動・滞留在庫表</v>
      </c>
      <c r="AM530" s="49" t="s">
        <v>35</v>
      </c>
      <c r="AN530" s="49" t="s">
        <v>2176</v>
      </c>
      <c r="AO530" s="51" t="str">
        <f t="shared" si="39"/>
        <v>部課別区分別合計表（滞留品）</v>
      </c>
      <c r="AP530" s="51" t="str">
        <f t="shared" si="40"/>
        <v/>
      </c>
      <c r="AQ530" s="51" t="s">
        <v>2147</v>
      </c>
      <c r="AR530" s="51"/>
      <c r="AS530" s="49" t="str">
        <f t="shared" si="41"/>
        <v>部課別区分別合計表（滞留品）</v>
      </c>
      <c r="AT530" s="49" t="str">
        <f t="shared" si="42"/>
        <v/>
      </c>
      <c r="AU530" s="49" t="s">
        <v>2147</v>
      </c>
      <c r="AV530" s="49"/>
    </row>
    <row r="531" spans="1:48" ht="18" customHeight="1">
      <c r="A531" s="44">
        <v>529</v>
      </c>
      <c r="B531" s="71" t="s">
        <v>1076</v>
      </c>
      <c r="C531" s="52" t="s">
        <v>2089</v>
      </c>
      <c r="D531" s="54" t="s">
        <v>2168</v>
      </c>
      <c r="E531" s="44" t="s">
        <v>116</v>
      </c>
      <c r="F531" s="44" t="s">
        <v>2124</v>
      </c>
      <c r="G531" s="44"/>
      <c r="H531" s="44"/>
      <c r="I531" s="44"/>
      <c r="J531" s="47" t="s">
        <v>35</v>
      </c>
      <c r="K531" s="47"/>
      <c r="L531" s="47"/>
      <c r="M531" s="47"/>
      <c r="N531" s="47"/>
      <c r="O531" s="44"/>
      <c r="P531" s="44"/>
      <c r="Q531" s="48" t="e">
        <f>VLOOKUP(E531,sheet1!$B$2:$D$3209,3,FALSE)</f>
        <v>#N/A</v>
      </c>
      <c r="R531" s="47" t="s">
        <v>35</v>
      </c>
      <c r="S531" s="47" t="s">
        <v>35</v>
      </c>
      <c r="T531" s="47" t="s">
        <v>35</v>
      </c>
      <c r="U531" s="47" t="s">
        <v>35</v>
      </c>
      <c r="V531" s="47" t="s">
        <v>35</v>
      </c>
      <c r="W531" s="47" t="s">
        <v>35</v>
      </c>
      <c r="X531" s="47" t="s">
        <v>35</v>
      </c>
      <c r="Y531" s="47" t="s">
        <v>35</v>
      </c>
      <c r="Z531" s="47" t="s">
        <v>35</v>
      </c>
      <c r="AA531" s="47" t="s">
        <v>35</v>
      </c>
      <c r="AB531" s="47" t="s">
        <v>35</v>
      </c>
      <c r="AC531" s="47" t="s">
        <v>35</v>
      </c>
      <c r="AD531" s="73" t="e">
        <f>VLOOKUP(#REF!,sheet1!$B$2:$C$3209,2,FALSE)</f>
        <v>#REF!</v>
      </c>
      <c r="AE531" s="49"/>
      <c r="AF531" s="51" t="s">
        <v>2177</v>
      </c>
      <c r="AG531" s="57" t="s">
        <v>116</v>
      </c>
      <c r="AH531" s="49" t="str">
        <f t="shared" si="44"/>
        <v>場所区分部課別合計表</v>
      </c>
      <c r="AI531" s="49"/>
      <c r="AJ531" s="49"/>
      <c r="AK531" s="49"/>
      <c r="AL531" s="49" t="str">
        <f t="shared" si="45"/>
        <v>６部門別　製・商品在庫明細表</v>
      </c>
      <c r="AM531" s="49" t="s">
        <v>35</v>
      </c>
      <c r="AN531" s="49" t="s">
        <v>2178</v>
      </c>
      <c r="AO531" s="51" t="str">
        <f t="shared" si="39"/>
        <v>部課区分場所別集計表</v>
      </c>
      <c r="AP531" s="51" t="str">
        <f t="shared" si="40"/>
        <v>AC0000D</v>
      </c>
      <c r="AQ531" s="51" t="s">
        <v>2151</v>
      </c>
      <c r="AR531" s="51" t="s">
        <v>2136</v>
      </c>
      <c r="AS531" s="49" t="str">
        <f t="shared" si="41"/>
        <v>部課区分場所別集計表</v>
      </c>
      <c r="AT531" s="49" t="str">
        <f t="shared" si="42"/>
        <v>AC0000D</v>
      </c>
      <c r="AU531" s="49" t="s">
        <v>2151</v>
      </c>
      <c r="AV531" s="49" t="s">
        <v>2136</v>
      </c>
    </row>
    <row r="532" spans="1:48" ht="18" customHeight="1">
      <c r="A532" s="44">
        <v>530</v>
      </c>
      <c r="B532" s="71" t="s">
        <v>1076</v>
      </c>
      <c r="C532" s="52" t="s">
        <v>2089</v>
      </c>
      <c r="D532" s="54" t="s">
        <v>2168</v>
      </c>
      <c r="E532" s="44" t="s">
        <v>2136</v>
      </c>
      <c r="F532" s="44" t="s">
        <v>2179</v>
      </c>
      <c r="G532" s="44"/>
      <c r="H532" s="44"/>
      <c r="I532" s="44"/>
      <c r="J532" s="47" t="s">
        <v>35</v>
      </c>
      <c r="K532" s="47"/>
      <c r="L532" s="47"/>
      <c r="M532" s="47"/>
      <c r="N532" s="47"/>
      <c r="O532" s="44"/>
      <c r="P532" s="44"/>
      <c r="Q532" s="48" t="e">
        <f>VLOOKUP(E532,sheet1!$B$2:$D$3209,3,FALSE)</f>
        <v>#N/A</v>
      </c>
      <c r="R532" s="47" t="s">
        <v>35</v>
      </c>
      <c r="S532" s="47" t="s">
        <v>35</v>
      </c>
      <c r="T532" s="47" t="s">
        <v>35</v>
      </c>
      <c r="U532" s="47" t="s">
        <v>35</v>
      </c>
      <c r="V532" s="47" t="s">
        <v>35</v>
      </c>
      <c r="W532" s="47" t="s">
        <v>35</v>
      </c>
      <c r="X532" s="47" t="s">
        <v>35</v>
      </c>
      <c r="Y532" s="47" t="s">
        <v>35</v>
      </c>
      <c r="Z532" s="47" t="s">
        <v>35</v>
      </c>
      <c r="AA532" s="47" t="s">
        <v>35</v>
      </c>
      <c r="AB532" s="47" t="s">
        <v>35</v>
      </c>
      <c r="AC532" s="47" t="s">
        <v>35</v>
      </c>
      <c r="AD532" s="73" t="e">
        <f>VLOOKUP(E542,sheet1!$B$2:$C$3209,2,FALSE)</f>
        <v>#N/A</v>
      </c>
      <c r="AE532" s="49"/>
      <c r="AF532" s="51" t="s">
        <v>2180</v>
      </c>
      <c r="AG532" s="57" t="s">
        <v>116</v>
      </c>
      <c r="AH532" s="49" t="str">
        <f t="shared" si="44"/>
        <v>場所区分部課別合計表（滞留）</v>
      </c>
      <c r="AI532" s="49"/>
      <c r="AJ532" s="49"/>
      <c r="AK532" s="49"/>
      <c r="AL532" s="49" t="str">
        <f t="shared" si="45"/>
        <v>４品種別　製・商品在庫明細表</v>
      </c>
      <c r="AM532" s="49" t="s">
        <v>35</v>
      </c>
      <c r="AN532" s="49" t="s">
        <v>2181</v>
      </c>
      <c r="AO532" s="51" t="str">
        <f t="shared" si="39"/>
        <v>部課区分場所別集計表（滞留）</v>
      </c>
      <c r="AP532" s="51" t="str">
        <f t="shared" si="40"/>
        <v>AC0000D</v>
      </c>
      <c r="AQ532" s="51" t="s">
        <v>2155</v>
      </c>
      <c r="AR532" s="51" t="s">
        <v>2136</v>
      </c>
      <c r="AS532" s="49" t="str">
        <f t="shared" si="41"/>
        <v>部課区分場所別集計表（滞留）</v>
      </c>
      <c r="AT532" s="49" t="str">
        <f t="shared" si="42"/>
        <v>AC0000D</v>
      </c>
      <c r="AU532" s="49" t="s">
        <v>2155</v>
      </c>
      <c r="AV532" s="49" t="s">
        <v>2136</v>
      </c>
    </row>
    <row r="533" spans="1:48" ht="18" customHeight="1">
      <c r="A533" s="44">
        <v>531</v>
      </c>
      <c r="B533" s="71" t="s">
        <v>1076</v>
      </c>
      <c r="C533" s="52" t="s">
        <v>2089</v>
      </c>
      <c r="D533" s="54" t="s">
        <v>2168</v>
      </c>
      <c r="E533" s="44" t="s">
        <v>2136</v>
      </c>
      <c r="F533" s="44" t="s">
        <v>2132</v>
      </c>
      <c r="G533" s="44"/>
      <c r="H533" s="44"/>
      <c r="I533" s="44"/>
      <c r="J533" s="47" t="s">
        <v>35</v>
      </c>
      <c r="K533" s="47"/>
      <c r="L533" s="47"/>
      <c r="M533" s="47"/>
      <c r="N533" s="47"/>
      <c r="O533" s="44"/>
      <c r="P533" s="44"/>
      <c r="Q533" s="48" t="e">
        <f>VLOOKUP(E533,sheet1!$B$2:$D$3209,3,FALSE)</f>
        <v>#N/A</v>
      </c>
      <c r="R533" s="47" t="s">
        <v>35</v>
      </c>
      <c r="S533" s="47" t="s">
        <v>35</v>
      </c>
      <c r="T533" s="47" t="s">
        <v>35</v>
      </c>
      <c r="U533" s="47" t="s">
        <v>35</v>
      </c>
      <c r="V533" s="47" t="s">
        <v>35</v>
      </c>
      <c r="W533" s="47" t="s">
        <v>35</v>
      </c>
      <c r="X533" s="47" t="s">
        <v>35</v>
      </c>
      <c r="Y533" s="47" t="s">
        <v>35</v>
      </c>
      <c r="Z533" s="47" t="s">
        <v>35</v>
      </c>
      <c r="AA533" s="47" t="s">
        <v>35</v>
      </c>
      <c r="AB533" s="47" t="s">
        <v>35</v>
      </c>
      <c r="AC533" s="47" t="s">
        <v>35</v>
      </c>
      <c r="AD533" s="73" t="str">
        <f>VLOOKUP(E543,sheet1!$B$2:$C$3209,2,FALSE)</f>
        <v>低価法在庫再評価用データダウンロード</v>
      </c>
      <c r="AE533" s="49"/>
      <c r="AF533" s="51" t="s">
        <v>2182</v>
      </c>
      <c r="AG533" s="51" t="s">
        <v>2183</v>
      </c>
      <c r="AH533" s="49" t="str">
        <f t="shared" si="44"/>
        <v>低価法在庫再評価用データ抽出</v>
      </c>
      <c r="AI533" s="49"/>
      <c r="AJ533" s="49"/>
      <c r="AK533" s="49"/>
      <c r="AL533" s="49" t="str">
        <f t="shared" si="45"/>
        <v>製・商品在庫集計表</v>
      </c>
      <c r="AM533" s="49" t="s">
        <v>35</v>
      </c>
      <c r="AN533" s="49" t="s">
        <v>2184</v>
      </c>
      <c r="AO533" s="51" t="str">
        <f t="shared" si="39"/>
        <v>部課区分場所別合計表</v>
      </c>
      <c r="AP533" s="51" t="str">
        <f t="shared" si="40"/>
        <v/>
      </c>
      <c r="AQ533" s="51" t="s">
        <v>2158</v>
      </c>
      <c r="AR533" s="51"/>
      <c r="AS533" s="49" t="str">
        <f t="shared" si="41"/>
        <v>部課区分場所別合計表</v>
      </c>
      <c r="AT533" s="49" t="str">
        <f t="shared" si="42"/>
        <v/>
      </c>
      <c r="AU533" s="49" t="s">
        <v>2158</v>
      </c>
      <c r="AV533" s="49"/>
    </row>
    <row r="534" spans="1:48" ht="18" customHeight="1">
      <c r="A534" s="44">
        <v>532</v>
      </c>
      <c r="B534" s="71" t="s">
        <v>1076</v>
      </c>
      <c r="C534" s="52" t="s">
        <v>2089</v>
      </c>
      <c r="D534" s="54" t="s">
        <v>2168</v>
      </c>
      <c r="E534" s="44" t="s">
        <v>116</v>
      </c>
      <c r="F534" s="44" t="s">
        <v>2185</v>
      </c>
      <c r="G534" s="44"/>
      <c r="H534" s="44"/>
      <c r="I534" s="44"/>
      <c r="J534" s="47" t="s">
        <v>35</v>
      </c>
      <c r="K534" s="47"/>
      <c r="L534" s="47"/>
      <c r="M534" s="47"/>
      <c r="N534" s="47"/>
      <c r="O534" s="44"/>
      <c r="P534" s="44"/>
      <c r="Q534" s="48" t="e">
        <f>VLOOKUP(E534,sheet1!$B$2:$D$3209,3,FALSE)</f>
        <v>#N/A</v>
      </c>
      <c r="R534" s="47" t="s">
        <v>35</v>
      </c>
      <c r="S534" s="47" t="s">
        <v>35</v>
      </c>
      <c r="T534" s="47" t="s">
        <v>35</v>
      </c>
      <c r="U534" s="47" t="s">
        <v>35</v>
      </c>
      <c r="V534" s="47" t="s">
        <v>35</v>
      </c>
      <c r="W534" s="47" t="s">
        <v>35</v>
      </c>
      <c r="X534" s="47" t="s">
        <v>35</v>
      </c>
      <c r="Y534" s="47" t="s">
        <v>35</v>
      </c>
      <c r="Z534" s="47" t="s">
        <v>35</v>
      </c>
      <c r="AA534" s="47" t="s">
        <v>35</v>
      </c>
      <c r="AB534" s="47" t="s">
        <v>35</v>
      </c>
      <c r="AC534" s="47" t="s">
        <v>35</v>
      </c>
      <c r="AD534" s="73" t="str">
        <f>VLOOKUP(E544,sheet1!$B$2:$C$3209,2,FALSE)</f>
        <v>流動･滞留在庫表</v>
      </c>
      <c r="AE534" s="49"/>
      <c r="AF534" s="51" t="s">
        <v>2186</v>
      </c>
      <c r="AG534" s="51" t="s">
        <v>2187</v>
      </c>
      <c r="AH534" s="49" t="str">
        <f t="shared" si="44"/>
        <v>６部門別流動・滞留在庫表</v>
      </c>
      <c r="AI534" s="49"/>
      <c r="AJ534" s="49"/>
      <c r="AK534" s="49"/>
      <c r="AL534" s="49" t="str">
        <f t="shared" si="45"/>
        <v>社外在庫報告書</v>
      </c>
      <c r="AM534" s="49" t="s">
        <v>35</v>
      </c>
      <c r="AN534" s="49" t="s">
        <v>2188</v>
      </c>
      <c r="AO534" s="51" t="str">
        <f t="shared" si="39"/>
        <v>部課区分場所別合計表（滞留）</v>
      </c>
      <c r="AP534" s="51" t="str">
        <f t="shared" si="40"/>
        <v/>
      </c>
      <c r="AQ534" s="51" t="s">
        <v>2161</v>
      </c>
      <c r="AR534" s="51"/>
      <c r="AS534" s="49" t="str">
        <f t="shared" si="41"/>
        <v>部課区分場所別合計表（滞留）</v>
      </c>
      <c r="AT534" s="49" t="str">
        <f t="shared" si="42"/>
        <v/>
      </c>
      <c r="AU534" s="49" t="s">
        <v>2161</v>
      </c>
      <c r="AV534" s="49"/>
    </row>
    <row r="535" spans="1:48" ht="18" customHeight="1">
      <c r="A535" s="44">
        <v>533</v>
      </c>
      <c r="B535" s="71" t="s">
        <v>1076</v>
      </c>
      <c r="C535" s="52" t="s">
        <v>2089</v>
      </c>
      <c r="D535" s="54" t="s">
        <v>2168</v>
      </c>
      <c r="E535" s="44" t="s">
        <v>116</v>
      </c>
      <c r="F535" s="44" t="s">
        <v>2139</v>
      </c>
      <c r="G535" s="44"/>
      <c r="H535" s="44"/>
      <c r="I535" s="44"/>
      <c r="J535" s="47" t="s">
        <v>35</v>
      </c>
      <c r="K535" s="47"/>
      <c r="L535" s="47"/>
      <c r="M535" s="47"/>
      <c r="N535" s="47"/>
      <c r="O535" s="44"/>
      <c r="P535" s="44"/>
      <c r="Q535" s="48" t="e">
        <f>VLOOKUP(E535,sheet1!$B$2:$D$3209,3,FALSE)</f>
        <v>#N/A</v>
      </c>
      <c r="R535" s="47" t="s">
        <v>35</v>
      </c>
      <c r="S535" s="47" t="s">
        <v>35</v>
      </c>
      <c r="T535" s="47" t="s">
        <v>35</v>
      </c>
      <c r="U535" s="47" t="s">
        <v>35</v>
      </c>
      <c r="V535" s="47" t="s">
        <v>35</v>
      </c>
      <c r="W535" s="47" t="s">
        <v>35</v>
      </c>
      <c r="X535" s="47" t="s">
        <v>35</v>
      </c>
      <c r="Y535" s="47" t="s">
        <v>35</v>
      </c>
      <c r="Z535" s="47" t="s">
        <v>35</v>
      </c>
      <c r="AA535" s="47" t="s">
        <v>35</v>
      </c>
      <c r="AB535" s="47" t="s">
        <v>35</v>
      </c>
      <c r="AC535" s="47" t="s">
        <v>35</v>
      </c>
      <c r="AD535" s="73" t="e">
        <f>VLOOKUP(#REF!,sheet1!$B$2:$C$3209,2,FALSE)</f>
        <v>#REF!</v>
      </c>
      <c r="AE535" s="49"/>
      <c r="AF535" s="51" t="s">
        <v>2189</v>
      </c>
      <c r="AG535" s="51" t="s">
        <v>2190</v>
      </c>
      <c r="AH535" s="49" t="str">
        <f t="shared" si="44"/>
        <v>実地棚卸表印刷</v>
      </c>
      <c r="AI535" s="49"/>
      <c r="AJ535" s="49"/>
      <c r="AK535" s="49"/>
      <c r="AL535" s="49" t="str">
        <f t="shared" si="45"/>
        <v>部門別区分別機種別滞留品</v>
      </c>
      <c r="AM535" s="49" t="s">
        <v>35</v>
      </c>
      <c r="AN535" s="49" t="s">
        <v>2191</v>
      </c>
      <c r="AO535" s="51" t="str">
        <f t="shared" si="39"/>
        <v>機種別合計表</v>
      </c>
      <c r="AP535" s="51" t="str">
        <f t="shared" si="40"/>
        <v/>
      </c>
      <c r="AQ535" s="51" t="s">
        <v>2163</v>
      </c>
      <c r="AR535" s="51"/>
      <c r="AS535" s="49" t="str">
        <f t="shared" si="41"/>
        <v>機種別合計表</v>
      </c>
      <c r="AT535" s="49" t="str">
        <f t="shared" si="42"/>
        <v/>
      </c>
      <c r="AU535" s="49" t="s">
        <v>2163</v>
      </c>
      <c r="AV535" s="49"/>
    </row>
    <row r="536" spans="1:48" ht="18" customHeight="1">
      <c r="A536" s="44">
        <v>534</v>
      </c>
      <c r="B536" s="71" t="s">
        <v>1076</v>
      </c>
      <c r="C536" s="52" t="s">
        <v>2089</v>
      </c>
      <c r="D536" s="54" t="s">
        <v>2168</v>
      </c>
      <c r="E536" s="44" t="s">
        <v>116</v>
      </c>
      <c r="F536" s="44" t="s">
        <v>2192</v>
      </c>
      <c r="G536" s="44"/>
      <c r="H536" s="44"/>
      <c r="I536" s="44"/>
      <c r="J536" s="47" t="s">
        <v>35</v>
      </c>
      <c r="K536" s="47"/>
      <c r="L536" s="47"/>
      <c r="M536" s="47"/>
      <c r="N536" s="47"/>
      <c r="O536" s="44"/>
      <c r="P536" s="44"/>
      <c r="Q536" s="48" t="e">
        <f>VLOOKUP(E536,sheet1!$B$2:$D$3209,3,FALSE)</f>
        <v>#N/A</v>
      </c>
      <c r="R536" s="47" t="s">
        <v>35</v>
      </c>
      <c r="S536" s="47" t="s">
        <v>35</v>
      </c>
      <c r="T536" s="47" t="s">
        <v>35</v>
      </c>
      <c r="U536" s="47" t="s">
        <v>35</v>
      </c>
      <c r="V536" s="47" t="s">
        <v>35</v>
      </c>
      <c r="W536" s="47" t="s">
        <v>35</v>
      </c>
      <c r="X536" s="47" t="s">
        <v>35</v>
      </c>
      <c r="Y536" s="47" t="s">
        <v>35</v>
      </c>
      <c r="Z536" s="47" t="s">
        <v>35</v>
      </c>
      <c r="AA536" s="47" t="s">
        <v>35</v>
      </c>
      <c r="AB536" s="47" t="s">
        <v>35</v>
      </c>
      <c r="AC536" s="47" t="s">
        <v>35</v>
      </c>
      <c r="AD536" s="73" t="e">
        <f>VLOOKUP(E559,sheet1!$B$2:$C$3209,2,FALSE)</f>
        <v>#N/A</v>
      </c>
      <c r="AE536" s="49"/>
      <c r="AF536" s="51" t="s">
        <v>2193</v>
      </c>
      <c r="AG536" s="51" t="s">
        <v>2194</v>
      </c>
      <c r="AH536" s="49" t="str">
        <f t="shared" si="44"/>
        <v>機種別流動・滞留在庫表</v>
      </c>
      <c r="AI536" s="49"/>
      <c r="AJ536" s="49"/>
      <c r="AK536" s="49"/>
      <c r="AL536" s="49" t="str">
        <f t="shared" si="45"/>
        <v>機種別棚卸明細表</v>
      </c>
      <c r="AM536" s="49" t="s">
        <v>35</v>
      </c>
      <c r="AN536" s="49" t="s">
        <v>2195</v>
      </c>
      <c r="AO536" s="51" t="str">
        <f t="shared" si="39"/>
        <v>機種別合計表（滞留品）</v>
      </c>
      <c r="AP536" s="51" t="str">
        <f t="shared" si="40"/>
        <v/>
      </c>
      <c r="AQ536" s="51" t="s">
        <v>2166</v>
      </c>
      <c r="AR536" s="51"/>
      <c r="AS536" s="49" t="str">
        <f t="shared" si="41"/>
        <v>機種別合計表（滞留品）</v>
      </c>
      <c r="AT536" s="49" t="str">
        <f t="shared" si="42"/>
        <v/>
      </c>
      <c r="AU536" s="49" t="s">
        <v>2166</v>
      </c>
      <c r="AV536" s="49"/>
    </row>
    <row r="537" spans="1:48" ht="18" customHeight="1">
      <c r="A537" s="44">
        <v>535</v>
      </c>
      <c r="B537" s="71" t="s">
        <v>1076</v>
      </c>
      <c r="C537" s="52" t="s">
        <v>2089</v>
      </c>
      <c r="D537" s="54" t="s">
        <v>2168</v>
      </c>
      <c r="E537" s="44" t="s">
        <v>116</v>
      </c>
      <c r="F537" s="44" t="s">
        <v>2196</v>
      </c>
      <c r="G537" s="44"/>
      <c r="H537" s="44"/>
      <c r="I537" s="44"/>
      <c r="J537" s="47" t="s">
        <v>35</v>
      </c>
      <c r="K537" s="47"/>
      <c r="L537" s="47"/>
      <c r="M537" s="47"/>
      <c r="N537" s="47"/>
      <c r="O537" s="44"/>
      <c r="P537" s="44"/>
      <c r="Q537" s="48" t="e">
        <f>VLOOKUP(E537,sheet1!$B$2:$D$3209,3,FALSE)</f>
        <v>#N/A</v>
      </c>
      <c r="R537" s="47" t="s">
        <v>35</v>
      </c>
      <c r="S537" s="47" t="s">
        <v>35</v>
      </c>
      <c r="T537" s="47" t="s">
        <v>35</v>
      </c>
      <c r="U537" s="47" t="s">
        <v>35</v>
      </c>
      <c r="V537" s="47" t="s">
        <v>35</v>
      </c>
      <c r="W537" s="47" t="s">
        <v>35</v>
      </c>
      <c r="X537" s="47" t="s">
        <v>35</v>
      </c>
      <c r="Y537" s="47" t="s">
        <v>35</v>
      </c>
      <c r="Z537" s="47" t="s">
        <v>35</v>
      </c>
      <c r="AA537" s="47" t="s">
        <v>35</v>
      </c>
      <c r="AB537" s="47" t="s">
        <v>35</v>
      </c>
      <c r="AC537" s="47" t="s">
        <v>35</v>
      </c>
      <c r="AD537" s="73" t="str">
        <f>VLOOKUP(E633,sheet1!$B$2:$C$3209,2,FALSE)</f>
        <v>仕入高合計一覧表（金額順）～画面入力</v>
      </c>
      <c r="AE537" s="49"/>
      <c r="AF537" s="51" t="s">
        <v>2197</v>
      </c>
      <c r="AG537" s="51" t="s">
        <v>2198</v>
      </c>
      <c r="AH537" s="49" t="str">
        <f t="shared" si="44"/>
        <v>６部門別　製・商品在庫明細表</v>
      </c>
      <c r="AI537" s="49"/>
      <c r="AJ537" s="49"/>
      <c r="AK537" s="49"/>
      <c r="AL537" s="49" t="str">
        <f t="shared" si="45"/>
        <v>機種別在庫表</v>
      </c>
      <c r="AM537" s="49" t="s">
        <v>35</v>
      </c>
      <c r="AN537" s="49" t="s">
        <v>2199</v>
      </c>
      <c r="AO537" s="51" t="str">
        <f t="shared" si="39"/>
        <v>機種別集計表</v>
      </c>
      <c r="AP537" s="51" t="str">
        <f t="shared" si="40"/>
        <v>AC0000D</v>
      </c>
      <c r="AQ537" s="51" t="s">
        <v>2170</v>
      </c>
      <c r="AR537" s="51" t="s">
        <v>2136</v>
      </c>
      <c r="AS537" s="49" t="str">
        <f t="shared" si="41"/>
        <v>機種別集計表</v>
      </c>
      <c r="AT537" s="49" t="str">
        <f t="shared" si="42"/>
        <v>AC0000D</v>
      </c>
      <c r="AU537" s="49" t="s">
        <v>2170</v>
      </c>
      <c r="AV537" s="49" t="s">
        <v>2136</v>
      </c>
    </row>
    <row r="538" spans="1:48" ht="18" customHeight="1">
      <c r="A538" s="44">
        <v>536</v>
      </c>
      <c r="B538" s="71" t="s">
        <v>1076</v>
      </c>
      <c r="C538" s="52" t="s">
        <v>2089</v>
      </c>
      <c r="D538" s="54" t="s">
        <v>2168</v>
      </c>
      <c r="E538" s="44" t="s">
        <v>2136</v>
      </c>
      <c r="F538" s="44" t="s">
        <v>2200</v>
      </c>
      <c r="G538" s="44"/>
      <c r="H538" s="44"/>
      <c r="I538" s="44"/>
      <c r="J538" s="47" t="s">
        <v>35</v>
      </c>
      <c r="K538" s="47"/>
      <c r="L538" s="47"/>
      <c r="M538" s="47"/>
      <c r="N538" s="47"/>
      <c r="O538" s="44"/>
      <c r="P538" s="44"/>
      <c r="Q538" s="48" t="e">
        <f>VLOOKUP(E538,sheet1!$B$2:$D$3209,3,FALSE)</f>
        <v>#N/A</v>
      </c>
      <c r="R538" s="47" t="s">
        <v>35</v>
      </c>
      <c r="S538" s="47" t="s">
        <v>35</v>
      </c>
      <c r="T538" s="47" t="s">
        <v>35</v>
      </c>
      <c r="U538" s="47" t="s">
        <v>35</v>
      </c>
      <c r="V538" s="47" t="s">
        <v>35</v>
      </c>
      <c r="W538" s="47" t="s">
        <v>35</v>
      </c>
      <c r="X538" s="47" t="s">
        <v>35</v>
      </c>
      <c r="Y538" s="47" t="s">
        <v>35</v>
      </c>
      <c r="Z538" s="47" t="s">
        <v>35</v>
      </c>
      <c r="AA538" s="47" t="s">
        <v>35</v>
      </c>
      <c r="AB538" s="47" t="s">
        <v>35</v>
      </c>
      <c r="AC538" s="47" t="s">
        <v>35</v>
      </c>
      <c r="AD538" s="73" t="str">
        <f>VLOOKUP(E634,sheet1!$B$2:$C$3209,2,FALSE)</f>
        <v>仕入高合計一覧表（金額順）～画面入力</v>
      </c>
      <c r="AE538" s="49"/>
      <c r="AF538" s="51" t="s">
        <v>2201</v>
      </c>
      <c r="AG538" s="51" t="s">
        <v>2202</v>
      </c>
      <c r="AH538" s="49" t="str">
        <f t="shared" si="44"/>
        <v>４品種別　製・商品在庫明細表</v>
      </c>
      <c r="AI538" s="49"/>
      <c r="AJ538" s="49"/>
      <c r="AK538" s="49"/>
      <c r="AL538" s="49" t="str">
        <f t="shared" si="45"/>
        <v>棚卸明細表　香港仕入分</v>
      </c>
      <c r="AM538" s="49" t="s">
        <v>35</v>
      </c>
      <c r="AN538" s="49" t="s">
        <v>2203</v>
      </c>
      <c r="AO538" s="51" t="str">
        <f t="shared" si="39"/>
        <v>機種別集計表（滞留品）</v>
      </c>
      <c r="AP538" s="51" t="str">
        <f t="shared" si="40"/>
        <v>AC0000D</v>
      </c>
      <c r="AQ538" s="51" t="s">
        <v>2172</v>
      </c>
      <c r="AR538" s="51" t="s">
        <v>2136</v>
      </c>
      <c r="AS538" s="49" t="str">
        <f t="shared" si="41"/>
        <v>機種別集計表（滞留品）</v>
      </c>
      <c r="AT538" s="49" t="str">
        <f t="shared" si="42"/>
        <v>AC0000D</v>
      </c>
      <c r="AU538" s="49" t="s">
        <v>2172</v>
      </c>
      <c r="AV538" s="49" t="s">
        <v>2136</v>
      </c>
    </row>
    <row r="539" spans="1:48" ht="18" customHeight="1">
      <c r="A539" s="44">
        <v>537</v>
      </c>
      <c r="B539" s="71" t="s">
        <v>1076</v>
      </c>
      <c r="C539" s="52" t="s">
        <v>2089</v>
      </c>
      <c r="D539" s="54" t="s">
        <v>2168</v>
      </c>
      <c r="E539" s="44" t="s">
        <v>2136</v>
      </c>
      <c r="F539" s="44" t="s">
        <v>2204</v>
      </c>
      <c r="G539" s="44"/>
      <c r="H539" s="44"/>
      <c r="I539" s="44"/>
      <c r="J539" s="47" t="s">
        <v>35</v>
      </c>
      <c r="K539" s="47"/>
      <c r="L539" s="47"/>
      <c r="M539" s="47"/>
      <c r="N539" s="47"/>
      <c r="O539" s="44"/>
      <c r="P539" s="44"/>
      <c r="Q539" s="48" t="e">
        <f>VLOOKUP(E539,sheet1!$B$2:$D$3209,3,FALSE)</f>
        <v>#N/A</v>
      </c>
      <c r="R539" s="47" t="s">
        <v>35</v>
      </c>
      <c r="S539" s="47" t="s">
        <v>35</v>
      </c>
      <c r="T539" s="47" t="s">
        <v>35</v>
      </c>
      <c r="U539" s="47" t="s">
        <v>35</v>
      </c>
      <c r="V539" s="47" t="s">
        <v>35</v>
      </c>
      <c r="W539" s="47" t="s">
        <v>35</v>
      </c>
      <c r="X539" s="47" t="s">
        <v>35</v>
      </c>
      <c r="Y539" s="47" t="s">
        <v>35</v>
      </c>
      <c r="Z539" s="47" t="s">
        <v>35</v>
      </c>
      <c r="AA539" s="47" t="s">
        <v>35</v>
      </c>
      <c r="AB539" s="47" t="s">
        <v>35</v>
      </c>
      <c r="AC539" s="47" t="s">
        <v>35</v>
      </c>
      <c r="AD539" s="73" t="str">
        <f>VLOOKUP(E635,sheet1!$B$2:$C$3209,2,FALSE)</f>
        <v>部課別月別仕入明細表</v>
      </c>
      <c r="AE539" s="49"/>
      <c r="AF539" s="51" t="s">
        <v>2205</v>
      </c>
      <c r="AG539" s="51" t="s">
        <v>2206</v>
      </c>
      <c r="AH539" s="49" t="str">
        <f t="shared" si="44"/>
        <v>製・商品在庫集計表</v>
      </c>
      <c r="AI539" s="49"/>
      <c r="AJ539" s="49"/>
      <c r="AK539" s="49"/>
      <c r="AL539" s="49" t="str">
        <f t="shared" si="45"/>
        <v>仕入先別棚卸表</v>
      </c>
      <c r="AM539" s="49" t="s">
        <v>35</v>
      </c>
      <c r="AN539" s="49" t="s">
        <v>2207</v>
      </c>
      <c r="AO539" s="51" t="str">
        <f t="shared" si="39"/>
        <v>部課区分機種別集計表（滞留）</v>
      </c>
      <c r="AP539" s="51" t="str">
        <f t="shared" si="40"/>
        <v>AC0000D</v>
      </c>
      <c r="AQ539" s="51" t="s">
        <v>2175</v>
      </c>
      <c r="AR539" s="51" t="s">
        <v>2136</v>
      </c>
      <c r="AS539" s="49" t="str">
        <f t="shared" si="41"/>
        <v>部課区分機種別集計表（滞留）</v>
      </c>
      <c r="AT539" s="49" t="str">
        <f t="shared" si="42"/>
        <v>AC0000D</v>
      </c>
      <c r="AU539" s="49" t="s">
        <v>2175</v>
      </c>
      <c r="AV539" s="49" t="s">
        <v>2136</v>
      </c>
    </row>
    <row r="540" spans="1:48" ht="18" customHeight="1">
      <c r="A540" s="44">
        <v>538</v>
      </c>
      <c r="B540" s="71" t="s">
        <v>1076</v>
      </c>
      <c r="C540" s="52" t="s">
        <v>2089</v>
      </c>
      <c r="D540" s="54" t="s">
        <v>2168</v>
      </c>
      <c r="E540" s="44" t="s">
        <v>2136</v>
      </c>
      <c r="F540" s="44" t="s">
        <v>2159</v>
      </c>
      <c r="G540" s="44"/>
      <c r="H540" s="44"/>
      <c r="I540" s="44"/>
      <c r="J540" s="47" t="s">
        <v>35</v>
      </c>
      <c r="K540" s="47"/>
      <c r="L540" s="47"/>
      <c r="M540" s="47"/>
      <c r="N540" s="47"/>
      <c r="O540" s="44"/>
      <c r="P540" s="44"/>
      <c r="Q540" s="48" t="e">
        <f>VLOOKUP(E540,sheet1!$B$2:$D$3209,3,FALSE)</f>
        <v>#N/A</v>
      </c>
      <c r="R540" s="47" t="s">
        <v>35</v>
      </c>
      <c r="S540" s="47" t="s">
        <v>35</v>
      </c>
      <c r="T540" s="47" t="s">
        <v>35</v>
      </c>
      <c r="U540" s="47" t="s">
        <v>35</v>
      </c>
      <c r="V540" s="47" t="s">
        <v>35</v>
      </c>
      <c r="W540" s="47" t="s">
        <v>35</v>
      </c>
      <c r="X540" s="47" t="s">
        <v>35</v>
      </c>
      <c r="Y540" s="47" t="s">
        <v>35</v>
      </c>
      <c r="Z540" s="47" t="s">
        <v>35</v>
      </c>
      <c r="AA540" s="47" t="s">
        <v>35</v>
      </c>
      <c r="AB540" s="47" t="s">
        <v>35</v>
      </c>
      <c r="AC540" s="47" t="s">
        <v>35</v>
      </c>
      <c r="AD540" s="73" t="str">
        <f>VLOOKUP(E637,sheet1!$B$2:$C$3209,2,FALSE)</f>
        <v>仕入実績金額集計表部門別～画面入力</v>
      </c>
      <c r="AE540" s="49"/>
      <c r="AF540" s="51" t="s">
        <v>2208</v>
      </c>
      <c r="AG540" s="51" t="s">
        <v>2209</v>
      </c>
      <c r="AH540" s="49" t="str">
        <f t="shared" si="44"/>
        <v>部門別区分別機種別滞留品</v>
      </c>
      <c r="AI540" s="49"/>
      <c r="AJ540" s="49"/>
      <c r="AK540" s="49"/>
      <c r="AL540" s="49" t="str">
        <f t="shared" si="45"/>
        <v>滞留在庫理由・消費見込入力</v>
      </c>
      <c r="AM540" s="49" t="s">
        <v>35</v>
      </c>
      <c r="AN540" s="49" t="s">
        <v>2210</v>
      </c>
      <c r="AO540" s="51" t="str">
        <f t="shared" si="39"/>
        <v>場所区分部課別合計表</v>
      </c>
      <c r="AP540" s="51" t="str">
        <f t="shared" si="40"/>
        <v/>
      </c>
      <c r="AQ540" s="51" t="s">
        <v>2177</v>
      </c>
      <c r="AR540" s="51"/>
      <c r="AS540" s="49" t="str">
        <f t="shared" si="41"/>
        <v>場所区分部課別合計表</v>
      </c>
      <c r="AT540" s="49" t="str">
        <f t="shared" si="42"/>
        <v/>
      </c>
      <c r="AU540" s="49" t="s">
        <v>2177</v>
      </c>
      <c r="AV540" s="49"/>
    </row>
    <row r="541" spans="1:48" ht="18" customHeight="1">
      <c r="A541" s="44">
        <v>539</v>
      </c>
      <c r="B541" s="71" t="s">
        <v>1076</v>
      </c>
      <c r="C541" s="52" t="s">
        <v>2089</v>
      </c>
      <c r="D541" s="54" t="s">
        <v>2168</v>
      </c>
      <c r="E541" s="44" t="s">
        <v>116</v>
      </c>
      <c r="F541" s="44" t="s">
        <v>2211</v>
      </c>
      <c r="G541" s="44"/>
      <c r="H541" s="44"/>
      <c r="I541" s="44"/>
      <c r="J541" s="47"/>
      <c r="K541" s="47"/>
      <c r="L541" s="47"/>
      <c r="M541" s="47"/>
      <c r="N541" s="47"/>
      <c r="O541" s="44"/>
      <c r="P541" s="44"/>
      <c r="Q541" s="48" t="e">
        <f>VLOOKUP(E541,sheet1!$B$2:$D$3209,3,FALSE)</f>
        <v>#N/A</v>
      </c>
      <c r="R541" s="47"/>
      <c r="S541" s="47" t="s">
        <v>35</v>
      </c>
      <c r="T541" s="47"/>
      <c r="U541" s="47" t="s">
        <v>35</v>
      </c>
      <c r="V541" s="47" t="s">
        <v>35</v>
      </c>
      <c r="W541" s="47" t="s">
        <v>35</v>
      </c>
      <c r="X541" s="47" t="s">
        <v>35</v>
      </c>
      <c r="Y541" s="47" t="s">
        <v>35</v>
      </c>
      <c r="Z541" s="47" t="s">
        <v>35</v>
      </c>
      <c r="AA541" s="47" t="s">
        <v>35</v>
      </c>
      <c r="AB541" s="47"/>
      <c r="AC541" s="47" t="s">
        <v>35</v>
      </c>
      <c r="AD541" s="73" t="e">
        <f>VLOOKUP(E552,sheet1!$B$2:$C$3209,2,FALSE)</f>
        <v>#N/A</v>
      </c>
      <c r="AE541" s="49"/>
      <c r="AF541" s="51" t="s">
        <v>2212</v>
      </c>
      <c r="AG541" s="51" t="s">
        <v>2136</v>
      </c>
      <c r="AH541" s="49" t="str">
        <f t="shared" si="44"/>
        <v>機種別棚卸明細表</v>
      </c>
      <c r="AI541" s="49"/>
      <c r="AJ541" s="49"/>
      <c r="AK541" s="49"/>
      <c r="AL541" s="49" t="str">
        <f t="shared" si="45"/>
        <v>滞留在庫引当計画入力</v>
      </c>
      <c r="AM541" s="49" t="s">
        <v>35</v>
      </c>
      <c r="AN541" s="49" t="s">
        <v>2213</v>
      </c>
      <c r="AO541" s="51" t="str">
        <f t="shared" si="39"/>
        <v>場所区分部課別合計表（滞留）</v>
      </c>
      <c r="AP541" s="51" t="str">
        <f t="shared" si="40"/>
        <v/>
      </c>
      <c r="AQ541" s="51" t="s">
        <v>2180</v>
      </c>
      <c r="AR541" s="51"/>
      <c r="AS541" s="49" t="str">
        <f t="shared" si="41"/>
        <v>場所区分部課別合計表（滞留）</v>
      </c>
      <c r="AT541" s="49" t="str">
        <f t="shared" si="42"/>
        <v/>
      </c>
      <c r="AU541" s="49" t="s">
        <v>2180</v>
      </c>
      <c r="AV541" s="49"/>
    </row>
    <row r="542" spans="1:48" ht="18" customHeight="1">
      <c r="A542" s="44">
        <v>540</v>
      </c>
      <c r="B542" s="71" t="s">
        <v>1076</v>
      </c>
      <c r="C542" s="52" t="s">
        <v>2089</v>
      </c>
      <c r="D542" s="54" t="s">
        <v>2168</v>
      </c>
      <c r="E542" s="44" t="s">
        <v>116</v>
      </c>
      <c r="F542" s="44" t="s">
        <v>2164</v>
      </c>
      <c r="G542" s="44"/>
      <c r="H542" s="44"/>
      <c r="I542" s="44"/>
      <c r="J542" s="47" t="s">
        <v>35</v>
      </c>
      <c r="K542" s="47"/>
      <c r="L542" s="47"/>
      <c r="M542" s="47"/>
      <c r="N542" s="47"/>
      <c r="O542" s="44"/>
      <c r="P542" s="44"/>
      <c r="Q542" s="48" t="e">
        <f>VLOOKUP(E542,sheet1!$B$2:$D$3209,3,FALSE)</f>
        <v>#N/A</v>
      </c>
      <c r="R542" s="47" t="s">
        <v>35</v>
      </c>
      <c r="S542" s="47" t="s">
        <v>35</v>
      </c>
      <c r="T542" s="47" t="s">
        <v>35</v>
      </c>
      <c r="U542" s="47" t="s">
        <v>35</v>
      </c>
      <c r="V542" s="47" t="s">
        <v>35</v>
      </c>
      <c r="W542" s="47" t="s">
        <v>35</v>
      </c>
      <c r="X542" s="47" t="s">
        <v>35</v>
      </c>
      <c r="Y542" s="47" t="s">
        <v>35</v>
      </c>
      <c r="Z542" s="47" t="s">
        <v>35</v>
      </c>
      <c r="AA542" s="47" t="s">
        <v>35</v>
      </c>
      <c r="AB542" s="47" t="s">
        <v>35</v>
      </c>
      <c r="AC542" s="47" t="s">
        <v>35</v>
      </c>
      <c r="AD542" s="73" t="str">
        <f>VLOOKUP(E553,sheet1!$B$2:$C$3209,2,FALSE)</f>
        <v>機種別在庫表～入力ﾁｪｯｸ</v>
      </c>
      <c r="AE542" s="49"/>
      <c r="AF542" s="51" t="s">
        <v>2214</v>
      </c>
      <c r="AG542" s="51" t="s">
        <v>2215</v>
      </c>
      <c r="AH542" s="49" t="str">
        <f t="shared" si="44"/>
        <v>機種別在庫表</v>
      </c>
      <c r="AI542" s="49"/>
      <c r="AJ542" s="49"/>
      <c r="AK542" s="49"/>
      <c r="AL542" s="49" t="str">
        <f t="shared" si="45"/>
        <v>滞留在庫引当計画　照会・印刷</v>
      </c>
      <c r="AM542" s="49" t="s">
        <v>35</v>
      </c>
      <c r="AN542" s="49" t="s">
        <v>2216</v>
      </c>
      <c r="AO542" s="51" t="str">
        <f t="shared" si="39"/>
        <v>低価法在庫再評価用データ抽出</v>
      </c>
      <c r="AP542" s="51" t="str">
        <f t="shared" si="40"/>
        <v>AC6610</v>
      </c>
      <c r="AQ542" s="51" t="s">
        <v>2182</v>
      </c>
      <c r="AR542" s="51" t="s">
        <v>2183</v>
      </c>
      <c r="AS542" s="49" t="str">
        <f t="shared" si="41"/>
        <v>低価法在庫再評価用データ抽出</v>
      </c>
      <c r="AT542" s="49" t="str">
        <f t="shared" si="42"/>
        <v>AC6610</v>
      </c>
      <c r="AU542" s="49" t="s">
        <v>2182</v>
      </c>
      <c r="AV542" s="49" t="s">
        <v>2183</v>
      </c>
    </row>
    <row r="543" spans="1:48" ht="18" customHeight="1">
      <c r="A543" s="44">
        <v>541</v>
      </c>
      <c r="B543" s="71" t="s">
        <v>1076</v>
      </c>
      <c r="C543" s="52" t="s">
        <v>2089</v>
      </c>
      <c r="D543" s="54" t="s">
        <v>2168</v>
      </c>
      <c r="E543" s="44" t="s">
        <v>2183</v>
      </c>
      <c r="F543" s="44" t="s">
        <v>2167</v>
      </c>
      <c r="G543" s="44"/>
      <c r="H543" s="44"/>
      <c r="I543" s="44"/>
      <c r="J543" s="47" t="s">
        <v>35</v>
      </c>
      <c r="K543" s="47"/>
      <c r="L543" s="47"/>
      <c r="M543" s="47"/>
      <c r="N543" s="47"/>
      <c r="O543" s="44"/>
      <c r="P543" s="44"/>
      <c r="Q543" s="48">
        <f>VLOOKUP(E543,sheet1!$B$2:$D$3209,3,FALSE)</f>
        <v>605</v>
      </c>
      <c r="R543" s="47" t="s">
        <v>35</v>
      </c>
      <c r="S543" s="47" t="s">
        <v>35</v>
      </c>
      <c r="T543" s="47" t="s">
        <v>35</v>
      </c>
      <c r="U543" s="47" t="s">
        <v>35</v>
      </c>
      <c r="V543" s="47" t="s">
        <v>35</v>
      </c>
      <c r="W543" s="47" t="s">
        <v>35</v>
      </c>
      <c r="X543" s="47" t="s">
        <v>35</v>
      </c>
      <c r="Y543" s="47" t="s">
        <v>35</v>
      </c>
      <c r="Z543" s="47" t="s">
        <v>35</v>
      </c>
      <c r="AA543" s="47" t="s">
        <v>35</v>
      </c>
      <c r="AB543" s="47" t="s">
        <v>35</v>
      </c>
      <c r="AC543" s="47" t="s">
        <v>35</v>
      </c>
      <c r="AD543" s="73" t="e">
        <f>VLOOKUP(E554,sheet1!$B$2:$C$3209,2,FALSE)</f>
        <v>#N/A</v>
      </c>
      <c r="AE543" s="49"/>
      <c r="AF543" s="51" t="s">
        <v>2217</v>
      </c>
      <c r="AG543" s="51" t="s">
        <v>2136</v>
      </c>
      <c r="AH543" s="49" t="str">
        <f t="shared" si="44"/>
        <v>棚卸明細表　香港仕入分</v>
      </c>
      <c r="AI543" s="49"/>
      <c r="AJ543" s="49"/>
      <c r="AK543" s="49"/>
      <c r="AL543" s="49" t="str">
        <f t="shared" si="45"/>
        <v>ｼﾐｭﾚｰｼｮﾝMRP処理</v>
      </c>
      <c r="AM543" s="49" t="s">
        <v>35</v>
      </c>
      <c r="AN543" s="49" t="s">
        <v>2218</v>
      </c>
      <c r="AO543" s="51" t="str">
        <f t="shared" si="39"/>
        <v>６部門別流動・滞留在庫表</v>
      </c>
      <c r="AP543" s="51" t="str">
        <f t="shared" si="40"/>
        <v>AC0017</v>
      </c>
      <c r="AQ543" s="51" t="s">
        <v>2186</v>
      </c>
      <c r="AR543" s="51" t="s">
        <v>2187</v>
      </c>
      <c r="AS543" s="49" t="str">
        <f t="shared" si="41"/>
        <v>６部門別流動・滞留在庫表</v>
      </c>
      <c r="AT543" s="49" t="str">
        <f t="shared" si="42"/>
        <v>AC0017</v>
      </c>
      <c r="AU543" s="49" t="s">
        <v>2186</v>
      </c>
      <c r="AV543" s="49" t="s">
        <v>2187</v>
      </c>
    </row>
    <row r="544" spans="1:48" ht="18" customHeight="1">
      <c r="A544" s="44">
        <v>542</v>
      </c>
      <c r="B544" s="71" t="s">
        <v>1076</v>
      </c>
      <c r="C544" s="52" t="s">
        <v>2089</v>
      </c>
      <c r="D544" s="54" t="s">
        <v>2168</v>
      </c>
      <c r="E544" s="44" t="s">
        <v>2187</v>
      </c>
      <c r="F544" s="44" t="s">
        <v>2219</v>
      </c>
      <c r="G544" s="44"/>
      <c r="H544" s="44"/>
      <c r="I544" s="44"/>
      <c r="J544" s="47" t="s">
        <v>35</v>
      </c>
      <c r="K544" s="47"/>
      <c r="L544" s="47"/>
      <c r="M544" s="47"/>
      <c r="N544" s="47"/>
      <c r="O544" s="44"/>
      <c r="P544" s="44"/>
      <c r="Q544" s="48">
        <f>VLOOKUP(E544,sheet1!$B$2:$D$3209,3,FALSE)</f>
        <v>710</v>
      </c>
      <c r="R544" s="47" t="s">
        <v>35</v>
      </c>
      <c r="S544" s="47" t="s">
        <v>35</v>
      </c>
      <c r="T544" s="47" t="s">
        <v>35</v>
      </c>
      <c r="U544" s="47" t="s">
        <v>35</v>
      </c>
      <c r="V544" s="47" t="s">
        <v>35</v>
      </c>
      <c r="W544" s="47" t="s">
        <v>35</v>
      </c>
      <c r="X544" s="47" t="s">
        <v>35</v>
      </c>
      <c r="Y544" s="47" t="s">
        <v>35</v>
      </c>
      <c r="Z544" s="47" t="s">
        <v>35</v>
      </c>
      <c r="AA544" s="47" t="s">
        <v>35</v>
      </c>
      <c r="AB544" s="47" t="s">
        <v>35</v>
      </c>
      <c r="AC544" s="47" t="s">
        <v>35</v>
      </c>
      <c r="AD544" s="73" t="str">
        <f>VLOOKUP(E555,sheet1!$B$2:$C$3209,2,FALSE)</f>
        <v>仕入先別棚卸表</v>
      </c>
      <c r="AE544" s="49"/>
      <c r="AF544" s="51" t="s">
        <v>2220</v>
      </c>
      <c r="AG544" s="51" t="s">
        <v>2221</v>
      </c>
      <c r="AH544" s="49" t="str">
        <f t="shared" si="44"/>
        <v>仕入先別棚卸表</v>
      </c>
      <c r="AI544" s="49"/>
      <c r="AJ544" s="49"/>
      <c r="AK544" s="49"/>
      <c r="AL544" s="49" t="str">
        <f t="shared" si="45"/>
        <v>ｼﾐｭﾚｰｼｮﾝMPR製番別引当状況表</v>
      </c>
      <c r="AM544" s="49" t="s">
        <v>35</v>
      </c>
      <c r="AN544" s="49" t="s">
        <v>2222</v>
      </c>
      <c r="AO544" s="51" t="str">
        <f t="shared" si="39"/>
        <v>実地棚卸表印刷</v>
      </c>
      <c r="AP544" s="51" t="str">
        <f t="shared" si="40"/>
        <v>AC0025</v>
      </c>
      <c r="AQ544" s="51" t="s">
        <v>2189</v>
      </c>
      <c r="AR544" s="51" t="s">
        <v>2190</v>
      </c>
      <c r="AS544" s="49" t="str">
        <f t="shared" si="41"/>
        <v>実地棚卸表印刷</v>
      </c>
      <c r="AT544" s="49" t="str">
        <f t="shared" si="42"/>
        <v>AC0025</v>
      </c>
      <c r="AU544" s="49" t="s">
        <v>2189</v>
      </c>
      <c r="AV544" s="49" t="s">
        <v>2190</v>
      </c>
    </row>
    <row r="545" spans="1:48" ht="18" customHeight="1">
      <c r="A545" s="44">
        <v>543</v>
      </c>
      <c r="B545" s="71" t="s">
        <v>1076</v>
      </c>
      <c r="C545" s="52" t="s">
        <v>2089</v>
      </c>
      <c r="D545" s="54" t="s">
        <v>2168</v>
      </c>
      <c r="E545" s="44" t="s">
        <v>2190</v>
      </c>
      <c r="F545" s="44" t="s">
        <v>2223</v>
      </c>
      <c r="G545" s="44"/>
      <c r="H545" s="44"/>
      <c r="I545" s="44"/>
      <c r="J545" s="47" t="s">
        <v>35</v>
      </c>
      <c r="K545" s="47"/>
      <c r="L545" s="47"/>
      <c r="M545" s="47"/>
      <c r="N545" s="47"/>
      <c r="O545" s="44"/>
      <c r="P545" s="44"/>
      <c r="Q545" s="48">
        <f>VLOOKUP(E545,sheet1!$B$2:$D$3209,3,FALSE)</f>
        <v>644</v>
      </c>
      <c r="R545" s="47" t="s">
        <v>35</v>
      </c>
      <c r="S545" s="47" t="s">
        <v>35</v>
      </c>
      <c r="T545" s="47" t="s">
        <v>35</v>
      </c>
      <c r="U545" s="47" t="s">
        <v>35</v>
      </c>
      <c r="V545" s="47" t="s">
        <v>35</v>
      </c>
      <c r="W545" s="47" t="s">
        <v>35</v>
      </c>
      <c r="X545" s="47" t="s">
        <v>35</v>
      </c>
      <c r="Y545" s="47" t="s">
        <v>35</v>
      </c>
      <c r="Z545" s="47" t="s">
        <v>35</v>
      </c>
      <c r="AA545" s="47" t="s">
        <v>35</v>
      </c>
      <c r="AB545" s="47" t="s">
        <v>35</v>
      </c>
      <c r="AC545" s="47" t="s">
        <v>35</v>
      </c>
      <c r="AD545" s="73" t="str">
        <f>VLOOKUP(E556,sheet1!$B$2:$C$3209,2,FALSE)</f>
        <v>滞留在庫リスト印刷</v>
      </c>
      <c r="AE545" s="49"/>
      <c r="AF545" s="51" t="s">
        <v>2224</v>
      </c>
      <c r="AG545" s="51" t="s">
        <v>2225</v>
      </c>
      <c r="AH545" s="49" t="str">
        <f t="shared" si="44"/>
        <v>滞留在庫リスト印刷</v>
      </c>
      <c r="AI545" s="49"/>
      <c r="AJ545" s="49"/>
      <c r="AK545" s="49"/>
      <c r="AL545" s="49"/>
      <c r="AM545" s="49"/>
      <c r="AN545" s="49"/>
      <c r="AO545" s="51" t="str">
        <f t="shared" si="39"/>
        <v>機種別流動・滞留在庫表</v>
      </c>
      <c r="AP545" s="51" t="str">
        <f t="shared" si="40"/>
        <v>AC0057</v>
      </c>
      <c r="AQ545" s="51" t="s">
        <v>2193</v>
      </c>
      <c r="AR545" s="51" t="s">
        <v>2194</v>
      </c>
      <c r="AS545" s="49" t="str">
        <f t="shared" si="41"/>
        <v>機種別流動・滞留在庫表</v>
      </c>
      <c r="AT545" s="49" t="str">
        <f t="shared" si="42"/>
        <v>AC0057</v>
      </c>
      <c r="AU545" s="49" t="s">
        <v>2193</v>
      </c>
      <c r="AV545" s="49" t="s">
        <v>2194</v>
      </c>
    </row>
    <row r="546" spans="1:48" ht="18" customHeight="1">
      <c r="A546" s="44">
        <v>544</v>
      </c>
      <c r="B546" s="71" t="s">
        <v>1076</v>
      </c>
      <c r="C546" s="52" t="s">
        <v>2089</v>
      </c>
      <c r="D546" s="54" t="s">
        <v>2168</v>
      </c>
      <c r="E546" s="44" t="s">
        <v>2194</v>
      </c>
      <c r="F546" s="44" t="s">
        <v>2226</v>
      </c>
      <c r="G546" s="44"/>
      <c r="H546" s="44"/>
      <c r="I546" s="44"/>
      <c r="J546" s="47" t="s">
        <v>35</v>
      </c>
      <c r="K546" s="47"/>
      <c r="L546" s="47"/>
      <c r="M546" s="47"/>
      <c r="N546" s="47"/>
      <c r="O546" s="44"/>
      <c r="P546" s="44"/>
      <c r="Q546" s="48">
        <f>VLOOKUP(E546,sheet1!$B$2:$D$3209,3,FALSE)</f>
        <v>168</v>
      </c>
      <c r="R546" s="47" t="s">
        <v>35</v>
      </c>
      <c r="S546" s="47" t="s">
        <v>35</v>
      </c>
      <c r="T546" s="47" t="s">
        <v>35</v>
      </c>
      <c r="U546" s="47" t="s">
        <v>35</v>
      </c>
      <c r="V546" s="47" t="s">
        <v>35</v>
      </c>
      <c r="W546" s="47" t="s">
        <v>35</v>
      </c>
      <c r="X546" s="47" t="s">
        <v>35</v>
      </c>
      <c r="Y546" s="47" t="s">
        <v>35</v>
      </c>
      <c r="Z546" s="47" t="s">
        <v>35</v>
      </c>
      <c r="AA546" s="47" t="s">
        <v>35</v>
      </c>
      <c r="AB546" s="47" t="s">
        <v>35</v>
      </c>
      <c r="AC546" s="47" t="s">
        <v>35</v>
      </c>
      <c r="AD546" s="73" t="str">
        <f>VLOOKUP(E557,sheet1!$B$2:$C$3209,2,FALSE)</f>
        <v>滞留在庫理由・見込入力</v>
      </c>
      <c r="AE546" s="49"/>
      <c r="AF546" s="51" t="s">
        <v>2227</v>
      </c>
      <c r="AG546" s="51" t="s">
        <v>2228</v>
      </c>
      <c r="AH546" s="49" t="str">
        <f t="shared" si="44"/>
        <v>滞留在庫理由・消費見込入力</v>
      </c>
      <c r="AI546" s="49"/>
      <c r="AJ546" s="49"/>
      <c r="AK546" s="49"/>
      <c r="AL546" s="49"/>
      <c r="AM546" s="49"/>
      <c r="AN546" s="49"/>
      <c r="AO546" s="51" t="str">
        <f t="shared" si="39"/>
        <v>６部門別　製・商品在庫明細表</v>
      </c>
      <c r="AP546" s="51" t="str">
        <f t="shared" si="40"/>
        <v>AC0932</v>
      </c>
      <c r="AQ546" s="51" t="s">
        <v>2197</v>
      </c>
      <c r="AR546" s="51" t="s">
        <v>2198</v>
      </c>
      <c r="AS546" s="49" t="str">
        <f t="shared" si="41"/>
        <v>６部門別　製・商品在庫明細表</v>
      </c>
      <c r="AT546" s="49" t="str">
        <f t="shared" si="42"/>
        <v>AC0932</v>
      </c>
      <c r="AU546" s="49" t="s">
        <v>2197</v>
      </c>
      <c r="AV546" s="49" t="s">
        <v>2198</v>
      </c>
    </row>
    <row r="547" spans="1:48" ht="18" customHeight="1">
      <c r="A547" s="44">
        <v>545</v>
      </c>
      <c r="B547" s="71" t="s">
        <v>1076</v>
      </c>
      <c r="C547" s="52" t="s">
        <v>2089</v>
      </c>
      <c r="D547" s="54" t="s">
        <v>2168</v>
      </c>
      <c r="E547" s="44" t="s">
        <v>2198</v>
      </c>
      <c r="F547" s="44" t="s">
        <v>2229</v>
      </c>
      <c r="G547" s="44"/>
      <c r="H547" s="44"/>
      <c r="I547" s="44"/>
      <c r="J547" s="47" t="s">
        <v>35</v>
      </c>
      <c r="K547" s="47"/>
      <c r="L547" s="47"/>
      <c r="M547" s="47"/>
      <c r="N547" s="47"/>
      <c r="O547" s="44"/>
      <c r="P547" s="44"/>
      <c r="Q547" s="48">
        <f>VLOOKUP(E547,sheet1!$B$2:$D$3209,3,FALSE)</f>
        <v>215</v>
      </c>
      <c r="R547" s="47" t="s">
        <v>35</v>
      </c>
      <c r="S547" s="47" t="s">
        <v>35</v>
      </c>
      <c r="T547" s="47" t="s">
        <v>35</v>
      </c>
      <c r="U547" s="47" t="s">
        <v>35</v>
      </c>
      <c r="V547" s="47" t="s">
        <v>35</v>
      </c>
      <c r="W547" s="47" t="s">
        <v>35</v>
      </c>
      <c r="X547" s="47" t="s">
        <v>35</v>
      </c>
      <c r="Y547" s="47" t="s">
        <v>35</v>
      </c>
      <c r="Z547" s="47" t="s">
        <v>35</v>
      </c>
      <c r="AA547" s="47" t="s">
        <v>35</v>
      </c>
      <c r="AB547" s="47" t="s">
        <v>35</v>
      </c>
      <c r="AC547" s="47" t="s">
        <v>35</v>
      </c>
      <c r="AD547" s="73"/>
      <c r="AE547" s="49"/>
      <c r="AF547" s="51" t="s">
        <v>2230</v>
      </c>
      <c r="AG547" s="51" t="s">
        <v>344</v>
      </c>
      <c r="AH547" s="49" t="str">
        <f t="shared" si="44"/>
        <v>滞留在庫分析件数一覧</v>
      </c>
      <c r="AI547" s="49"/>
      <c r="AJ547" s="49"/>
      <c r="AK547" s="49"/>
      <c r="AL547" s="49"/>
      <c r="AM547" s="49"/>
      <c r="AN547" s="49"/>
      <c r="AO547" s="51" t="str">
        <f t="shared" si="39"/>
        <v>４品種別　製・商品在庫明細表</v>
      </c>
      <c r="AP547" s="51" t="str">
        <f t="shared" si="40"/>
        <v>AC0935</v>
      </c>
      <c r="AQ547" s="51" t="s">
        <v>2201</v>
      </c>
      <c r="AR547" s="51" t="s">
        <v>2202</v>
      </c>
      <c r="AS547" s="49" t="str">
        <f t="shared" si="41"/>
        <v>４品種別　製・商品在庫明細表</v>
      </c>
      <c r="AT547" s="49" t="str">
        <f t="shared" si="42"/>
        <v>AC0935</v>
      </c>
      <c r="AU547" s="49" t="s">
        <v>2201</v>
      </c>
      <c r="AV547" s="49" t="s">
        <v>2202</v>
      </c>
    </row>
    <row r="548" spans="1:48" ht="18" customHeight="1">
      <c r="A548" s="44">
        <v>546</v>
      </c>
      <c r="B548" s="71" t="s">
        <v>1076</v>
      </c>
      <c r="C548" s="52" t="s">
        <v>2089</v>
      </c>
      <c r="D548" s="54" t="s">
        <v>2168</v>
      </c>
      <c r="E548" s="44" t="s">
        <v>2202</v>
      </c>
      <c r="F548" s="44" t="s">
        <v>2231</v>
      </c>
      <c r="G548" s="44"/>
      <c r="H548" s="44"/>
      <c r="I548" s="44"/>
      <c r="J548" s="47" t="s">
        <v>35</v>
      </c>
      <c r="K548" s="47"/>
      <c r="L548" s="47"/>
      <c r="M548" s="47"/>
      <c r="N548" s="47"/>
      <c r="O548" s="44"/>
      <c r="P548" s="44"/>
      <c r="Q548" s="48">
        <f>VLOOKUP(E548,sheet1!$B$2:$D$3209,3,FALSE)</f>
        <v>153</v>
      </c>
      <c r="R548" s="47" t="s">
        <v>35</v>
      </c>
      <c r="S548" s="47" t="s">
        <v>35</v>
      </c>
      <c r="T548" s="47" t="s">
        <v>35</v>
      </c>
      <c r="U548" s="47" t="s">
        <v>35</v>
      </c>
      <c r="V548" s="47" t="s">
        <v>35</v>
      </c>
      <c r="W548" s="47" t="s">
        <v>35</v>
      </c>
      <c r="X548" s="47" t="s">
        <v>35</v>
      </c>
      <c r="Y548" s="47" t="s">
        <v>35</v>
      </c>
      <c r="Z548" s="47" t="s">
        <v>35</v>
      </c>
      <c r="AA548" s="47" t="s">
        <v>35</v>
      </c>
      <c r="AB548" s="47" t="s">
        <v>35</v>
      </c>
      <c r="AC548" s="47" t="s">
        <v>35</v>
      </c>
      <c r="AD548" s="73" t="e">
        <f>VLOOKUP(E559,sheet1!$B$2:$C$3209,2,FALSE)</f>
        <v>#N/A</v>
      </c>
      <c r="AE548" s="49"/>
      <c r="AF548" s="51" t="s">
        <v>2232</v>
      </c>
      <c r="AG548" s="57" t="s">
        <v>116</v>
      </c>
      <c r="AH548" s="49" t="str">
        <f t="shared" si="44"/>
        <v>滞留在庫引当計画入力</v>
      </c>
      <c r="AI548" s="49"/>
      <c r="AJ548" s="49"/>
      <c r="AK548" s="49"/>
      <c r="AL548" s="49"/>
      <c r="AM548" s="49"/>
      <c r="AN548" s="49"/>
      <c r="AO548" s="51" t="str">
        <f t="shared" si="39"/>
        <v>製・商品在庫集計表</v>
      </c>
      <c r="AP548" s="51" t="str">
        <f t="shared" si="40"/>
        <v>ACX600</v>
      </c>
      <c r="AQ548" s="51" t="s">
        <v>2205</v>
      </c>
      <c r="AR548" s="51" t="s">
        <v>2206</v>
      </c>
      <c r="AS548" s="49" t="str">
        <f t="shared" si="41"/>
        <v>製・商品在庫集計表</v>
      </c>
      <c r="AT548" s="49" t="str">
        <f t="shared" si="42"/>
        <v>ACX600</v>
      </c>
      <c r="AU548" s="49" t="s">
        <v>2205</v>
      </c>
      <c r="AV548" s="49" t="s">
        <v>2206</v>
      </c>
    </row>
    <row r="549" spans="1:48" ht="18" customHeight="1">
      <c r="A549" s="44">
        <v>547</v>
      </c>
      <c r="B549" s="71" t="s">
        <v>1076</v>
      </c>
      <c r="C549" s="52" t="s">
        <v>2089</v>
      </c>
      <c r="D549" s="54" t="s">
        <v>2168</v>
      </c>
      <c r="E549" s="44" t="s">
        <v>2206</v>
      </c>
      <c r="F549" s="44" t="s">
        <v>2233</v>
      </c>
      <c r="G549" s="44"/>
      <c r="H549" s="44"/>
      <c r="I549" s="44"/>
      <c r="J549" s="47" t="s">
        <v>35</v>
      </c>
      <c r="K549" s="47"/>
      <c r="L549" s="47"/>
      <c r="M549" s="47"/>
      <c r="N549" s="47"/>
      <c r="O549" s="44"/>
      <c r="P549" s="44"/>
      <c r="Q549" s="48" t="e">
        <f>VLOOKUP(E549,sheet1!$B$2:$D$3209,3,FALSE)</f>
        <v>#N/A</v>
      </c>
      <c r="R549" s="47" t="s">
        <v>35</v>
      </c>
      <c r="S549" s="47" t="s">
        <v>35</v>
      </c>
      <c r="T549" s="47" t="s">
        <v>35</v>
      </c>
      <c r="U549" s="47" t="s">
        <v>35</v>
      </c>
      <c r="V549" s="47" t="s">
        <v>35</v>
      </c>
      <c r="W549" s="47" t="s">
        <v>35</v>
      </c>
      <c r="X549" s="47" t="s">
        <v>35</v>
      </c>
      <c r="Y549" s="47" t="s">
        <v>35</v>
      </c>
      <c r="Z549" s="47" t="s">
        <v>35</v>
      </c>
      <c r="AA549" s="47" t="s">
        <v>35</v>
      </c>
      <c r="AB549" s="47" t="s">
        <v>35</v>
      </c>
      <c r="AC549" s="47" t="s">
        <v>35</v>
      </c>
      <c r="AD549" s="73" t="e">
        <f>VLOOKUP(E560,sheet1!$B$2:$C$3209,2,FALSE)</f>
        <v>#N/A</v>
      </c>
      <c r="AE549" s="49"/>
      <c r="AF549" s="51" t="s">
        <v>2234</v>
      </c>
      <c r="AG549" s="57" t="s">
        <v>116</v>
      </c>
      <c r="AH549" s="49" t="str">
        <f t="shared" si="44"/>
        <v>滞留在庫引当計画　照会・印刷</v>
      </c>
      <c r="AI549" s="49"/>
      <c r="AJ549" s="49"/>
      <c r="AK549" s="49"/>
      <c r="AL549" s="49"/>
      <c r="AM549" s="49"/>
      <c r="AN549" s="49"/>
      <c r="AO549" s="51" t="str">
        <f t="shared" si="39"/>
        <v>社外在庫報告書</v>
      </c>
      <c r="AP549" s="51" t="str">
        <f t="shared" si="40"/>
        <v>MP0086</v>
      </c>
      <c r="AQ549" s="51" t="s">
        <v>2235</v>
      </c>
      <c r="AR549" s="51" t="s">
        <v>2236</v>
      </c>
      <c r="AS549" s="49" t="str">
        <f t="shared" si="41"/>
        <v>社外在庫報告書</v>
      </c>
      <c r="AT549" s="49" t="str">
        <f t="shared" si="42"/>
        <v>MP0086</v>
      </c>
      <c r="AU549" s="49" t="s">
        <v>2235</v>
      </c>
      <c r="AV549" s="49" t="s">
        <v>2236</v>
      </c>
    </row>
    <row r="550" spans="1:48" ht="18" customHeight="1">
      <c r="A550" s="44">
        <v>548</v>
      </c>
      <c r="B550" s="71" t="s">
        <v>1076</v>
      </c>
      <c r="C550" s="52" t="s">
        <v>2089</v>
      </c>
      <c r="D550" s="54" t="s">
        <v>2168</v>
      </c>
      <c r="E550" s="44" t="s">
        <v>2236</v>
      </c>
      <c r="F550" s="44" t="s">
        <v>2237</v>
      </c>
      <c r="G550" s="44"/>
      <c r="H550" s="44"/>
      <c r="I550" s="44"/>
      <c r="J550" s="47" t="s">
        <v>35</v>
      </c>
      <c r="K550" s="47"/>
      <c r="L550" s="47"/>
      <c r="M550" s="47"/>
      <c r="N550" s="47"/>
      <c r="O550" s="44"/>
      <c r="P550" s="44"/>
      <c r="Q550" s="48">
        <f>VLOOKUP(E550,sheet1!$B$2:$D$3209,3,FALSE)</f>
        <v>227</v>
      </c>
      <c r="R550" s="47" t="s">
        <v>35</v>
      </c>
      <c r="S550" s="47" t="s">
        <v>35</v>
      </c>
      <c r="T550" s="47" t="s">
        <v>35</v>
      </c>
      <c r="U550" s="47" t="s">
        <v>35</v>
      </c>
      <c r="V550" s="47" t="s">
        <v>35</v>
      </c>
      <c r="W550" s="47" t="s">
        <v>35</v>
      </c>
      <c r="X550" s="47" t="s">
        <v>35</v>
      </c>
      <c r="Y550" s="47" t="s">
        <v>35</v>
      </c>
      <c r="Z550" s="47" t="s">
        <v>35</v>
      </c>
      <c r="AA550" s="47" t="s">
        <v>35</v>
      </c>
      <c r="AB550" s="47" t="s">
        <v>35</v>
      </c>
      <c r="AC550" s="47" t="s">
        <v>35</v>
      </c>
      <c r="AD550" s="73"/>
      <c r="AE550" s="49"/>
      <c r="AF550" s="51" t="s">
        <v>2238</v>
      </c>
      <c r="AG550" s="57" t="s">
        <v>116</v>
      </c>
      <c r="AH550" s="49" t="str">
        <f t="shared" si="44"/>
        <v>滞留在庫分析ﾃﾞｰﾀ作成</v>
      </c>
      <c r="AI550" s="49"/>
      <c r="AJ550" s="49"/>
      <c r="AK550" s="49"/>
      <c r="AL550" s="49"/>
      <c r="AM550" s="49"/>
      <c r="AN550" s="49"/>
      <c r="AO550" s="51" t="str">
        <f t="shared" si="39"/>
        <v>部門別区分別機種別滞留品</v>
      </c>
      <c r="AP550" s="51" t="str">
        <f t="shared" si="40"/>
        <v>MP0165</v>
      </c>
      <c r="AQ550" s="51" t="s">
        <v>2208</v>
      </c>
      <c r="AR550" s="51" t="s">
        <v>2209</v>
      </c>
      <c r="AS550" s="49" t="str">
        <f t="shared" si="41"/>
        <v>部門別区分別機種別滞留品</v>
      </c>
      <c r="AT550" s="49" t="str">
        <f t="shared" si="42"/>
        <v>MP0165</v>
      </c>
      <c r="AU550" s="49" t="s">
        <v>2208</v>
      </c>
      <c r="AV550" s="49" t="s">
        <v>2209</v>
      </c>
    </row>
    <row r="551" spans="1:48" ht="18" customHeight="1">
      <c r="A551" s="44">
        <v>549</v>
      </c>
      <c r="B551" s="71" t="s">
        <v>1076</v>
      </c>
      <c r="C551" s="52" t="s">
        <v>2089</v>
      </c>
      <c r="D551" s="54" t="s">
        <v>2168</v>
      </c>
      <c r="E551" s="44" t="s">
        <v>2209</v>
      </c>
      <c r="F551" s="44" t="s">
        <v>2239</v>
      </c>
      <c r="G551" s="44"/>
      <c r="H551" s="44"/>
      <c r="I551" s="44"/>
      <c r="J551" s="47" t="s">
        <v>35</v>
      </c>
      <c r="K551" s="47"/>
      <c r="L551" s="47"/>
      <c r="M551" s="47"/>
      <c r="N551" s="47"/>
      <c r="O551" s="44"/>
      <c r="P551" s="44"/>
      <c r="Q551" s="48">
        <f>VLOOKUP(E551,sheet1!$B$2:$D$3209,3,FALSE)</f>
        <v>165</v>
      </c>
      <c r="R551" s="47" t="s">
        <v>35</v>
      </c>
      <c r="S551" s="47" t="s">
        <v>35</v>
      </c>
      <c r="T551" s="47" t="s">
        <v>35</v>
      </c>
      <c r="U551" s="47" t="s">
        <v>35</v>
      </c>
      <c r="V551" s="47" t="s">
        <v>35</v>
      </c>
      <c r="W551" s="47" t="s">
        <v>35</v>
      </c>
      <c r="X551" s="47" t="s">
        <v>35</v>
      </c>
      <c r="Y551" s="47" t="s">
        <v>35</v>
      </c>
      <c r="Z551" s="47" t="s">
        <v>35</v>
      </c>
      <c r="AA551" s="47" t="s">
        <v>35</v>
      </c>
      <c r="AB551" s="47" t="s">
        <v>35</v>
      </c>
      <c r="AC551" s="47" t="s">
        <v>35</v>
      </c>
      <c r="AD551" s="73" t="e">
        <f>VLOOKUP(E562,sheet1!$B$2:$C$3209,2,FALSE)</f>
        <v>#N/A</v>
      </c>
      <c r="AE551" s="49"/>
      <c r="AF551" s="51" t="s">
        <v>2240</v>
      </c>
      <c r="AG551" s="57" t="s">
        <v>116</v>
      </c>
      <c r="AH551" s="49" t="str">
        <f t="shared" si="44"/>
        <v>ｼﾐｭﾚｰｼｮﾝMRP処理</v>
      </c>
      <c r="AI551" s="49"/>
      <c r="AJ551" s="49"/>
      <c r="AK551" s="49"/>
      <c r="AL551" s="49"/>
      <c r="AM551" s="49"/>
      <c r="AN551" s="49"/>
      <c r="AO551" s="51" t="str">
        <f t="shared" si="39"/>
        <v>機種別棚卸明細表</v>
      </c>
      <c r="AP551" s="51" t="str">
        <f t="shared" si="40"/>
        <v>AC0000D</v>
      </c>
      <c r="AQ551" s="51" t="s">
        <v>2212</v>
      </c>
      <c r="AR551" s="51" t="s">
        <v>2136</v>
      </c>
      <c r="AS551" s="49" t="str">
        <f t="shared" si="41"/>
        <v>機種別棚卸明細表</v>
      </c>
      <c r="AT551" s="49" t="str">
        <f t="shared" si="42"/>
        <v>AC0000D</v>
      </c>
      <c r="AU551" s="49" t="s">
        <v>2212</v>
      </c>
      <c r="AV551" s="49" t="s">
        <v>2136</v>
      </c>
    </row>
    <row r="552" spans="1:48" ht="18" customHeight="1">
      <c r="A552" s="44">
        <v>550</v>
      </c>
      <c r="B552" s="71" t="s">
        <v>1076</v>
      </c>
      <c r="C552" s="52" t="s">
        <v>2089</v>
      </c>
      <c r="D552" s="54" t="s">
        <v>2168</v>
      </c>
      <c r="E552" s="44" t="s">
        <v>2136</v>
      </c>
      <c r="F552" s="44" t="s">
        <v>2241</v>
      </c>
      <c r="G552" s="44"/>
      <c r="H552" s="44"/>
      <c r="I552" s="44"/>
      <c r="J552" s="47" t="s">
        <v>35</v>
      </c>
      <c r="K552" s="47"/>
      <c r="L552" s="47"/>
      <c r="M552" s="47"/>
      <c r="N552" s="47"/>
      <c r="O552" s="44"/>
      <c r="P552" s="44"/>
      <c r="Q552" s="48" t="e">
        <f>VLOOKUP(E552,sheet1!$B$2:$D$3209,3,FALSE)</f>
        <v>#N/A</v>
      </c>
      <c r="R552" s="47" t="s">
        <v>35</v>
      </c>
      <c r="S552" s="47" t="s">
        <v>35</v>
      </c>
      <c r="T552" s="47" t="s">
        <v>35</v>
      </c>
      <c r="U552" s="47" t="s">
        <v>35</v>
      </c>
      <c r="V552" s="47" t="s">
        <v>35</v>
      </c>
      <c r="W552" s="47" t="s">
        <v>35</v>
      </c>
      <c r="X552" s="47" t="s">
        <v>35</v>
      </c>
      <c r="Y552" s="47" t="s">
        <v>35</v>
      </c>
      <c r="Z552" s="47" t="s">
        <v>35</v>
      </c>
      <c r="AA552" s="47" t="s">
        <v>35</v>
      </c>
      <c r="AB552" s="47" t="s">
        <v>35</v>
      </c>
      <c r="AC552" s="47" t="s">
        <v>35</v>
      </c>
      <c r="AD552" s="73" t="e">
        <f>VLOOKUP(E563,sheet1!$B$2:$C$3209,2,FALSE)</f>
        <v>#N/A</v>
      </c>
      <c r="AE552" s="49"/>
      <c r="AF552" s="51" t="s">
        <v>2242</v>
      </c>
      <c r="AG552" s="57" t="s">
        <v>116</v>
      </c>
      <c r="AH552" s="49" t="str">
        <f t="shared" si="44"/>
        <v>ｼﾐｭﾚｰｼｮﾝMPR製番別引当状況表</v>
      </c>
      <c r="AI552" s="49"/>
      <c r="AJ552" s="49"/>
      <c r="AK552" s="49"/>
      <c r="AL552" s="49"/>
      <c r="AM552" s="49"/>
      <c r="AN552" s="49"/>
      <c r="AO552" s="51" t="str">
        <f t="shared" si="39"/>
        <v>機種別在庫表</v>
      </c>
      <c r="AP552" s="51" t="str">
        <f t="shared" si="40"/>
        <v>MP8500I</v>
      </c>
      <c r="AQ552" s="51" t="s">
        <v>2214</v>
      </c>
      <c r="AR552" s="51" t="s">
        <v>2215</v>
      </c>
      <c r="AS552" s="49" t="str">
        <f t="shared" si="41"/>
        <v>機種別在庫表</v>
      </c>
      <c r="AT552" s="49" t="str">
        <f t="shared" si="42"/>
        <v>MP8500I</v>
      </c>
      <c r="AU552" s="49" t="s">
        <v>2214</v>
      </c>
      <c r="AV552" s="49" t="s">
        <v>2215</v>
      </c>
    </row>
    <row r="553" spans="1:48" ht="18" customHeight="1">
      <c r="A553" s="44">
        <v>551</v>
      </c>
      <c r="B553" s="71" t="s">
        <v>1076</v>
      </c>
      <c r="C553" s="52" t="s">
        <v>2089</v>
      </c>
      <c r="D553" s="54" t="s">
        <v>2168</v>
      </c>
      <c r="E553" s="44" t="s">
        <v>2215</v>
      </c>
      <c r="F553" s="44" t="s">
        <v>2243</v>
      </c>
      <c r="G553" s="44"/>
      <c r="H553" s="44"/>
      <c r="I553" s="44"/>
      <c r="J553" s="47" t="s">
        <v>35</v>
      </c>
      <c r="K553" s="47"/>
      <c r="L553" s="47"/>
      <c r="M553" s="47"/>
      <c r="N553" s="47"/>
      <c r="O553" s="44"/>
      <c r="P553" s="44"/>
      <c r="Q553" s="48">
        <f>VLOOKUP(E553,sheet1!$B$2:$D$3209,3,FALSE)</f>
        <v>156</v>
      </c>
      <c r="R553" s="47" t="s">
        <v>35</v>
      </c>
      <c r="S553" s="47" t="s">
        <v>35</v>
      </c>
      <c r="T553" s="47" t="s">
        <v>35</v>
      </c>
      <c r="U553" s="47" t="s">
        <v>35</v>
      </c>
      <c r="V553" s="47" t="s">
        <v>35</v>
      </c>
      <c r="W553" s="47" t="s">
        <v>35</v>
      </c>
      <c r="X553" s="47" t="s">
        <v>35</v>
      </c>
      <c r="Y553" s="47" t="s">
        <v>35</v>
      </c>
      <c r="Z553" s="47" t="s">
        <v>35</v>
      </c>
      <c r="AA553" s="47" t="s">
        <v>35</v>
      </c>
      <c r="AB553" s="47" t="s">
        <v>35</v>
      </c>
      <c r="AC553" s="47" t="s">
        <v>35</v>
      </c>
      <c r="AD553" s="76"/>
      <c r="AE553" s="49"/>
      <c r="AF553" s="51" t="s">
        <v>2244</v>
      </c>
      <c r="AG553" s="51" t="s">
        <v>2245</v>
      </c>
      <c r="AH553" s="49" t="str">
        <f t="shared" si="44"/>
        <v>棚卸更新（バッチ処理）</v>
      </c>
      <c r="AI553" s="49"/>
      <c r="AJ553" s="49"/>
      <c r="AK553" s="49"/>
      <c r="AL553" s="49"/>
      <c r="AM553" s="49"/>
      <c r="AN553" s="49"/>
      <c r="AO553" s="51" t="str">
        <f t="shared" si="39"/>
        <v>棚卸明細表　香港仕入分</v>
      </c>
      <c r="AP553" s="51" t="str">
        <f t="shared" si="40"/>
        <v>AC0000D</v>
      </c>
      <c r="AQ553" s="51" t="s">
        <v>2217</v>
      </c>
      <c r="AR553" s="51" t="s">
        <v>2136</v>
      </c>
      <c r="AS553" s="49" t="str">
        <f t="shared" si="41"/>
        <v>棚卸明細表　香港仕入分</v>
      </c>
      <c r="AT553" s="49" t="str">
        <f t="shared" si="42"/>
        <v>AC0000D</v>
      </c>
      <c r="AU553" s="49" t="s">
        <v>2217</v>
      </c>
      <c r="AV553" s="49" t="s">
        <v>2136</v>
      </c>
    </row>
    <row r="554" spans="1:48" ht="18" customHeight="1">
      <c r="A554" s="44">
        <v>552</v>
      </c>
      <c r="B554" s="71" t="s">
        <v>1076</v>
      </c>
      <c r="C554" s="52" t="s">
        <v>2089</v>
      </c>
      <c r="D554" s="54" t="s">
        <v>2168</v>
      </c>
      <c r="E554" s="44" t="s">
        <v>2136</v>
      </c>
      <c r="F554" s="44" t="s">
        <v>2246</v>
      </c>
      <c r="G554" s="44"/>
      <c r="H554" s="44"/>
      <c r="I554" s="44"/>
      <c r="J554" s="47" t="s">
        <v>35</v>
      </c>
      <c r="K554" s="47"/>
      <c r="L554" s="47"/>
      <c r="M554" s="47"/>
      <c r="N554" s="47"/>
      <c r="O554" s="44"/>
      <c r="P554" s="44"/>
      <c r="Q554" s="48" t="e">
        <f>VLOOKUP(E554,sheet1!$B$2:$D$3209,3,FALSE)</f>
        <v>#N/A</v>
      </c>
      <c r="R554" s="47" t="s">
        <v>35</v>
      </c>
      <c r="S554" s="47" t="s">
        <v>35</v>
      </c>
      <c r="T554" s="47" t="s">
        <v>35</v>
      </c>
      <c r="U554" s="47" t="s">
        <v>35</v>
      </c>
      <c r="V554" s="47" t="s">
        <v>35</v>
      </c>
      <c r="W554" s="47" t="s">
        <v>35</v>
      </c>
      <c r="X554" s="47" t="s">
        <v>35</v>
      </c>
      <c r="Y554" s="47" t="s">
        <v>35</v>
      </c>
      <c r="Z554" s="47" t="s">
        <v>35</v>
      </c>
      <c r="AA554" s="47" t="s">
        <v>35</v>
      </c>
      <c r="AB554" s="47" t="s">
        <v>35</v>
      </c>
      <c r="AC554" s="47" t="s">
        <v>35</v>
      </c>
      <c r="AD554" s="76" t="str">
        <f>VLOOKUP(E565,sheet1!$B$2:$C$3209,2,FALSE)</f>
        <v>参考原価入力</v>
      </c>
      <c r="AE554" s="49"/>
      <c r="AF554" s="51" t="s">
        <v>2247</v>
      </c>
      <c r="AG554" s="51" t="s">
        <v>2248</v>
      </c>
      <c r="AH554" s="49" t="str">
        <f t="shared" si="44"/>
        <v>参考原価入力</v>
      </c>
      <c r="AI554" s="49"/>
      <c r="AJ554" s="49"/>
      <c r="AK554" s="49"/>
      <c r="AL554" s="49"/>
      <c r="AM554" s="49"/>
      <c r="AN554" s="49"/>
      <c r="AO554" s="51" t="str">
        <f t="shared" si="39"/>
        <v>仕入先別棚卸表</v>
      </c>
      <c r="AP554" s="51" t="str">
        <f t="shared" si="40"/>
        <v>AC0060</v>
      </c>
      <c r="AQ554" s="51" t="s">
        <v>2220</v>
      </c>
      <c r="AR554" s="51" t="s">
        <v>2221</v>
      </c>
      <c r="AS554" s="49" t="str">
        <f t="shared" si="41"/>
        <v>仕入先別棚卸表</v>
      </c>
      <c r="AT554" s="49" t="str">
        <f t="shared" si="42"/>
        <v>AC0060</v>
      </c>
      <c r="AU554" s="49" t="s">
        <v>2220</v>
      </c>
      <c r="AV554" s="49" t="s">
        <v>2221</v>
      </c>
    </row>
    <row r="555" spans="1:48" ht="18" customHeight="1">
      <c r="A555" s="44">
        <v>553</v>
      </c>
      <c r="B555" s="71" t="s">
        <v>1076</v>
      </c>
      <c r="C555" s="52" t="s">
        <v>2089</v>
      </c>
      <c r="D555" s="77" t="s">
        <v>2168</v>
      </c>
      <c r="E555" s="44" t="s">
        <v>2221</v>
      </c>
      <c r="F555" s="44" t="s">
        <v>2249</v>
      </c>
      <c r="G555" s="44"/>
      <c r="H555" s="44"/>
      <c r="I555" s="44"/>
      <c r="J555" s="47" t="s">
        <v>35</v>
      </c>
      <c r="K555" s="47"/>
      <c r="L555" s="47"/>
      <c r="M555" s="47"/>
      <c r="N555" s="47"/>
      <c r="O555" s="44"/>
      <c r="P555" s="44"/>
      <c r="Q555" s="48">
        <f>VLOOKUP(E555,sheet1!$B$2:$D$3209,3,FALSE)</f>
        <v>278</v>
      </c>
      <c r="R555" s="47" t="s">
        <v>35</v>
      </c>
      <c r="S555" s="47" t="s">
        <v>35</v>
      </c>
      <c r="T555" s="47" t="s">
        <v>35</v>
      </c>
      <c r="U555" s="47" t="s">
        <v>35</v>
      </c>
      <c r="V555" s="47" t="s">
        <v>35</v>
      </c>
      <c r="W555" s="47" t="s">
        <v>35</v>
      </c>
      <c r="X555" s="47" t="s">
        <v>35</v>
      </c>
      <c r="Y555" s="47" t="s">
        <v>35</v>
      </c>
      <c r="Z555" s="47" t="s">
        <v>35</v>
      </c>
      <c r="AA555" s="47" t="s">
        <v>35</v>
      </c>
      <c r="AB555" s="47" t="s">
        <v>35</v>
      </c>
      <c r="AC555" s="47" t="s">
        <v>35</v>
      </c>
      <c r="AD555" s="76" t="str">
        <f>VLOOKUP(E566,sheet1!$B$2:$C$3209,2,FALSE)</f>
        <v>参考原価照会</v>
      </c>
      <c r="AE555" s="49"/>
      <c r="AF555" s="51" t="s">
        <v>2250</v>
      </c>
      <c r="AG555" s="51" t="s">
        <v>2251</v>
      </c>
      <c r="AH555" s="49" t="str">
        <f t="shared" si="44"/>
        <v>参考原価照会</v>
      </c>
      <c r="AI555" s="49"/>
      <c r="AJ555" s="49"/>
      <c r="AK555" s="49"/>
      <c r="AL555" s="49"/>
      <c r="AM555" s="49"/>
      <c r="AN555" s="49"/>
      <c r="AO555" s="51" t="str">
        <f t="shared" si="39"/>
        <v>滞留在庫リスト印刷</v>
      </c>
      <c r="AP555" s="51" t="str">
        <f t="shared" si="40"/>
        <v>PD6430</v>
      </c>
      <c r="AQ555" s="51" t="s">
        <v>2252</v>
      </c>
      <c r="AR555" s="51" t="s">
        <v>2225</v>
      </c>
      <c r="AS555" s="49" t="str">
        <f t="shared" si="41"/>
        <v>滞留在庫リスト印刷</v>
      </c>
      <c r="AT555" s="49" t="str">
        <f t="shared" si="42"/>
        <v>PD6430</v>
      </c>
      <c r="AU555" s="36" t="s">
        <v>2224</v>
      </c>
      <c r="AV555" s="49" t="s">
        <v>2225</v>
      </c>
    </row>
    <row r="556" spans="1:48" ht="18" customHeight="1">
      <c r="A556" s="44">
        <v>554</v>
      </c>
      <c r="B556" s="71" t="s">
        <v>1076</v>
      </c>
      <c r="C556" s="52" t="s">
        <v>2089</v>
      </c>
      <c r="D556" s="53" t="s">
        <v>2253</v>
      </c>
      <c r="E556" s="44" t="s">
        <v>2225</v>
      </c>
      <c r="F556" s="44" t="s">
        <v>2254</v>
      </c>
      <c r="G556" s="44"/>
      <c r="H556" s="44"/>
      <c r="I556" s="44"/>
      <c r="J556" s="47" t="s">
        <v>35</v>
      </c>
      <c r="K556" s="47"/>
      <c r="L556" s="47"/>
      <c r="M556" s="47"/>
      <c r="N556" s="47"/>
      <c r="O556" s="44"/>
      <c r="P556" s="44"/>
      <c r="Q556" s="48">
        <f>VLOOKUP(E556,sheet1!$B$2:$D$3209,3,FALSE)</f>
        <v>1090</v>
      </c>
      <c r="R556" s="47" t="s">
        <v>35</v>
      </c>
      <c r="S556" s="47" t="s">
        <v>35</v>
      </c>
      <c r="T556" s="47" t="s">
        <v>35</v>
      </c>
      <c r="U556" s="47" t="s">
        <v>35</v>
      </c>
      <c r="V556" s="47" t="s">
        <v>35</v>
      </c>
      <c r="W556" s="47" t="s">
        <v>35</v>
      </c>
      <c r="X556" s="47" t="s">
        <v>35</v>
      </c>
      <c r="Y556" s="47" t="s">
        <v>35</v>
      </c>
      <c r="Z556" s="47" t="s">
        <v>35</v>
      </c>
      <c r="AA556" s="47" t="s">
        <v>35</v>
      </c>
      <c r="AB556" s="47" t="s">
        <v>35</v>
      </c>
      <c r="AC556" s="47" t="s">
        <v>35</v>
      </c>
      <c r="AD556" s="76" t="str">
        <f>VLOOKUP(E567,sheet1!$B$2:$C$3209,2,FALSE)</f>
        <v>参考原価リスト（品目別）</v>
      </c>
      <c r="AE556" s="49"/>
      <c r="AF556" s="51" t="s">
        <v>2255</v>
      </c>
      <c r="AG556" s="51" t="s">
        <v>2256</v>
      </c>
      <c r="AH556" s="49" t="str">
        <f t="shared" si="44"/>
        <v>参考原価ﾘｽﾄ（品目別）</v>
      </c>
      <c r="AI556" s="49"/>
      <c r="AJ556" s="49"/>
      <c r="AK556" s="49"/>
      <c r="AL556" s="49"/>
      <c r="AM556" s="49"/>
      <c r="AN556" s="49"/>
      <c r="AO556" s="51" t="str">
        <f t="shared" si="39"/>
        <v>滞留在庫理由・消費見込入力</v>
      </c>
      <c r="AP556" s="51" t="str">
        <f t="shared" si="40"/>
        <v>PD6420</v>
      </c>
      <c r="AQ556" s="51" t="s">
        <v>2227</v>
      </c>
      <c r="AR556" s="51" t="s">
        <v>2228</v>
      </c>
      <c r="AS556" s="49" t="str">
        <f t="shared" si="41"/>
        <v>滞留在庫理由・消費見込入力</v>
      </c>
      <c r="AT556" s="49" t="str">
        <f t="shared" si="42"/>
        <v>PD6420</v>
      </c>
      <c r="AU556" s="49" t="s">
        <v>2227</v>
      </c>
      <c r="AV556" s="49" t="s">
        <v>2228</v>
      </c>
    </row>
    <row r="557" spans="1:48" ht="18" customHeight="1">
      <c r="A557" s="44">
        <v>555</v>
      </c>
      <c r="B557" s="71" t="s">
        <v>1076</v>
      </c>
      <c r="C557" s="52" t="s">
        <v>2089</v>
      </c>
      <c r="D557" s="54" t="s">
        <v>2253</v>
      </c>
      <c r="E557" s="44" t="s">
        <v>2228</v>
      </c>
      <c r="F557" s="44" t="s">
        <v>2210</v>
      </c>
      <c r="G557" s="44"/>
      <c r="H557" s="44"/>
      <c r="I557" s="44"/>
      <c r="J557" s="47" t="s">
        <v>35</v>
      </c>
      <c r="K557" s="47"/>
      <c r="L557" s="47"/>
      <c r="M557" s="47"/>
      <c r="N557" s="47"/>
      <c r="O557" s="44"/>
      <c r="P557" s="44"/>
      <c r="Q557" s="48">
        <f>VLOOKUP(E557,sheet1!$B$2:$D$3209,3,FALSE)</f>
        <v>946</v>
      </c>
      <c r="R557" s="47" t="s">
        <v>35</v>
      </c>
      <c r="S557" s="47" t="s">
        <v>35</v>
      </c>
      <c r="T557" s="47" t="s">
        <v>35</v>
      </c>
      <c r="U557" s="47" t="s">
        <v>35</v>
      </c>
      <c r="V557" s="47" t="s">
        <v>35</v>
      </c>
      <c r="W557" s="47" t="s">
        <v>35</v>
      </c>
      <c r="X557" s="47" t="s">
        <v>35</v>
      </c>
      <c r="Y557" s="47" t="s">
        <v>35</v>
      </c>
      <c r="Z557" s="47" t="s">
        <v>35</v>
      </c>
      <c r="AA557" s="47" t="s">
        <v>35</v>
      </c>
      <c r="AB557" s="47" t="s">
        <v>35</v>
      </c>
      <c r="AC557" s="47" t="s">
        <v>35</v>
      </c>
      <c r="AD557" s="76" t="str">
        <f>VLOOKUP(E568,sheet1!$B$2:$C$3209,2,FALSE)</f>
        <v>参考原価リスト（費目別）</v>
      </c>
      <c r="AE557" s="49"/>
      <c r="AF557" s="51" t="s">
        <v>2257</v>
      </c>
      <c r="AG557" s="51" t="s">
        <v>2258</v>
      </c>
      <c r="AH557" s="49" t="str">
        <f t="shared" si="44"/>
        <v>参考原価ﾘｽﾄ（費目別）</v>
      </c>
      <c r="AI557" s="49"/>
      <c r="AJ557" s="49"/>
      <c r="AK557" s="49"/>
      <c r="AL557" s="49"/>
      <c r="AM557" s="49"/>
      <c r="AN557" s="49"/>
      <c r="AO557" s="51" t="str">
        <f t="shared" si="39"/>
        <v>滞留在庫分析件数一覧</v>
      </c>
      <c r="AP557" s="51" t="str">
        <f t="shared" si="40"/>
        <v>Query</v>
      </c>
      <c r="AQ557" s="51" t="s">
        <v>2230</v>
      </c>
      <c r="AR557" s="51" t="s">
        <v>344</v>
      </c>
      <c r="AS557" s="49" t="str">
        <f t="shared" si="41"/>
        <v/>
      </c>
      <c r="AT557" s="49" t="str">
        <f t="shared" si="42"/>
        <v/>
      </c>
      <c r="AU557" s="49"/>
      <c r="AV557" s="49"/>
    </row>
    <row r="558" spans="1:48" ht="18" customHeight="1">
      <c r="A558" s="44">
        <v>556</v>
      </c>
      <c r="B558" s="71" t="s">
        <v>1076</v>
      </c>
      <c r="C558" s="52" t="s">
        <v>2089</v>
      </c>
      <c r="D558" s="54" t="s">
        <v>2253</v>
      </c>
      <c r="E558" s="44" t="s">
        <v>344</v>
      </c>
      <c r="F558" s="44" t="s">
        <v>2259</v>
      </c>
      <c r="G558" s="44"/>
      <c r="H558" s="44"/>
      <c r="I558" s="44"/>
      <c r="J558" s="47"/>
      <c r="K558" s="47" t="s">
        <v>35</v>
      </c>
      <c r="L558" s="47"/>
      <c r="M558" s="47"/>
      <c r="N558" s="47"/>
      <c r="O558" s="44"/>
      <c r="P558" s="44"/>
      <c r="Q558" s="48" t="e">
        <f>VLOOKUP(E558,sheet1!$B$2:$D$3209,3,FALSE)</f>
        <v>#N/A</v>
      </c>
      <c r="R558" s="47" t="s">
        <v>35</v>
      </c>
      <c r="S558" s="47" t="s">
        <v>35</v>
      </c>
      <c r="T558" s="47"/>
      <c r="U558" s="47" t="s">
        <v>296</v>
      </c>
      <c r="V558" s="47" t="s">
        <v>296</v>
      </c>
      <c r="W558" s="47" t="s">
        <v>296</v>
      </c>
      <c r="X558" s="47" t="s">
        <v>35</v>
      </c>
      <c r="Y558" s="47" t="s">
        <v>35</v>
      </c>
      <c r="Z558" s="47" t="s">
        <v>296</v>
      </c>
      <c r="AA558" s="47" t="s">
        <v>296</v>
      </c>
      <c r="AB558" s="47"/>
      <c r="AC558" s="47" t="s">
        <v>35</v>
      </c>
      <c r="AD558" s="76" t="str">
        <f>VLOOKUP(E569,sheet1!$B$2:$C$3209,2,FALSE)</f>
        <v>参考原価構成メンテナンス</v>
      </c>
      <c r="AE558" s="49"/>
      <c r="AF558" s="51" t="s">
        <v>2260</v>
      </c>
      <c r="AG558" s="51" t="s">
        <v>2261</v>
      </c>
      <c r="AH558" s="49" t="str">
        <f t="shared" si="44"/>
        <v>参考原価構成ﾒﾝﾃﾅﾝｽ</v>
      </c>
      <c r="AI558" s="49"/>
      <c r="AJ558" s="49"/>
      <c r="AK558" s="49"/>
      <c r="AL558" s="49"/>
      <c r="AM558" s="49"/>
      <c r="AN558" s="49"/>
      <c r="AO558" s="51" t="str">
        <f t="shared" si="39"/>
        <v>滞留在庫引当計画入力</v>
      </c>
      <c r="AP558" s="51" t="str">
        <f t="shared" si="40"/>
        <v/>
      </c>
      <c r="AQ558" s="51" t="s">
        <v>2232</v>
      </c>
      <c r="AR558" s="51"/>
      <c r="AS558" s="49" t="str">
        <f t="shared" si="41"/>
        <v>滞留在庫引当計画入力</v>
      </c>
      <c r="AT558" s="49" t="str">
        <f t="shared" si="42"/>
        <v/>
      </c>
      <c r="AU558" s="49" t="s">
        <v>2232</v>
      </c>
      <c r="AV558" s="49"/>
    </row>
    <row r="559" spans="1:48" ht="18" customHeight="1">
      <c r="A559" s="44">
        <v>557</v>
      </c>
      <c r="B559" s="71" t="s">
        <v>1076</v>
      </c>
      <c r="C559" s="52" t="s">
        <v>2089</v>
      </c>
      <c r="D559" s="54" t="s">
        <v>2253</v>
      </c>
      <c r="E559" s="44" t="s">
        <v>116</v>
      </c>
      <c r="F559" s="44" t="s">
        <v>2262</v>
      </c>
      <c r="G559" s="44"/>
      <c r="H559" s="44"/>
      <c r="I559" s="44"/>
      <c r="J559" s="47" t="s">
        <v>35</v>
      </c>
      <c r="K559" s="47"/>
      <c r="L559" s="47"/>
      <c r="M559" s="47"/>
      <c r="N559" s="47"/>
      <c r="O559" s="44"/>
      <c r="P559" s="44"/>
      <c r="Q559" s="48" t="e">
        <f>VLOOKUP(E559,sheet1!$B$2:$D$3209,3,FALSE)</f>
        <v>#N/A</v>
      </c>
      <c r="R559" s="47" t="s">
        <v>35</v>
      </c>
      <c r="S559" s="47" t="s">
        <v>35</v>
      </c>
      <c r="T559" s="47" t="s">
        <v>35</v>
      </c>
      <c r="U559" s="47" t="s">
        <v>35</v>
      </c>
      <c r="V559" s="47" t="s">
        <v>35</v>
      </c>
      <c r="W559" s="47" t="s">
        <v>35</v>
      </c>
      <c r="X559" s="47" t="s">
        <v>35</v>
      </c>
      <c r="Y559" s="47" t="s">
        <v>35</v>
      </c>
      <c r="Z559" s="47" t="s">
        <v>35</v>
      </c>
      <c r="AA559" s="47" t="s">
        <v>35</v>
      </c>
      <c r="AB559" s="47" t="s">
        <v>35</v>
      </c>
      <c r="AC559" s="47" t="s">
        <v>35</v>
      </c>
      <c r="AD559" s="76" t="str">
        <f>VLOOKUP(E570,sheet1!$B$2:$C$3209,2,FALSE)</f>
        <v>計算環境設定</v>
      </c>
      <c r="AE559" s="49"/>
      <c r="AF559" s="51" t="s">
        <v>2263</v>
      </c>
      <c r="AG559" s="51" t="s">
        <v>2264</v>
      </c>
      <c r="AH559" s="49" t="str">
        <f t="shared" si="44"/>
        <v>標準原価次年度環境設定</v>
      </c>
      <c r="AI559" s="49"/>
      <c r="AJ559" s="49"/>
      <c r="AK559" s="49"/>
      <c r="AL559" s="49"/>
      <c r="AM559" s="49"/>
      <c r="AN559" s="49"/>
      <c r="AO559" s="51" t="str">
        <f t="shared" si="39"/>
        <v>滞留在庫引当計画　照会・印刷</v>
      </c>
      <c r="AP559" s="51" t="str">
        <f t="shared" si="40"/>
        <v/>
      </c>
      <c r="AQ559" s="51" t="s">
        <v>2234</v>
      </c>
      <c r="AR559" s="51"/>
      <c r="AS559" s="49" t="str">
        <f t="shared" si="41"/>
        <v>滞留在庫引当計画　照会・印刷</v>
      </c>
      <c r="AT559" s="49" t="str">
        <f t="shared" si="42"/>
        <v/>
      </c>
      <c r="AU559" s="49" t="s">
        <v>2234</v>
      </c>
      <c r="AV559" s="49"/>
    </row>
    <row r="560" spans="1:48" ht="18" customHeight="1">
      <c r="A560" s="44">
        <v>558</v>
      </c>
      <c r="B560" s="71" t="s">
        <v>1076</v>
      </c>
      <c r="C560" s="52" t="s">
        <v>2089</v>
      </c>
      <c r="D560" s="54" t="s">
        <v>2253</v>
      </c>
      <c r="E560" s="44" t="s">
        <v>116</v>
      </c>
      <c r="F560" s="44" t="s">
        <v>2216</v>
      </c>
      <c r="G560" s="44"/>
      <c r="H560" s="44"/>
      <c r="I560" s="44"/>
      <c r="J560" s="47" t="s">
        <v>35</v>
      </c>
      <c r="K560" s="47"/>
      <c r="L560" s="47"/>
      <c r="M560" s="47"/>
      <c r="N560" s="47"/>
      <c r="O560" s="44"/>
      <c r="P560" s="44"/>
      <c r="Q560" s="48" t="e">
        <f>VLOOKUP(E560,sheet1!$B$2:$D$3209,3,FALSE)</f>
        <v>#N/A</v>
      </c>
      <c r="R560" s="47" t="s">
        <v>35</v>
      </c>
      <c r="S560" s="47" t="s">
        <v>35</v>
      </c>
      <c r="T560" s="47" t="s">
        <v>35</v>
      </c>
      <c r="U560" s="47" t="s">
        <v>35</v>
      </c>
      <c r="V560" s="47" t="s">
        <v>35</v>
      </c>
      <c r="W560" s="47" t="s">
        <v>35</v>
      </c>
      <c r="X560" s="47" t="s">
        <v>35</v>
      </c>
      <c r="Y560" s="47" t="s">
        <v>35</v>
      </c>
      <c r="Z560" s="47" t="s">
        <v>35</v>
      </c>
      <c r="AA560" s="47" t="s">
        <v>35</v>
      </c>
      <c r="AB560" s="47" t="s">
        <v>35</v>
      </c>
      <c r="AC560" s="47" t="s">
        <v>35</v>
      </c>
      <c r="AD560" s="76" t="str">
        <f>VLOOKUP(E571,sheet1!$B$2:$C$3209,2,FALSE)</f>
        <v>労務費・経費率テーブル保守</v>
      </c>
      <c r="AE560" s="49"/>
      <c r="AF560" s="51" t="s">
        <v>2265</v>
      </c>
      <c r="AG560" s="51" t="s">
        <v>2266</v>
      </c>
      <c r="AH560" s="49" t="str">
        <f t="shared" si="44"/>
        <v>労務費・経費率T 保守</v>
      </c>
      <c r="AI560" s="49"/>
      <c r="AJ560" s="49"/>
      <c r="AK560" s="49"/>
      <c r="AL560" s="49" t="str">
        <f t="shared" ref="AL560:AL597" si="46">TRIM(AN560)</f>
        <v>労務費・経費率T 照会</v>
      </c>
      <c r="AM560" s="49" t="s">
        <v>35</v>
      </c>
      <c r="AN560" s="49" t="s">
        <v>2267</v>
      </c>
      <c r="AO560" s="51" t="str">
        <f t="shared" si="39"/>
        <v>滞留在庫分析ﾃﾞｰﾀ作成</v>
      </c>
      <c r="AP560" s="51" t="str">
        <f t="shared" si="40"/>
        <v/>
      </c>
      <c r="AQ560" s="51" t="s">
        <v>2238</v>
      </c>
      <c r="AR560" s="51"/>
      <c r="AS560" s="49" t="str">
        <f t="shared" si="41"/>
        <v/>
      </c>
      <c r="AT560" s="49" t="str">
        <f t="shared" si="42"/>
        <v/>
      </c>
      <c r="AU560" s="49"/>
      <c r="AV560" s="49"/>
    </row>
    <row r="561" spans="1:48" ht="18" customHeight="1">
      <c r="A561" s="44">
        <v>559</v>
      </c>
      <c r="B561" s="71" t="s">
        <v>1076</v>
      </c>
      <c r="C561" s="52" t="s">
        <v>2089</v>
      </c>
      <c r="D561" s="54" t="s">
        <v>2253</v>
      </c>
      <c r="E561" s="44" t="s">
        <v>116</v>
      </c>
      <c r="F561" s="44" t="s">
        <v>2268</v>
      </c>
      <c r="G561" s="44"/>
      <c r="H561" s="44"/>
      <c r="I561" s="44"/>
      <c r="J561" s="47" t="s">
        <v>35</v>
      </c>
      <c r="K561" s="47"/>
      <c r="L561" s="47"/>
      <c r="M561" s="47"/>
      <c r="N561" s="47"/>
      <c r="O561" s="44"/>
      <c r="P561" s="44"/>
      <c r="Q561" s="48" t="e">
        <f>VLOOKUP(E561,sheet1!$B$2:$D$3209,3,FALSE)</f>
        <v>#N/A</v>
      </c>
      <c r="R561" s="47" t="s">
        <v>35</v>
      </c>
      <c r="S561" s="47" t="s">
        <v>35</v>
      </c>
      <c r="T561" s="47"/>
      <c r="U561" s="47" t="s">
        <v>296</v>
      </c>
      <c r="V561" s="47" t="s">
        <v>296</v>
      </c>
      <c r="W561" s="47" t="s">
        <v>296</v>
      </c>
      <c r="X561" s="47" t="s">
        <v>35</v>
      </c>
      <c r="Y561" s="47" t="s">
        <v>35</v>
      </c>
      <c r="Z561" s="47" t="s">
        <v>296</v>
      </c>
      <c r="AA561" s="47" t="s">
        <v>296</v>
      </c>
      <c r="AB561" s="47"/>
      <c r="AC561" s="47" t="s">
        <v>35</v>
      </c>
      <c r="AD561" s="76" t="str">
        <f>VLOOKUP(E572,sheet1!$B$2:$C$3209,2,FALSE)</f>
        <v>金型償却費テーブル保守</v>
      </c>
      <c r="AE561" s="49"/>
      <c r="AF561" s="51" t="s">
        <v>2269</v>
      </c>
      <c r="AG561" s="51" t="s">
        <v>2270</v>
      </c>
      <c r="AH561" s="49" t="str">
        <f t="shared" si="44"/>
        <v>金型償却費ﾃｰﾌﾞﾙ 保守</v>
      </c>
      <c r="AI561" s="49"/>
      <c r="AJ561" s="49"/>
      <c r="AK561" s="49"/>
      <c r="AL561" s="49" t="str">
        <f t="shared" si="46"/>
        <v>金型償却費ﾃｰﾌﾞﾙ 照会</v>
      </c>
      <c r="AM561" s="49" t="s">
        <v>35</v>
      </c>
      <c r="AN561" s="49" t="s">
        <v>2271</v>
      </c>
      <c r="AO561" s="51" t="str">
        <f t="shared" si="39"/>
        <v>ｼﾐｭﾚｰｼｮﾝMRP処理</v>
      </c>
      <c r="AP561" s="51" t="str">
        <f t="shared" si="40"/>
        <v/>
      </c>
      <c r="AQ561" s="51" t="s">
        <v>2240</v>
      </c>
      <c r="AR561" s="51"/>
      <c r="AS561" s="49" t="str">
        <f t="shared" si="41"/>
        <v>ｼﾐｭﾚｰｼｮﾝMRP処理</v>
      </c>
      <c r="AT561" s="49" t="str">
        <f t="shared" si="42"/>
        <v/>
      </c>
      <c r="AU561" s="49" t="s">
        <v>2240</v>
      </c>
      <c r="AV561" s="49"/>
    </row>
    <row r="562" spans="1:48" ht="18" customHeight="1">
      <c r="A562" s="44">
        <v>560</v>
      </c>
      <c r="B562" s="71" t="s">
        <v>1076</v>
      </c>
      <c r="C562" s="52" t="s">
        <v>2089</v>
      </c>
      <c r="D562" s="54" t="s">
        <v>2253</v>
      </c>
      <c r="E562" s="44" t="s">
        <v>116</v>
      </c>
      <c r="F562" s="44" t="s">
        <v>2272</v>
      </c>
      <c r="G562" s="44"/>
      <c r="H562" s="44"/>
      <c r="I562" s="44"/>
      <c r="J562" s="47" t="s">
        <v>35</v>
      </c>
      <c r="K562" s="47"/>
      <c r="L562" s="47"/>
      <c r="M562" s="47"/>
      <c r="N562" s="47"/>
      <c r="O562" s="44"/>
      <c r="P562" s="44"/>
      <c r="Q562" s="48" t="e">
        <f>VLOOKUP(E562,sheet1!$B$2:$D$3209,3,FALSE)</f>
        <v>#N/A</v>
      </c>
      <c r="R562" s="47" t="s">
        <v>35</v>
      </c>
      <c r="S562" s="47" t="s">
        <v>35</v>
      </c>
      <c r="T562" s="47" t="s">
        <v>35</v>
      </c>
      <c r="U562" s="47" t="s">
        <v>35</v>
      </c>
      <c r="V562" s="47" t="s">
        <v>35</v>
      </c>
      <c r="W562" s="47" t="s">
        <v>35</v>
      </c>
      <c r="X562" s="47" t="s">
        <v>35</v>
      </c>
      <c r="Y562" s="47" t="s">
        <v>35</v>
      </c>
      <c r="Z562" s="47" t="s">
        <v>35</v>
      </c>
      <c r="AA562" s="47" t="s">
        <v>35</v>
      </c>
      <c r="AB562" s="47" t="s">
        <v>35</v>
      </c>
      <c r="AC562" s="47" t="s">
        <v>35</v>
      </c>
      <c r="AD562" s="76" t="str">
        <f>VLOOKUP(E573,sheet1!$B$2:$C$3209,2,FALSE)</f>
        <v>特許料テーブル保守</v>
      </c>
      <c r="AE562" s="49"/>
      <c r="AF562" s="51" t="s">
        <v>2273</v>
      </c>
      <c r="AG562" s="51" t="s">
        <v>2274</v>
      </c>
      <c r="AH562" s="49" t="str">
        <f t="shared" si="44"/>
        <v>特許料テーブル　保守</v>
      </c>
      <c r="AI562" s="49"/>
      <c r="AJ562" s="49"/>
      <c r="AK562" s="49"/>
      <c r="AL562" s="49" t="str">
        <f t="shared" si="46"/>
        <v>特許料テーブル　照会</v>
      </c>
      <c r="AM562" s="49" t="s">
        <v>35</v>
      </c>
      <c r="AN562" s="49" t="s">
        <v>2275</v>
      </c>
      <c r="AO562" s="51" t="str">
        <f t="shared" si="39"/>
        <v>ｼﾐｭﾚｰｼｮﾝMPR製番別引当状況表</v>
      </c>
      <c r="AP562" s="51" t="str">
        <f t="shared" si="40"/>
        <v/>
      </c>
      <c r="AQ562" s="51" t="s">
        <v>2242</v>
      </c>
      <c r="AR562" s="51"/>
      <c r="AS562" s="49" t="str">
        <f t="shared" si="41"/>
        <v>ｼﾐｭﾚｰｼｮﾝMPR製番別引当状況表</v>
      </c>
      <c r="AT562" s="49" t="str">
        <f t="shared" si="42"/>
        <v/>
      </c>
      <c r="AU562" s="49" t="s">
        <v>2242</v>
      </c>
      <c r="AV562" s="49"/>
    </row>
    <row r="563" spans="1:48" ht="18" customHeight="1">
      <c r="A563" s="44">
        <v>561</v>
      </c>
      <c r="B563" s="71" t="s">
        <v>1076</v>
      </c>
      <c r="C563" s="52" t="s">
        <v>2089</v>
      </c>
      <c r="D563" s="77" t="s">
        <v>2253</v>
      </c>
      <c r="E563" s="44" t="s">
        <v>116</v>
      </c>
      <c r="F563" s="44" t="s">
        <v>2222</v>
      </c>
      <c r="G563" s="44"/>
      <c r="H563" s="44"/>
      <c r="I563" s="44"/>
      <c r="J563" s="47" t="s">
        <v>35</v>
      </c>
      <c r="K563" s="47"/>
      <c r="L563" s="47"/>
      <c r="M563" s="47"/>
      <c r="N563" s="47"/>
      <c r="O563" s="44"/>
      <c r="P563" s="44"/>
      <c r="Q563" s="48" t="e">
        <f>VLOOKUP(E563,sheet1!$B$2:$D$3209,3,FALSE)</f>
        <v>#N/A</v>
      </c>
      <c r="R563" s="47" t="s">
        <v>35</v>
      </c>
      <c r="S563" s="47" t="s">
        <v>35</v>
      </c>
      <c r="T563" s="47" t="s">
        <v>35</v>
      </c>
      <c r="U563" s="47" t="s">
        <v>35</v>
      </c>
      <c r="V563" s="47" t="s">
        <v>35</v>
      </c>
      <c r="W563" s="47" t="s">
        <v>35</v>
      </c>
      <c r="X563" s="47" t="s">
        <v>35</v>
      </c>
      <c r="Y563" s="47" t="s">
        <v>35</v>
      </c>
      <c r="Z563" s="47" t="s">
        <v>35</v>
      </c>
      <c r="AA563" s="47" t="s">
        <v>35</v>
      </c>
      <c r="AB563" s="47" t="s">
        <v>35</v>
      </c>
      <c r="AC563" s="47" t="s">
        <v>35</v>
      </c>
      <c r="AD563" s="76" t="str">
        <f>VLOOKUP(E574,sheet1!$B$2:$C$3209,2,FALSE)</f>
        <v>生産工場マスター保守</v>
      </c>
      <c r="AE563" s="49"/>
      <c r="AF563" s="51" t="s">
        <v>2276</v>
      </c>
      <c r="AG563" s="51" t="s">
        <v>2277</v>
      </c>
      <c r="AH563" s="49" t="str">
        <f t="shared" si="44"/>
        <v>生産工場マスター　保守</v>
      </c>
      <c r="AI563" s="49"/>
      <c r="AJ563" s="49"/>
      <c r="AK563" s="49"/>
      <c r="AL563" s="49" t="str">
        <f t="shared" si="46"/>
        <v>生産工場マスター　照会</v>
      </c>
      <c r="AM563" s="49" t="s">
        <v>35</v>
      </c>
      <c r="AN563" s="49" t="s">
        <v>2278</v>
      </c>
      <c r="AO563" s="51" t="str">
        <f t="shared" si="39"/>
        <v/>
      </c>
      <c r="AP563" s="51" t="str">
        <f t="shared" si="40"/>
        <v/>
      </c>
      <c r="AQ563" s="49"/>
      <c r="AR563" s="49"/>
      <c r="AS563" s="49" t="str">
        <f t="shared" si="41"/>
        <v/>
      </c>
      <c r="AT563" s="49" t="str">
        <f t="shared" si="42"/>
        <v/>
      </c>
      <c r="AU563" s="49"/>
      <c r="AV563" s="49"/>
    </row>
    <row r="564" spans="1:48" ht="18" customHeight="1">
      <c r="A564" s="44">
        <v>562</v>
      </c>
      <c r="B564" s="71" t="s">
        <v>1076</v>
      </c>
      <c r="C564" s="52" t="s">
        <v>2089</v>
      </c>
      <c r="D564" s="78" t="s">
        <v>116</v>
      </c>
      <c r="E564" s="44" t="s">
        <v>2245</v>
      </c>
      <c r="F564" s="44" t="s">
        <v>2279</v>
      </c>
      <c r="G564" s="44"/>
      <c r="H564" s="44"/>
      <c r="I564" s="44"/>
      <c r="J564" s="47" t="s">
        <v>35</v>
      </c>
      <c r="K564" s="47"/>
      <c r="L564" s="47"/>
      <c r="M564" s="47"/>
      <c r="N564" s="47"/>
      <c r="O564" s="44"/>
      <c r="P564" s="44"/>
      <c r="Q564" s="48">
        <f>VLOOKUP(E564,sheet1!$B$2:$D$3209,3,FALSE)</f>
        <v>537</v>
      </c>
      <c r="R564" s="47" t="s">
        <v>35</v>
      </c>
      <c r="S564" s="47" t="s">
        <v>296</v>
      </c>
      <c r="T564" s="47"/>
      <c r="U564" s="47" t="s">
        <v>296</v>
      </c>
      <c r="V564" s="47" t="s">
        <v>296</v>
      </c>
      <c r="W564" s="47" t="s">
        <v>296</v>
      </c>
      <c r="X564" s="47" t="s">
        <v>296</v>
      </c>
      <c r="Y564" s="47" t="s">
        <v>296</v>
      </c>
      <c r="Z564" s="47" t="s">
        <v>296</v>
      </c>
      <c r="AA564" s="47" t="s">
        <v>296</v>
      </c>
      <c r="AB564" s="47"/>
      <c r="AC564" s="47" t="s">
        <v>35</v>
      </c>
      <c r="AD564" s="76" t="str">
        <f>VLOOKUP(E575,sheet1!$B$2:$C$3209,2,FALSE)</f>
        <v>品目別販売課テーブル保守</v>
      </c>
      <c r="AE564" s="49"/>
      <c r="AF564" s="51" t="s">
        <v>2280</v>
      </c>
      <c r="AG564" s="51" t="s">
        <v>2281</v>
      </c>
      <c r="AH564" s="49" t="str">
        <f t="shared" si="44"/>
        <v>品目別販売課ﾏｽﾀｰ保守</v>
      </c>
      <c r="AI564" s="49"/>
      <c r="AJ564" s="49"/>
      <c r="AK564" s="49"/>
      <c r="AL564" s="49" t="str">
        <f t="shared" si="46"/>
        <v>品目別販売課ﾏｽﾀｰ照会</v>
      </c>
      <c r="AM564" s="49" t="s">
        <v>35</v>
      </c>
      <c r="AN564" s="49" t="s">
        <v>2282</v>
      </c>
      <c r="AO564" s="51" t="str">
        <f t="shared" si="39"/>
        <v/>
      </c>
      <c r="AP564" s="51" t="str">
        <f t="shared" si="40"/>
        <v/>
      </c>
      <c r="AQ564" s="51"/>
      <c r="AR564" s="51"/>
      <c r="AS564" s="49" t="str">
        <f t="shared" si="41"/>
        <v/>
      </c>
      <c r="AT564" s="49" t="str">
        <f t="shared" si="42"/>
        <v/>
      </c>
      <c r="AU564" s="49"/>
      <c r="AV564" s="49"/>
    </row>
    <row r="565" spans="1:48" ht="18" customHeight="1">
      <c r="A565" s="44">
        <v>563</v>
      </c>
      <c r="B565" s="71" t="s">
        <v>1076</v>
      </c>
      <c r="C565" s="45" t="s">
        <v>2283</v>
      </c>
      <c r="D565" s="53" t="s">
        <v>2284</v>
      </c>
      <c r="E565" s="44" t="s">
        <v>2248</v>
      </c>
      <c r="F565" s="44" t="s">
        <v>2285</v>
      </c>
      <c r="G565" s="44"/>
      <c r="H565" s="44"/>
      <c r="I565" s="44"/>
      <c r="J565" s="47" t="s">
        <v>35</v>
      </c>
      <c r="K565" s="47"/>
      <c r="L565" s="47"/>
      <c r="M565" s="47"/>
      <c r="N565" s="47"/>
      <c r="O565" s="44"/>
      <c r="P565" s="44"/>
      <c r="Q565" s="48">
        <f>VLOOKUP(E565,sheet1!$B$2:$D$3209,3,FALSE)</f>
        <v>1250</v>
      </c>
      <c r="R565" s="47" t="s">
        <v>35</v>
      </c>
      <c r="S565" s="47" t="s">
        <v>296</v>
      </c>
      <c r="T565" s="47"/>
      <c r="U565" s="47" t="s">
        <v>296</v>
      </c>
      <c r="V565" s="47" t="s">
        <v>296</v>
      </c>
      <c r="W565" s="47" t="s">
        <v>296</v>
      </c>
      <c r="X565" s="47" t="s">
        <v>296</v>
      </c>
      <c r="Y565" s="47" t="s">
        <v>296</v>
      </c>
      <c r="Z565" s="47" t="s">
        <v>296</v>
      </c>
      <c r="AA565" s="47" t="s">
        <v>296</v>
      </c>
      <c r="AB565" s="47"/>
      <c r="AC565" s="47" t="s">
        <v>35</v>
      </c>
      <c r="AD565" s="76" t="str">
        <f>VLOOKUP(E576,sheet1!$B$2:$C$3209,2,FALSE)</f>
        <v>労務費・経費率ﾃｰﾌﾞﾙ照会                   JCM</v>
      </c>
      <c r="AE565" s="49"/>
      <c r="AF565" s="51" t="s">
        <v>2286</v>
      </c>
      <c r="AG565" s="51" t="s">
        <v>2287</v>
      </c>
      <c r="AH565" s="49" t="str">
        <f t="shared" si="44"/>
        <v>労務費・経費率T 照会</v>
      </c>
      <c r="AI565" s="49"/>
      <c r="AJ565" s="49"/>
      <c r="AK565" s="49"/>
      <c r="AL565" s="49" t="str">
        <f t="shared" si="46"/>
        <v>労務費・経費率一覧表</v>
      </c>
      <c r="AM565" s="49" t="s">
        <v>35</v>
      </c>
      <c r="AN565" s="49" t="s">
        <v>2288</v>
      </c>
      <c r="AO565" s="51" t="str">
        <f t="shared" si="39"/>
        <v>参考原価照会</v>
      </c>
      <c r="AP565" s="51" t="str">
        <f t="shared" si="40"/>
        <v>CS1050</v>
      </c>
      <c r="AQ565" s="51" t="s">
        <v>2289</v>
      </c>
      <c r="AR565" s="51" t="s">
        <v>2251</v>
      </c>
      <c r="AS565" s="49" t="str">
        <f t="shared" si="41"/>
        <v>参考原価照会</v>
      </c>
      <c r="AT565" s="49" t="str">
        <f t="shared" si="42"/>
        <v>CS1050</v>
      </c>
      <c r="AU565" s="49" t="s">
        <v>2289</v>
      </c>
      <c r="AV565" s="49" t="s">
        <v>2251</v>
      </c>
    </row>
    <row r="566" spans="1:48" ht="18" customHeight="1">
      <c r="A566" s="44">
        <v>564</v>
      </c>
      <c r="B566" s="71" t="s">
        <v>1076</v>
      </c>
      <c r="C566" s="52" t="s">
        <v>2283</v>
      </c>
      <c r="D566" s="54" t="s">
        <v>2284</v>
      </c>
      <c r="E566" s="44" t="s">
        <v>2251</v>
      </c>
      <c r="F566" s="44" t="s">
        <v>2290</v>
      </c>
      <c r="G566" s="44"/>
      <c r="H566" s="44"/>
      <c r="I566" s="44"/>
      <c r="J566" s="47" t="s">
        <v>35</v>
      </c>
      <c r="K566" s="47"/>
      <c r="L566" s="47"/>
      <c r="M566" s="47"/>
      <c r="N566" s="47"/>
      <c r="O566" s="44"/>
      <c r="P566" s="44"/>
      <c r="Q566" s="48">
        <f>VLOOKUP(E566,sheet1!$B$2:$D$3209,3,FALSE)</f>
        <v>470</v>
      </c>
      <c r="R566" s="47" t="s">
        <v>35</v>
      </c>
      <c r="S566" s="47" t="s">
        <v>35</v>
      </c>
      <c r="T566" s="47" t="s">
        <v>35</v>
      </c>
      <c r="U566" s="47" t="s">
        <v>35</v>
      </c>
      <c r="V566" s="47" t="s">
        <v>35</v>
      </c>
      <c r="W566" s="47" t="s">
        <v>35</v>
      </c>
      <c r="X566" s="47" t="s">
        <v>35</v>
      </c>
      <c r="Y566" s="47" t="s">
        <v>35</v>
      </c>
      <c r="Z566" s="47" t="s">
        <v>35</v>
      </c>
      <c r="AA566" s="47" t="s">
        <v>35</v>
      </c>
      <c r="AB566" s="47" t="s">
        <v>35</v>
      </c>
      <c r="AC566" s="47" t="s">
        <v>35</v>
      </c>
      <c r="AD566" s="76" t="str">
        <f>VLOOKUP(E577,sheet1!$B$2:$C$3209,2,FALSE)</f>
        <v>金型償却費テーブル照会                      JCM</v>
      </c>
      <c r="AE566" s="49"/>
      <c r="AF566" s="51" t="s">
        <v>2291</v>
      </c>
      <c r="AG566" s="51" t="s">
        <v>2292</v>
      </c>
      <c r="AH566" s="49" t="str">
        <f t="shared" si="44"/>
        <v>金型償却費ﾃｰﾌﾞﾙ 照会</v>
      </c>
      <c r="AI566" s="49"/>
      <c r="AJ566" s="49"/>
      <c r="AK566" s="49"/>
      <c r="AL566" s="49" t="str">
        <f t="shared" si="46"/>
        <v>金型償却費T 一覧表</v>
      </c>
      <c r="AM566" s="49" t="s">
        <v>35</v>
      </c>
      <c r="AN566" s="49" t="s">
        <v>2293</v>
      </c>
      <c r="AO566" s="51" t="str">
        <f t="shared" si="39"/>
        <v>参考原価ﾘｽﾄ（品目別）</v>
      </c>
      <c r="AP566" s="51" t="str">
        <f t="shared" si="40"/>
        <v>CS1070</v>
      </c>
      <c r="AQ566" s="51" t="s">
        <v>2255</v>
      </c>
      <c r="AR566" s="51" t="s">
        <v>2256</v>
      </c>
      <c r="AS566" s="49" t="str">
        <f t="shared" si="41"/>
        <v>参考原価ﾘｽﾄ（品目別）</v>
      </c>
      <c r="AT566" s="49" t="str">
        <f t="shared" si="42"/>
        <v>CS1070</v>
      </c>
      <c r="AU566" s="49" t="s">
        <v>2294</v>
      </c>
      <c r="AV566" s="49" t="s">
        <v>2256</v>
      </c>
    </row>
    <row r="567" spans="1:48" ht="18" customHeight="1">
      <c r="A567" s="44">
        <v>565</v>
      </c>
      <c r="B567" s="71" t="s">
        <v>1076</v>
      </c>
      <c r="C567" s="52" t="s">
        <v>2283</v>
      </c>
      <c r="D567" s="54" t="s">
        <v>2284</v>
      </c>
      <c r="E567" s="44" t="s">
        <v>2256</v>
      </c>
      <c r="F567" s="44" t="s">
        <v>2295</v>
      </c>
      <c r="G567" s="44"/>
      <c r="H567" s="44"/>
      <c r="I567" s="44"/>
      <c r="J567" s="47" t="s">
        <v>35</v>
      </c>
      <c r="K567" s="47"/>
      <c r="L567" s="47"/>
      <c r="M567" s="47"/>
      <c r="N567" s="47"/>
      <c r="O567" s="44"/>
      <c r="P567" s="44"/>
      <c r="Q567" s="48">
        <f>VLOOKUP(E567,sheet1!$B$2:$D$3209,3,FALSE)</f>
        <v>379</v>
      </c>
      <c r="R567" s="47" t="s">
        <v>35</v>
      </c>
      <c r="S567" s="47" t="s">
        <v>35</v>
      </c>
      <c r="T567" s="47" t="s">
        <v>35</v>
      </c>
      <c r="U567" s="47" t="s">
        <v>35</v>
      </c>
      <c r="V567" s="47" t="s">
        <v>35</v>
      </c>
      <c r="W567" s="47" t="s">
        <v>35</v>
      </c>
      <c r="X567" s="47" t="s">
        <v>35</v>
      </c>
      <c r="Y567" s="47" t="s">
        <v>35</v>
      </c>
      <c r="Z567" s="47" t="s">
        <v>35</v>
      </c>
      <c r="AA567" s="47" t="s">
        <v>35</v>
      </c>
      <c r="AB567" s="47" t="s">
        <v>35</v>
      </c>
      <c r="AC567" s="47" t="s">
        <v>35</v>
      </c>
      <c r="AD567" s="76" t="str">
        <f>VLOOKUP(E578,sheet1!$B$2:$C$3209,2,FALSE)</f>
        <v>特許料テーブル照会                          JCM</v>
      </c>
      <c r="AE567" s="49"/>
      <c r="AF567" s="51" t="s">
        <v>2296</v>
      </c>
      <c r="AG567" s="51" t="s">
        <v>2297</v>
      </c>
      <c r="AH567" s="49" t="str">
        <f t="shared" si="44"/>
        <v>特許料テーブル　照会</v>
      </c>
      <c r="AI567" s="49"/>
      <c r="AJ567" s="49"/>
      <c r="AK567" s="49"/>
      <c r="AL567" s="49" t="str">
        <f t="shared" si="46"/>
        <v>特許料テーブル　一覧表</v>
      </c>
      <c r="AM567" s="49" t="s">
        <v>35</v>
      </c>
      <c r="AN567" s="49" t="s">
        <v>2298</v>
      </c>
      <c r="AO567" s="51" t="str">
        <f t="shared" si="39"/>
        <v>参考原価ﾘｽﾄ（費目別）</v>
      </c>
      <c r="AP567" s="51" t="str">
        <f t="shared" si="40"/>
        <v>CS1090</v>
      </c>
      <c r="AQ567" s="51" t="s">
        <v>2257</v>
      </c>
      <c r="AR567" s="51" t="s">
        <v>2258</v>
      </c>
      <c r="AS567" s="49" t="str">
        <f t="shared" si="41"/>
        <v>参考原価ﾘｽﾄ（費目別）</v>
      </c>
      <c r="AT567" s="49" t="str">
        <f t="shared" si="42"/>
        <v>CS1090</v>
      </c>
      <c r="AU567" s="49" t="s">
        <v>2299</v>
      </c>
      <c r="AV567" s="49" t="s">
        <v>2258</v>
      </c>
    </row>
    <row r="568" spans="1:48" ht="18" customHeight="1">
      <c r="A568" s="44">
        <v>566</v>
      </c>
      <c r="B568" s="71" t="s">
        <v>1076</v>
      </c>
      <c r="C568" s="52" t="s">
        <v>2283</v>
      </c>
      <c r="D568" s="54" t="s">
        <v>2284</v>
      </c>
      <c r="E568" s="44" t="s">
        <v>2258</v>
      </c>
      <c r="F568" s="44" t="s">
        <v>2300</v>
      </c>
      <c r="G568" s="44"/>
      <c r="H568" s="44"/>
      <c r="I568" s="44"/>
      <c r="J568" s="47" t="s">
        <v>35</v>
      </c>
      <c r="K568" s="47"/>
      <c r="L568" s="47"/>
      <c r="M568" s="47"/>
      <c r="N568" s="47"/>
      <c r="O568" s="44"/>
      <c r="P568" s="44"/>
      <c r="Q568" s="48">
        <f>VLOOKUP(E568,sheet1!$B$2:$D$3209,3,FALSE)</f>
        <v>306</v>
      </c>
      <c r="R568" s="47" t="s">
        <v>35</v>
      </c>
      <c r="S568" s="47" t="s">
        <v>35</v>
      </c>
      <c r="T568" s="47" t="s">
        <v>35</v>
      </c>
      <c r="U568" s="47" t="s">
        <v>35</v>
      </c>
      <c r="V568" s="47" t="s">
        <v>35</v>
      </c>
      <c r="W568" s="47" t="s">
        <v>35</v>
      </c>
      <c r="X568" s="47" t="s">
        <v>35</v>
      </c>
      <c r="Y568" s="47" t="s">
        <v>35</v>
      </c>
      <c r="Z568" s="47" t="s">
        <v>35</v>
      </c>
      <c r="AA568" s="47" t="s">
        <v>35</v>
      </c>
      <c r="AB568" s="47" t="s">
        <v>35</v>
      </c>
      <c r="AC568" s="47" t="s">
        <v>35</v>
      </c>
      <c r="AD568" s="76" t="str">
        <f>VLOOKUP(E579,sheet1!$B$2:$C$3209,2,FALSE)</f>
        <v>生産工場マスター照会                        JCM</v>
      </c>
      <c r="AE568" s="49"/>
      <c r="AF568" s="51" t="s">
        <v>2301</v>
      </c>
      <c r="AG568" s="51" t="s">
        <v>2302</v>
      </c>
      <c r="AH568" s="49" t="str">
        <f t="shared" si="44"/>
        <v>生産工場マスター　照会</v>
      </c>
      <c r="AI568" s="49"/>
      <c r="AJ568" s="49"/>
      <c r="AK568" s="49"/>
      <c r="AL568" s="49" t="str">
        <f t="shared" si="46"/>
        <v>生産工場マスター一覧表</v>
      </c>
      <c r="AM568" s="49" t="s">
        <v>35</v>
      </c>
      <c r="AN568" s="49" t="s">
        <v>2303</v>
      </c>
      <c r="AO568" s="51" t="str">
        <f t="shared" si="39"/>
        <v/>
      </c>
      <c r="AP568" s="51" t="str">
        <f t="shared" si="40"/>
        <v/>
      </c>
      <c r="AQ568" s="49"/>
      <c r="AR568" s="49"/>
      <c r="AS568" s="49" t="str">
        <f t="shared" si="41"/>
        <v/>
      </c>
      <c r="AT568" s="49" t="str">
        <f t="shared" si="42"/>
        <v/>
      </c>
      <c r="AU568" s="49"/>
      <c r="AV568" s="49"/>
    </row>
    <row r="569" spans="1:48" ht="18" customHeight="1">
      <c r="A569" s="44">
        <v>567</v>
      </c>
      <c r="B569" s="71" t="s">
        <v>1076</v>
      </c>
      <c r="C569" s="52" t="s">
        <v>2283</v>
      </c>
      <c r="D569" s="77" t="s">
        <v>2284</v>
      </c>
      <c r="E569" s="44" t="s">
        <v>2261</v>
      </c>
      <c r="F569" s="44" t="s">
        <v>2304</v>
      </c>
      <c r="G569" s="44"/>
      <c r="H569" s="44"/>
      <c r="I569" s="44"/>
      <c r="J569" s="47" t="s">
        <v>35</v>
      </c>
      <c r="K569" s="47"/>
      <c r="L569" s="47"/>
      <c r="M569" s="47"/>
      <c r="N569" s="47"/>
      <c r="O569" s="44"/>
      <c r="P569" s="44"/>
      <c r="Q569" s="48">
        <f>VLOOKUP(E569,sheet1!$B$2:$D$3209,3,FALSE)</f>
        <v>1403</v>
      </c>
      <c r="R569" s="47" t="s">
        <v>35</v>
      </c>
      <c r="S569" s="47" t="s">
        <v>296</v>
      </c>
      <c r="T569" s="47"/>
      <c r="U569" s="47" t="s">
        <v>296</v>
      </c>
      <c r="V569" s="47" t="s">
        <v>296</v>
      </c>
      <c r="W569" s="47" t="s">
        <v>296</v>
      </c>
      <c r="X569" s="47" t="s">
        <v>296</v>
      </c>
      <c r="Y569" s="47" t="s">
        <v>296</v>
      </c>
      <c r="Z569" s="47" t="s">
        <v>296</v>
      </c>
      <c r="AA569" s="47" t="s">
        <v>296</v>
      </c>
      <c r="AB569" s="47"/>
      <c r="AC569" s="47" t="s">
        <v>35</v>
      </c>
      <c r="AD569" s="76" t="str">
        <f>VLOOKUP(E580,sheet1!$B$2:$C$3209,2,FALSE)</f>
        <v>品目別販売課テーブル照会                    JCM</v>
      </c>
      <c r="AE569" s="49"/>
      <c r="AF569" s="51" t="s">
        <v>2305</v>
      </c>
      <c r="AG569" s="51" t="s">
        <v>2306</v>
      </c>
      <c r="AH569" s="49" t="str">
        <f t="shared" si="44"/>
        <v>品目別販売課ﾏｽﾀｰ照会</v>
      </c>
      <c r="AI569" s="49"/>
      <c r="AJ569" s="49"/>
      <c r="AK569" s="49"/>
      <c r="AL569" s="49" t="str">
        <f t="shared" si="46"/>
        <v>品目別販売課ﾏｽﾀｰ一覧</v>
      </c>
      <c r="AM569" s="49" t="s">
        <v>35</v>
      </c>
      <c r="AN569" s="49" t="s">
        <v>2307</v>
      </c>
      <c r="AO569" s="51" t="str">
        <f t="shared" si="39"/>
        <v/>
      </c>
      <c r="AP569" s="51" t="str">
        <f t="shared" si="40"/>
        <v/>
      </c>
      <c r="AQ569" s="49"/>
      <c r="AR569" s="49"/>
      <c r="AS569" s="49" t="str">
        <f t="shared" si="41"/>
        <v/>
      </c>
      <c r="AT569" s="49" t="str">
        <f t="shared" si="42"/>
        <v/>
      </c>
      <c r="AU569" s="49"/>
      <c r="AV569" s="49"/>
    </row>
    <row r="570" spans="1:48" ht="18" customHeight="1">
      <c r="A570" s="44">
        <v>568</v>
      </c>
      <c r="B570" s="71" t="s">
        <v>1076</v>
      </c>
      <c r="C570" s="52" t="s">
        <v>2283</v>
      </c>
      <c r="D570" s="78" t="s">
        <v>116</v>
      </c>
      <c r="E570" s="44" t="s">
        <v>2264</v>
      </c>
      <c r="F570" s="44" t="s">
        <v>2308</v>
      </c>
      <c r="G570" s="44"/>
      <c r="H570" s="44"/>
      <c r="I570" s="44"/>
      <c r="J570" s="47" t="s">
        <v>35</v>
      </c>
      <c r="K570" s="47"/>
      <c r="L570" s="47"/>
      <c r="M570" s="47"/>
      <c r="N570" s="47"/>
      <c r="O570" s="44"/>
      <c r="P570" s="44"/>
      <c r="Q570" s="48">
        <f>VLOOKUP(E570,sheet1!$B$2:$D$3209,3,FALSE)</f>
        <v>372</v>
      </c>
      <c r="R570" s="47" t="s">
        <v>35</v>
      </c>
      <c r="S570" s="47" t="s">
        <v>296</v>
      </c>
      <c r="T570" s="47"/>
      <c r="U570" s="47" t="s">
        <v>296</v>
      </c>
      <c r="V570" s="47" t="s">
        <v>296</v>
      </c>
      <c r="W570" s="47" t="s">
        <v>296</v>
      </c>
      <c r="X570" s="47" t="s">
        <v>296</v>
      </c>
      <c r="Y570" s="47" t="s">
        <v>296</v>
      </c>
      <c r="Z570" s="47" t="s">
        <v>296</v>
      </c>
      <c r="AA570" s="47" t="s">
        <v>296</v>
      </c>
      <c r="AB570" s="47"/>
      <c r="AC570" s="47" t="s">
        <v>35</v>
      </c>
      <c r="AD570" s="76" t="str">
        <f>VLOOKUP(E581,sheet1!$B$2:$C$3209,2,FALSE)</f>
        <v>労務費・経費率ﾃｰﾌﾞﾙ一覧表                 JCM</v>
      </c>
      <c r="AE570" s="49"/>
      <c r="AF570" s="51" t="s">
        <v>2309</v>
      </c>
      <c r="AG570" s="51" t="s">
        <v>2310</v>
      </c>
      <c r="AH570" s="49" t="str">
        <f t="shared" si="44"/>
        <v>労務費・経費率一覧表</v>
      </c>
      <c r="AI570" s="49"/>
      <c r="AJ570" s="49"/>
      <c r="AK570" s="49"/>
      <c r="AL570" s="49" t="str">
        <f t="shared" si="46"/>
        <v>品目マスター　照会</v>
      </c>
      <c r="AM570" s="49" t="s">
        <v>35</v>
      </c>
      <c r="AN570" s="49" t="s">
        <v>2311</v>
      </c>
      <c r="AO570" s="51" t="str">
        <f t="shared" si="39"/>
        <v/>
      </c>
      <c r="AP570" s="51" t="str">
        <f t="shared" si="40"/>
        <v/>
      </c>
      <c r="AQ570" s="49"/>
      <c r="AR570" s="49"/>
      <c r="AS570" s="49" t="str">
        <f t="shared" si="41"/>
        <v/>
      </c>
      <c r="AT570" s="49" t="str">
        <f t="shared" si="42"/>
        <v/>
      </c>
      <c r="AU570" s="51"/>
      <c r="AV570" s="51"/>
    </row>
    <row r="571" spans="1:48" ht="18" customHeight="1">
      <c r="A571" s="44">
        <v>569</v>
      </c>
      <c r="B571" s="71" t="s">
        <v>1076</v>
      </c>
      <c r="C571" s="52" t="s">
        <v>2283</v>
      </c>
      <c r="D571" s="79" t="s">
        <v>2312</v>
      </c>
      <c r="E571" s="44" t="s">
        <v>2266</v>
      </c>
      <c r="F571" s="44" t="s">
        <v>2313</v>
      </c>
      <c r="G571" s="44"/>
      <c r="H571" s="44"/>
      <c r="I571" s="44"/>
      <c r="J571" s="47" t="s">
        <v>35</v>
      </c>
      <c r="K571" s="47"/>
      <c r="L571" s="47"/>
      <c r="M571" s="47"/>
      <c r="N571" s="47"/>
      <c r="O571" s="44"/>
      <c r="P571" s="44"/>
      <c r="Q571" s="48">
        <f>VLOOKUP(E571,sheet1!$B$2:$D$3209,3,FALSE)</f>
        <v>425</v>
      </c>
      <c r="R571" s="47" t="s">
        <v>35</v>
      </c>
      <c r="S571" s="47" t="s">
        <v>296</v>
      </c>
      <c r="T571" s="47"/>
      <c r="U571" s="47" t="s">
        <v>296</v>
      </c>
      <c r="V571" s="47" t="s">
        <v>296</v>
      </c>
      <c r="W571" s="47" t="s">
        <v>296</v>
      </c>
      <c r="X571" s="47" t="s">
        <v>296</v>
      </c>
      <c r="Y571" s="47" t="s">
        <v>296</v>
      </c>
      <c r="Z571" s="47" t="s">
        <v>296</v>
      </c>
      <c r="AA571" s="47" t="s">
        <v>296</v>
      </c>
      <c r="AB571" s="47"/>
      <c r="AC571" s="47" t="s">
        <v>35</v>
      </c>
      <c r="AD571" s="76" t="str">
        <f>VLOOKUP(E582,sheet1!$B$2:$C$3209,2,FALSE)</f>
        <v>金型償却費テーブル一覧表                    JCM</v>
      </c>
      <c r="AE571" s="49"/>
      <c r="AF571" s="51" t="s">
        <v>2314</v>
      </c>
      <c r="AG571" s="51" t="s">
        <v>2315</v>
      </c>
      <c r="AH571" s="49" t="str">
        <f t="shared" si="44"/>
        <v>金型償却費T 一覧表</v>
      </c>
      <c r="AI571" s="49"/>
      <c r="AJ571" s="49"/>
      <c r="AK571" s="49"/>
      <c r="AL571" s="49" t="str">
        <f t="shared" si="46"/>
        <v>構成マスター　照会</v>
      </c>
      <c r="AM571" s="49" t="s">
        <v>35</v>
      </c>
      <c r="AN571" s="49" t="s">
        <v>2316</v>
      </c>
      <c r="AO571" s="51" t="str">
        <f t="shared" si="39"/>
        <v/>
      </c>
      <c r="AP571" s="51" t="str">
        <f t="shared" si="40"/>
        <v/>
      </c>
      <c r="AQ571" s="49"/>
      <c r="AR571" s="49"/>
      <c r="AS571" s="49" t="str">
        <f t="shared" si="41"/>
        <v/>
      </c>
      <c r="AT571" s="49" t="str">
        <f t="shared" si="42"/>
        <v/>
      </c>
      <c r="AU571" s="51"/>
      <c r="AV571" s="51"/>
    </row>
    <row r="572" spans="1:48" ht="18" customHeight="1">
      <c r="A572" s="44">
        <v>570</v>
      </c>
      <c r="B572" s="71" t="s">
        <v>1076</v>
      </c>
      <c r="C572" s="52" t="s">
        <v>2283</v>
      </c>
      <c r="D572" s="54" t="s">
        <v>2312</v>
      </c>
      <c r="E572" s="44" t="s">
        <v>2270</v>
      </c>
      <c r="F572" s="44" t="s">
        <v>2317</v>
      </c>
      <c r="G572" s="44"/>
      <c r="H572" s="44"/>
      <c r="I572" s="44"/>
      <c r="J572" s="47" t="s">
        <v>35</v>
      </c>
      <c r="K572" s="47"/>
      <c r="L572" s="47"/>
      <c r="M572" s="47"/>
      <c r="N572" s="47"/>
      <c r="O572" s="44"/>
      <c r="P572" s="44"/>
      <c r="Q572" s="48">
        <f>VLOOKUP(E572,sheet1!$B$2:$D$3209,3,FALSE)</f>
        <v>890</v>
      </c>
      <c r="R572" s="47" t="s">
        <v>35</v>
      </c>
      <c r="S572" s="47" t="s">
        <v>296</v>
      </c>
      <c r="T572" s="47"/>
      <c r="U572" s="47" t="s">
        <v>296</v>
      </c>
      <c r="V572" s="47" t="s">
        <v>296</v>
      </c>
      <c r="W572" s="47" t="s">
        <v>296</v>
      </c>
      <c r="X572" s="47" t="s">
        <v>296</v>
      </c>
      <c r="Y572" s="47" t="s">
        <v>296</v>
      </c>
      <c r="Z572" s="47" t="s">
        <v>296</v>
      </c>
      <c r="AA572" s="47" t="s">
        <v>296</v>
      </c>
      <c r="AB572" s="47"/>
      <c r="AC572" s="47" t="s">
        <v>35</v>
      </c>
      <c r="AD572" s="76" t="str">
        <f>VLOOKUP(E583,sheet1!$B$2:$C$3209,2,FALSE)</f>
        <v>特許料テーブル一覧表                        JCM</v>
      </c>
      <c r="AE572" s="49"/>
      <c r="AF572" s="51" t="s">
        <v>2318</v>
      </c>
      <c r="AG572" s="51" t="s">
        <v>2319</v>
      </c>
      <c r="AH572" s="49" t="str">
        <f t="shared" si="44"/>
        <v>特許料テーブル　一覧表</v>
      </c>
      <c r="AI572" s="49"/>
      <c r="AJ572" s="49"/>
      <c r="AK572" s="49"/>
      <c r="AL572" s="49" t="str">
        <f t="shared" si="46"/>
        <v>品目マスター　一覧表</v>
      </c>
      <c r="AM572" s="49" t="s">
        <v>35</v>
      </c>
      <c r="AN572" s="49" t="s">
        <v>2320</v>
      </c>
      <c r="AO572" s="51" t="str">
        <f t="shared" si="39"/>
        <v/>
      </c>
      <c r="AP572" s="51" t="str">
        <f t="shared" si="40"/>
        <v/>
      </c>
      <c r="AQ572" s="49"/>
      <c r="AR572" s="49"/>
      <c r="AS572" s="49" t="str">
        <f t="shared" si="41"/>
        <v/>
      </c>
      <c r="AT572" s="49" t="str">
        <f t="shared" si="42"/>
        <v/>
      </c>
      <c r="AU572" s="51"/>
      <c r="AV572" s="51"/>
    </row>
    <row r="573" spans="1:48" ht="18" customHeight="1">
      <c r="A573" s="44">
        <v>571</v>
      </c>
      <c r="B573" s="71" t="s">
        <v>1076</v>
      </c>
      <c r="C573" s="52" t="s">
        <v>2283</v>
      </c>
      <c r="D573" s="54" t="s">
        <v>2312</v>
      </c>
      <c r="E573" s="44" t="s">
        <v>2274</v>
      </c>
      <c r="F573" s="44" t="s">
        <v>2321</v>
      </c>
      <c r="G573" s="44"/>
      <c r="H573" s="44"/>
      <c r="I573" s="44"/>
      <c r="J573" s="47" t="s">
        <v>35</v>
      </c>
      <c r="K573" s="47"/>
      <c r="L573" s="47"/>
      <c r="M573" s="47"/>
      <c r="N573" s="47"/>
      <c r="O573" s="44"/>
      <c r="P573" s="44"/>
      <c r="Q573" s="48">
        <f>VLOOKUP(E573,sheet1!$B$2:$D$3209,3,FALSE)</f>
        <v>999</v>
      </c>
      <c r="R573" s="47" t="s">
        <v>35</v>
      </c>
      <c r="S573" s="47" t="s">
        <v>296</v>
      </c>
      <c r="T573" s="47"/>
      <c r="U573" s="47" t="s">
        <v>296</v>
      </c>
      <c r="V573" s="47" t="s">
        <v>296</v>
      </c>
      <c r="W573" s="47" t="s">
        <v>296</v>
      </c>
      <c r="X573" s="47" t="s">
        <v>296</v>
      </c>
      <c r="Y573" s="47" t="s">
        <v>296</v>
      </c>
      <c r="Z573" s="47" t="s">
        <v>296</v>
      </c>
      <c r="AA573" s="47" t="s">
        <v>296</v>
      </c>
      <c r="AB573" s="47"/>
      <c r="AC573" s="47" t="s">
        <v>35</v>
      </c>
      <c r="AD573" s="76" t="str">
        <f>VLOOKUP(E584,sheet1!$B$2:$C$3209,2,FALSE)</f>
        <v>生産工場マスター一覧表                      JCM</v>
      </c>
      <c r="AE573" s="49"/>
      <c r="AF573" s="51" t="s">
        <v>2322</v>
      </c>
      <c r="AG573" s="51" t="s">
        <v>2323</v>
      </c>
      <c r="AH573" s="49" t="str">
        <f t="shared" si="44"/>
        <v>生産工場マスター一覧表</v>
      </c>
      <c r="AI573" s="49"/>
      <c r="AJ573" s="49"/>
      <c r="AK573" s="49"/>
      <c r="AL573" s="49" t="str">
        <f t="shared" si="46"/>
        <v>部品表　出力</v>
      </c>
      <c r="AM573" s="49" t="s">
        <v>35</v>
      </c>
      <c r="AN573" s="49" t="s">
        <v>2324</v>
      </c>
      <c r="AO573" s="51" t="str">
        <f t="shared" si="39"/>
        <v/>
      </c>
      <c r="AP573" s="51" t="str">
        <f t="shared" si="40"/>
        <v/>
      </c>
      <c r="AQ573" s="49"/>
      <c r="AR573" s="49"/>
      <c r="AS573" s="49" t="str">
        <f t="shared" si="41"/>
        <v/>
      </c>
      <c r="AT573" s="49" t="str">
        <f t="shared" si="42"/>
        <v/>
      </c>
      <c r="AU573" s="51"/>
      <c r="AV573" s="51"/>
    </row>
    <row r="574" spans="1:48" ht="18" customHeight="1">
      <c r="A574" s="44">
        <v>572</v>
      </c>
      <c r="B574" s="71" t="s">
        <v>1076</v>
      </c>
      <c r="C574" s="52" t="s">
        <v>2283</v>
      </c>
      <c r="D574" s="54" t="s">
        <v>2312</v>
      </c>
      <c r="E574" s="44" t="s">
        <v>2277</v>
      </c>
      <c r="F574" s="44" t="s">
        <v>2325</v>
      </c>
      <c r="G574" s="44"/>
      <c r="H574" s="44"/>
      <c r="I574" s="44"/>
      <c r="J574" s="47" t="s">
        <v>35</v>
      </c>
      <c r="K574" s="47"/>
      <c r="L574" s="47"/>
      <c r="M574" s="47"/>
      <c r="N574" s="47"/>
      <c r="O574" s="44"/>
      <c r="P574" s="44"/>
      <c r="Q574" s="48">
        <f>VLOOKUP(E574,sheet1!$B$2:$D$3209,3,FALSE)</f>
        <v>939</v>
      </c>
      <c r="R574" s="47" t="s">
        <v>35</v>
      </c>
      <c r="S574" s="47" t="s">
        <v>296</v>
      </c>
      <c r="T574" s="47"/>
      <c r="U574" s="47" t="s">
        <v>296</v>
      </c>
      <c r="V574" s="47" t="s">
        <v>296</v>
      </c>
      <c r="W574" s="47" t="s">
        <v>296</v>
      </c>
      <c r="X574" s="47" t="s">
        <v>296</v>
      </c>
      <c r="Y574" s="47" t="s">
        <v>296</v>
      </c>
      <c r="Z574" s="47" t="s">
        <v>296</v>
      </c>
      <c r="AA574" s="47" t="s">
        <v>296</v>
      </c>
      <c r="AB574" s="47"/>
      <c r="AC574" s="47" t="s">
        <v>35</v>
      </c>
      <c r="AD574" s="76" t="str">
        <f>VLOOKUP(E585,sheet1!$B$2:$C$3209,2,FALSE)</f>
        <v>品目別販売課テーブル一覧表                  JCM</v>
      </c>
      <c r="AE574" s="49"/>
      <c r="AF574" s="51" t="s">
        <v>2326</v>
      </c>
      <c r="AG574" s="51" t="s">
        <v>2327</v>
      </c>
      <c r="AH574" s="49" t="str">
        <f t="shared" si="44"/>
        <v>品目別販売課ﾏｽﾀｰ一覧</v>
      </c>
      <c r="AI574" s="49"/>
      <c r="AJ574" s="49"/>
      <c r="AK574" s="49"/>
      <c r="AL574" s="49" t="str">
        <f t="shared" si="46"/>
        <v>チェック表（品目別）</v>
      </c>
      <c r="AM574" s="49" t="s">
        <v>35</v>
      </c>
      <c r="AN574" s="49" t="s">
        <v>2328</v>
      </c>
      <c r="AO574" s="51" t="str">
        <f t="shared" si="39"/>
        <v/>
      </c>
      <c r="AP574" s="51" t="str">
        <f t="shared" si="40"/>
        <v/>
      </c>
      <c r="AQ574" s="49"/>
      <c r="AR574" s="49"/>
      <c r="AS574" s="49" t="str">
        <f t="shared" si="41"/>
        <v/>
      </c>
      <c r="AT574" s="49" t="str">
        <f t="shared" si="42"/>
        <v/>
      </c>
      <c r="AU574" s="51"/>
      <c r="AV574" s="51"/>
    </row>
    <row r="575" spans="1:48" ht="18" customHeight="1">
      <c r="A575" s="44">
        <v>573</v>
      </c>
      <c r="B575" s="71" t="s">
        <v>1076</v>
      </c>
      <c r="C575" s="52" t="s">
        <v>2283</v>
      </c>
      <c r="D575" s="54" t="s">
        <v>2312</v>
      </c>
      <c r="E575" s="44" t="s">
        <v>2281</v>
      </c>
      <c r="F575" s="44" t="s">
        <v>2329</v>
      </c>
      <c r="G575" s="44"/>
      <c r="H575" s="44"/>
      <c r="I575" s="44"/>
      <c r="J575" s="47" t="s">
        <v>35</v>
      </c>
      <c r="K575" s="47"/>
      <c r="L575" s="47"/>
      <c r="M575" s="47"/>
      <c r="N575" s="47"/>
      <c r="O575" s="44"/>
      <c r="P575" s="44"/>
      <c r="Q575" s="48">
        <f>VLOOKUP(E575,sheet1!$B$2:$D$3209,3,FALSE)</f>
        <v>745</v>
      </c>
      <c r="R575" s="47" t="s">
        <v>35</v>
      </c>
      <c r="S575" s="47" t="s">
        <v>296</v>
      </c>
      <c r="T575" s="47"/>
      <c r="U575" s="47" t="s">
        <v>296</v>
      </c>
      <c r="V575" s="47" t="s">
        <v>296</v>
      </c>
      <c r="W575" s="47" t="s">
        <v>296</v>
      </c>
      <c r="X575" s="47" t="s">
        <v>296</v>
      </c>
      <c r="Y575" s="47" t="s">
        <v>296</v>
      </c>
      <c r="Z575" s="47" t="s">
        <v>296</v>
      </c>
      <c r="AA575" s="47" t="s">
        <v>296</v>
      </c>
      <c r="AB575" s="47"/>
      <c r="AC575" s="47" t="s">
        <v>35</v>
      </c>
      <c r="AD575" s="76"/>
      <c r="AE575" s="49"/>
      <c r="AF575" s="51" t="s">
        <v>2330</v>
      </c>
      <c r="AG575" s="51" t="s">
        <v>2331</v>
      </c>
      <c r="AH575" s="49" t="str">
        <f t="shared" si="44"/>
        <v>来期標準原価計算(NO-CPYF)</v>
      </c>
      <c r="AI575" s="49"/>
      <c r="AJ575" s="49"/>
      <c r="AK575" s="49">
        <v>1</v>
      </c>
      <c r="AL575" s="49" t="str">
        <f t="shared" si="46"/>
        <v>ﾁｪｯｸ表（品目別明細）</v>
      </c>
      <c r="AM575" s="49" t="s">
        <v>35</v>
      </c>
      <c r="AN575" s="49" t="s">
        <v>2332</v>
      </c>
      <c r="AO575" s="51" t="str">
        <f t="shared" si="39"/>
        <v>労務費・経費率T 照会</v>
      </c>
      <c r="AP575" s="51" t="str">
        <f t="shared" si="40"/>
        <v>CS0110</v>
      </c>
      <c r="AQ575" s="51" t="s">
        <v>2286</v>
      </c>
      <c r="AR575" s="51" t="s">
        <v>2287</v>
      </c>
      <c r="AS575" s="49" t="str">
        <f t="shared" si="41"/>
        <v>労務費・経費率T 照会</v>
      </c>
      <c r="AT575" s="49" t="str">
        <f t="shared" si="42"/>
        <v>CS0110</v>
      </c>
      <c r="AU575" s="51" t="s">
        <v>2286</v>
      </c>
      <c r="AV575" s="51" t="s">
        <v>2287</v>
      </c>
    </row>
    <row r="576" spans="1:48" ht="18" customHeight="1">
      <c r="A576" s="44">
        <v>574</v>
      </c>
      <c r="B576" s="71" t="s">
        <v>1076</v>
      </c>
      <c r="C576" s="52" t="s">
        <v>2283</v>
      </c>
      <c r="D576" s="54" t="s">
        <v>2312</v>
      </c>
      <c r="E576" s="44" t="s">
        <v>2287</v>
      </c>
      <c r="F576" s="44" t="s">
        <v>2267</v>
      </c>
      <c r="G576" s="44"/>
      <c r="H576" s="44"/>
      <c r="I576" s="44"/>
      <c r="J576" s="47" t="s">
        <v>35</v>
      </c>
      <c r="K576" s="47"/>
      <c r="L576" s="47"/>
      <c r="M576" s="47"/>
      <c r="N576" s="47"/>
      <c r="O576" s="44"/>
      <c r="P576" s="44"/>
      <c r="Q576" s="48">
        <f>VLOOKUP(E576,sheet1!$B$2:$D$3209,3,FALSE)</f>
        <v>229</v>
      </c>
      <c r="R576" s="47" t="s">
        <v>35</v>
      </c>
      <c r="S576" s="47" t="s">
        <v>35</v>
      </c>
      <c r="T576" s="47" t="s">
        <v>35</v>
      </c>
      <c r="U576" s="47" t="s">
        <v>35</v>
      </c>
      <c r="V576" s="47" t="s">
        <v>35</v>
      </c>
      <c r="W576" s="47" t="s">
        <v>35</v>
      </c>
      <c r="X576" s="47" t="s">
        <v>35</v>
      </c>
      <c r="Y576" s="47" t="s">
        <v>35</v>
      </c>
      <c r="Z576" s="47" t="s">
        <v>35</v>
      </c>
      <c r="AA576" s="47" t="s">
        <v>35</v>
      </c>
      <c r="AB576" s="47" t="s">
        <v>35</v>
      </c>
      <c r="AC576" s="47" t="s">
        <v>35</v>
      </c>
      <c r="AD576" s="76"/>
      <c r="AE576" s="49"/>
      <c r="AF576" s="51" t="s">
        <v>2333</v>
      </c>
      <c r="AG576" s="51" t="s">
        <v>2334</v>
      </c>
      <c r="AH576" s="49" t="str">
        <f t="shared" si="44"/>
        <v>来期標準　間接費のみ再計算</v>
      </c>
      <c r="AI576" s="49"/>
      <c r="AJ576" s="49"/>
      <c r="AK576" s="49"/>
      <c r="AL576" s="49" t="str">
        <f t="shared" si="46"/>
        <v>標準原価照会（品目別）</v>
      </c>
      <c r="AM576" s="49" t="s">
        <v>35</v>
      </c>
      <c r="AN576" s="49" t="s">
        <v>2335</v>
      </c>
      <c r="AO576" s="51" t="str">
        <f t="shared" si="39"/>
        <v>金型償却費ﾃｰﾌﾞﾙ 照会</v>
      </c>
      <c r="AP576" s="51" t="str">
        <f t="shared" si="40"/>
        <v>CS0120</v>
      </c>
      <c r="AQ576" s="51" t="s">
        <v>2291</v>
      </c>
      <c r="AR576" s="51" t="s">
        <v>2292</v>
      </c>
      <c r="AS576" s="49" t="str">
        <f t="shared" si="41"/>
        <v>金型償却費ﾃｰﾌﾞﾙ 照会</v>
      </c>
      <c r="AT576" s="49" t="str">
        <f t="shared" si="42"/>
        <v>CS0120</v>
      </c>
      <c r="AU576" s="51" t="s">
        <v>2291</v>
      </c>
      <c r="AV576" s="51" t="s">
        <v>2292</v>
      </c>
    </row>
    <row r="577" spans="1:48" ht="18" customHeight="1">
      <c r="A577" s="44">
        <v>575</v>
      </c>
      <c r="B577" s="71" t="s">
        <v>1076</v>
      </c>
      <c r="C577" s="52" t="s">
        <v>2283</v>
      </c>
      <c r="D577" s="54" t="s">
        <v>2312</v>
      </c>
      <c r="E577" s="44" t="s">
        <v>2292</v>
      </c>
      <c r="F577" s="44" t="s">
        <v>2271</v>
      </c>
      <c r="G577" s="44"/>
      <c r="H577" s="44"/>
      <c r="I577" s="44"/>
      <c r="J577" s="47" t="s">
        <v>35</v>
      </c>
      <c r="K577" s="47"/>
      <c r="L577" s="47"/>
      <c r="M577" s="47"/>
      <c r="N577" s="47"/>
      <c r="O577" s="44"/>
      <c r="P577" s="44"/>
      <c r="Q577" s="48">
        <f>VLOOKUP(E577,sheet1!$B$2:$D$3209,3,FALSE)</f>
        <v>516</v>
      </c>
      <c r="R577" s="47" t="s">
        <v>35</v>
      </c>
      <c r="S577" s="47" t="s">
        <v>35</v>
      </c>
      <c r="T577" s="47" t="s">
        <v>35</v>
      </c>
      <c r="U577" s="47" t="s">
        <v>35</v>
      </c>
      <c r="V577" s="47" t="s">
        <v>35</v>
      </c>
      <c r="W577" s="47" t="s">
        <v>35</v>
      </c>
      <c r="X577" s="47" t="s">
        <v>35</v>
      </c>
      <c r="Y577" s="47" t="s">
        <v>35</v>
      </c>
      <c r="Z577" s="47" t="s">
        <v>35</v>
      </c>
      <c r="AA577" s="47" t="s">
        <v>35</v>
      </c>
      <c r="AB577" s="47" t="s">
        <v>35</v>
      </c>
      <c r="AC577" s="47" t="s">
        <v>35</v>
      </c>
      <c r="AD577" s="76"/>
      <c r="AE577" s="49"/>
      <c r="AF577" s="51" t="s">
        <v>2336</v>
      </c>
      <c r="AG577" s="51" t="s">
        <v>1087</v>
      </c>
      <c r="AH577" s="49" t="str">
        <f t="shared" si="44"/>
        <v>品目マスター　保守</v>
      </c>
      <c r="AI577" s="49"/>
      <c r="AJ577" s="49"/>
      <c r="AK577" s="49"/>
      <c r="AL577" s="49" t="str">
        <f t="shared" si="46"/>
        <v>標準原価照会（品目別明細）</v>
      </c>
      <c r="AM577" s="49" t="s">
        <v>35</v>
      </c>
      <c r="AN577" s="49" t="s">
        <v>2337</v>
      </c>
      <c r="AO577" s="51" t="str">
        <f t="shared" si="39"/>
        <v>特許料テーブル　照会</v>
      </c>
      <c r="AP577" s="51" t="str">
        <f t="shared" si="40"/>
        <v>CS0130</v>
      </c>
      <c r="AQ577" s="51" t="s">
        <v>2296</v>
      </c>
      <c r="AR577" s="51" t="s">
        <v>2297</v>
      </c>
      <c r="AS577" s="49" t="str">
        <f t="shared" si="41"/>
        <v>特許料テーブル　照会</v>
      </c>
      <c r="AT577" s="49" t="str">
        <f t="shared" si="42"/>
        <v>CS0130</v>
      </c>
      <c r="AU577" s="51" t="s">
        <v>2296</v>
      </c>
      <c r="AV577" s="51" t="s">
        <v>2297</v>
      </c>
    </row>
    <row r="578" spans="1:48" ht="18" customHeight="1">
      <c r="A578" s="44">
        <v>576</v>
      </c>
      <c r="B578" s="71" t="s">
        <v>1076</v>
      </c>
      <c r="C578" s="52" t="s">
        <v>2283</v>
      </c>
      <c r="D578" s="54" t="s">
        <v>2312</v>
      </c>
      <c r="E578" s="44" t="s">
        <v>2297</v>
      </c>
      <c r="F578" s="44" t="s">
        <v>2338</v>
      </c>
      <c r="G578" s="44"/>
      <c r="H578" s="44"/>
      <c r="I578" s="44"/>
      <c r="J578" s="47" t="s">
        <v>35</v>
      </c>
      <c r="K578" s="47"/>
      <c r="L578" s="47"/>
      <c r="M578" s="47"/>
      <c r="N578" s="47"/>
      <c r="O578" s="44"/>
      <c r="P578" s="44"/>
      <c r="Q578" s="48">
        <f>VLOOKUP(E578,sheet1!$B$2:$D$3209,3,FALSE)</f>
        <v>543</v>
      </c>
      <c r="R578" s="47" t="s">
        <v>35</v>
      </c>
      <c r="S578" s="47" t="s">
        <v>35</v>
      </c>
      <c r="T578" s="47" t="s">
        <v>35</v>
      </c>
      <c r="U578" s="47" t="s">
        <v>35</v>
      </c>
      <c r="V578" s="47" t="s">
        <v>35</v>
      </c>
      <c r="W578" s="47" t="s">
        <v>35</v>
      </c>
      <c r="X578" s="47" t="s">
        <v>35</v>
      </c>
      <c r="Y578" s="47" t="s">
        <v>35</v>
      </c>
      <c r="Z578" s="47" t="s">
        <v>35</v>
      </c>
      <c r="AA578" s="47" t="s">
        <v>35</v>
      </c>
      <c r="AB578" s="47" t="s">
        <v>35</v>
      </c>
      <c r="AC578" s="47" t="s">
        <v>35</v>
      </c>
      <c r="AD578" s="76"/>
      <c r="AE578" s="49"/>
      <c r="AF578" s="51" t="s">
        <v>2339</v>
      </c>
      <c r="AG578" s="51" t="s">
        <v>1101</v>
      </c>
      <c r="AH578" s="49" t="str">
        <f t="shared" si="44"/>
        <v>構成マスター　保守</v>
      </c>
      <c r="AI578" s="49"/>
      <c r="AJ578" s="49"/>
      <c r="AK578" s="49"/>
      <c r="AL578" s="49" t="str">
        <f t="shared" si="46"/>
        <v>標準原価履歴照会</v>
      </c>
      <c r="AM578" s="49" t="s">
        <v>35</v>
      </c>
      <c r="AN578" s="49" t="s">
        <v>2340</v>
      </c>
      <c r="AO578" s="51" t="str">
        <f t="shared" si="39"/>
        <v>生産工場マスター　照会</v>
      </c>
      <c r="AP578" s="51" t="str">
        <f t="shared" si="40"/>
        <v>CS0140</v>
      </c>
      <c r="AQ578" s="51" t="s">
        <v>2301</v>
      </c>
      <c r="AR578" s="51" t="s">
        <v>2302</v>
      </c>
      <c r="AS578" s="49" t="str">
        <f t="shared" si="41"/>
        <v>生産工場マスター　照会</v>
      </c>
      <c r="AT578" s="49" t="str">
        <f t="shared" si="42"/>
        <v>CS0140</v>
      </c>
      <c r="AU578" s="51" t="s">
        <v>2301</v>
      </c>
      <c r="AV578" s="51" t="s">
        <v>2302</v>
      </c>
    </row>
    <row r="579" spans="1:48" ht="18" customHeight="1">
      <c r="A579" s="44">
        <v>577</v>
      </c>
      <c r="B579" s="71" t="s">
        <v>1076</v>
      </c>
      <c r="C579" s="52" t="s">
        <v>2283</v>
      </c>
      <c r="D579" s="54" t="s">
        <v>2312</v>
      </c>
      <c r="E579" s="44" t="s">
        <v>2302</v>
      </c>
      <c r="F579" s="44" t="s">
        <v>2278</v>
      </c>
      <c r="G579" s="44"/>
      <c r="H579" s="44"/>
      <c r="I579" s="44"/>
      <c r="J579" s="47" t="s">
        <v>35</v>
      </c>
      <c r="K579" s="47"/>
      <c r="L579" s="47"/>
      <c r="M579" s="47"/>
      <c r="N579" s="47"/>
      <c r="O579" s="44"/>
      <c r="P579" s="44"/>
      <c r="Q579" s="48">
        <f>VLOOKUP(E579,sheet1!$B$2:$D$3209,3,FALSE)</f>
        <v>543</v>
      </c>
      <c r="R579" s="47" t="s">
        <v>35</v>
      </c>
      <c r="S579" s="47" t="s">
        <v>35</v>
      </c>
      <c r="T579" s="47" t="s">
        <v>35</v>
      </c>
      <c r="U579" s="47" t="s">
        <v>35</v>
      </c>
      <c r="V579" s="47" t="s">
        <v>35</v>
      </c>
      <c r="W579" s="47" t="s">
        <v>35</v>
      </c>
      <c r="X579" s="47" t="s">
        <v>35</v>
      </c>
      <c r="Y579" s="47" t="s">
        <v>35</v>
      </c>
      <c r="Z579" s="47" t="s">
        <v>35</v>
      </c>
      <c r="AA579" s="47" t="s">
        <v>35</v>
      </c>
      <c r="AB579" s="47" t="s">
        <v>35</v>
      </c>
      <c r="AC579" s="47" t="s">
        <v>35</v>
      </c>
      <c r="AD579" s="76" t="str">
        <f>VLOOKUP(E590,sheet1!$B$2:$C$3209,2,FALSE)</f>
        <v>品目マスター照会</v>
      </c>
      <c r="AE579" s="49"/>
      <c r="AF579" s="51" t="s">
        <v>2341</v>
      </c>
      <c r="AG579" s="51" t="s">
        <v>1286</v>
      </c>
      <c r="AH579" s="49" t="str">
        <f t="shared" si="44"/>
        <v>品目マスター　照会</v>
      </c>
      <c r="AI579" s="49"/>
      <c r="AJ579" s="49"/>
      <c r="AK579" s="49"/>
      <c r="AL579" s="49" t="str">
        <f t="shared" si="46"/>
        <v>標準原価ﾘｽﾄ（品目別履歴）</v>
      </c>
      <c r="AM579" s="49" t="s">
        <v>35</v>
      </c>
      <c r="AN579" s="49" t="s">
        <v>2342</v>
      </c>
      <c r="AO579" s="51" t="str">
        <f t="shared" si="39"/>
        <v>品目別販売課ﾏｽﾀｰ照会</v>
      </c>
      <c r="AP579" s="51" t="str">
        <f t="shared" si="40"/>
        <v>CS0160</v>
      </c>
      <c r="AQ579" s="51" t="s">
        <v>2305</v>
      </c>
      <c r="AR579" s="51" t="s">
        <v>2306</v>
      </c>
      <c r="AS579" s="49" t="str">
        <f t="shared" si="41"/>
        <v>品目別販売課ﾏｽﾀｰ照会</v>
      </c>
      <c r="AT579" s="49" t="str">
        <f t="shared" si="42"/>
        <v>CS0160</v>
      </c>
      <c r="AU579" s="51" t="s">
        <v>2305</v>
      </c>
      <c r="AV579" s="51" t="s">
        <v>2306</v>
      </c>
    </row>
    <row r="580" spans="1:48" ht="18" customHeight="1">
      <c r="A580" s="44">
        <v>578</v>
      </c>
      <c r="B580" s="71" t="s">
        <v>1076</v>
      </c>
      <c r="C580" s="52" t="s">
        <v>2283</v>
      </c>
      <c r="D580" s="54" t="s">
        <v>2312</v>
      </c>
      <c r="E580" s="44" t="s">
        <v>2306</v>
      </c>
      <c r="F580" s="44" t="s">
        <v>2282</v>
      </c>
      <c r="G580" s="44"/>
      <c r="H580" s="44"/>
      <c r="I580" s="44"/>
      <c r="J580" s="47" t="s">
        <v>35</v>
      </c>
      <c r="K580" s="47"/>
      <c r="L580" s="47"/>
      <c r="M580" s="47"/>
      <c r="N580" s="47"/>
      <c r="O580" s="44"/>
      <c r="P580" s="44"/>
      <c r="Q580" s="48">
        <f>VLOOKUP(E580,sheet1!$B$2:$D$3209,3,FALSE)</f>
        <v>623</v>
      </c>
      <c r="R580" s="47" t="s">
        <v>35</v>
      </c>
      <c r="S580" s="47" t="s">
        <v>35</v>
      </c>
      <c r="T580" s="47" t="s">
        <v>35</v>
      </c>
      <c r="U580" s="47" t="s">
        <v>35</v>
      </c>
      <c r="V580" s="47" t="s">
        <v>35</v>
      </c>
      <c r="W580" s="47" t="s">
        <v>35</v>
      </c>
      <c r="X580" s="47" t="s">
        <v>35</v>
      </c>
      <c r="Y580" s="47" t="s">
        <v>35</v>
      </c>
      <c r="Z580" s="47" t="s">
        <v>35</v>
      </c>
      <c r="AA580" s="47" t="s">
        <v>35</v>
      </c>
      <c r="AB580" s="47" t="s">
        <v>35</v>
      </c>
      <c r="AC580" s="47" t="s">
        <v>35</v>
      </c>
      <c r="AD580" s="76" t="str">
        <f>VLOOKUP(E591,sheet1!$B$2:$C$3209,2,FALSE)</f>
        <v>構成マスター照会（正／全）</v>
      </c>
      <c r="AE580" s="49"/>
      <c r="AF580" s="51" t="s">
        <v>2343</v>
      </c>
      <c r="AG580" s="51" t="s">
        <v>1291</v>
      </c>
      <c r="AH580" s="49" t="str">
        <f t="shared" si="44"/>
        <v>構成マスター　照会</v>
      </c>
      <c r="AI580" s="49"/>
      <c r="AJ580" s="49"/>
      <c r="AK580" s="49"/>
      <c r="AL580" s="49" t="str">
        <f t="shared" si="46"/>
        <v>標準原価ﾘｽﾄ（品目別明細）</v>
      </c>
      <c r="AM580" s="49" t="s">
        <v>35</v>
      </c>
      <c r="AN580" s="49" t="s">
        <v>2344</v>
      </c>
      <c r="AO580" s="51" t="str">
        <f t="shared" si="39"/>
        <v>労務費・経費率一覧表</v>
      </c>
      <c r="AP580" s="51" t="str">
        <f t="shared" si="40"/>
        <v>CS0210</v>
      </c>
      <c r="AQ580" s="51" t="s">
        <v>2309</v>
      </c>
      <c r="AR580" s="51" t="s">
        <v>2310</v>
      </c>
      <c r="AS580" s="49" t="str">
        <f t="shared" si="41"/>
        <v>労務費・経費率一覧表</v>
      </c>
      <c r="AT580" s="49" t="str">
        <f t="shared" si="42"/>
        <v>CS0210</v>
      </c>
      <c r="AU580" s="51" t="s">
        <v>2309</v>
      </c>
      <c r="AV580" s="51" t="s">
        <v>2310</v>
      </c>
    </row>
    <row r="581" spans="1:48" ht="18" customHeight="1">
      <c r="A581" s="44">
        <v>579</v>
      </c>
      <c r="B581" s="71" t="s">
        <v>1076</v>
      </c>
      <c r="C581" s="52" t="s">
        <v>2283</v>
      </c>
      <c r="D581" s="54" t="s">
        <v>2312</v>
      </c>
      <c r="E581" s="44" t="s">
        <v>2310</v>
      </c>
      <c r="F581" s="44" t="s">
        <v>2288</v>
      </c>
      <c r="G581" s="44"/>
      <c r="H581" s="44"/>
      <c r="I581" s="44"/>
      <c r="J581" s="47" t="s">
        <v>35</v>
      </c>
      <c r="K581" s="47"/>
      <c r="L581" s="47"/>
      <c r="M581" s="47"/>
      <c r="N581" s="47"/>
      <c r="O581" s="44"/>
      <c r="P581" s="44"/>
      <c r="Q581" s="48">
        <f>VLOOKUP(E581,sheet1!$B$2:$D$3209,3,FALSE)</f>
        <v>227</v>
      </c>
      <c r="R581" s="47" t="s">
        <v>35</v>
      </c>
      <c r="S581" s="47" t="s">
        <v>35</v>
      </c>
      <c r="T581" s="47" t="s">
        <v>35</v>
      </c>
      <c r="U581" s="47" t="s">
        <v>35</v>
      </c>
      <c r="V581" s="47" t="s">
        <v>35</v>
      </c>
      <c r="W581" s="47" t="s">
        <v>35</v>
      </c>
      <c r="X581" s="47" t="s">
        <v>35</v>
      </c>
      <c r="Y581" s="47" t="s">
        <v>35</v>
      </c>
      <c r="Z581" s="47" t="s">
        <v>35</v>
      </c>
      <c r="AA581" s="47" t="s">
        <v>35</v>
      </c>
      <c r="AB581" s="47" t="s">
        <v>35</v>
      </c>
      <c r="AC581" s="47" t="s">
        <v>35</v>
      </c>
      <c r="AD581" s="76" t="str">
        <f>VLOOKUP(E592,sheet1!$B$2:$C$3209,2,FALSE)</f>
        <v>品目マスター一覧表                          JCM</v>
      </c>
      <c r="AE581" s="49"/>
      <c r="AF581" s="51" t="s">
        <v>2345</v>
      </c>
      <c r="AG581" s="51" t="s">
        <v>1197</v>
      </c>
      <c r="AH581" s="49" t="str">
        <f t="shared" si="44"/>
        <v>品目マスター　一覧表</v>
      </c>
      <c r="AI581" s="49"/>
      <c r="AJ581" s="49"/>
      <c r="AK581" s="49"/>
      <c r="AL581" s="49" t="str">
        <f t="shared" si="46"/>
        <v>標準原価ﾘｽﾄ（機種品目別）</v>
      </c>
      <c r="AM581" s="49" t="s">
        <v>35</v>
      </c>
      <c r="AN581" s="49" t="s">
        <v>2346</v>
      </c>
      <c r="AO581" s="51" t="str">
        <f t="shared" si="39"/>
        <v>金型償却費T 一覧表</v>
      </c>
      <c r="AP581" s="51" t="str">
        <f t="shared" si="40"/>
        <v>CS0220</v>
      </c>
      <c r="AQ581" s="51" t="s">
        <v>2314</v>
      </c>
      <c r="AR581" s="51" t="s">
        <v>2315</v>
      </c>
      <c r="AS581" s="49" t="str">
        <f t="shared" si="41"/>
        <v>金型償却費T 一覧表</v>
      </c>
      <c r="AT581" s="49" t="str">
        <f t="shared" si="42"/>
        <v>CS0220</v>
      </c>
      <c r="AU581" s="51" t="s">
        <v>2314</v>
      </c>
      <c r="AV581" s="51" t="s">
        <v>2315</v>
      </c>
    </row>
    <row r="582" spans="1:48" ht="18" customHeight="1">
      <c r="A582" s="44">
        <v>580</v>
      </c>
      <c r="B582" s="71" t="s">
        <v>1076</v>
      </c>
      <c r="C582" s="52" t="s">
        <v>2283</v>
      </c>
      <c r="D582" s="54" t="s">
        <v>2312</v>
      </c>
      <c r="E582" s="44" t="s">
        <v>2315</v>
      </c>
      <c r="F582" s="44" t="s">
        <v>2347</v>
      </c>
      <c r="G582" s="44"/>
      <c r="H582" s="44"/>
      <c r="I582" s="44"/>
      <c r="J582" s="47" t="s">
        <v>35</v>
      </c>
      <c r="K582" s="47"/>
      <c r="L582" s="47"/>
      <c r="M582" s="47"/>
      <c r="N582" s="47"/>
      <c r="O582" s="44"/>
      <c r="P582" s="44"/>
      <c r="Q582" s="48">
        <f>VLOOKUP(E582,sheet1!$B$2:$D$3209,3,FALSE)</f>
        <v>425</v>
      </c>
      <c r="R582" s="47" t="s">
        <v>35</v>
      </c>
      <c r="S582" s="47" t="s">
        <v>35</v>
      </c>
      <c r="T582" s="47" t="s">
        <v>35</v>
      </c>
      <c r="U582" s="47" t="s">
        <v>35</v>
      </c>
      <c r="V582" s="47" t="s">
        <v>35</v>
      </c>
      <c r="W582" s="47" t="s">
        <v>35</v>
      </c>
      <c r="X582" s="47" t="s">
        <v>35</v>
      </c>
      <c r="Y582" s="47" t="s">
        <v>35</v>
      </c>
      <c r="Z582" s="47" t="s">
        <v>35</v>
      </c>
      <c r="AA582" s="47" t="s">
        <v>35</v>
      </c>
      <c r="AB582" s="47" t="s">
        <v>35</v>
      </c>
      <c r="AC582" s="47" t="s">
        <v>35</v>
      </c>
      <c r="AD582" s="76" t="str">
        <f>VLOOKUP(E593,sheet1!$B$2:$C$3209,2,FALSE)</f>
        <v>部品表作成指示</v>
      </c>
      <c r="AE582" s="49"/>
      <c r="AF582" s="51" t="s">
        <v>2348</v>
      </c>
      <c r="AG582" s="51" t="s">
        <v>1201</v>
      </c>
      <c r="AH582" s="49" t="str">
        <f t="shared" si="44"/>
        <v>部品表　出力</v>
      </c>
      <c r="AI582" s="49"/>
      <c r="AJ582" s="49"/>
      <c r="AK582" s="49"/>
      <c r="AL582" s="49" t="str">
        <f t="shared" si="46"/>
        <v>標準原価期中変更ﾘｽﾄ</v>
      </c>
      <c r="AM582" s="49" t="s">
        <v>35</v>
      </c>
      <c r="AN582" s="49" t="s">
        <v>2349</v>
      </c>
      <c r="AO582" s="51" t="str">
        <f t="shared" si="39"/>
        <v>特許料テーブル　一覧表</v>
      </c>
      <c r="AP582" s="51" t="str">
        <f t="shared" si="40"/>
        <v>CS0230</v>
      </c>
      <c r="AQ582" s="51" t="s">
        <v>2318</v>
      </c>
      <c r="AR582" s="51" t="s">
        <v>2319</v>
      </c>
      <c r="AS582" s="49" t="str">
        <f t="shared" si="41"/>
        <v>特許料テーブル　一覧表</v>
      </c>
      <c r="AT582" s="49" t="str">
        <f t="shared" si="42"/>
        <v>CS0230</v>
      </c>
      <c r="AU582" s="51" t="s">
        <v>2318</v>
      </c>
      <c r="AV582" s="51" t="s">
        <v>2319</v>
      </c>
    </row>
    <row r="583" spans="1:48" ht="18" customHeight="1">
      <c r="A583" s="44">
        <v>581</v>
      </c>
      <c r="B583" s="71" t="s">
        <v>1076</v>
      </c>
      <c r="C583" s="52" t="s">
        <v>2283</v>
      </c>
      <c r="D583" s="54" t="s">
        <v>2312</v>
      </c>
      <c r="E583" s="44" t="s">
        <v>2319</v>
      </c>
      <c r="F583" s="44" t="s">
        <v>2298</v>
      </c>
      <c r="G583" s="44"/>
      <c r="H583" s="44"/>
      <c r="I583" s="44"/>
      <c r="J583" s="47" t="s">
        <v>35</v>
      </c>
      <c r="K583" s="47"/>
      <c r="L583" s="47"/>
      <c r="M583" s="47"/>
      <c r="N583" s="47"/>
      <c r="O583" s="44"/>
      <c r="P583" s="44"/>
      <c r="Q583" s="48">
        <f>VLOOKUP(E583,sheet1!$B$2:$D$3209,3,FALSE)</f>
        <v>469</v>
      </c>
      <c r="R583" s="47" t="s">
        <v>35</v>
      </c>
      <c r="S583" s="47" t="s">
        <v>35</v>
      </c>
      <c r="T583" s="47" t="s">
        <v>35</v>
      </c>
      <c r="U583" s="47" t="s">
        <v>35</v>
      </c>
      <c r="V583" s="47" t="s">
        <v>35</v>
      </c>
      <c r="W583" s="47" t="s">
        <v>35</v>
      </c>
      <c r="X583" s="47" t="s">
        <v>35</v>
      </c>
      <c r="Y583" s="47" t="s">
        <v>35</v>
      </c>
      <c r="Z583" s="47" t="s">
        <v>35</v>
      </c>
      <c r="AA583" s="47" t="s">
        <v>35</v>
      </c>
      <c r="AB583" s="47" t="s">
        <v>35</v>
      </c>
      <c r="AC583" s="47" t="s">
        <v>35</v>
      </c>
      <c r="AD583" s="76" t="str">
        <f>VLOOKUP(E594,sheet1!$B$2:$C$3209,2,FALSE)</f>
        <v>標準原価チェック表作成（品目別）</v>
      </c>
      <c r="AE583" s="49"/>
      <c r="AF583" s="51" t="s">
        <v>2350</v>
      </c>
      <c r="AG583" s="51" t="s">
        <v>2351</v>
      </c>
      <c r="AH583" s="49" t="str">
        <f t="shared" si="44"/>
        <v>チェック表（品目別）</v>
      </c>
      <c r="AI583" s="49"/>
      <c r="AJ583" s="49"/>
      <c r="AK583" s="49"/>
      <c r="AL583" s="49" t="str">
        <f t="shared" si="46"/>
        <v>標準原価期中変更ﾘｽﾄ(明細)</v>
      </c>
      <c r="AM583" s="49" t="s">
        <v>35</v>
      </c>
      <c r="AN583" s="49" t="s">
        <v>2352</v>
      </c>
      <c r="AO583" s="51" t="str">
        <f t="shared" si="39"/>
        <v>生産工場マスター一覧表</v>
      </c>
      <c r="AP583" s="51" t="str">
        <f t="shared" si="40"/>
        <v>CS0240</v>
      </c>
      <c r="AQ583" s="51" t="s">
        <v>2322</v>
      </c>
      <c r="AR583" s="51" t="s">
        <v>2323</v>
      </c>
      <c r="AS583" s="49" t="str">
        <f t="shared" si="41"/>
        <v>生産工場マスター一覧表</v>
      </c>
      <c r="AT583" s="49" t="str">
        <f t="shared" si="42"/>
        <v>CS0240</v>
      </c>
      <c r="AU583" s="51" t="s">
        <v>2322</v>
      </c>
      <c r="AV583" s="51" t="s">
        <v>2323</v>
      </c>
    </row>
    <row r="584" spans="1:48" ht="18" customHeight="1">
      <c r="A584" s="44">
        <v>582</v>
      </c>
      <c r="B584" s="71" t="s">
        <v>1076</v>
      </c>
      <c r="C584" s="52" t="s">
        <v>2283</v>
      </c>
      <c r="D584" s="54" t="s">
        <v>2312</v>
      </c>
      <c r="E584" s="44" t="s">
        <v>2323</v>
      </c>
      <c r="F584" s="44" t="s">
        <v>2303</v>
      </c>
      <c r="G584" s="44"/>
      <c r="H584" s="44"/>
      <c r="I584" s="44"/>
      <c r="J584" s="47" t="s">
        <v>35</v>
      </c>
      <c r="K584" s="47"/>
      <c r="L584" s="47"/>
      <c r="M584" s="47"/>
      <c r="N584" s="47"/>
      <c r="O584" s="44"/>
      <c r="P584" s="44"/>
      <c r="Q584" s="48">
        <f>VLOOKUP(E584,sheet1!$B$2:$D$3209,3,FALSE)</f>
        <v>461</v>
      </c>
      <c r="R584" s="47" t="s">
        <v>35</v>
      </c>
      <c r="S584" s="47" t="s">
        <v>35</v>
      </c>
      <c r="T584" s="47" t="s">
        <v>35</v>
      </c>
      <c r="U584" s="47" t="s">
        <v>35</v>
      </c>
      <c r="V584" s="47" t="s">
        <v>35</v>
      </c>
      <c r="W584" s="47" t="s">
        <v>35</v>
      </c>
      <c r="X584" s="47" t="s">
        <v>35</v>
      </c>
      <c r="Y584" s="47" t="s">
        <v>35</v>
      </c>
      <c r="Z584" s="47" t="s">
        <v>35</v>
      </c>
      <c r="AA584" s="47" t="s">
        <v>35</v>
      </c>
      <c r="AB584" s="47" t="s">
        <v>35</v>
      </c>
      <c r="AC584" s="47" t="s">
        <v>35</v>
      </c>
      <c r="AD584" s="63" t="str">
        <f>VLOOKUP(E595,sheet1!$B$2:$C$3209,2,FALSE)</f>
        <v>標準原価チェック表作成（品目別・明細）</v>
      </c>
      <c r="AE584" s="49"/>
      <c r="AF584" s="51" t="s">
        <v>2353</v>
      </c>
      <c r="AG584" s="51" t="s">
        <v>2354</v>
      </c>
      <c r="AH584" s="49" t="str">
        <f t="shared" si="44"/>
        <v>ﾁｪｯｸ表（品目別明細）</v>
      </c>
      <c r="AI584" s="49"/>
      <c r="AJ584" s="49"/>
      <c r="AK584" s="49"/>
      <c r="AL584" s="49" t="str">
        <f t="shared" si="46"/>
        <v>実際労務費・経費率T 照会</v>
      </c>
      <c r="AM584" s="49" t="s">
        <v>35</v>
      </c>
      <c r="AN584" s="49" t="s">
        <v>2355</v>
      </c>
      <c r="AO584" s="51" t="str">
        <f t="shared" si="39"/>
        <v>品目別販売課ﾏｽﾀｰ一覧</v>
      </c>
      <c r="AP584" s="51" t="str">
        <f t="shared" si="40"/>
        <v>CS0260</v>
      </c>
      <c r="AQ584" s="51" t="s">
        <v>2326</v>
      </c>
      <c r="AR584" s="51" t="s">
        <v>2327</v>
      </c>
      <c r="AS584" s="49" t="str">
        <f t="shared" si="41"/>
        <v>品目別販売課ﾏｽﾀｰ一覧</v>
      </c>
      <c r="AT584" s="49" t="str">
        <f t="shared" si="42"/>
        <v>CS0260</v>
      </c>
      <c r="AU584" s="51" t="s">
        <v>2326</v>
      </c>
      <c r="AV584" s="51" t="s">
        <v>2327</v>
      </c>
    </row>
    <row r="585" spans="1:48" ht="18" customHeight="1">
      <c r="A585" s="44">
        <v>583</v>
      </c>
      <c r="B585" s="71" t="s">
        <v>1076</v>
      </c>
      <c r="C585" s="52" t="s">
        <v>2283</v>
      </c>
      <c r="D585" s="54" t="s">
        <v>2312</v>
      </c>
      <c r="E585" s="44" t="s">
        <v>2327</v>
      </c>
      <c r="F585" s="44" t="s">
        <v>2307</v>
      </c>
      <c r="G585" s="44"/>
      <c r="H585" s="44"/>
      <c r="I585" s="44"/>
      <c r="J585" s="47" t="s">
        <v>35</v>
      </c>
      <c r="K585" s="47"/>
      <c r="L585" s="47"/>
      <c r="M585" s="47"/>
      <c r="N585" s="47"/>
      <c r="O585" s="44"/>
      <c r="P585" s="44"/>
      <c r="Q585" s="48">
        <f>VLOOKUP(E585,sheet1!$B$2:$D$3209,3,FALSE)</f>
        <v>548</v>
      </c>
      <c r="R585" s="47" t="s">
        <v>35</v>
      </c>
      <c r="S585" s="47" t="s">
        <v>35</v>
      </c>
      <c r="T585" s="47" t="s">
        <v>35</v>
      </c>
      <c r="U585" s="47" t="s">
        <v>35</v>
      </c>
      <c r="V585" s="47" t="s">
        <v>35</v>
      </c>
      <c r="W585" s="47" t="s">
        <v>35</v>
      </c>
      <c r="X585" s="47" t="s">
        <v>35</v>
      </c>
      <c r="Y585" s="47" t="s">
        <v>35</v>
      </c>
      <c r="Z585" s="47" t="s">
        <v>35</v>
      </c>
      <c r="AA585" s="47" t="s">
        <v>35</v>
      </c>
      <c r="AB585" s="47" t="s">
        <v>35</v>
      </c>
      <c r="AC585" s="47" t="s">
        <v>35</v>
      </c>
      <c r="AD585" s="63"/>
      <c r="AE585" s="49"/>
      <c r="AF585" s="51" t="s">
        <v>2356</v>
      </c>
      <c r="AG585" s="51" t="s">
        <v>2357</v>
      </c>
      <c r="AH585" s="49" t="str">
        <f t="shared" si="44"/>
        <v>品目別経費率マスタ保守</v>
      </c>
      <c r="AI585" s="49"/>
      <c r="AJ585" s="49"/>
      <c r="AK585" s="49"/>
      <c r="AL585" s="49" t="str">
        <f t="shared" si="46"/>
        <v>実際労務費・経費率T一覧表</v>
      </c>
      <c r="AM585" s="49" t="s">
        <v>35</v>
      </c>
      <c r="AN585" s="49" t="s">
        <v>2358</v>
      </c>
      <c r="AO585" s="51" t="str">
        <f t="shared" si="39"/>
        <v/>
      </c>
      <c r="AP585" s="51" t="str">
        <f t="shared" si="40"/>
        <v/>
      </c>
      <c r="AQ585" s="51"/>
      <c r="AR585" s="51"/>
      <c r="AS585" s="49" t="str">
        <f t="shared" si="41"/>
        <v/>
      </c>
      <c r="AT585" s="49" t="str">
        <f t="shared" si="42"/>
        <v/>
      </c>
      <c r="AU585" s="51"/>
      <c r="AV585" s="51"/>
    </row>
    <row r="586" spans="1:48" ht="18" customHeight="1">
      <c r="A586" s="44">
        <v>584</v>
      </c>
      <c r="B586" s="71" t="s">
        <v>1076</v>
      </c>
      <c r="C586" s="52" t="s">
        <v>2283</v>
      </c>
      <c r="D586" s="54" t="s">
        <v>2312</v>
      </c>
      <c r="E586" s="44" t="s">
        <v>2331</v>
      </c>
      <c r="F586" s="44" t="s">
        <v>2359</v>
      </c>
      <c r="G586" s="44"/>
      <c r="H586" s="44"/>
      <c r="I586" s="44"/>
      <c r="J586" s="47" t="s">
        <v>35</v>
      </c>
      <c r="K586" s="47"/>
      <c r="L586" s="47"/>
      <c r="M586" s="47"/>
      <c r="N586" s="47"/>
      <c r="O586" s="44"/>
      <c r="P586" s="44"/>
      <c r="Q586" s="48">
        <f>VLOOKUP(E586,sheet1!$B$2:$D$3209,3,FALSE)</f>
        <v>120</v>
      </c>
      <c r="R586" s="47" t="s">
        <v>35</v>
      </c>
      <c r="S586" s="47" t="s">
        <v>296</v>
      </c>
      <c r="T586" s="47"/>
      <c r="U586" s="47" t="s">
        <v>296</v>
      </c>
      <c r="V586" s="47" t="s">
        <v>296</v>
      </c>
      <c r="W586" s="47" t="s">
        <v>296</v>
      </c>
      <c r="X586" s="47" t="s">
        <v>296</v>
      </c>
      <c r="Y586" s="47" t="s">
        <v>296</v>
      </c>
      <c r="Z586" s="47" t="s">
        <v>296</v>
      </c>
      <c r="AA586" s="47" t="s">
        <v>296</v>
      </c>
      <c r="AB586" s="47"/>
      <c r="AC586" s="47" t="s">
        <v>35</v>
      </c>
      <c r="AD586" s="63"/>
      <c r="AE586" s="49"/>
      <c r="AF586" s="51" t="s">
        <v>2360</v>
      </c>
      <c r="AG586" s="51" t="s">
        <v>2361</v>
      </c>
      <c r="AH586" s="49" t="str">
        <f t="shared" si="44"/>
        <v>標準原価変更処理　積上</v>
      </c>
      <c r="AI586" s="49"/>
      <c r="AJ586" s="49"/>
      <c r="AK586" s="49"/>
      <c r="AL586" s="49" t="str">
        <f t="shared" si="46"/>
        <v>製番別実際原価照会</v>
      </c>
      <c r="AM586" s="49" t="s">
        <v>35</v>
      </c>
      <c r="AN586" s="49" t="s">
        <v>2362</v>
      </c>
      <c r="AO586" s="51" t="str">
        <f t="shared" si="39"/>
        <v/>
      </c>
      <c r="AP586" s="51" t="str">
        <f t="shared" si="40"/>
        <v/>
      </c>
      <c r="AQ586" s="51"/>
      <c r="AR586" s="51"/>
      <c r="AS586" s="49" t="str">
        <f t="shared" si="41"/>
        <v/>
      </c>
      <c r="AT586" s="49" t="str">
        <f t="shared" si="42"/>
        <v/>
      </c>
      <c r="AU586" s="51"/>
      <c r="AV586" s="51"/>
    </row>
    <row r="587" spans="1:48" ht="18" customHeight="1">
      <c r="A587" s="44">
        <v>585</v>
      </c>
      <c r="B587" s="71" t="s">
        <v>1076</v>
      </c>
      <c r="C587" s="52" t="s">
        <v>2283</v>
      </c>
      <c r="D587" s="54" t="s">
        <v>2312</v>
      </c>
      <c r="E587" s="44" t="s">
        <v>2334</v>
      </c>
      <c r="F587" s="44" t="s">
        <v>2363</v>
      </c>
      <c r="G587" s="44"/>
      <c r="H587" s="44"/>
      <c r="I587" s="44"/>
      <c r="J587" s="47" t="s">
        <v>35</v>
      </c>
      <c r="K587" s="47"/>
      <c r="L587" s="47"/>
      <c r="M587" s="47"/>
      <c r="N587" s="47"/>
      <c r="O587" s="44"/>
      <c r="P587" s="44"/>
      <c r="Q587" s="48">
        <f>VLOOKUP(E587,sheet1!$B$2:$D$3209,3,FALSE)</f>
        <v>83</v>
      </c>
      <c r="R587" s="47" t="s">
        <v>35</v>
      </c>
      <c r="S587" s="47" t="s">
        <v>296</v>
      </c>
      <c r="T587" s="47"/>
      <c r="U587" s="47" t="s">
        <v>296</v>
      </c>
      <c r="V587" s="47" t="s">
        <v>296</v>
      </c>
      <c r="W587" s="47" t="s">
        <v>296</v>
      </c>
      <c r="X587" s="47" t="s">
        <v>296</v>
      </c>
      <c r="Y587" s="47" t="s">
        <v>296</v>
      </c>
      <c r="Z587" s="47" t="s">
        <v>296</v>
      </c>
      <c r="AA587" s="47" t="s">
        <v>296</v>
      </c>
      <c r="AB587" s="47"/>
      <c r="AC587" s="47" t="s">
        <v>35</v>
      </c>
      <c r="AD587" s="63"/>
      <c r="AE587" s="49"/>
      <c r="AF587" s="51" t="s">
        <v>2364</v>
      </c>
      <c r="AG587" s="51" t="s">
        <v>2365</v>
      </c>
      <c r="AH587" s="49" t="str">
        <f t="shared" si="44"/>
        <v>来期標準原価検討資料</v>
      </c>
      <c r="AI587" s="49"/>
      <c r="AJ587" s="49"/>
      <c r="AK587" s="49"/>
      <c r="AL587" s="49" t="str">
        <f t="shared" si="46"/>
        <v>品番別実際原価照会</v>
      </c>
      <c r="AM587" s="49" t="s">
        <v>35</v>
      </c>
      <c r="AN587" s="49" t="s">
        <v>2366</v>
      </c>
      <c r="AO587" s="51" t="str">
        <f t="shared" si="39"/>
        <v/>
      </c>
      <c r="AP587" s="51" t="str">
        <f t="shared" si="40"/>
        <v/>
      </c>
      <c r="AQ587" s="51"/>
      <c r="AR587" s="51"/>
      <c r="AS587" s="49" t="str">
        <f t="shared" si="41"/>
        <v/>
      </c>
      <c r="AT587" s="49" t="str">
        <f t="shared" si="42"/>
        <v/>
      </c>
      <c r="AU587" s="51"/>
      <c r="AV587" s="51"/>
    </row>
    <row r="588" spans="1:48" ht="18" customHeight="1">
      <c r="A588" s="44">
        <v>586</v>
      </c>
      <c r="B588" s="71" t="s">
        <v>1076</v>
      </c>
      <c r="C588" s="52" t="s">
        <v>2283</v>
      </c>
      <c r="D588" s="54" t="s">
        <v>2312</v>
      </c>
      <c r="E588" s="44" t="s">
        <v>1087</v>
      </c>
      <c r="F588" s="44" t="s">
        <v>2367</v>
      </c>
      <c r="G588" s="44"/>
      <c r="H588" s="44"/>
      <c r="I588" s="44"/>
      <c r="J588" s="47" t="s">
        <v>35</v>
      </c>
      <c r="K588" s="47"/>
      <c r="L588" s="47"/>
      <c r="M588" s="47"/>
      <c r="N588" s="47"/>
      <c r="O588" s="44"/>
      <c r="P588" s="44"/>
      <c r="Q588" s="48">
        <f>VLOOKUP(E588,sheet1!$B$2:$D$3209,3,FALSE)</f>
        <v>2132</v>
      </c>
      <c r="R588" s="47" t="s">
        <v>35</v>
      </c>
      <c r="S588" s="47" t="s">
        <v>296</v>
      </c>
      <c r="T588" s="47"/>
      <c r="U588" s="47" t="s">
        <v>296</v>
      </c>
      <c r="V588" s="47" t="s">
        <v>296</v>
      </c>
      <c r="W588" s="47" t="s">
        <v>296</v>
      </c>
      <c r="X588" s="47" t="s">
        <v>296</v>
      </c>
      <c r="Y588" s="47" t="s">
        <v>296</v>
      </c>
      <c r="Z588" s="47" t="s">
        <v>296</v>
      </c>
      <c r="AA588" s="47" t="s">
        <v>296</v>
      </c>
      <c r="AB588" s="47"/>
      <c r="AC588" s="47" t="s">
        <v>35</v>
      </c>
      <c r="AD588" s="63"/>
      <c r="AE588" s="49"/>
      <c r="AF588" s="51" t="s">
        <v>2368</v>
      </c>
      <c r="AG588" s="51" t="s">
        <v>2369</v>
      </c>
      <c r="AH588" s="49" t="str">
        <f t="shared" si="44"/>
        <v>品目マスタ変更リスト</v>
      </c>
      <c r="AI588" s="49"/>
      <c r="AJ588" s="49"/>
      <c r="AK588" s="49"/>
      <c r="AL588" s="49" t="str">
        <f t="shared" si="46"/>
        <v>受入ﾛｯﾄNo.別実際原価照会</v>
      </c>
      <c r="AM588" s="49" t="s">
        <v>35</v>
      </c>
      <c r="AN588" s="49" t="s">
        <v>2370</v>
      </c>
      <c r="AO588" s="51" t="str">
        <f t="shared" si="39"/>
        <v/>
      </c>
      <c r="AP588" s="51" t="str">
        <f t="shared" si="40"/>
        <v/>
      </c>
      <c r="AQ588" s="51"/>
      <c r="AR588" s="51"/>
      <c r="AS588" s="49" t="str">
        <f t="shared" si="41"/>
        <v/>
      </c>
      <c r="AT588" s="49" t="str">
        <f t="shared" si="42"/>
        <v/>
      </c>
      <c r="AU588" s="51"/>
      <c r="AV588" s="51"/>
    </row>
    <row r="589" spans="1:48" ht="18" customHeight="1">
      <c r="A589" s="44">
        <v>587</v>
      </c>
      <c r="B589" s="71" t="s">
        <v>1076</v>
      </c>
      <c r="C589" s="52" t="s">
        <v>2283</v>
      </c>
      <c r="D589" s="54" t="s">
        <v>2312</v>
      </c>
      <c r="E589" s="44" t="s">
        <v>1101</v>
      </c>
      <c r="F589" s="44" t="s">
        <v>2371</v>
      </c>
      <c r="G589" s="44"/>
      <c r="H589" s="44"/>
      <c r="I589" s="44"/>
      <c r="J589" s="47" t="s">
        <v>35</v>
      </c>
      <c r="K589" s="47"/>
      <c r="L589" s="47"/>
      <c r="M589" s="47"/>
      <c r="N589" s="47"/>
      <c r="O589" s="44"/>
      <c r="P589" s="44"/>
      <c r="Q589" s="48">
        <f>VLOOKUP(E589,sheet1!$B$2:$D$3209,3,FALSE)</f>
        <v>1766</v>
      </c>
      <c r="R589" s="47" t="s">
        <v>35</v>
      </c>
      <c r="S589" s="47" t="s">
        <v>296</v>
      </c>
      <c r="T589" s="47"/>
      <c r="U589" s="47" t="s">
        <v>296</v>
      </c>
      <c r="V589" s="47" t="s">
        <v>296</v>
      </c>
      <c r="W589" s="47" t="s">
        <v>296</v>
      </c>
      <c r="X589" s="47" t="s">
        <v>296</v>
      </c>
      <c r="Y589" s="47" t="s">
        <v>296</v>
      </c>
      <c r="Z589" s="47" t="s">
        <v>296</v>
      </c>
      <c r="AA589" s="47" t="s">
        <v>296</v>
      </c>
      <c r="AB589" s="47"/>
      <c r="AC589" s="47" t="s">
        <v>35</v>
      </c>
      <c r="AD589" s="73" t="str">
        <f>VLOOKUP(E600,sheet1!$B$2:$C$3209,2,FALSE)</f>
        <v>標準原価照会（品目別）</v>
      </c>
      <c r="AE589" s="49"/>
      <c r="AF589" s="49" t="s">
        <v>2372</v>
      </c>
      <c r="AG589" s="49" t="s">
        <v>2373</v>
      </c>
      <c r="AH589" s="49" t="str">
        <f t="shared" si="44"/>
        <v>標準原価照会（品目別）</v>
      </c>
      <c r="AI589" s="49"/>
      <c r="AJ589" s="49"/>
      <c r="AK589" s="49"/>
      <c r="AL589" s="49" t="str">
        <f t="shared" si="46"/>
        <v>受入ﾛｯﾄNo.別実際原価照会QRY</v>
      </c>
      <c r="AM589" s="49" t="s">
        <v>35</v>
      </c>
      <c r="AN589" s="49" t="s">
        <v>2374</v>
      </c>
      <c r="AO589" s="51" t="str">
        <f t="shared" si="39"/>
        <v>品目マスター　照会</v>
      </c>
      <c r="AP589" s="51" t="str">
        <f t="shared" si="40"/>
        <v>PD2010</v>
      </c>
      <c r="AQ589" s="51" t="s">
        <v>2375</v>
      </c>
      <c r="AR589" s="51" t="s">
        <v>1286</v>
      </c>
      <c r="AS589" s="49" t="str">
        <f t="shared" si="41"/>
        <v>品目マスター　照会</v>
      </c>
      <c r="AT589" s="49" t="str">
        <f t="shared" si="42"/>
        <v>PD2010</v>
      </c>
      <c r="AU589" s="51" t="s">
        <v>2341</v>
      </c>
      <c r="AV589" s="51" t="s">
        <v>1286</v>
      </c>
    </row>
    <row r="590" spans="1:48" ht="18" customHeight="1">
      <c r="A590" s="44">
        <v>588</v>
      </c>
      <c r="B590" s="71" t="s">
        <v>1076</v>
      </c>
      <c r="C590" s="52" t="s">
        <v>2283</v>
      </c>
      <c r="D590" s="54" t="s">
        <v>2312</v>
      </c>
      <c r="E590" s="44" t="s">
        <v>1286</v>
      </c>
      <c r="F590" s="44" t="s">
        <v>2376</v>
      </c>
      <c r="G590" s="44"/>
      <c r="H590" s="44"/>
      <c r="I590" s="44"/>
      <c r="J590" s="47" t="s">
        <v>35</v>
      </c>
      <c r="K590" s="47"/>
      <c r="L590" s="47"/>
      <c r="M590" s="47"/>
      <c r="N590" s="47"/>
      <c r="O590" s="44"/>
      <c r="P590" s="44"/>
      <c r="Q590" s="48">
        <f>VLOOKUP(E590,sheet1!$B$2:$D$3209,3,FALSE)</f>
        <v>784</v>
      </c>
      <c r="R590" s="47" t="s">
        <v>35</v>
      </c>
      <c r="S590" s="47" t="s">
        <v>35</v>
      </c>
      <c r="T590" s="47" t="s">
        <v>35</v>
      </c>
      <c r="U590" s="47" t="s">
        <v>35</v>
      </c>
      <c r="V590" s="47" t="s">
        <v>35</v>
      </c>
      <c r="W590" s="47" t="s">
        <v>35</v>
      </c>
      <c r="X590" s="47" t="s">
        <v>35</v>
      </c>
      <c r="Y590" s="47" t="s">
        <v>35</v>
      </c>
      <c r="Z590" s="47" t="s">
        <v>35</v>
      </c>
      <c r="AA590" s="47" t="s">
        <v>35</v>
      </c>
      <c r="AB590" s="47" t="s">
        <v>35</v>
      </c>
      <c r="AC590" s="47" t="s">
        <v>35</v>
      </c>
      <c r="AD590" s="76" t="str">
        <f>VLOOKUP(E601,sheet1!$B$2:$C$3209,2,FALSE)</f>
        <v>標準原価照会（品目別明細）</v>
      </c>
      <c r="AE590" s="49"/>
      <c r="AF590" s="49" t="s">
        <v>2377</v>
      </c>
      <c r="AG590" s="49" t="s">
        <v>2378</v>
      </c>
      <c r="AH590" s="49" t="str">
        <f t="shared" si="44"/>
        <v>標準原価照会（品目別明細）</v>
      </c>
      <c r="AI590" s="49"/>
      <c r="AJ590" s="49"/>
      <c r="AK590" s="49"/>
      <c r="AL590" s="49" t="str">
        <f t="shared" si="46"/>
        <v>原価差異明細表</v>
      </c>
      <c r="AM590" s="49" t="s">
        <v>35</v>
      </c>
      <c r="AN590" s="49" t="s">
        <v>2379</v>
      </c>
      <c r="AO590" s="51" t="str">
        <f t="shared" si="39"/>
        <v>構成マスター　照会</v>
      </c>
      <c r="AP590" s="51" t="str">
        <f t="shared" si="40"/>
        <v>PD2040</v>
      </c>
      <c r="AQ590" s="51" t="s">
        <v>2343</v>
      </c>
      <c r="AR590" s="51" t="s">
        <v>1291</v>
      </c>
      <c r="AS590" s="49" t="str">
        <f t="shared" si="41"/>
        <v>構成マスター　照会</v>
      </c>
      <c r="AT590" s="49" t="str">
        <f t="shared" si="42"/>
        <v>PD2045</v>
      </c>
      <c r="AU590" s="51" t="s">
        <v>2343</v>
      </c>
      <c r="AV590" s="51" t="s">
        <v>1296</v>
      </c>
    </row>
    <row r="591" spans="1:48" ht="18" customHeight="1">
      <c r="A591" s="44">
        <v>589</v>
      </c>
      <c r="B591" s="71" t="s">
        <v>1076</v>
      </c>
      <c r="C591" s="52" t="s">
        <v>2283</v>
      </c>
      <c r="D591" s="54" t="s">
        <v>2312</v>
      </c>
      <c r="E591" s="44" t="s">
        <v>1291</v>
      </c>
      <c r="F591" s="44" t="s">
        <v>2380</v>
      </c>
      <c r="G591" s="44"/>
      <c r="H591" s="44"/>
      <c r="I591" s="44"/>
      <c r="J591" s="47" t="s">
        <v>35</v>
      </c>
      <c r="K591" s="47"/>
      <c r="L591" s="47"/>
      <c r="M591" s="47"/>
      <c r="N591" s="47"/>
      <c r="O591" s="44"/>
      <c r="P591" s="44"/>
      <c r="Q591" s="48">
        <f>VLOOKUP(E591,sheet1!$B$2:$D$3209,3,FALSE)</f>
        <v>465</v>
      </c>
      <c r="R591" s="47" t="s">
        <v>35</v>
      </c>
      <c r="S591" s="47" t="s">
        <v>35</v>
      </c>
      <c r="T591" s="47" t="s">
        <v>35</v>
      </c>
      <c r="U591" s="47" t="s">
        <v>35</v>
      </c>
      <c r="V591" s="47" t="s">
        <v>35</v>
      </c>
      <c r="W591" s="47" t="s">
        <v>35</v>
      </c>
      <c r="X591" s="47" t="s">
        <v>35</v>
      </c>
      <c r="Y591" s="47" t="s">
        <v>35</v>
      </c>
      <c r="Z591" s="47" t="s">
        <v>35</v>
      </c>
      <c r="AA591" s="47" t="s">
        <v>35</v>
      </c>
      <c r="AB591" s="47" t="s">
        <v>35</v>
      </c>
      <c r="AC591" s="47" t="s">
        <v>35</v>
      </c>
      <c r="AD591" s="76" t="str">
        <f>VLOOKUP(E602,sheet1!$B$2:$C$3209,2,FALSE)</f>
        <v>標準原価変更履歴</v>
      </c>
      <c r="AE591" s="49"/>
      <c r="AF591" s="49" t="s">
        <v>2381</v>
      </c>
      <c r="AG591" s="49" t="s">
        <v>2382</v>
      </c>
      <c r="AH591" s="49" t="str">
        <f t="shared" si="44"/>
        <v>標準原価履歴照会</v>
      </c>
      <c r="AI591" s="49"/>
      <c r="AJ591" s="49"/>
      <c r="AK591" s="49"/>
      <c r="AL591" s="49" t="str">
        <f t="shared" si="46"/>
        <v>実際原価ﾘｽﾄ(機種・品目別)</v>
      </c>
      <c r="AM591" s="49" t="s">
        <v>35</v>
      </c>
      <c r="AN591" s="49" t="s">
        <v>2383</v>
      </c>
      <c r="AO591" s="51" t="str">
        <f t="shared" si="39"/>
        <v>品目マスター　一覧表</v>
      </c>
      <c r="AP591" s="51" t="str">
        <f t="shared" si="40"/>
        <v>PD1010</v>
      </c>
      <c r="AQ591" s="51" t="s">
        <v>2345</v>
      </c>
      <c r="AR591" s="51" t="s">
        <v>1197</v>
      </c>
      <c r="AS591" s="49" t="str">
        <f t="shared" si="41"/>
        <v>品目マスター　一覧表</v>
      </c>
      <c r="AT591" s="49" t="str">
        <f t="shared" si="42"/>
        <v>PD1010</v>
      </c>
      <c r="AU591" s="51" t="s">
        <v>2345</v>
      </c>
      <c r="AV591" s="51" t="s">
        <v>1197</v>
      </c>
    </row>
    <row r="592" spans="1:48" ht="18" customHeight="1">
      <c r="A592" s="44">
        <v>590</v>
      </c>
      <c r="B592" s="71" t="s">
        <v>1076</v>
      </c>
      <c r="C592" s="52" t="s">
        <v>2283</v>
      </c>
      <c r="D592" s="54" t="s">
        <v>2312</v>
      </c>
      <c r="E592" s="44" t="s">
        <v>1197</v>
      </c>
      <c r="F592" s="44" t="s">
        <v>2384</v>
      </c>
      <c r="G592" s="44"/>
      <c r="H592" s="44"/>
      <c r="I592" s="44"/>
      <c r="J592" s="47" t="s">
        <v>35</v>
      </c>
      <c r="K592" s="47"/>
      <c r="L592" s="47"/>
      <c r="M592" s="47"/>
      <c r="N592" s="47"/>
      <c r="O592" s="44"/>
      <c r="P592" s="44"/>
      <c r="Q592" s="48">
        <f>VLOOKUP(E592,sheet1!$B$2:$D$3209,3,FALSE)</f>
        <v>516</v>
      </c>
      <c r="R592" s="47" t="s">
        <v>35</v>
      </c>
      <c r="S592" s="47" t="s">
        <v>35</v>
      </c>
      <c r="T592" s="47" t="s">
        <v>35</v>
      </c>
      <c r="U592" s="47" t="s">
        <v>35</v>
      </c>
      <c r="V592" s="47" t="s">
        <v>35</v>
      </c>
      <c r="W592" s="47" t="s">
        <v>35</v>
      </c>
      <c r="X592" s="47" t="s">
        <v>35</v>
      </c>
      <c r="Y592" s="47" t="s">
        <v>35</v>
      </c>
      <c r="Z592" s="47" t="s">
        <v>35</v>
      </c>
      <c r="AA592" s="47" t="s">
        <v>35</v>
      </c>
      <c r="AB592" s="47" t="s">
        <v>35</v>
      </c>
      <c r="AC592" s="47" t="s">
        <v>35</v>
      </c>
      <c r="AD592" s="76"/>
      <c r="AE592" s="49"/>
      <c r="AF592" s="49" t="s">
        <v>2385</v>
      </c>
      <c r="AG592" s="49" t="s">
        <v>2386</v>
      </c>
      <c r="AH592" s="49" t="str">
        <f t="shared" si="44"/>
        <v>期中変更処理（積上げ）</v>
      </c>
      <c r="AI592" s="49"/>
      <c r="AJ592" s="49"/>
      <c r="AK592" s="49"/>
      <c r="AL592" s="49" t="str">
        <f t="shared" si="46"/>
        <v>製造原価見積書</v>
      </c>
      <c r="AM592" s="49" t="s">
        <v>35</v>
      </c>
      <c r="AN592" s="49" t="s">
        <v>2387</v>
      </c>
      <c r="AO592" s="51" t="str">
        <f t="shared" si="39"/>
        <v>部品表　出力</v>
      </c>
      <c r="AP592" s="51" t="str">
        <f t="shared" si="40"/>
        <v>PD1050</v>
      </c>
      <c r="AQ592" s="51" t="s">
        <v>2348</v>
      </c>
      <c r="AR592" s="51" t="s">
        <v>1201</v>
      </c>
      <c r="AS592" s="49" t="str">
        <f t="shared" si="41"/>
        <v>部品表　出力</v>
      </c>
      <c r="AT592" s="49" t="str">
        <f t="shared" si="42"/>
        <v>PD1050@</v>
      </c>
      <c r="AU592" s="51" t="s">
        <v>2348</v>
      </c>
      <c r="AV592" s="51" t="s">
        <v>2388</v>
      </c>
    </row>
    <row r="593" spans="1:48" ht="18" customHeight="1">
      <c r="A593" s="44">
        <v>591</v>
      </c>
      <c r="B593" s="71" t="s">
        <v>1076</v>
      </c>
      <c r="C593" s="52" t="s">
        <v>2283</v>
      </c>
      <c r="D593" s="54" t="s">
        <v>2312</v>
      </c>
      <c r="E593" s="44" t="s">
        <v>1201</v>
      </c>
      <c r="F593" s="44" t="s">
        <v>1202</v>
      </c>
      <c r="G593" s="44"/>
      <c r="H593" s="44"/>
      <c r="I593" s="44"/>
      <c r="J593" s="47" t="s">
        <v>35</v>
      </c>
      <c r="K593" s="47"/>
      <c r="L593" s="47"/>
      <c r="M593" s="47"/>
      <c r="N593" s="47"/>
      <c r="O593" s="44"/>
      <c r="P593" s="44"/>
      <c r="Q593" s="48">
        <f>VLOOKUP(E593,sheet1!$B$2:$D$3209,3,FALSE)</f>
        <v>723</v>
      </c>
      <c r="R593" s="47" t="s">
        <v>35</v>
      </c>
      <c r="S593" s="47" t="s">
        <v>35</v>
      </c>
      <c r="T593" s="47" t="s">
        <v>35</v>
      </c>
      <c r="U593" s="47" t="s">
        <v>35</v>
      </c>
      <c r="V593" s="47" t="s">
        <v>35</v>
      </c>
      <c r="W593" s="47" t="s">
        <v>35</v>
      </c>
      <c r="X593" s="47" t="s">
        <v>35</v>
      </c>
      <c r="Y593" s="47" t="s">
        <v>35</v>
      </c>
      <c r="Z593" s="47" t="s">
        <v>35</v>
      </c>
      <c r="AA593" s="47" t="s">
        <v>35</v>
      </c>
      <c r="AB593" s="47" t="s">
        <v>35</v>
      </c>
      <c r="AC593" s="47" t="s">
        <v>35</v>
      </c>
      <c r="AD593" s="76"/>
      <c r="AE593" s="49"/>
      <c r="AF593" s="49" t="s">
        <v>2389</v>
      </c>
      <c r="AG593" s="49" t="s">
        <v>2390</v>
      </c>
      <c r="AH593" s="49" t="str">
        <f t="shared" si="44"/>
        <v>期中変更確定処理</v>
      </c>
      <c r="AI593" s="49"/>
      <c r="AJ593" s="49"/>
      <c r="AK593" s="49"/>
      <c r="AL593" s="49" t="str">
        <f t="shared" si="46"/>
        <v>配賦間接費配賦計算書</v>
      </c>
      <c r="AM593" s="49" t="s">
        <v>35</v>
      </c>
      <c r="AN593" s="49" t="s">
        <v>2391</v>
      </c>
      <c r="AO593" s="51" t="str">
        <f t="shared" si="39"/>
        <v>チェック表（品目別）</v>
      </c>
      <c r="AP593" s="51" t="str">
        <f t="shared" si="40"/>
        <v>CS2070</v>
      </c>
      <c r="AQ593" s="51" t="s">
        <v>2392</v>
      </c>
      <c r="AR593" s="51" t="s">
        <v>2351</v>
      </c>
      <c r="AS593" s="49" t="str">
        <f t="shared" si="41"/>
        <v>チェック表（品目別）</v>
      </c>
      <c r="AT593" s="49" t="str">
        <f t="shared" si="42"/>
        <v>CS2070</v>
      </c>
      <c r="AU593" s="51" t="s">
        <v>2392</v>
      </c>
      <c r="AV593" s="51" t="s">
        <v>2351</v>
      </c>
    </row>
    <row r="594" spans="1:48" ht="18" customHeight="1">
      <c r="A594" s="44">
        <v>592</v>
      </c>
      <c r="B594" s="71" t="s">
        <v>1076</v>
      </c>
      <c r="C594" s="52" t="s">
        <v>2283</v>
      </c>
      <c r="D594" s="54" t="s">
        <v>2312</v>
      </c>
      <c r="E594" s="44" t="s">
        <v>2351</v>
      </c>
      <c r="F594" s="44" t="s">
        <v>2393</v>
      </c>
      <c r="G594" s="44"/>
      <c r="H594" s="44"/>
      <c r="I594" s="44"/>
      <c r="J594" s="47" t="s">
        <v>35</v>
      </c>
      <c r="K594" s="47"/>
      <c r="L594" s="47"/>
      <c r="M594" s="47"/>
      <c r="N594" s="47"/>
      <c r="O594" s="44"/>
      <c r="P594" s="44"/>
      <c r="Q594" s="48">
        <f>VLOOKUP(E594,sheet1!$B$2:$D$3209,3,FALSE)</f>
        <v>762</v>
      </c>
      <c r="R594" s="47" t="s">
        <v>35</v>
      </c>
      <c r="S594" s="47" t="s">
        <v>35</v>
      </c>
      <c r="T594" s="47" t="s">
        <v>35</v>
      </c>
      <c r="U594" s="47" t="s">
        <v>35</v>
      </c>
      <c r="V594" s="47" t="s">
        <v>35</v>
      </c>
      <c r="W594" s="47" t="s">
        <v>35</v>
      </c>
      <c r="X594" s="47" t="s">
        <v>35</v>
      </c>
      <c r="Y594" s="47" t="s">
        <v>35</v>
      </c>
      <c r="Z594" s="47" t="s">
        <v>35</v>
      </c>
      <c r="AA594" s="47" t="s">
        <v>35</v>
      </c>
      <c r="AB594" s="47" t="s">
        <v>35</v>
      </c>
      <c r="AC594" s="47" t="s">
        <v>35</v>
      </c>
      <c r="AD594" s="76" t="str">
        <f>VLOOKUP(E605,sheet1!$B$2:$C$3209,2,FALSE)</f>
        <v>標準原価リスト作成（品目別履歴）</v>
      </c>
      <c r="AE594" s="49"/>
      <c r="AF594" s="49" t="s">
        <v>2394</v>
      </c>
      <c r="AG594" s="49" t="s">
        <v>2395</v>
      </c>
      <c r="AH594" s="49" t="str">
        <f t="shared" si="44"/>
        <v>標準原価ﾘｽﾄ（品目別履歴）</v>
      </c>
      <c r="AI594" s="49"/>
      <c r="AJ594" s="49"/>
      <c r="AK594" s="49"/>
      <c r="AL594" s="49" t="str">
        <f t="shared" si="46"/>
        <v>製造原価見積リスト</v>
      </c>
      <c r="AM594" s="49" t="s">
        <v>35</v>
      </c>
      <c r="AN594" s="49" t="s">
        <v>2396</v>
      </c>
      <c r="AO594" s="51" t="str">
        <f t="shared" si="39"/>
        <v>ﾁｪｯｸ表（品目別明細）</v>
      </c>
      <c r="AP594" s="51" t="str">
        <f t="shared" si="40"/>
        <v>CS2080</v>
      </c>
      <c r="AQ594" s="51" t="s">
        <v>2397</v>
      </c>
      <c r="AR594" s="51" t="s">
        <v>2354</v>
      </c>
      <c r="AS594" s="49" t="str">
        <f t="shared" si="41"/>
        <v>ﾁｪｯｸ表（品目別明細）</v>
      </c>
      <c r="AT594" s="49" t="str">
        <f t="shared" si="42"/>
        <v>CS2080</v>
      </c>
      <c r="AU594" s="51" t="s">
        <v>2397</v>
      </c>
      <c r="AV594" s="51" t="s">
        <v>2354</v>
      </c>
    </row>
    <row r="595" spans="1:48" ht="18" customHeight="1">
      <c r="A595" s="44">
        <v>593</v>
      </c>
      <c r="B595" s="71" t="s">
        <v>1076</v>
      </c>
      <c r="C595" s="52" t="s">
        <v>2283</v>
      </c>
      <c r="D595" s="54" t="s">
        <v>2312</v>
      </c>
      <c r="E595" s="44" t="s">
        <v>2354</v>
      </c>
      <c r="F595" s="44" t="s">
        <v>2332</v>
      </c>
      <c r="G595" s="44"/>
      <c r="H595" s="44"/>
      <c r="I595" s="44"/>
      <c r="J595" s="47" t="s">
        <v>35</v>
      </c>
      <c r="K595" s="47"/>
      <c r="L595" s="47"/>
      <c r="M595" s="47"/>
      <c r="N595" s="47"/>
      <c r="O595" s="44"/>
      <c r="P595" s="44"/>
      <c r="Q595" s="48">
        <f>VLOOKUP(E595,sheet1!$B$2:$D$3209,3,FALSE)</f>
        <v>1005</v>
      </c>
      <c r="R595" s="47" t="s">
        <v>35</v>
      </c>
      <c r="S595" s="47" t="s">
        <v>35</v>
      </c>
      <c r="T595" s="47" t="s">
        <v>35</v>
      </c>
      <c r="U595" s="47" t="s">
        <v>35</v>
      </c>
      <c r="V595" s="47" t="s">
        <v>35</v>
      </c>
      <c r="W595" s="47" t="s">
        <v>35</v>
      </c>
      <c r="X595" s="47" t="s">
        <v>35</v>
      </c>
      <c r="Y595" s="47" t="s">
        <v>35</v>
      </c>
      <c r="Z595" s="47" t="s">
        <v>35</v>
      </c>
      <c r="AA595" s="47" t="s">
        <v>35</v>
      </c>
      <c r="AB595" s="47" t="s">
        <v>35</v>
      </c>
      <c r="AC595" s="47" t="s">
        <v>35</v>
      </c>
      <c r="AD595" s="76" t="str">
        <f>VLOOKUP(E606,sheet1!$B$2:$C$3209,2,FALSE)</f>
        <v>標準原価リスト作成（品目別・明細）7/8 JUST MODIF</v>
      </c>
      <c r="AE595" s="49"/>
      <c r="AF595" s="49" t="s">
        <v>2398</v>
      </c>
      <c r="AG595" s="49" t="s">
        <v>2399</v>
      </c>
      <c r="AH595" s="49" t="str">
        <f t="shared" si="44"/>
        <v>標準原価ﾘｽﾄ（品目別明細）</v>
      </c>
      <c r="AI595" s="49"/>
      <c r="AJ595" s="49"/>
      <c r="AK595" s="49"/>
      <c r="AL595" s="49" t="str">
        <f t="shared" si="46"/>
        <v>原価計算カード</v>
      </c>
      <c r="AM595" s="49" t="s">
        <v>35</v>
      </c>
      <c r="AN595" s="49" t="s">
        <v>2400</v>
      </c>
      <c r="AO595" s="51" t="str">
        <f t="shared" si="39"/>
        <v/>
      </c>
      <c r="AP595" s="51" t="str">
        <f t="shared" si="40"/>
        <v/>
      </c>
      <c r="AQ595" s="49"/>
      <c r="AR595" s="49"/>
      <c r="AS595" s="49" t="str">
        <f t="shared" si="41"/>
        <v/>
      </c>
      <c r="AT595" s="49" t="str">
        <f t="shared" si="42"/>
        <v/>
      </c>
      <c r="AU595" s="49"/>
      <c r="AV595" s="49"/>
    </row>
    <row r="596" spans="1:48" ht="18" customHeight="1">
      <c r="A596" s="44">
        <v>594</v>
      </c>
      <c r="B596" s="71" t="s">
        <v>1076</v>
      </c>
      <c r="C596" s="52" t="s">
        <v>2283</v>
      </c>
      <c r="D596" s="54" t="s">
        <v>2312</v>
      </c>
      <c r="E596" s="44" t="s">
        <v>2357</v>
      </c>
      <c r="F596" s="44" t="s">
        <v>2401</v>
      </c>
      <c r="G596" s="44"/>
      <c r="H596" s="44"/>
      <c r="I596" s="44"/>
      <c r="J596" s="47" t="s">
        <v>35</v>
      </c>
      <c r="K596" s="47"/>
      <c r="L596" s="47"/>
      <c r="M596" s="47"/>
      <c r="N596" s="47"/>
      <c r="O596" s="44"/>
      <c r="P596" s="44"/>
      <c r="Q596" s="48">
        <f>VLOOKUP(E596,sheet1!$B$2:$D$3209,3,FALSE)</f>
        <v>456</v>
      </c>
      <c r="R596" s="47" t="s">
        <v>35</v>
      </c>
      <c r="S596" s="47" t="s">
        <v>296</v>
      </c>
      <c r="T596" s="47"/>
      <c r="U596" s="47" t="s">
        <v>296</v>
      </c>
      <c r="V596" s="47" t="s">
        <v>296</v>
      </c>
      <c r="W596" s="47" t="s">
        <v>296</v>
      </c>
      <c r="X596" s="47" t="s">
        <v>296</v>
      </c>
      <c r="Y596" s="47" t="s">
        <v>296</v>
      </c>
      <c r="Z596" s="47" t="s">
        <v>296</v>
      </c>
      <c r="AA596" s="47" t="s">
        <v>296</v>
      </c>
      <c r="AB596" s="47"/>
      <c r="AC596" s="47" t="s">
        <v>35</v>
      </c>
      <c r="AD596" s="76" t="str">
        <f>VLOOKUP(E607,sheet1!$B$2:$C$3209,2,FALSE)</f>
        <v>標準原価リスト作成（機種別品目別）</v>
      </c>
      <c r="AE596" s="49"/>
      <c r="AF596" s="49" t="s">
        <v>2402</v>
      </c>
      <c r="AG596" s="49" t="s">
        <v>2403</v>
      </c>
      <c r="AH596" s="49" t="str">
        <f t="shared" si="44"/>
        <v>標準原価ﾘｽﾄ（機種品目別）</v>
      </c>
      <c r="AI596" s="49"/>
      <c r="AJ596" s="49"/>
      <c r="AK596" s="49"/>
      <c r="AL596" s="49" t="str">
        <f t="shared" si="46"/>
        <v>製番実績生産効率</v>
      </c>
      <c r="AM596" s="49" t="s">
        <v>35</v>
      </c>
      <c r="AN596" s="49" t="s">
        <v>2404</v>
      </c>
      <c r="AO596" s="51" t="str">
        <f t="shared" si="39"/>
        <v/>
      </c>
      <c r="AP596" s="51" t="str">
        <f t="shared" si="40"/>
        <v/>
      </c>
      <c r="AQ596" s="49"/>
      <c r="AR596" s="49"/>
      <c r="AS596" s="49" t="str">
        <f t="shared" si="41"/>
        <v/>
      </c>
      <c r="AT596" s="49" t="str">
        <f t="shared" si="42"/>
        <v/>
      </c>
      <c r="AU596" s="49"/>
      <c r="AV596" s="49"/>
    </row>
    <row r="597" spans="1:48" ht="18" customHeight="1">
      <c r="A597" s="44">
        <v>595</v>
      </c>
      <c r="B597" s="71" t="s">
        <v>1076</v>
      </c>
      <c r="C597" s="52" t="s">
        <v>2283</v>
      </c>
      <c r="D597" s="54" t="s">
        <v>2312</v>
      </c>
      <c r="E597" s="48" t="s">
        <v>2361</v>
      </c>
      <c r="F597" s="44" t="s">
        <v>2405</v>
      </c>
      <c r="G597" s="44"/>
      <c r="H597" s="44"/>
      <c r="I597" s="44"/>
      <c r="J597" s="47" t="s">
        <v>35</v>
      </c>
      <c r="K597" s="47"/>
      <c r="L597" s="47"/>
      <c r="M597" s="47"/>
      <c r="N597" s="47"/>
      <c r="O597" s="44"/>
      <c r="P597" s="44"/>
      <c r="Q597" s="48">
        <f>VLOOKUP(E597,sheet1!$B$2:$D$3209,3,FALSE)</f>
        <v>442</v>
      </c>
      <c r="R597" s="47" t="s">
        <v>35</v>
      </c>
      <c r="S597" s="47" t="s">
        <v>296</v>
      </c>
      <c r="T597" s="47"/>
      <c r="U597" s="47" t="s">
        <v>296</v>
      </c>
      <c r="V597" s="47" t="s">
        <v>296</v>
      </c>
      <c r="W597" s="47" t="s">
        <v>296</v>
      </c>
      <c r="X597" s="47" t="s">
        <v>296</v>
      </c>
      <c r="Y597" s="47" t="s">
        <v>296</v>
      </c>
      <c r="Z597" s="47" t="s">
        <v>296</v>
      </c>
      <c r="AA597" s="47" t="s">
        <v>296</v>
      </c>
      <c r="AB597" s="47"/>
      <c r="AC597" s="47" t="s">
        <v>35</v>
      </c>
      <c r="AD597" s="76" t="str">
        <f>VLOOKUP(E608,sheet1!$B$2:$C$3209,2,FALSE)</f>
        <v>期中変更リスト（１）</v>
      </c>
      <c r="AE597" s="49"/>
      <c r="AF597" s="49" t="s">
        <v>2406</v>
      </c>
      <c r="AG597" s="49" t="s">
        <v>2407</v>
      </c>
      <c r="AH597" s="49" t="str">
        <f t="shared" si="44"/>
        <v>標準原価期中変更ﾘｽﾄ</v>
      </c>
      <c r="AI597" s="49"/>
      <c r="AJ597" s="49"/>
      <c r="AK597" s="49"/>
      <c r="AL597" s="49" t="str">
        <f t="shared" si="46"/>
        <v>品目別実際原価表</v>
      </c>
      <c r="AM597" s="49" t="s">
        <v>35</v>
      </c>
      <c r="AN597" s="49" t="s">
        <v>2408</v>
      </c>
      <c r="AO597" s="51" t="str">
        <f t="shared" si="39"/>
        <v/>
      </c>
      <c r="AP597" s="51" t="str">
        <f t="shared" si="40"/>
        <v/>
      </c>
      <c r="AQ597" s="49"/>
      <c r="AR597" s="49"/>
      <c r="AS597" s="49" t="str">
        <f t="shared" si="41"/>
        <v/>
      </c>
      <c r="AT597" s="49" t="str">
        <f t="shared" si="42"/>
        <v/>
      </c>
      <c r="AU597" s="49"/>
      <c r="AV597" s="49"/>
    </row>
    <row r="598" spans="1:48" ht="18" customHeight="1">
      <c r="A598" s="44">
        <v>596</v>
      </c>
      <c r="B598" s="71" t="s">
        <v>1076</v>
      </c>
      <c r="C598" s="52" t="s">
        <v>2283</v>
      </c>
      <c r="D598" s="54" t="s">
        <v>2312</v>
      </c>
      <c r="E598" s="44" t="s">
        <v>2365</v>
      </c>
      <c r="F598" s="44" t="s">
        <v>2409</v>
      </c>
      <c r="G598" s="44"/>
      <c r="H598" s="44"/>
      <c r="I598" s="44"/>
      <c r="J598" s="47" t="s">
        <v>35</v>
      </c>
      <c r="K598" s="47"/>
      <c r="L598" s="47"/>
      <c r="M598" s="47"/>
      <c r="N598" s="47"/>
      <c r="O598" s="44"/>
      <c r="P598" s="44"/>
      <c r="Q598" s="48">
        <f>VLOOKUP(E598,sheet1!$B$2:$D$3209,3,FALSE)</f>
        <v>58</v>
      </c>
      <c r="R598" s="47" t="s">
        <v>35</v>
      </c>
      <c r="S598" s="47" t="s">
        <v>296</v>
      </c>
      <c r="T598" s="47"/>
      <c r="U598" s="47" t="s">
        <v>296</v>
      </c>
      <c r="V598" s="47" t="s">
        <v>296</v>
      </c>
      <c r="W598" s="47" t="s">
        <v>296</v>
      </c>
      <c r="X598" s="47" t="s">
        <v>296</v>
      </c>
      <c r="Y598" s="47" t="s">
        <v>296</v>
      </c>
      <c r="Z598" s="47" t="s">
        <v>296</v>
      </c>
      <c r="AA598" s="47" t="s">
        <v>296</v>
      </c>
      <c r="AB598" s="47"/>
      <c r="AC598" s="47" t="s">
        <v>35</v>
      </c>
      <c r="AD598" s="76" t="str">
        <f>VLOOKUP(E609,sheet1!$B$2:$C$3209,2,FALSE)</f>
        <v>期中変更リスト（２）</v>
      </c>
      <c r="AE598" s="49"/>
      <c r="AF598" s="49" t="s">
        <v>2410</v>
      </c>
      <c r="AG598" s="49" t="s">
        <v>2411</v>
      </c>
      <c r="AH598" s="49" t="str">
        <f t="shared" si="44"/>
        <v>標準原価期中変更ﾘｽﾄ(明細)</v>
      </c>
      <c r="AI598" s="49"/>
      <c r="AJ598" s="49"/>
      <c r="AK598" s="49"/>
      <c r="AL598" s="49"/>
      <c r="AM598" s="49"/>
      <c r="AN598" s="49"/>
      <c r="AO598" s="51" t="str">
        <f t="shared" si="39"/>
        <v/>
      </c>
      <c r="AP598" s="51" t="str">
        <f t="shared" si="40"/>
        <v/>
      </c>
      <c r="AQ598" s="49"/>
      <c r="AR598" s="49"/>
      <c r="AS598" s="49" t="str">
        <f t="shared" si="41"/>
        <v/>
      </c>
      <c r="AT598" s="49" t="str">
        <f t="shared" si="42"/>
        <v/>
      </c>
      <c r="AU598" s="49"/>
      <c r="AV598" s="49"/>
    </row>
    <row r="599" spans="1:48" ht="18" customHeight="1">
      <c r="A599" s="44">
        <v>597</v>
      </c>
      <c r="B599" s="71" t="s">
        <v>1076</v>
      </c>
      <c r="C599" s="52" t="s">
        <v>2283</v>
      </c>
      <c r="D599" s="54" t="s">
        <v>2312</v>
      </c>
      <c r="E599" s="48" t="s">
        <v>2369</v>
      </c>
      <c r="F599" s="44" t="s">
        <v>2412</v>
      </c>
      <c r="G599" s="44"/>
      <c r="H599" s="44"/>
      <c r="I599" s="44"/>
      <c r="J599" s="47" t="s">
        <v>35</v>
      </c>
      <c r="K599" s="47"/>
      <c r="L599" s="47"/>
      <c r="M599" s="47"/>
      <c r="N599" s="47"/>
      <c r="O599" s="44"/>
      <c r="P599" s="44"/>
      <c r="Q599" s="48">
        <f>VLOOKUP(E599,sheet1!$B$2:$D$3209,3,FALSE)</f>
        <v>13</v>
      </c>
      <c r="R599" s="47" t="s">
        <v>35</v>
      </c>
      <c r="S599" s="47" t="s">
        <v>296</v>
      </c>
      <c r="T599" s="47"/>
      <c r="U599" s="47" t="s">
        <v>296</v>
      </c>
      <c r="V599" s="47" t="s">
        <v>296</v>
      </c>
      <c r="W599" s="47" t="s">
        <v>296</v>
      </c>
      <c r="X599" s="47" t="s">
        <v>296</v>
      </c>
      <c r="Y599" s="47" t="s">
        <v>296</v>
      </c>
      <c r="Z599" s="47" t="s">
        <v>296</v>
      </c>
      <c r="AA599" s="47" t="s">
        <v>296</v>
      </c>
      <c r="AB599" s="47"/>
      <c r="AC599" s="47" t="s">
        <v>35</v>
      </c>
      <c r="AD599" s="76"/>
      <c r="AE599" s="49"/>
      <c r="AF599" s="49" t="s">
        <v>2413</v>
      </c>
      <c r="AG599" s="49" t="s">
        <v>2414</v>
      </c>
      <c r="AH599" s="49" t="str">
        <f t="shared" si="44"/>
        <v>標準原価削除処理</v>
      </c>
      <c r="AI599" s="49"/>
      <c r="AJ599" s="49"/>
      <c r="AK599" s="49"/>
      <c r="AL599" s="49"/>
      <c r="AM599" s="49"/>
      <c r="AN599" s="49"/>
      <c r="AO599" s="51" t="str">
        <f t="shared" si="39"/>
        <v>標準原価照会（品目別）</v>
      </c>
      <c r="AP599" s="51" t="str">
        <f t="shared" si="40"/>
        <v>CS2270</v>
      </c>
      <c r="AQ599" s="49" t="s">
        <v>2415</v>
      </c>
      <c r="AR599" s="49" t="s">
        <v>2373</v>
      </c>
      <c r="AS599" s="49" t="str">
        <f t="shared" si="41"/>
        <v>標準原価照会（品目別）</v>
      </c>
      <c r="AT599" s="49" t="str">
        <f t="shared" si="42"/>
        <v>CS2270</v>
      </c>
      <c r="AU599" s="51" t="s">
        <v>2415</v>
      </c>
      <c r="AV599" s="51" t="s">
        <v>2373</v>
      </c>
    </row>
    <row r="600" spans="1:48" ht="18" customHeight="1">
      <c r="A600" s="44">
        <v>598</v>
      </c>
      <c r="B600" s="71" t="s">
        <v>1076</v>
      </c>
      <c r="C600" s="52" t="s">
        <v>2283</v>
      </c>
      <c r="D600" s="53" t="s">
        <v>2416</v>
      </c>
      <c r="E600" s="44" t="s">
        <v>2373</v>
      </c>
      <c r="F600" s="44" t="s">
        <v>2417</v>
      </c>
      <c r="G600" s="44"/>
      <c r="H600" s="44"/>
      <c r="I600" s="44"/>
      <c r="J600" s="47" t="s">
        <v>35</v>
      </c>
      <c r="K600" s="47"/>
      <c r="L600" s="47"/>
      <c r="M600" s="47"/>
      <c r="N600" s="47"/>
      <c r="O600" s="44"/>
      <c r="P600" s="44"/>
      <c r="Q600" s="48">
        <f>VLOOKUP(E600,sheet1!$B$2:$D$3209,3,FALSE)</f>
        <v>545</v>
      </c>
      <c r="R600" s="47" t="s">
        <v>35</v>
      </c>
      <c r="S600" s="47" t="s">
        <v>35</v>
      </c>
      <c r="T600" s="47" t="s">
        <v>35</v>
      </c>
      <c r="U600" s="47" t="s">
        <v>35</v>
      </c>
      <c r="V600" s="47" t="s">
        <v>35</v>
      </c>
      <c r="W600" s="47" t="s">
        <v>35</v>
      </c>
      <c r="X600" s="47" t="s">
        <v>35</v>
      </c>
      <c r="Y600" s="47" t="s">
        <v>35</v>
      </c>
      <c r="Z600" s="47" t="s">
        <v>35</v>
      </c>
      <c r="AA600" s="47" t="s">
        <v>35</v>
      </c>
      <c r="AB600" s="47" t="s">
        <v>35</v>
      </c>
      <c r="AC600" s="47" t="s">
        <v>35</v>
      </c>
      <c r="AD600" s="73" t="str">
        <f>VLOOKUP(E611,sheet1!$B$2:$C$3209,2,FALSE)</f>
        <v>実際労務費・経費率テーブル保守</v>
      </c>
      <c r="AE600" s="49"/>
      <c r="AF600" s="51" t="s">
        <v>2418</v>
      </c>
      <c r="AG600" s="51" t="s">
        <v>2419</v>
      </c>
      <c r="AH600" s="49" t="str">
        <f t="shared" si="44"/>
        <v>実際労務費・経費率T 保守</v>
      </c>
      <c r="AI600" s="49"/>
      <c r="AJ600" s="49"/>
      <c r="AK600" s="49"/>
      <c r="AL600" s="49"/>
      <c r="AM600" s="49"/>
      <c r="AN600" s="49"/>
      <c r="AO600" s="51" t="str">
        <f t="shared" si="39"/>
        <v>標準原価照会（品目別明細）</v>
      </c>
      <c r="AP600" s="51" t="str">
        <f t="shared" si="40"/>
        <v>CS2280</v>
      </c>
      <c r="AQ600" s="49" t="s">
        <v>2377</v>
      </c>
      <c r="AR600" s="49" t="s">
        <v>2378</v>
      </c>
      <c r="AS600" s="49" t="str">
        <f t="shared" si="41"/>
        <v>標準原価照会（品目別明細）</v>
      </c>
      <c r="AT600" s="49" t="str">
        <f t="shared" si="42"/>
        <v>CS2280</v>
      </c>
      <c r="AU600" s="51" t="s">
        <v>2377</v>
      </c>
      <c r="AV600" s="51" t="s">
        <v>2378</v>
      </c>
    </row>
    <row r="601" spans="1:48" ht="18" customHeight="1">
      <c r="A601" s="44">
        <v>599</v>
      </c>
      <c r="B601" s="71" t="s">
        <v>1076</v>
      </c>
      <c r="C601" s="52" t="s">
        <v>2283</v>
      </c>
      <c r="D601" s="54" t="s">
        <v>2416</v>
      </c>
      <c r="E601" s="44" t="s">
        <v>2378</v>
      </c>
      <c r="F601" s="44" t="s">
        <v>2337</v>
      </c>
      <c r="G601" s="44"/>
      <c r="H601" s="44"/>
      <c r="I601" s="44"/>
      <c r="J601" s="47" t="s">
        <v>35</v>
      </c>
      <c r="K601" s="47"/>
      <c r="L601" s="47"/>
      <c r="M601" s="47"/>
      <c r="N601" s="47"/>
      <c r="O601" s="44"/>
      <c r="P601" s="44"/>
      <c r="Q601" s="48">
        <f>VLOOKUP(E601,sheet1!$B$2:$D$3209,3,FALSE)</f>
        <v>952</v>
      </c>
      <c r="R601" s="47" t="s">
        <v>35</v>
      </c>
      <c r="S601" s="47" t="s">
        <v>35</v>
      </c>
      <c r="T601" s="47" t="s">
        <v>35</v>
      </c>
      <c r="U601" s="47" t="s">
        <v>35</v>
      </c>
      <c r="V601" s="47" t="s">
        <v>35</v>
      </c>
      <c r="W601" s="47" t="s">
        <v>35</v>
      </c>
      <c r="X601" s="47" t="s">
        <v>35</v>
      </c>
      <c r="Y601" s="47" t="s">
        <v>35</v>
      </c>
      <c r="Z601" s="47" t="s">
        <v>35</v>
      </c>
      <c r="AA601" s="47" t="s">
        <v>35</v>
      </c>
      <c r="AB601" s="47" t="s">
        <v>35</v>
      </c>
      <c r="AC601" s="47" t="s">
        <v>35</v>
      </c>
      <c r="AD601" s="76"/>
      <c r="AE601" s="49"/>
      <c r="AF601" s="51" t="s">
        <v>2420</v>
      </c>
      <c r="AG601" s="51" t="s">
        <v>2421</v>
      </c>
      <c r="AH601" s="49" t="str">
        <f t="shared" si="44"/>
        <v>実際労務費・経費率T 照会</v>
      </c>
      <c r="AI601" s="49"/>
      <c r="AJ601" s="49"/>
      <c r="AK601" s="49"/>
      <c r="AL601" s="49"/>
      <c r="AM601" s="49"/>
      <c r="AN601" s="49"/>
      <c r="AO601" s="51" t="str">
        <f t="shared" si="39"/>
        <v>標準原価履歴照会</v>
      </c>
      <c r="AP601" s="51" t="str">
        <f t="shared" si="40"/>
        <v>CS2290</v>
      </c>
      <c r="AQ601" s="49" t="s">
        <v>2422</v>
      </c>
      <c r="AR601" s="49" t="s">
        <v>2382</v>
      </c>
      <c r="AS601" s="49" t="str">
        <f t="shared" si="41"/>
        <v>標準原価履歴照会</v>
      </c>
      <c r="AT601" s="49" t="str">
        <f t="shared" si="42"/>
        <v>CS2290</v>
      </c>
      <c r="AU601" s="51" t="s">
        <v>2422</v>
      </c>
      <c r="AV601" s="51" t="s">
        <v>2382</v>
      </c>
    </row>
    <row r="602" spans="1:48" ht="18" customHeight="1">
      <c r="A602" s="44">
        <v>600</v>
      </c>
      <c r="B602" s="71" t="s">
        <v>1076</v>
      </c>
      <c r="C602" s="52" t="s">
        <v>2283</v>
      </c>
      <c r="D602" s="54" t="s">
        <v>2416</v>
      </c>
      <c r="E602" s="44" t="s">
        <v>2382</v>
      </c>
      <c r="F602" s="44" t="s">
        <v>2423</v>
      </c>
      <c r="G602" s="44"/>
      <c r="H602" s="44"/>
      <c r="I602" s="44"/>
      <c r="J602" s="47" t="s">
        <v>35</v>
      </c>
      <c r="K602" s="47"/>
      <c r="L602" s="47"/>
      <c r="M602" s="47"/>
      <c r="N602" s="47"/>
      <c r="O602" s="44"/>
      <c r="P602" s="44"/>
      <c r="Q602" s="48">
        <f>VLOOKUP(E602,sheet1!$B$2:$D$3209,3,FALSE)</f>
        <v>492</v>
      </c>
      <c r="R602" s="47" t="s">
        <v>35</v>
      </c>
      <c r="S602" s="47" t="s">
        <v>35</v>
      </c>
      <c r="T602" s="47" t="s">
        <v>35</v>
      </c>
      <c r="U602" s="47" t="s">
        <v>35</v>
      </c>
      <c r="V602" s="47" t="s">
        <v>35</v>
      </c>
      <c r="W602" s="47" t="s">
        <v>35</v>
      </c>
      <c r="X602" s="47" t="s">
        <v>35</v>
      </c>
      <c r="Y602" s="47" t="s">
        <v>35</v>
      </c>
      <c r="Z602" s="47" t="s">
        <v>35</v>
      </c>
      <c r="AA602" s="47" t="s">
        <v>35</v>
      </c>
      <c r="AB602" s="47" t="s">
        <v>35</v>
      </c>
      <c r="AC602" s="47" t="s">
        <v>35</v>
      </c>
      <c r="AD602" s="76" t="str">
        <f>VLOOKUP(E613,sheet1!$B$2:$C$3209,2,FALSE)</f>
        <v>実際労務費・経費率ﾃｰﾌﾞﾙ一覧表             JCM</v>
      </c>
      <c r="AE602" s="49"/>
      <c r="AF602" s="51" t="s">
        <v>2424</v>
      </c>
      <c r="AG602" s="51" t="s">
        <v>2425</v>
      </c>
      <c r="AH602" s="49" t="str">
        <f t="shared" si="44"/>
        <v>実際労務費・経費率T一覧表</v>
      </c>
      <c r="AI602" s="49"/>
      <c r="AJ602" s="49"/>
      <c r="AK602" s="49"/>
      <c r="AL602" s="49"/>
      <c r="AM602" s="49"/>
      <c r="AN602" s="49"/>
      <c r="AO602" s="51" t="str">
        <f t="shared" si="39"/>
        <v/>
      </c>
      <c r="AP602" s="51" t="str">
        <f t="shared" si="40"/>
        <v/>
      </c>
      <c r="AQ602" s="49"/>
      <c r="AR602" s="49"/>
      <c r="AS602" s="49" t="str">
        <f t="shared" si="41"/>
        <v/>
      </c>
      <c r="AT602" s="49" t="str">
        <f t="shared" si="42"/>
        <v/>
      </c>
      <c r="AU602" s="51"/>
      <c r="AV602" s="51"/>
    </row>
    <row r="603" spans="1:48" ht="18" customHeight="1">
      <c r="A603" s="44">
        <v>601</v>
      </c>
      <c r="B603" s="71" t="s">
        <v>1076</v>
      </c>
      <c r="C603" s="52" t="s">
        <v>2283</v>
      </c>
      <c r="D603" s="54" t="s">
        <v>2416</v>
      </c>
      <c r="E603" s="44" t="s">
        <v>2386</v>
      </c>
      <c r="F603" s="44" t="s">
        <v>2426</v>
      </c>
      <c r="G603" s="44"/>
      <c r="H603" s="44"/>
      <c r="I603" s="44"/>
      <c r="J603" s="47" t="s">
        <v>35</v>
      </c>
      <c r="K603" s="47"/>
      <c r="L603" s="47"/>
      <c r="M603" s="47"/>
      <c r="N603" s="47"/>
      <c r="O603" s="44"/>
      <c r="P603" s="44"/>
      <c r="Q603" s="48">
        <f>VLOOKUP(E603,sheet1!$B$2:$D$3209,3,FALSE)</f>
        <v>2780</v>
      </c>
      <c r="R603" s="47" t="s">
        <v>35</v>
      </c>
      <c r="S603" s="47" t="s">
        <v>296</v>
      </c>
      <c r="T603" s="47"/>
      <c r="U603" s="47" t="s">
        <v>296</v>
      </c>
      <c r="V603" s="47" t="s">
        <v>296</v>
      </c>
      <c r="W603" s="47" t="s">
        <v>296</v>
      </c>
      <c r="X603" s="47" t="s">
        <v>296</v>
      </c>
      <c r="Y603" s="47" t="s">
        <v>296</v>
      </c>
      <c r="Z603" s="47" t="s">
        <v>296</v>
      </c>
      <c r="AA603" s="47" t="s">
        <v>296</v>
      </c>
      <c r="AB603" s="47"/>
      <c r="AC603" s="47" t="s">
        <v>35</v>
      </c>
      <c r="AD603" s="76" t="e">
        <f>VLOOKUP(E614,sheet1!$B$2:$C$3209,2,FALSE)</f>
        <v>#N/A</v>
      </c>
      <c r="AE603" s="49"/>
      <c r="AF603" s="51" t="s">
        <v>2427</v>
      </c>
      <c r="AG603" s="51" t="s">
        <v>2428</v>
      </c>
      <c r="AH603" s="49" t="str">
        <f t="shared" si="44"/>
        <v>実際原価計算処理</v>
      </c>
      <c r="AI603" s="49"/>
      <c r="AJ603" s="49"/>
      <c r="AK603" s="49"/>
      <c r="AL603" s="49"/>
      <c r="AM603" s="49"/>
      <c r="AN603" s="49"/>
      <c r="AO603" s="51" t="str">
        <f t="shared" si="39"/>
        <v/>
      </c>
      <c r="AP603" s="51" t="str">
        <f t="shared" si="40"/>
        <v/>
      </c>
      <c r="AQ603" s="49"/>
      <c r="AR603" s="49"/>
      <c r="AS603" s="49" t="str">
        <f t="shared" si="41"/>
        <v/>
      </c>
      <c r="AT603" s="49" t="str">
        <f t="shared" si="42"/>
        <v/>
      </c>
      <c r="AU603" s="51"/>
      <c r="AV603" s="51"/>
    </row>
    <row r="604" spans="1:48" ht="18" customHeight="1">
      <c r="A604" s="44">
        <v>602</v>
      </c>
      <c r="B604" s="71" t="s">
        <v>1076</v>
      </c>
      <c r="C604" s="52" t="s">
        <v>2283</v>
      </c>
      <c r="D604" s="54" t="s">
        <v>2416</v>
      </c>
      <c r="E604" s="44" t="s">
        <v>2390</v>
      </c>
      <c r="F604" s="44" t="s">
        <v>2429</v>
      </c>
      <c r="G604" s="44"/>
      <c r="H604" s="44"/>
      <c r="I604" s="44"/>
      <c r="J604" s="47" t="s">
        <v>35</v>
      </c>
      <c r="K604" s="47"/>
      <c r="L604" s="47"/>
      <c r="M604" s="47"/>
      <c r="N604" s="47"/>
      <c r="O604" s="44"/>
      <c r="P604" s="44"/>
      <c r="Q604" s="48">
        <f>VLOOKUP(E604,sheet1!$B$2:$D$3209,3,FALSE)</f>
        <v>703</v>
      </c>
      <c r="R604" s="47" t="s">
        <v>35</v>
      </c>
      <c r="S604" s="47" t="s">
        <v>296</v>
      </c>
      <c r="T604" s="47"/>
      <c r="U604" s="47" t="s">
        <v>296</v>
      </c>
      <c r="V604" s="47" t="s">
        <v>296</v>
      </c>
      <c r="W604" s="47" t="s">
        <v>296</v>
      </c>
      <c r="X604" s="47" t="s">
        <v>296</v>
      </c>
      <c r="Y604" s="47" t="s">
        <v>296</v>
      </c>
      <c r="Z604" s="47" t="s">
        <v>296</v>
      </c>
      <c r="AA604" s="47" t="s">
        <v>296</v>
      </c>
      <c r="AB604" s="47"/>
      <c r="AC604" s="47" t="s">
        <v>35</v>
      </c>
      <c r="AD604" s="76" t="str">
        <f>VLOOKUP(E615,sheet1!$B$2:$C$3209,2,FALSE)</f>
        <v>原価計算カード照会</v>
      </c>
      <c r="AE604" s="49"/>
      <c r="AF604" s="51" t="s">
        <v>2430</v>
      </c>
      <c r="AG604" s="51" t="s">
        <v>2431</v>
      </c>
      <c r="AH604" s="49" t="str">
        <f t="shared" si="44"/>
        <v>製番別実際原価照会</v>
      </c>
      <c r="AI604" s="49"/>
      <c r="AJ604" s="49"/>
      <c r="AK604" s="49"/>
      <c r="AL604" s="49"/>
      <c r="AM604" s="49"/>
      <c r="AN604" s="49"/>
      <c r="AO604" s="51" t="str">
        <f t="shared" si="39"/>
        <v>標準原価ﾘｽﾄ（品目別履歴）</v>
      </c>
      <c r="AP604" s="51" t="str">
        <f t="shared" si="40"/>
        <v>CS2120</v>
      </c>
      <c r="AQ604" s="49" t="s">
        <v>2394</v>
      </c>
      <c r="AR604" s="49" t="s">
        <v>2395</v>
      </c>
      <c r="AS604" s="49" t="str">
        <f t="shared" si="41"/>
        <v>標準原価ﾘｽﾄ（品目別履歴）</v>
      </c>
      <c r="AT604" s="49" t="str">
        <f t="shared" si="42"/>
        <v>CS2120</v>
      </c>
      <c r="AU604" s="51" t="s">
        <v>2394</v>
      </c>
      <c r="AV604" s="51" t="s">
        <v>2395</v>
      </c>
    </row>
    <row r="605" spans="1:48" ht="18" customHeight="1">
      <c r="A605" s="44">
        <v>603</v>
      </c>
      <c r="B605" s="71" t="s">
        <v>1076</v>
      </c>
      <c r="C605" s="52" t="s">
        <v>2283</v>
      </c>
      <c r="D605" s="54" t="s">
        <v>2416</v>
      </c>
      <c r="E605" s="44" t="s">
        <v>2395</v>
      </c>
      <c r="F605" s="44" t="s">
        <v>2342</v>
      </c>
      <c r="G605" s="44"/>
      <c r="H605" s="44"/>
      <c r="I605" s="44"/>
      <c r="J605" s="47" t="s">
        <v>35</v>
      </c>
      <c r="K605" s="47"/>
      <c r="L605" s="47"/>
      <c r="M605" s="47"/>
      <c r="N605" s="47"/>
      <c r="O605" s="44"/>
      <c r="P605" s="44"/>
      <c r="Q605" s="48">
        <f>VLOOKUP(E605,sheet1!$B$2:$D$3209,3,FALSE)</f>
        <v>743</v>
      </c>
      <c r="R605" s="47" t="s">
        <v>35</v>
      </c>
      <c r="S605" s="47" t="s">
        <v>35</v>
      </c>
      <c r="T605" s="47" t="s">
        <v>35</v>
      </c>
      <c r="U605" s="47" t="s">
        <v>35</v>
      </c>
      <c r="V605" s="47" t="s">
        <v>35</v>
      </c>
      <c r="W605" s="47" t="s">
        <v>35</v>
      </c>
      <c r="X605" s="47" t="s">
        <v>35</v>
      </c>
      <c r="Y605" s="47" t="s">
        <v>35</v>
      </c>
      <c r="Z605" s="47" t="s">
        <v>35</v>
      </c>
      <c r="AA605" s="47" t="s">
        <v>35</v>
      </c>
      <c r="AB605" s="47" t="s">
        <v>35</v>
      </c>
      <c r="AC605" s="47" t="s">
        <v>35</v>
      </c>
      <c r="AD605" s="76" t="str">
        <f>VLOOKUP(E616,sheet1!$B$2:$C$3209,2,FALSE)</f>
        <v>品目別実際原価照会</v>
      </c>
      <c r="AE605" s="49"/>
      <c r="AF605" s="51" t="s">
        <v>2432</v>
      </c>
      <c r="AG605" s="51" t="s">
        <v>2433</v>
      </c>
      <c r="AH605" s="49" t="str">
        <f t="shared" si="44"/>
        <v>品番別実際原価照会</v>
      </c>
      <c r="AI605" s="49"/>
      <c r="AJ605" s="49"/>
      <c r="AK605" s="49"/>
      <c r="AL605" s="49"/>
      <c r="AM605" s="49"/>
      <c r="AN605" s="49"/>
      <c r="AO605" s="51" t="str">
        <f t="shared" si="39"/>
        <v>標準原価ﾘｽﾄ（品目別明細）</v>
      </c>
      <c r="AP605" s="51" t="str">
        <f t="shared" si="40"/>
        <v>CS2130</v>
      </c>
      <c r="AQ605" s="49" t="s">
        <v>2398</v>
      </c>
      <c r="AR605" s="49" t="s">
        <v>2399</v>
      </c>
      <c r="AS605" s="49" t="str">
        <f t="shared" si="41"/>
        <v>標準原価ﾘｽﾄ（品目別明細）</v>
      </c>
      <c r="AT605" s="49" t="str">
        <f t="shared" si="42"/>
        <v>CS2130</v>
      </c>
      <c r="AU605" s="51" t="s">
        <v>2398</v>
      </c>
      <c r="AV605" s="51" t="s">
        <v>2399</v>
      </c>
    </row>
    <row r="606" spans="1:48" ht="18" customHeight="1">
      <c r="A606" s="44">
        <v>604</v>
      </c>
      <c r="B606" s="71" t="s">
        <v>1076</v>
      </c>
      <c r="C606" s="52" t="s">
        <v>2283</v>
      </c>
      <c r="D606" s="54" t="s">
        <v>2416</v>
      </c>
      <c r="E606" s="44" t="s">
        <v>2399</v>
      </c>
      <c r="F606" s="44" t="s">
        <v>2344</v>
      </c>
      <c r="G606" s="44"/>
      <c r="H606" s="44"/>
      <c r="I606" s="44"/>
      <c r="J606" s="47" t="s">
        <v>35</v>
      </c>
      <c r="K606" s="47"/>
      <c r="L606" s="47"/>
      <c r="M606" s="47"/>
      <c r="N606" s="47"/>
      <c r="O606" s="44"/>
      <c r="P606" s="44"/>
      <c r="Q606" s="48">
        <f>VLOOKUP(E606,sheet1!$B$2:$D$3209,3,FALSE)</f>
        <v>942</v>
      </c>
      <c r="R606" s="47" t="s">
        <v>35</v>
      </c>
      <c r="S606" s="47" t="s">
        <v>35</v>
      </c>
      <c r="T606" s="47" t="s">
        <v>35</v>
      </c>
      <c r="U606" s="47" t="s">
        <v>35</v>
      </c>
      <c r="V606" s="47" t="s">
        <v>35</v>
      </c>
      <c r="W606" s="47" t="s">
        <v>35</v>
      </c>
      <c r="X606" s="47" t="s">
        <v>35</v>
      </c>
      <c r="Y606" s="47" t="s">
        <v>35</v>
      </c>
      <c r="Z606" s="47" t="s">
        <v>35</v>
      </c>
      <c r="AA606" s="47" t="s">
        <v>35</v>
      </c>
      <c r="AB606" s="47" t="s">
        <v>35</v>
      </c>
      <c r="AC606" s="47" t="s">
        <v>35</v>
      </c>
      <c r="AD606" s="76" t="str">
        <f>VLOOKUP(E617,sheet1!$B$2:$C$3209,2,FALSE)</f>
        <v>受入ロット№別実際原価照会</v>
      </c>
      <c r="AE606" s="49"/>
      <c r="AF606" s="51" t="s">
        <v>2434</v>
      </c>
      <c r="AG606" s="51" t="s">
        <v>2435</v>
      </c>
      <c r="AH606" s="49" t="str">
        <f t="shared" si="44"/>
        <v>受入ﾛｯﾄ?別実際原価照会</v>
      </c>
      <c r="AI606" s="49"/>
      <c r="AJ606" s="49"/>
      <c r="AK606" s="49"/>
      <c r="AL606" s="49"/>
      <c r="AM606" s="49"/>
      <c r="AN606" s="49"/>
      <c r="AO606" s="51" t="str">
        <f t="shared" si="39"/>
        <v>標準原価ﾘｽﾄ（機種品目別）</v>
      </c>
      <c r="AP606" s="51" t="str">
        <f t="shared" si="40"/>
        <v>CS2140</v>
      </c>
      <c r="AQ606" s="49" t="s">
        <v>2402</v>
      </c>
      <c r="AR606" s="49" t="s">
        <v>2403</v>
      </c>
      <c r="AS606" s="49" t="str">
        <f t="shared" si="41"/>
        <v>標準原価ﾘｽﾄ（機種品目別）</v>
      </c>
      <c r="AT606" s="49" t="str">
        <f t="shared" si="42"/>
        <v>CS2140</v>
      </c>
      <c r="AU606" s="51" t="s">
        <v>2402</v>
      </c>
      <c r="AV606" s="51" t="s">
        <v>2403</v>
      </c>
    </row>
    <row r="607" spans="1:48" ht="18" customHeight="1">
      <c r="A607" s="44">
        <v>605</v>
      </c>
      <c r="B607" s="71" t="s">
        <v>1076</v>
      </c>
      <c r="C607" s="52" t="s">
        <v>2283</v>
      </c>
      <c r="D607" s="54" t="s">
        <v>2416</v>
      </c>
      <c r="E607" s="44" t="s">
        <v>2403</v>
      </c>
      <c r="F607" s="44" t="s">
        <v>2346</v>
      </c>
      <c r="G607" s="44"/>
      <c r="H607" s="44"/>
      <c r="I607" s="44"/>
      <c r="J607" s="47" t="s">
        <v>35</v>
      </c>
      <c r="K607" s="47"/>
      <c r="L607" s="47"/>
      <c r="M607" s="47"/>
      <c r="N607" s="47"/>
      <c r="O607" s="44"/>
      <c r="P607" s="44"/>
      <c r="Q607" s="48">
        <f>VLOOKUP(E607,sheet1!$B$2:$D$3209,3,FALSE)</f>
        <v>995</v>
      </c>
      <c r="R607" s="47" t="s">
        <v>35</v>
      </c>
      <c r="S607" s="47" t="s">
        <v>35</v>
      </c>
      <c r="T607" s="47" t="s">
        <v>35</v>
      </c>
      <c r="U607" s="47" t="s">
        <v>35</v>
      </c>
      <c r="V607" s="47" t="s">
        <v>35</v>
      </c>
      <c r="W607" s="47" t="s">
        <v>35</v>
      </c>
      <c r="X607" s="47" t="s">
        <v>35</v>
      </c>
      <c r="Y607" s="47" t="s">
        <v>35</v>
      </c>
      <c r="Z607" s="47" t="s">
        <v>35</v>
      </c>
      <c r="AA607" s="47" t="s">
        <v>35</v>
      </c>
      <c r="AB607" s="47" t="s">
        <v>35</v>
      </c>
      <c r="AC607" s="47" t="s">
        <v>35</v>
      </c>
      <c r="AD607" s="76"/>
      <c r="AE607" s="49"/>
      <c r="AF607" s="51"/>
      <c r="AG607" s="51"/>
      <c r="AH607" s="49"/>
      <c r="AI607" s="49"/>
      <c r="AJ607" s="49"/>
      <c r="AK607" s="49"/>
      <c r="AL607" s="49"/>
      <c r="AM607" s="49"/>
      <c r="AN607" s="49"/>
      <c r="AO607" s="51" t="str">
        <f t="shared" si="39"/>
        <v>標準原価期中変更ﾘｽﾄ</v>
      </c>
      <c r="AP607" s="51" t="str">
        <f t="shared" si="40"/>
        <v>CS2250</v>
      </c>
      <c r="AQ607" s="49" t="s">
        <v>2406</v>
      </c>
      <c r="AR607" s="49" t="s">
        <v>2407</v>
      </c>
      <c r="AS607" s="49" t="str">
        <f t="shared" si="41"/>
        <v>標準原価期中変更ﾘｽﾄ</v>
      </c>
      <c r="AT607" s="49" t="str">
        <f t="shared" si="42"/>
        <v>CS2250</v>
      </c>
      <c r="AU607" s="51" t="s">
        <v>2406</v>
      </c>
      <c r="AV607" s="51" t="s">
        <v>2407</v>
      </c>
    </row>
    <row r="608" spans="1:48" ht="18" customHeight="1">
      <c r="A608" s="44">
        <v>606</v>
      </c>
      <c r="B608" s="71" t="s">
        <v>1076</v>
      </c>
      <c r="C608" s="52" t="s">
        <v>2283</v>
      </c>
      <c r="D608" s="54" t="s">
        <v>2416</v>
      </c>
      <c r="E608" s="44" t="s">
        <v>2407</v>
      </c>
      <c r="F608" s="44" t="s">
        <v>2436</v>
      </c>
      <c r="G608" s="44"/>
      <c r="H608" s="44"/>
      <c r="I608" s="44"/>
      <c r="J608" s="47" t="s">
        <v>35</v>
      </c>
      <c r="K608" s="47"/>
      <c r="L608" s="47"/>
      <c r="M608" s="47"/>
      <c r="N608" s="47"/>
      <c r="O608" s="44"/>
      <c r="P608" s="44"/>
      <c r="Q608" s="48">
        <f>VLOOKUP(E608,sheet1!$B$2:$D$3209,3,FALSE)</f>
        <v>290</v>
      </c>
      <c r="R608" s="47" t="s">
        <v>35</v>
      </c>
      <c r="S608" s="47" t="s">
        <v>35</v>
      </c>
      <c r="T608" s="47" t="s">
        <v>35</v>
      </c>
      <c r="U608" s="47" t="s">
        <v>35</v>
      </c>
      <c r="V608" s="47" t="s">
        <v>35</v>
      </c>
      <c r="W608" s="47" t="s">
        <v>35</v>
      </c>
      <c r="X608" s="47" t="s">
        <v>35</v>
      </c>
      <c r="Y608" s="47" t="s">
        <v>35</v>
      </c>
      <c r="Z608" s="47" t="s">
        <v>35</v>
      </c>
      <c r="AA608" s="47" t="s">
        <v>35</v>
      </c>
      <c r="AB608" s="47" t="s">
        <v>35</v>
      </c>
      <c r="AC608" s="47" t="s">
        <v>35</v>
      </c>
      <c r="AD608" s="76" t="str">
        <f>VLOOKUP(E619,sheet1!$B$2:$C$3209,2,FALSE)</f>
        <v>原価差異明細表</v>
      </c>
      <c r="AE608" s="49"/>
      <c r="AF608" s="51" t="s">
        <v>2437</v>
      </c>
      <c r="AG608" s="51" t="s">
        <v>2438</v>
      </c>
      <c r="AH608" s="49" t="str">
        <f t="shared" ref="AH608:AH727" si="47">TRIM(MID(AF608,4,100))</f>
        <v>原価差異明細表</v>
      </c>
      <c r="AI608" s="49"/>
      <c r="AJ608" s="49"/>
      <c r="AK608" s="49"/>
      <c r="AL608" s="49"/>
      <c r="AM608" s="49"/>
      <c r="AN608" s="49"/>
      <c r="AO608" s="51" t="str">
        <f t="shared" si="39"/>
        <v>標準原価期中変更ﾘｽﾄ(明細)</v>
      </c>
      <c r="AP608" s="51" t="str">
        <f t="shared" si="40"/>
        <v>CS2260</v>
      </c>
      <c r="AQ608" s="49" t="s">
        <v>2410</v>
      </c>
      <c r="AR608" s="49" t="s">
        <v>2411</v>
      </c>
      <c r="AS608" s="49" t="str">
        <f t="shared" si="41"/>
        <v>標準原価期中変更ﾘｽﾄ(明細)</v>
      </c>
      <c r="AT608" s="49" t="str">
        <f t="shared" si="42"/>
        <v>CS2260</v>
      </c>
      <c r="AU608" s="51" t="s">
        <v>2410</v>
      </c>
      <c r="AV608" s="51" t="s">
        <v>2411</v>
      </c>
    </row>
    <row r="609" spans="1:48" ht="18" customHeight="1">
      <c r="A609" s="44">
        <v>607</v>
      </c>
      <c r="B609" s="71" t="s">
        <v>1076</v>
      </c>
      <c r="C609" s="52" t="s">
        <v>2283</v>
      </c>
      <c r="D609" s="54" t="s">
        <v>2416</v>
      </c>
      <c r="E609" s="44" t="s">
        <v>2411</v>
      </c>
      <c r="F609" s="44" t="s">
        <v>2352</v>
      </c>
      <c r="G609" s="44"/>
      <c r="H609" s="44"/>
      <c r="I609" s="44"/>
      <c r="J609" s="47" t="s">
        <v>35</v>
      </c>
      <c r="K609" s="47"/>
      <c r="L609" s="47"/>
      <c r="M609" s="47"/>
      <c r="N609" s="47"/>
      <c r="O609" s="44"/>
      <c r="P609" s="44"/>
      <c r="Q609" s="48">
        <f>VLOOKUP(E609,sheet1!$B$2:$D$3209,3,FALSE)</f>
        <v>290</v>
      </c>
      <c r="R609" s="47" t="s">
        <v>35</v>
      </c>
      <c r="S609" s="47" t="s">
        <v>35</v>
      </c>
      <c r="T609" s="47" t="s">
        <v>35</v>
      </c>
      <c r="U609" s="47" t="s">
        <v>35</v>
      </c>
      <c r="V609" s="47" t="s">
        <v>35</v>
      </c>
      <c r="W609" s="47" t="s">
        <v>35</v>
      </c>
      <c r="X609" s="47" t="s">
        <v>35</v>
      </c>
      <c r="Y609" s="47" t="s">
        <v>35</v>
      </c>
      <c r="Z609" s="47" t="s">
        <v>35</v>
      </c>
      <c r="AA609" s="47" t="s">
        <v>35</v>
      </c>
      <c r="AB609" s="47" t="s">
        <v>35</v>
      </c>
      <c r="AC609" s="47" t="s">
        <v>35</v>
      </c>
      <c r="AD609" s="76" t="str">
        <f>VLOOKUP(E620,sheet1!$B$2:$C$3209,2,FALSE)</f>
        <v>実際原価リスト（機種別品目別）</v>
      </c>
      <c r="AE609" s="49"/>
      <c r="AF609" s="51" t="s">
        <v>2439</v>
      </c>
      <c r="AG609" s="51" t="s">
        <v>2440</v>
      </c>
      <c r="AH609" s="49" t="str">
        <f t="shared" si="47"/>
        <v>実際原価ﾘｽﾄ(機種・品目別)</v>
      </c>
      <c r="AI609" s="49"/>
      <c r="AJ609" s="49"/>
      <c r="AK609" s="49"/>
      <c r="AL609" s="49"/>
      <c r="AM609" s="49"/>
      <c r="AN609" s="49"/>
      <c r="AO609" s="51" t="str">
        <f t="shared" si="39"/>
        <v/>
      </c>
      <c r="AP609" s="51" t="str">
        <f t="shared" si="40"/>
        <v/>
      </c>
      <c r="AQ609" s="49"/>
      <c r="AR609" s="49"/>
      <c r="AS609" s="49" t="str">
        <f t="shared" si="41"/>
        <v/>
      </c>
      <c r="AT609" s="49" t="str">
        <f t="shared" si="42"/>
        <v/>
      </c>
      <c r="AU609" s="49"/>
      <c r="AV609" s="49"/>
    </row>
    <row r="610" spans="1:48" ht="18" customHeight="1">
      <c r="A610" s="44">
        <v>608</v>
      </c>
      <c r="B610" s="71" t="s">
        <v>1076</v>
      </c>
      <c r="C610" s="52" t="s">
        <v>2283</v>
      </c>
      <c r="D610" s="54" t="s">
        <v>2416</v>
      </c>
      <c r="E610" s="44" t="s">
        <v>2414</v>
      </c>
      <c r="F610" s="44" t="s">
        <v>2441</v>
      </c>
      <c r="G610" s="44"/>
      <c r="H610" s="44"/>
      <c r="I610" s="44"/>
      <c r="J610" s="47" t="s">
        <v>35</v>
      </c>
      <c r="K610" s="47"/>
      <c r="L610" s="47"/>
      <c r="M610" s="47"/>
      <c r="N610" s="47"/>
      <c r="O610" s="44"/>
      <c r="P610" s="44"/>
      <c r="Q610" s="48" t="e">
        <f>VLOOKUP(E610,sheet1!$B$2:$D$3209,3,FALSE)</f>
        <v>#N/A</v>
      </c>
      <c r="R610" s="47" t="s">
        <v>35</v>
      </c>
      <c r="S610" s="47" t="s">
        <v>296</v>
      </c>
      <c r="T610" s="47"/>
      <c r="U610" s="47" t="s">
        <v>296</v>
      </c>
      <c r="V610" s="47" t="s">
        <v>296</v>
      </c>
      <c r="W610" s="47" t="s">
        <v>296</v>
      </c>
      <c r="X610" s="47" t="s">
        <v>296</v>
      </c>
      <c r="Y610" s="47" t="s">
        <v>296</v>
      </c>
      <c r="Z610" s="47" t="s">
        <v>296</v>
      </c>
      <c r="AA610" s="47" t="s">
        <v>296</v>
      </c>
      <c r="AB610" s="47"/>
      <c r="AC610" s="47" t="s">
        <v>35</v>
      </c>
      <c r="AD610" s="76" t="e">
        <f>VLOOKUP(E621,sheet1!$B$2:$C$3209,2,FALSE)</f>
        <v>#N/A</v>
      </c>
      <c r="AE610" s="49"/>
      <c r="AF610" s="51"/>
      <c r="AG610" s="51"/>
      <c r="AH610" s="49" t="str">
        <f t="shared" si="47"/>
        <v/>
      </c>
      <c r="AI610" s="49"/>
      <c r="AJ610" s="49"/>
      <c r="AK610" s="49"/>
      <c r="AL610" s="49"/>
      <c r="AM610" s="49"/>
      <c r="AN610" s="49"/>
      <c r="AO610" s="51" t="str">
        <f t="shared" si="39"/>
        <v>実際労務費・経費率T 保守</v>
      </c>
      <c r="AP610" s="51" t="str">
        <f t="shared" si="40"/>
        <v>CS0050</v>
      </c>
      <c r="AQ610" s="51" t="s">
        <v>2418</v>
      </c>
      <c r="AR610" s="51" t="s">
        <v>2419</v>
      </c>
      <c r="AS610" s="49" t="str">
        <f t="shared" si="41"/>
        <v/>
      </c>
      <c r="AT610" s="49" t="str">
        <f t="shared" si="42"/>
        <v/>
      </c>
      <c r="AU610" s="49"/>
      <c r="AV610" s="49"/>
    </row>
    <row r="611" spans="1:48" ht="18" customHeight="1">
      <c r="A611" s="44">
        <v>609</v>
      </c>
      <c r="B611" s="71" t="s">
        <v>1076</v>
      </c>
      <c r="C611" s="52" t="s">
        <v>2283</v>
      </c>
      <c r="D611" s="53" t="s">
        <v>2442</v>
      </c>
      <c r="E611" s="44" t="s">
        <v>2419</v>
      </c>
      <c r="F611" s="44" t="s">
        <v>2443</v>
      </c>
      <c r="G611" s="44"/>
      <c r="H611" s="44"/>
      <c r="I611" s="44"/>
      <c r="J611" s="47" t="s">
        <v>35</v>
      </c>
      <c r="K611" s="47"/>
      <c r="L611" s="47"/>
      <c r="M611" s="47"/>
      <c r="N611" s="47"/>
      <c r="O611" s="44"/>
      <c r="P611" s="44"/>
      <c r="Q611" s="48">
        <f>VLOOKUP(E611,sheet1!$B$2:$D$3209,3,FALSE)</f>
        <v>389</v>
      </c>
      <c r="R611" s="47" t="s">
        <v>35</v>
      </c>
      <c r="S611" s="47" t="s">
        <v>35</v>
      </c>
      <c r="T611" s="47"/>
      <c r="U611" s="47" t="s">
        <v>296</v>
      </c>
      <c r="V611" s="47" t="s">
        <v>296</v>
      </c>
      <c r="W611" s="47" t="s">
        <v>296</v>
      </c>
      <c r="X611" s="47" t="s">
        <v>296</v>
      </c>
      <c r="Y611" s="47" t="s">
        <v>296</v>
      </c>
      <c r="Z611" s="47" t="s">
        <v>296</v>
      </c>
      <c r="AA611" s="47" t="s">
        <v>296</v>
      </c>
      <c r="AB611" s="47"/>
      <c r="AC611" s="47" t="s">
        <v>35</v>
      </c>
      <c r="AD611" s="76" t="str">
        <f>VLOOKUP(E622,sheet1!$B$2:$C$3209,2,FALSE)</f>
        <v>実際原価リスト（品目別明細）保留　</v>
      </c>
      <c r="AE611" s="49"/>
      <c r="AF611" s="51" t="s">
        <v>2444</v>
      </c>
      <c r="AG611" s="51" t="s">
        <v>2445</v>
      </c>
      <c r="AH611" s="49" t="str">
        <f t="shared" si="47"/>
        <v>実際原価ﾘｽﾄ(品目別明細)</v>
      </c>
      <c r="AI611" s="49"/>
      <c r="AJ611" s="49"/>
      <c r="AK611" s="49"/>
      <c r="AL611" s="49"/>
      <c r="AM611" s="49"/>
      <c r="AN611" s="49"/>
      <c r="AO611" s="51" t="str">
        <f t="shared" si="39"/>
        <v>実際労務費・経費率T 照会</v>
      </c>
      <c r="AP611" s="51" t="str">
        <f t="shared" si="40"/>
        <v>CS0150</v>
      </c>
      <c r="AQ611" s="51" t="s">
        <v>2420</v>
      </c>
      <c r="AR611" s="51" t="s">
        <v>2421</v>
      </c>
      <c r="AS611" s="49" t="str">
        <f t="shared" si="41"/>
        <v>実際労務費・経費率T 照会</v>
      </c>
      <c r="AT611" s="49" t="str">
        <f t="shared" si="42"/>
        <v>CS0150</v>
      </c>
      <c r="AU611" s="51" t="s">
        <v>2420</v>
      </c>
      <c r="AV611" s="51" t="s">
        <v>2421</v>
      </c>
    </row>
    <row r="612" spans="1:48" ht="18" customHeight="1">
      <c r="A612" s="44">
        <v>610</v>
      </c>
      <c r="B612" s="71" t="s">
        <v>1076</v>
      </c>
      <c r="C612" s="52" t="s">
        <v>2283</v>
      </c>
      <c r="D612" s="54" t="s">
        <v>2442</v>
      </c>
      <c r="E612" s="44" t="s">
        <v>2421</v>
      </c>
      <c r="F612" s="44" t="s">
        <v>2446</v>
      </c>
      <c r="G612" s="44"/>
      <c r="H612" s="44"/>
      <c r="I612" s="44"/>
      <c r="J612" s="47" t="s">
        <v>35</v>
      </c>
      <c r="K612" s="47"/>
      <c r="L612" s="47"/>
      <c r="M612" s="47"/>
      <c r="N612" s="47"/>
      <c r="O612" s="44"/>
      <c r="P612" s="44"/>
      <c r="Q612" s="48"/>
      <c r="R612" s="47" t="s">
        <v>35</v>
      </c>
      <c r="S612" s="47" t="s">
        <v>35</v>
      </c>
      <c r="T612" s="47"/>
      <c r="U612" s="47" t="s">
        <v>35</v>
      </c>
      <c r="V612" s="47" t="s">
        <v>35</v>
      </c>
      <c r="W612" s="47" t="s">
        <v>35</v>
      </c>
      <c r="X612" s="47" t="s">
        <v>35</v>
      </c>
      <c r="Y612" s="47" t="s">
        <v>35</v>
      </c>
      <c r="Z612" s="47" t="s">
        <v>35</v>
      </c>
      <c r="AA612" s="47" t="s">
        <v>35</v>
      </c>
      <c r="AB612" s="47" t="s">
        <v>35</v>
      </c>
      <c r="AC612" s="47" t="s">
        <v>35</v>
      </c>
      <c r="AD612" s="76" t="str">
        <f>VLOOKUP(E623,sheet1!$B$2:$C$3209,2,FALSE)</f>
        <v>製造原価見積書出力指示</v>
      </c>
      <c r="AE612" s="49"/>
      <c r="AF612" s="51" t="s">
        <v>2447</v>
      </c>
      <c r="AG612" s="51" t="s">
        <v>2448</v>
      </c>
      <c r="AH612" s="49" t="str">
        <f t="shared" si="47"/>
        <v>製造原価見積書</v>
      </c>
      <c r="AI612" s="49"/>
      <c r="AJ612" s="49"/>
      <c r="AK612" s="49"/>
      <c r="AL612" s="49"/>
      <c r="AM612" s="49"/>
      <c r="AN612" s="49"/>
      <c r="AO612" s="51" t="str">
        <f t="shared" si="39"/>
        <v>実際労務費・経費率T一覧表</v>
      </c>
      <c r="AP612" s="51" t="str">
        <f t="shared" si="40"/>
        <v>CS0250</v>
      </c>
      <c r="AQ612" s="51" t="s">
        <v>2424</v>
      </c>
      <c r="AR612" s="51" t="s">
        <v>2425</v>
      </c>
      <c r="AS612" s="49" t="str">
        <f t="shared" si="41"/>
        <v>実際労務費・経費率T一覧表</v>
      </c>
      <c r="AT612" s="49" t="str">
        <f t="shared" si="42"/>
        <v>CS0250</v>
      </c>
      <c r="AU612" s="51" t="s">
        <v>2424</v>
      </c>
      <c r="AV612" s="51" t="s">
        <v>2425</v>
      </c>
    </row>
    <row r="613" spans="1:48" ht="18" customHeight="1">
      <c r="A613" s="44">
        <v>611</v>
      </c>
      <c r="B613" s="71" t="s">
        <v>1076</v>
      </c>
      <c r="C613" s="52" t="s">
        <v>2283</v>
      </c>
      <c r="D613" s="54" t="s">
        <v>2442</v>
      </c>
      <c r="E613" s="44" t="s">
        <v>2425</v>
      </c>
      <c r="F613" s="44" t="s">
        <v>2449</v>
      </c>
      <c r="G613" s="44"/>
      <c r="H613" s="44"/>
      <c r="I613" s="44"/>
      <c r="J613" s="47" t="s">
        <v>35</v>
      </c>
      <c r="K613" s="47"/>
      <c r="L613" s="47"/>
      <c r="M613" s="47"/>
      <c r="N613" s="47"/>
      <c r="O613" s="44"/>
      <c r="P613" s="44"/>
      <c r="Q613" s="48">
        <f>VLOOKUP(E613,sheet1!$B$2:$D$3209,3,FALSE)</f>
        <v>210</v>
      </c>
      <c r="R613" s="47" t="s">
        <v>35</v>
      </c>
      <c r="S613" s="47" t="s">
        <v>35</v>
      </c>
      <c r="T613" s="47" t="s">
        <v>35</v>
      </c>
      <c r="U613" s="47" t="s">
        <v>35</v>
      </c>
      <c r="V613" s="47" t="s">
        <v>35</v>
      </c>
      <c r="W613" s="47" t="s">
        <v>35</v>
      </c>
      <c r="X613" s="47" t="s">
        <v>35</v>
      </c>
      <c r="Y613" s="47" t="s">
        <v>35</v>
      </c>
      <c r="Z613" s="47" t="s">
        <v>35</v>
      </c>
      <c r="AA613" s="47" t="s">
        <v>35</v>
      </c>
      <c r="AB613" s="47" t="s">
        <v>35</v>
      </c>
      <c r="AC613" s="47" t="s">
        <v>35</v>
      </c>
      <c r="AD613" s="76" t="str">
        <f>VLOOKUP(E624,sheet1!$B$2:$C$3209,2,FALSE)</f>
        <v>配賦間接費配賦計算書</v>
      </c>
      <c r="AE613" s="49"/>
      <c r="AF613" s="51" t="s">
        <v>2450</v>
      </c>
      <c r="AG613" s="51" t="s">
        <v>2451</v>
      </c>
      <c r="AH613" s="49" t="str">
        <f t="shared" si="47"/>
        <v>配賦間接費配賦計算書</v>
      </c>
      <c r="AI613" s="49"/>
      <c r="AJ613" s="49"/>
      <c r="AK613" s="49"/>
      <c r="AL613" s="49"/>
      <c r="AM613" s="49"/>
      <c r="AN613" s="49"/>
      <c r="AO613" s="51" t="str">
        <f t="shared" si="39"/>
        <v/>
      </c>
      <c r="AP613" s="51" t="str">
        <f t="shared" si="40"/>
        <v/>
      </c>
      <c r="AQ613" s="51"/>
      <c r="AR613" s="51"/>
      <c r="AS613" s="49" t="str">
        <f t="shared" si="41"/>
        <v/>
      </c>
      <c r="AT613" s="49" t="str">
        <f t="shared" si="42"/>
        <v/>
      </c>
      <c r="AU613" s="51"/>
      <c r="AV613" s="51"/>
    </row>
    <row r="614" spans="1:48" ht="18" customHeight="1">
      <c r="A614" s="44">
        <v>612</v>
      </c>
      <c r="B614" s="71" t="s">
        <v>1076</v>
      </c>
      <c r="C614" s="52" t="s">
        <v>2283</v>
      </c>
      <c r="D614" s="54" t="s">
        <v>2442</v>
      </c>
      <c r="E614" s="44" t="s">
        <v>2428</v>
      </c>
      <c r="F614" s="44" t="s">
        <v>2452</v>
      </c>
      <c r="G614" s="44"/>
      <c r="H614" s="44"/>
      <c r="I614" s="44"/>
      <c r="J614" s="47" t="s">
        <v>35</v>
      </c>
      <c r="K614" s="47"/>
      <c r="L614" s="47"/>
      <c r="M614" s="47"/>
      <c r="N614" s="47"/>
      <c r="O614" s="44"/>
      <c r="P614" s="44"/>
      <c r="Q614" s="48" t="e">
        <f>VLOOKUP(E614,sheet1!$B$2:$D$3209,3,FALSE)</f>
        <v>#N/A</v>
      </c>
      <c r="R614" s="47" t="s">
        <v>35</v>
      </c>
      <c r="S614" s="47" t="s">
        <v>296</v>
      </c>
      <c r="T614" s="47" t="s">
        <v>35</v>
      </c>
      <c r="U614" s="47" t="s">
        <v>296</v>
      </c>
      <c r="V614" s="47" t="s">
        <v>296</v>
      </c>
      <c r="W614" s="47" t="s">
        <v>296</v>
      </c>
      <c r="X614" s="47" t="s">
        <v>296</v>
      </c>
      <c r="Y614" s="47" t="s">
        <v>296</v>
      </c>
      <c r="Z614" s="47" t="s">
        <v>296</v>
      </c>
      <c r="AA614" s="47" t="s">
        <v>296</v>
      </c>
      <c r="AB614" s="47"/>
      <c r="AC614" s="47" t="s">
        <v>35</v>
      </c>
      <c r="AD614" s="76" t="str">
        <f>VLOOKUP(E625,sheet1!$B$2:$C$3209,2,FALSE)</f>
        <v>製造原価見積ﾘｽﾄ出力指示</v>
      </c>
      <c r="AE614" s="49"/>
      <c r="AF614" s="51" t="s">
        <v>2453</v>
      </c>
      <c r="AG614" s="51" t="s">
        <v>2454</v>
      </c>
      <c r="AH614" s="49" t="str">
        <f t="shared" si="47"/>
        <v>製造原価見積リスト</v>
      </c>
      <c r="AI614" s="49"/>
      <c r="AJ614" s="49"/>
      <c r="AK614" s="49"/>
      <c r="AL614" s="49"/>
      <c r="AM614" s="49"/>
      <c r="AN614" s="49"/>
      <c r="AO614" s="51" t="str">
        <f t="shared" si="39"/>
        <v>製番別実際原価照会</v>
      </c>
      <c r="AP614" s="51" t="str">
        <f t="shared" si="40"/>
        <v>CS3400</v>
      </c>
      <c r="AQ614" s="51" t="s">
        <v>2455</v>
      </c>
      <c r="AR614" s="51" t="s">
        <v>2431</v>
      </c>
      <c r="AS614" s="49" t="str">
        <f t="shared" si="41"/>
        <v>製番別実際原価照会</v>
      </c>
      <c r="AT614" s="49" t="str">
        <f t="shared" si="42"/>
        <v>CS3400</v>
      </c>
      <c r="AU614" s="51" t="s">
        <v>2455</v>
      </c>
      <c r="AV614" s="51" t="s">
        <v>2431</v>
      </c>
    </row>
    <row r="615" spans="1:48" ht="18" customHeight="1">
      <c r="A615" s="44">
        <v>613</v>
      </c>
      <c r="B615" s="71" t="s">
        <v>1076</v>
      </c>
      <c r="C615" s="52" t="s">
        <v>2283</v>
      </c>
      <c r="D615" s="54" t="s">
        <v>2442</v>
      </c>
      <c r="E615" s="44" t="s">
        <v>2431</v>
      </c>
      <c r="F615" s="44" t="s">
        <v>2456</v>
      </c>
      <c r="G615" s="44"/>
      <c r="H615" s="44"/>
      <c r="I615" s="44"/>
      <c r="J615" s="47" t="s">
        <v>35</v>
      </c>
      <c r="K615" s="47"/>
      <c r="L615" s="47"/>
      <c r="M615" s="47"/>
      <c r="N615" s="47"/>
      <c r="O615" s="44"/>
      <c r="P615" s="44"/>
      <c r="Q615" s="48">
        <f>VLOOKUP(E615,sheet1!$B$2:$D$3209,3,FALSE)</f>
        <v>1098</v>
      </c>
      <c r="R615" s="47" t="s">
        <v>35</v>
      </c>
      <c r="S615" s="47" t="s">
        <v>35</v>
      </c>
      <c r="T615" s="47" t="s">
        <v>35</v>
      </c>
      <c r="U615" s="47" t="s">
        <v>35</v>
      </c>
      <c r="V615" s="47" t="s">
        <v>35</v>
      </c>
      <c r="W615" s="47" t="s">
        <v>35</v>
      </c>
      <c r="X615" s="47" t="s">
        <v>35</v>
      </c>
      <c r="Y615" s="47" t="s">
        <v>35</v>
      </c>
      <c r="Z615" s="47" t="s">
        <v>35</v>
      </c>
      <c r="AA615" s="47" t="s">
        <v>35</v>
      </c>
      <c r="AB615" s="47" t="s">
        <v>35</v>
      </c>
      <c r="AC615" s="47" t="s">
        <v>35</v>
      </c>
      <c r="AD615" s="76" t="str">
        <f>VLOOKUP(E626,sheet1!$B$2:$C$3209,2,FALSE)</f>
        <v>原価計算カード</v>
      </c>
      <c r="AE615" s="49"/>
      <c r="AF615" s="51" t="s">
        <v>2457</v>
      </c>
      <c r="AG615" s="51" t="s">
        <v>2458</v>
      </c>
      <c r="AH615" s="49" t="str">
        <f t="shared" si="47"/>
        <v>原価計算カード</v>
      </c>
      <c r="AI615" s="49"/>
      <c r="AJ615" s="49"/>
      <c r="AK615" s="49"/>
      <c r="AL615" s="49"/>
      <c r="AM615" s="49"/>
      <c r="AN615" s="49"/>
      <c r="AO615" s="51" t="str">
        <f t="shared" si="39"/>
        <v>品番別実際原価照会</v>
      </c>
      <c r="AP615" s="51" t="str">
        <f t="shared" si="40"/>
        <v>CS3390</v>
      </c>
      <c r="AQ615" s="51" t="s">
        <v>2459</v>
      </c>
      <c r="AR615" s="51" t="s">
        <v>2433</v>
      </c>
      <c r="AS615" s="49" t="str">
        <f t="shared" si="41"/>
        <v>品番別実際原価照会</v>
      </c>
      <c r="AT615" s="49" t="str">
        <f t="shared" si="42"/>
        <v>CS3390</v>
      </c>
      <c r="AU615" s="51" t="s">
        <v>2459</v>
      </c>
      <c r="AV615" s="51" t="s">
        <v>2433</v>
      </c>
    </row>
    <row r="616" spans="1:48" ht="18" customHeight="1">
      <c r="A616" s="44">
        <v>614</v>
      </c>
      <c r="B616" s="71" t="s">
        <v>1076</v>
      </c>
      <c r="C616" s="52" t="s">
        <v>2283</v>
      </c>
      <c r="D616" s="54" t="s">
        <v>2442</v>
      </c>
      <c r="E616" s="44" t="s">
        <v>2433</v>
      </c>
      <c r="F616" s="44" t="s">
        <v>2460</v>
      </c>
      <c r="G616" s="44"/>
      <c r="H616" s="44"/>
      <c r="I616" s="44"/>
      <c r="J616" s="47" t="s">
        <v>35</v>
      </c>
      <c r="K616" s="47"/>
      <c r="L616" s="47"/>
      <c r="M616" s="47"/>
      <c r="N616" s="47"/>
      <c r="O616" s="44"/>
      <c r="P616" s="44"/>
      <c r="Q616" s="48">
        <f>VLOOKUP(E616,sheet1!$B$2:$D$3209,3,FALSE)</f>
        <v>643</v>
      </c>
      <c r="R616" s="47" t="s">
        <v>35</v>
      </c>
      <c r="S616" s="47" t="s">
        <v>35</v>
      </c>
      <c r="T616" s="47" t="s">
        <v>35</v>
      </c>
      <c r="U616" s="47" t="s">
        <v>35</v>
      </c>
      <c r="V616" s="47" t="s">
        <v>35</v>
      </c>
      <c r="W616" s="47" t="s">
        <v>35</v>
      </c>
      <c r="X616" s="47" t="s">
        <v>35</v>
      </c>
      <c r="Y616" s="47" t="s">
        <v>35</v>
      </c>
      <c r="Z616" s="47" t="s">
        <v>35</v>
      </c>
      <c r="AA616" s="47" t="s">
        <v>35</v>
      </c>
      <c r="AB616" s="47" t="s">
        <v>35</v>
      </c>
      <c r="AC616" s="47" t="s">
        <v>35</v>
      </c>
      <c r="AD616" s="76" t="str">
        <f>VLOOKUP(E627,sheet1!$B$2:$C$3209,2,FALSE)</f>
        <v>製番別実績生産効率及び労務製造経費配賦出力指示</v>
      </c>
      <c r="AE616" s="49"/>
      <c r="AF616" s="51" t="s">
        <v>2461</v>
      </c>
      <c r="AG616" s="51" t="s">
        <v>2462</v>
      </c>
      <c r="AH616" s="49" t="str">
        <f t="shared" si="47"/>
        <v>製番実績生産効率</v>
      </c>
      <c r="AI616" s="49"/>
      <c r="AJ616" s="49"/>
      <c r="AK616" s="49"/>
      <c r="AL616" s="49"/>
      <c r="AM616" s="49"/>
      <c r="AN616" s="49"/>
      <c r="AO616" s="51" t="str">
        <f t="shared" si="39"/>
        <v>受入ﾛｯﾄNo.別実際原価照会</v>
      </c>
      <c r="AP616" s="51" t="str">
        <f t="shared" si="40"/>
        <v>CS3410C</v>
      </c>
      <c r="AQ616" s="51" t="s">
        <v>2463</v>
      </c>
      <c r="AR616" s="51" t="s">
        <v>2435</v>
      </c>
      <c r="AS616" s="49" t="str">
        <f t="shared" si="41"/>
        <v>受入ﾛｯﾄNo.別実際原価照会</v>
      </c>
      <c r="AT616" s="49" t="str">
        <f t="shared" si="42"/>
        <v>CS3410C</v>
      </c>
      <c r="AU616" s="51" t="s">
        <v>2463</v>
      </c>
      <c r="AV616" s="51" t="s">
        <v>2435</v>
      </c>
    </row>
    <row r="617" spans="1:48" ht="18" customHeight="1">
      <c r="A617" s="44">
        <v>615</v>
      </c>
      <c r="B617" s="71" t="s">
        <v>1076</v>
      </c>
      <c r="C617" s="52" t="s">
        <v>2283</v>
      </c>
      <c r="D617" s="54" t="s">
        <v>2442</v>
      </c>
      <c r="E617" s="59" t="s">
        <v>2435</v>
      </c>
      <c r="F617" s="44" t="s">
        <v>2464</v>
      </c>
      <c r="G617" s="44"/>
      <c r="H617" s="44"/>
      <c r="I617" s="44"/>
      <c r="J617" s="47" t="s">
        <v>35</v>
      </c>
      <c r="K617" s="47"/>
      <c r="L617" s="47"/>
      <c r="M617" s="47"/>
      <c r="N617" s="47"/>
      <c r="O617" s="44"/>
      <c r="P617" s="44"/>
      <c r="Q617" s="48">
        <f>VLOOKUP(E617,sheet1!$B$2:$D$3209,3,FALSE)</f>
        <v>25</v>
      </c>
      <c r="R617" s="47" t="s">
        <v>35</v>
      </c>
      <c r="S617" s="47" t="s">
        <v>35</v>
      </c>
      <c r="T617" s="47" t="s">
        <v>35</v>
      </c>
      <c r="U617" s="47" t="s">
        <v>35</v>
      </c>
      <c r="V617" s="47" t="s">
        <v>35</v>
      </c>
      <c r="W617" s="47" t="s">
        <v>35</v>
      </c>
      <c r="X617" s="47" t="s">
        <v>35</v>
      </c>
      <c r="Y617" s="47" t="s">
        <v>35</v>
      </c>
      <c r="Z617" s="47" t="s">
        <v>35</v>
      </c>
      <c r="AA617" s="47" t="s">
        <v>35</v>
      </c>
      <c r="AB617" s="47" t="s">
        <v>35</v>
      </c>
      <c r="AC617" s="47" t="s">
        <v>35</v>
      </c>
      <c r="AD617" s="76" t="str">
        <f>VLOOKUP(E628,sheet1!$B$2:$C$3209,2,FALSE)</f>
        <v>当月完了製番の製造原価集計出力指示</v>
      </c>
      <c r="AE617" s="49"/>
      <c r="AF617" s="51" t="s">
        <v>2465</v>
      </c>
      <c r="AG617" s="51" t="s">
        <v>2466</v>
      </c>
      <c r="AH617" s="49" t="str">
        <f t="shared" si="47"/>
        <v>品目別実際原価表</v>
      </c>
      <c r="AI617" s="49"/>
      <c r="AJ617" s="49"/>
      <c r="AK617" s="49"/>
      <c r="AL617" s="49"/>
      <c r="AM617" s="49"/>
      <c r="AN617" s="49"/>
      <c r="AO617" s="51" t="str">
        <f t="shared" si="39"/>
        <v/>
      </c>
      <c r="AP617" s="51" t="str">
        <f t="shared" si="40"/>
        <v/>
      </c>
      <c r="AQ617" s="51"/>
      <c r="AR617" s="51"/>
      <c r="AS617" s="49" t="str">
        <f t="shared" si="41"/>
        <v>受入ﾛｯﾄNo.別実際原価照会QRY</v>
      </c>
      <c r="AT617" s="49" t="str">
        <f t="shared" si="42"/>
        <v>Query</v>
      </c>
      <c r="AU617" s="51" t="s">
        <v>2467</v>
      </c>
      <c r="AV617" s="51" t="s">
        <v>344</v>
      </c>
    </row>
    <row r="618" spans="1:48" ht="18" customHeight="1">
      <c r="A618" s="44">
        <v>616</v>
      </c>
      <c r="B618" s="71" t="s">
        <v>1076</v>
      </c>
      <c r="C618" s="52" t="s">
        <v>2283</v>
      </c>
      <c r="D618" s="54" t="s">
        <v>2442</v>
      </c>
      <c r="E618" s="59" t="s">
        <v>344</v>
      </c>
      <c r="F618" s="44" t="s">
        <v>2374</v>
      </c>
      <c r="G618" s="44"/>
      <c r="H618" s="44"/>
      <c r="I618" s="44"/>
      <c r="J618" s="47"/>
      <c r="K618" s="47"/>
      <c r="L618" s="47"/>
      <c r="M618" s="47"/>
      <c r="N618" s="47"/>
      <c r="O618" s="44"/>
      <c r="P618" s="44"/>
      <c r="Q618" s="48"/>
      <c r="R618" s="47"/>
      <c r="S618" s="47" t="s">
        <v>296</v>
      </c>
      <c r="T618" s="47"/>
      <c r="U618" s="47" t="s">
        <v>35</v>
      </c>
      <c r="V618" s="47" t="s">
        <v>35</v>
      </c>
      <c r="W618" s="47" t="s">
        <v>35</v>
      </c>
      <c r="X618" s="47" t="s">
        <v>35</v>
      </c>
      <c r="Y618" s="47" t="s">
        <v>35</v>
      </c>
      <c r="Z618" s="47" t="s">
        <v>35</v>
      </c>
      <c r="AA618" s="47" t="s">
        <v>35</v>
      </c>
      <c r="AB618" s="47" t="s">
        <v>35</v>
      </c>
      <c r="AC618" s="47" t="s">
        <v>296</v>
      </c>
      <c r="AD618" s="76" t="str">
        <f>VLOOKUP(E629,sheet1!$B$2:$C$3209,2,FALSE)</f>
        <v>実際原価計算指示画面</v>
      </c>
      <c r="AE618" s="49"/>
      <c r="AF618" s="51" t="s">
        <v>2468</v>
      </c>
      <c r="AG618" s="51" t="s">
        <v>2469</v>
      </c>
      <c r="AH618" s="49" t="str">
        <f t="shared" si="47"/>
        <v>実際原価計算</v>
      </c>
      <c r="AI618" s="49"/>
      <c r="AJ618" s="49"/>
      <c r="AK618" s="49"/>
      <c r="AL618" s="49"/>
      <c r="AM618" s="49"/>
      <c r="AN618" s="49"/>
      <c r="AO618" s="51" t="str">
        <f t="shared" si="39"/>
        <v>原価差異明細表</v>
      </c>
      <c r="AP618" s="51" t="str">
        <f t="shared" si="40"/>
        <v>CS5000</v>
      </c>
      <c r="AQ618" s="51" t="s">
        <v>2437</v>
      </c>
      <c r="AR618" s="51" t="s">
        <v>2438</v>
      </c>
      <c r="AS618" s="49" t="str">
        <f t="shared" si="41"/>
        <v>原価差異明細表</v>
      </c>
      <c r="AT618" s="49" t="str">
        <f t="shared" si="42"/>
        <v>CS5000</v>
      </c>
      <c r="AU618" s="51" t="s">
        <v>2437</v>
      </c>
      <c r="AV618" s="51" t="s">
        <v>2438</v>
      </c>
    </row>
    <row r="619" spans="1:48" ht="18" customHeight="1">
      <c r="A619" s="44">
        <v>617</v>
      </c>
      <c r="B619" s="71" t="s">
        <v>1076</v>
      </c>
      <c r="C619" s="52" t="s">
        <v>2283</v>
      </c>
      <c r="D619" s="54" t="s">
        <v>2442</v>
      </c>
      <c r="E619" s="44" t="s">
        <v>2438</v>
      </c>
      <c r="F619" s="44" t="s">
        <v>2470</v>
      </c>
      <c r="G619" s="44"/>
      <c r="H619" s="44"/>
      <c r="I619" s="44"/>
      <c r="J619" s="47" t="s">
        <v>35</v>
      </c>
      <c r="K619" s="47"/>
      <c r="L619" s="47"/>
      <c r="M619" s="47"/>
      <c r="N619" s="47"/>
      <c r="O619" s="44"/>
      <c r="P619" s="44"/>
      <c r="Q619" s="48">
        <f>VLOOKUP(E619,sheet1!$B$2:$D$3209,3,FALSE)</f>
        <v>283</v>
      </c>
      <c r="R619" s="47" t="s">
        <v>35</v>
      </c>
      <c r="S619" s="47" t="s">
        <v>35</v>
      </c>
      <c r="T619" s="47" t="s">
        <v>35</v>
      </c>
      <c r="U619" s="47" t="s">
        <v>35</v>
      </c>
      <c r="V619" s="47" t="s">
        <v>35</v>
      </c>
      <c r="W619" s="47" t="s">
        <v>35</v>
      </c>
      <c r="X619" s="47" t="s">
        <v>35</v>
      </c>
      <c r="Y619" s="47" t="s">
        <v>35</v>
      </c>
      <c r="Z619" s="47" t="s">
        <v>35</v>
      </c>
      <c r="AA619" s="47" t="s">
        <v>35</v>
      </c>
      <c r="AB619" s="47" t="s">
        <v>35</v>
      </c>
      <c r="AC619" s="47" t="s">
        <v>35</v>
      </c>
      <c r="AD619" s="76" t="str">
        <f>VLOOKUP(E630,sheet1!$B$2:$C$3209,2,FALSE)</f>
        <v>実際原価計算指示画面(ﾃｽﾄ)</v>
      </c>
      <c r="AE619" s="49"/>
      <c r="AF619" s="51" t="s">
        <v>2471</v>
      </c>
      <c r="AG619" s="51" t="s">
        <v>2472</v>
      </c>
      <c r="AH619" s="49" t="str">
        <f t="shared" si="47"/>
        <v>実際原価計算(ﾃｽﾄ)</v>
      </c>
      <c r="AI619" s="49"/>
      <c r="AJ619" s="49"/>
      <c r="AK619" s="49"/>
      <c r="AL619" s="49"/>
      <c r="AM619" s="49"/>
      <c r="AN619" s="49"/>
      <c r="AO619" s="51" t="str">
        <f t="shared" si="39"/>
        <v>実際原価ﾘｽﾄ(機種・品目別)</v>
      </c>
      <c r="AP619" s="51" t="str">
        <f t="shared" si="40"/>
        <v>CS3300</v>
      </c>
      <c r="AQ619" s="51" t="s">
        <v>2439</v>
      </c>
      <c r="AR619" s="51" t="s">
        <v>2440</v>
      </c>
      <c r="AS619" s="49" t="str">
        <f t="shared" si="41"/>
        <v>実際原価ﾘｽﾄ(機種・品目別)</v>
      </c>
      <c r="AT619" s="49" t="str">
        <f t="shared" si="42"/>
        <v>CS3300</v>
      </c>
      <c r="AU619" s="51" t="s">
        <v>2439</v>
      </c>
      <c r="AV619" s="51" t="s">
        <v>2440</v>
      </c>
    </row>
    <row r="620" spans="1:48" ht="18" customHeight="1">
      <c r="A620" s="44">
        <v>618</v>
      </c>
      <c r="B620" s="71" t="s">
        <v>1076</v>
      </c>
      <c r="C620" s="52" t="s">
        <v>2283</v>
      </c>
      <c r="D620" s="54" t="s">
        <v>2442</v>
      </c>
      <c r="E620" s="44" t="s">
        <v>2440</v>
      </c>
      <c r="F620" s="44" t="s">
        <v>2383</v>
      </c>
      <c r="G620" s="44"/>
      <c r="H620" s="44"/>
      <c r="I620" s="44"/>
      <c r="J620" s="47" t="s">
        <v>35</v>
      </c>
      <c r="K620" s="47"/>
      <c r="L620" s="47"/>
      <c r="M620" s="47"/>
      <c r="N620" s="47"/>
      <c r="O620" s="44"/>
      <c r="P620" s="44"/>
      <c r="Q620" s="48">
        <f>VLOOKUP(E620,sheet1!$B$2:$D$3209,3,FALSE)</f>
        <v>1149</v>
      </c>
      <c r="R620" s="47" t="s">
        <v>35</v>
      </c>
      <c r="S620" s="47" t="s">
        <v>35</v>
      </c>
      <c r="T620" s="47" t="s">
        <v>35</v>
      </c>
      <c r="U620" s="47" t="s">
        <v>35</v>
      </c>
      <c r="V620" s="47" t="s">
        <v>35</v>
      </c>
      <c r="W620" s="47" t="s">
        <v>35</v>
      </c>
      <c r="X620" s="47" t="s">
        <v>35</v>
      </c>
      <c r="Y620" s="47" t="s">
        <v>35</v>
      </c>
      <c r="Z620" s="47" t="s">
        <v>35</v>
      </c>
      <c r="AA620" s="47" t="s">
        <v>35</v>
      </c>
      <c r="AB620" s="47" t="s">
        <v>35</v>
      </c>
      <c r="AC620" s="47" t="s">
        <v>35</v>
      </c>
      <c r="AD620" s="76" t="str">
        <f>VLOOKUP(E631,sheet1!$B$2:$C$3209,2,FALSE)</f>
        <v>原価差額処理指示画面</v>
      </c>
      <c r="AE620" s="49"/>
      <c r="AF620" s="51" t="s">
        <v>2473</v>
      </c>
      <c r="AG620" s="51" t="s">
        <v>2474</v>
      </c>
      <c r="AH620" s="49" t="str">
        <f t="shared" si="47"/>
        <v>原価差額処理</v>
      </c>
      <c r="AI620" s="49"/>
      <c r="AJ620" s="49"/>
      <c r="AK620" s="49"/>
      <c r="AL620" s="49"/>
      <c r="AM620" s="49"/>
      <c r="AN620" s="49"/>
      <c r="AO620" s="51" t="str">
        <f t="shared" si="39"/>
        <v/>
      </c>
      <c r="AP620" s="51" t="str">
        <f t="shared" si="40"/>
        <v/>
      </c>
      <c r="AQ620" s="51"/>
      <c r="AR620" s="51"/>
      <c r="AS620" s="49" t="str">
        <f t="shared" si="41"/>
        <v/>
      </c>
      <c r="AT620" s="49" t="str">
        <f t="shared" si="42"/>
        <v/>
      </c>
      <c r="AU620" s="51"/>
      <c r="AV620" s="51"/>
    </row>
    <row r="621" spans="1:48" ht="18" customHeight="1">
      <c r="A621" s="44">
        <v>619</v>
      </c>
      <c r="B621" s="71" t="s">
        <v>1076</v>
      </c>
      <c r="C621" s="52" t="s">
        <v>2283</v>
      </c>
      <c r="D621" s="54" t="s">
        <v>2442</v>
      </c>
      <c r="E621" s="44" t="s">
        <v>2428</v>
      </c>
      <c r="F621" s="44" t="s">
        <v>2452</v>
      </c>
      <c r="G621" s="44"/>
      <c r="H621" s="44"/>
      <c r="I621" s="44"/>
      <c r="J621" s="47" t="s">
        <v>35</v>
      </c>
      <c r="K621" s="47"/>
      <c r="L621" s="47"/>
      <c r="M621" s="47"/>
      <c r="N621" s="47"/>
      <c r="O621" s="44"/>
      <c r="P621" s="44"/>
      <c r="Q621" s="48" t="e">
        <f>VLOOKUP(E621,sheet1!$B$2:$D$3209,3,FALSE)</f>
        <v>#N/A</v>
      </c>
      <c r="R621" s="47"/>
      <c r="S621" s="47" t="s">
        <v>296</v>
      </c>
      <c r="T621" s="47" t="s">
        <v>35</v>
      </c>
      <c r="U621" s="47" t="s">
        <v>296</v>
      </c>
      <c r="V621" s="47" t="s">
        <v>296</v>
      </c>
      <c r="W621" s="47" t="s">
        <v>296</v>
      </c>
      <c r="X621" s="47" t="s">
        <v>296</v>
      </c>
      <c r="Y621" s="47" t="s">
        <v>296</v>
      </c>
      <c r="Z621" s="47" t="s">
        <v>296</v>
      </c>
      <c r="AA621" s="47" t="s">
        <v>296</v>
      </c>
      <c r="AB621" s="47"/>
      <c r="AC621" s="47" t="s">
        <v>296</v>
      </c>
      <c r="AD621" s="76" t="str">
        <f>VLOOKUP(E632,sheet1!$B$2:$C$3209,2,FALSE)</f>
        <v>仕入高合計一覧表（納入者ｺｰﾄﾞ順）～画面入力</v>
      </c>
      <c r="AE621" s="49"/>
      <c r="AF621" s="51" t="s">
        <v>2475</v>
      </c>
      <c r="AG621" s="51" t="s">
        <v>2476</v>
      </c>
      <c r="AH621" s="49" t="str">
        <f t="shared" si="47"/>
        <v>仕入高合計一覧表（納入者順）</v>
      </c>
      <c r="AI621" s="49"/>
      <c r="AJ621" s="49"/>
      <c r="AK621" s="49"/>
      <c r="AL621" s="49" t="str">
        <f t="shared" ref="AL621:AL670" si="48">TRIM(AN621)</f>
        <v>仕入高合計一覧表（納入者順）</v>
      </c>
      <c r="AM621" s="49" t="s">
        <v>35</v>
      </c>
      <c r="AN621" s="49" t="s">
        <v>2477</v>
      </c>
      <c r="AO621" s="51" t="str">
        <f t="shared" si="39"/>
        <v/>
      </c>
      <c r="AP621" s="51" t="str">
        <f t="shared" si="40"/>
        <v/>
      </c>
      <c r="AQ621" s="51"/>
      <c r="AR621" s="51"/>
      <c r="AS621" s="49" t="str">
        <f t="shared" si="41"/>
        <v/>
      </c>
      <c r="AT621" s="49" t="str">
        <f t="shared" si="42"/>
        <v/>
      </c>
      <c r="AU621" s="51"/>
      <c r="AV621" s="51"/>
    </row>
    <row r="622" spans="1:48" ht="18" customHeight="1">
      <c r="A622" s="44">
        <v>620</v>
      </c>
      <c r="B622" s="71" t="s">
        <v>1076</v>
      </c>
      <c r="C622" s="52" t="s">
        <v>2283</v>
      </c>
      <c r="D622" s="54" t="s">
        <v>2442</v>
      </c>
      <c r="E622" s="44" t="s">
        <v>2445</v>
      </c>
      <c r="F622" s="44" t="s">
        <v>2478</v>
      </c>
      <c r="G622" s="44"/>
      <c r="H622" s="44"/>
      <c r="I622" s="44"/>
      <c r="J622" s="47" t="s">
        <v>35</v>
      </c>
      <c r="K622" s="47"/>
      <c r="L622" s="47"/>
      <c r="M622" s="47"/>
      <c r="N622" s="47"/>
      <c r="O622" s="44"/>
      <c r="P622" s="44"/>
      <c r="Q622" s="48">
        <f>VLOOKUP(E622,sheet1!$B$2:$D$3209,3,FALSE)</f>
        <v>979</v>
      </c>
      <c r="R622" s="47" t="s">
        <v>35</v>
      </c>
      <c r="S622" s="47" t="s">
        <v>296</v>
      </c>
      <c r="T622" s="47"/>
      <c r="U622" s="47" t="s">
        <v>296</v>
      </c>
      <c r="V622" s="47" t="s">
        <v>296</v>
      </c>
      <c r="W622" s="47" t="s">
        <v>296</v>
      </c>
      <c r="X622" s="47" t="s">
        <v>296</v>
      </c>
      <c r="Y622" s="47" t="s">
        <v>296</v>
      </c>
      <c r="Z622" s="47" t="s">
        <v>296</v>
      </c>
      <c r="AA622" s="47" t="s">
        <v>296</v>
      </c>
      <c r="AB622" s="47"/>
      <c r="AC622" s="47" t="s">
        <v>35</v>
      </c>
      <c r="AD622" s="76" t="str">
        <f>VLOOKUP(E633,sheet1!$B$2:$C$3209,2,FALSE)</f>
        <v>仕入高合計一覧表（金額順）～画面入力</v>
      </c>
      <c r="AE622" s="49"/>
      <c r="AF622" s="51" t="s">
        <v>2479</v>
      </c>
      <c r="AG622" s="51" t="s">
        <v>2480</v>
      </c>
      <c r="AH622" s="49" t="str">
        <f t="shared" si="47"/>
        <v>仕入高合計一覧表（金額順）</v>
      </c>
      <c r="AI622" s="49"/>
      <c r="AJ622" s="49"/>
      <c r="AK622" s="49"/>
      <c r="AL622" s="49" t="str">
        <f t="shared" si="48"/>
        <v>仕入高合計一覧表（金額順）</v>
      </c>
      <c r="AM622" s="49" t="s">
        <v>35</v>
      </c>
      <c r="AN622" s="49" t="s">
        <v>2481</v>
      </c>
      <c r="AO622" s="51" t="str">
        <f t="shared" si="39"/>
        <v>製造原価見積書</v>
      </c>
      <c r="AP622" s="51" t="str">
        <f t="shared" si="40"/>
        <v>CS3320</v>
      </c>
      <c r="AQ622" s="51" t="s">
        <v>2482</v>
      </c>
      <c r="AR622" s="51" t="s">
        <v>2448</v>
      </c>
      <c r="AS622" s="49" t="str">
        <f t="shared" si="41"/>
        <v>製造原価見積書</v>
      </c>
      <c r="AT622" s="49" t="str">
        <f t="shared" si="42"/>
        <v>CS3320</v>
      </c>
      <c r="AU622" s="51" t="s">
        <v>2482</v>
      </c>
      <c r="AV622" s="51" t="s">
        <v>2448</v>
      </c>
    </row>
    <row r="623" spans="1:48" ht="18" customHeight="1">
      <c r="A623" s="44">
        <v>621</v>
      </c>
      <c r="B623" s="71" t="s">
        <v>1076</v>
      </c>
      <c r="C623" s="52" t="s">
        <v>2283</v>
      </c>
      <c r="D623" s="54" t="s">
        <v>2442</v>
      </c>
      <c r="E623" s="44" t="s">
        <v>2448</v>
      </c>
      <c r="F623" s="44" t="s">
        <v>2483</v>
      </c>
      <c r="G623" s="44"/>
      <c r="H623" s="44"/>
      <c r="I623" s="44"/>
      <c r="J623" s="47" t="s">
        <v>35</v>
      </c>
      <c r="K623" s="47"/>
      <c r="L623" s="47"/>
      <c r="M623" s="47"/>
      <c r="N623" s="47"/>
      <c r="O623" s="44"/>
      <c r="P623" s="44"/>
      <c r="Q623" s="48">
        <f>VLOOKUP(E623,sheet1!$B$2:$D$3209,3,FALSE)</f>
        <v>580</v>
      </c>
      <c r="R623" s="47" t="s">
        <v>35</v>
      </c>
      <c r="S623" s="47" t="s">
        <v>35</v>
      </c>
      <c r="T623" s="47" t="s">
        <v>35</v>
      </c>
      <c r="U623" s="47" t="s">
        <v>35</v>
      </c>
      <c r="V623" s="47" t="s">
        <v>35</v>
      </c>
      <c r="W623" s="47" t="s">
        <v>35</v>
      </c>
      <c r="X623" s="47" t="s">
        <v>35</v>
      </c>
      <c r="Y623" s="47" t="s">
        <v>35</v>
      </c>
      <c r="Z623" s="47" t="s">
        <v>35</v>
      </c>
      <c r="AA623" s="47" t="s">
        <v>35</v>
      </c>
      <c r="AB623" s="47" t="s">
        <v>35</v>
      </c>
      <c r="AC623" s="47" t="s">
        <v>35</v>
      </c>
      <c r="AD623" s="73" t="str">
        <f>VLOOKUP(E634,sheet1!$B$2:$C$3209,2,FALSE)</f>
        <v>仕入高合計一覧表（金額順）～画面入力</v>
      </c>
      <c r="AE623" s="49"/>
      <c r="AF623" s="51" t="s">
        <v>2484</v>
      </c>
      <c r="AG623" s="51" t="s">
        <v>2480</v>
      </c>
      <c r="AH623" s="49" t="str">
        <f t="shared" si="47"/>
        <v>部課別月別仕入明細表</v>
      </c>
      <c r="AI623" s="49"/>
      <c r="AJ623" s="49"/>
      <c r="AK623" s="49"/>
      <c r="AL623" s="49" t="str">
        <f t="shared" si="48"/>
        <v>部課別月別仕入明細表</v>
      </c>
      <c r="AM623" s="49" t="s">
        <v>35</v>
      </c>
      <c r="AN623" s="49" t="s">
        <v>2485</v>
      </c>
      <c r="AO623" s="51" t="str">
        <f t="shared" si="39"/>
        <v>配賦間接費配賦計算書</v>
      </c>
      <c r="AP623" s="51" t="str">
        <f t="shared" si="40"/>
        <v>CS3330</v>
      </c>
      <c r="AQ623" s="51" t="s">
        <v>2486</v>
      </c>
      <c r="AR623" s="51" t="s">
        <v>2451</v>
      </c>
      <c r="AS623" s="49" t="str">
        <f t="shared" si="41"/>
        <v>配賦間接費配賦計算書</v>
      </c>
      <c r="AT623" s="49" t="str">
        <f t="shared" si="42"/>
        <v>CS3330</v>
      </c>
      <c r="AU623" s="51" t="s">
        <v>2486</v>
      </c>
      <c r="AV623" s="51" t="s">
        <v>2451</v>
      </c>
    </row>
    <row r="624" spans="1:48" ht="18" customHeight="1">
      <c r="A624" s="44">
        <v>622</v>
      </c>
      <c r="B624" s="71" t="s">
        <v>1076</v>
      </c>
      <c r="C624" s="52" t="s">
        <v>2283</v>
      </c>
      <c r="D624" s="54" t="s">
        <v>2442</v>
      </c>
      <c r="E624" s="44" t="s">
        <v>2451</v>
      </c>
      <c r="F624" s="44" t="s">
        <v>2487</v>
      </c>
      <c r="G624" s="44"/>
      <c r="H624" s="44"/>
      <c r="I624" s="44"/>
      <c r="J624" s="47" t="s">
        <v>35</v>
      </c>
      <c r="K624" s="47"/>
      <c r="L624" s="47"/>
      <c r="M624" s="47"/>
      <c r="N624" s="47"/>
      <c r="O624" s="44"/>
      <c r="P624" s="44"/>
      <c r="Q624" s="48">
        <f>VLOOKUP(E624,sheet1!$B$2:$D$3209,3,FALSE)</f>
        <v>1119</v>
      </c>
      <c r="R624" s="47" t="s">
        <v>35</v>
      </c>
      <c r="S624" s="47" t="s">
        <v>35</v>
      </c>
      <c r="T624" s="47" t="s">
        <v>35</v>
      </c>
      <c r="U624" s="47" t="s">
        <v>35</v>
      </c>
      <c r="V624" s="47" t="s">
        <v>35</v>
      </c>
      <c r="W624" s="47" t="s">
        <v>35</v>
      </c>
      <c r="X624" s="47" t="s">
        <v>35</v>
      </c>
      <c r="Y624" s="47" t="s">
        <v>35</v>
      </c>
      <c r="Z624" s="47" t="s">
        <v>35</v>
      </c>
      <c r="AA624" s="47" t="s">
        <v>35</v>
      </c>
      <c r="AB624" s="47" t="s">
        <v>35</v>
      </c>
      <c r="AC624" s="47" t="s">
        <v>35</v>
      </c>
      <c r="AD624" s="73" t="str">
        <f>VLOOKUP(E635,sheet1!$B$2:$C$3209,2,FALSE)</f>
        <v>部課別月別仕入明細表</v>
      </c>
      <c r="AE624" s="49"/>
      <c r="AF624" s="51" t="s">
        <v>2488</v>
      </c>
      <c r="AG624" s="51" t="s">
        <v>2489</v>
      </c>
      <c r="AH624" s="49" t="str">
        <f t="shared" si="47"/>
        <v>仕入伝票明細表</v>
      </c>
      <c r="AI624" s="49"/>
      <c r="AJ624" s="49"/>
      <c r="AK624" s="49"/>
      <c r="AL624" s="49" t="str">
        <f t="shared" si="48"/>
        <v>仕入伝票明細表</v>
      </c>
      <c r="AM624" s="49" t="s">
        <v>35</v>
      </c>
      <c r="AN624" s="49" t="s">
        <v>2490</v>
      </c>
      <c r="AO624" s="51" t="str">
        <f t="shared" si="39"/>
        <v>製造原価見積リスト</v>
      </c>
      <c r="AP624" s="51" t="str">
        <f t="shared" si="40"/>
        <v>CS3340</v>
      </c>
      <c r="AQ624" s="51" t="s">
        <v>2491</v>
      </c>
      <c r="AR624" s="51" t="s">
        <v>2454</v>
      </c>
      <c r="AS624" s="49" t="str">
        <f t="shared" si="41"/>
        <v>製造原価見積リスト</v>
      </c>
      <c r="AT624" s="49" t="str">
        <f t="shared" si="42"/>
        <v>CS3340</v>
      </c>
      <c r="AU624" s="51" t="s">
        <v>2491</v>
      </c>
      <c r="AV624" s="51" t="s">
        <v>2454</v>
      </c>
    </row>
    <row r="625" spans="1:48" ht="18" customHeight="1">
      <c r="A625" s="44">
        <v>623</v>
      </c>
      <c r="B625" s="71" t="s">
        <v>1076</v>
      </c>
      <c r="C625" s="52" t="s">
        <v>2283</v>
      </c>
      <c r="D625" s="54" t="s">
        <v>2442</v>
      </c>
      <c r="E625" s="44" t="s">
        <v>2454</v>
      </c>
      <c r="F625" s="44" t="s">
        <v>2492</v>
      </c>
      <c r="G625" s="44"/>
      <c r="H625" s="44"/>
      <c r="I625" s="44"/>
      <c r="J625" s="47" t="s">
        <v>35</v>
      </c>
      <c r="K625" s="47"/>
      <c r="L625" s="47"/>
      <c r="M625" s="47"/>
      <c r="N625" s="47"/>
      <c r="O625" s="44"/>
      <c r="P625" s="44"/>
      <c r="Q625" s="48">
        <f>VLOOKUP(E625,sheet1!$B$2:$D$3209,3,FALSE)</f>
        <v>506</v>
      </c>
      <c r="R625" s="47" t="s">
        <v>35</v>
      </c>
      <c r="S625" s="47" t="s">
        <v>35</v>
      </c>
      <c r="T625" s="47" t="s">
        <v>35</v>
      </c>
      <c r="U625" s="47" t="s">
        <v>35</v>
      </c>
      <c r="V625" s="47" t="s">
        <v>35</v>
      </c>
      <c r="W625" s="47" t="s">
        <v>35</v>
      </c>
      <c r="X625" s="47" t="s">
        <v>35</v>
      </c>
      <c r="Y625" s="47" t="s">
        <v>35</v>
      </c>
      <c r="Z625" s="47" t="s">
        <v>35</v>
      </c>
      <c r="AA625" s="47" t="s">
        <v>35</v>
      </c>
      <c r="AB625" s="47" t="s">
        <v>35</v>
      </c>
      <c r="AC625" s="47" t="s">
        <v>35</v>
      </c>
      <c r="AD625" s="73" t="str">
        <f>VLOOKUP(E636,sheet1!$B$2:$C$3209,2,FALSE)</f>
        <v>仕入伝票明細表</v>
      </c>
      <c r="AE625" s="49"/>
      <c r="AF625" s="51" t="s">
        <v>2493</v>
      </c>
      <c r="AG625" s="51" t="s">
        <v>2494</v>
      </c>
      <c r="AH625" s="49" t="str">
        <f t="shared" si="47"/>
        <v>仕入金額集計表　部門別</v>
      </c>
      <c r="AI625" s="49"/>
      <c r="AJ625" s="49"/>
      <c r="AK625" s="49"/>
      <c r="AL625" s="49" t="str">
        <f t="shared" si="48"/>
        <v>仕入金額集計表　部門別</v>
      </c>
      <c r="AM625" s="49" t="s">
        <v>35</v>
      </c>
      <c r="AN625" s="49" t="s">
        <v>2495</v>
      </c>
      <c r="AO625" s="51" t="str">
        <f t="shared" si="39"/>
        <v>原価計算カード</v>
      </c>
      <c r="AP625" s="51" t="str">
        <f t="shared" si="40"/>
        <v>CS3350</v>
      </c>
      <c r="AQ625" s="51" t="s">
        <v>2496</v>
      </c>
      <c r="AR625" s="51" t="s">
        <v>2458</v>
      </c>
      <c r="AS625" s="49" t="str">
        <f t="shared" si="41"/>
        <v>原価計算カード</v>
      </c>
      <c r="AT625" s="49" t="str">
        <f t="shared" si="42"/>
        <v>CS3350</v>
      </c>
      <c r="AU625" s="51" t="s">
        <v>2496</v>
      </c>
      <c r="AV625" s="51" t="s">
        <v>2458</v>
      </c>
    </row>
    <row r="626" spans="1:48" ht="18" customHeight="1">
      <c r="A626" s="44">
        <v>624</v>
      </c>
      <c r="B626" s="71" t="s">
        <v>1076</v>
      </c>
      <c r="C626" s="52" t="s">
        <v>2283</v>
      </c>
      <c r="D626" s="54" t="s">
        <v>2442</v>
      </c>
      <c r="E626" s="44" t="s">
        <v>2458</v>
      </c>
      <c r="F626" s="44" t="s">
        <v>2497</v>
      </c>
      <c r="G626" s="44"/>
      <c r="H626" s="44"/>
      <c r="I626" s="44"/>
      <c r="J626" s="47" t="s">
        <v>35</v>
      </c>
      <c r="K626" s="47"/>
      <c r="L626" s="47"/>
      <c r="M626" s="47"/>
      <c r="N626" s="47"/>
      <c r="O626" s="44"/>
      <c r="P626" s="44"/>
      <c r="Q626" s="48">
        <f>VLOOKUP(E626,sheet1!$B$2:$D$3209,3,FALSE)</f>
        <v>1394</v>
      </c>
      <c r="R626" s="47" t="s">
        <v>35</v>
      </c>
      <c r="S626" s="47" t="s">
        <v>35</v>
      </c>
      <c r="T626" s="47" t="s">
        <v>35</v>
      </c>
      <c r="U626" s="47" t="s">
        <v>35</v>
      </c>
      <c r="V626" s="47" t="s">
        <v>35</v>
      </c>
      <c r="W626" s="47" t="s">
        <v>35</v>
      </c>
      <c r="X626" s="47" t="s">
        <v>35</v>
      </c>
      <c r="Y626" s="47" t="s">
        <v>35</v>
      </c>
      <c r="Z626" s="47" t="s">
        <v>35</v>
      </c>
      <c r="AA626" s="47" t="s">
        <v>35</v>
      </c>
      <c r="AB626" s="47" t="s">
        <v>35</v>
      </c>
      <c r="AC626" s="47" t="s">
        <v>35</v>
      </c>
      <c r="AD626" s="73" t="str">
        <f>VLOOKUP(E637,sheet1!$B$2:$C$3209,2,FALSE)</f>
        <v>仕入実績金額集計表部門別～画面入力</v>
      </c>
      <c r="AE626" s="49"/>
      <c r="AF626" s="51" t="s">
        <v>2498</v>
      </c>
      <c r="AG626" s="51" t="s">
        <v>2499</v>
      </c>
      <c r="AH626" s="49" t="str">
        <f t="shared" si="47"/>
        <v>科目別仕入金額部課別一覧</v>
      </c>
      <c r="AI626" s="49"/>
      <c r="AJ626" s="49"/>
      <c r="AK626" s="49"/>
      <c r="AL626" s="49" t="str">
        <f t="shared" si="48"/>
        <v>科目別仕入金額部課別一覧</v>
      </c>
      <c r="AM626" s="49" t="s">
        <v>35</v>
      </c>
      <c r="AN626" s="49" t="s">
        <v>2500</v>
      </c>
      <c r="AO626" s="51" t="str">
        <f t="shared" si="39"/>
        <v>製番実績生産効率</v>
      </c>
      <c r="AP626" s="51" t="str">
        <f t="shared" si="40"/>
        <v>CS3370</v>
      </c>
      <c r="AQ626" s="51" t="s">
        <v>2501</v>
      </c>
      <c r="AR626" s="51" t="s">
        <v>2462</v>
      </c>
      <c r="AS626" s="49" t="str">
        <f t="shared" si="41"/>
        <v>製番実績生産効率</v>
      </c>
      <c r="AT626" s="49" t="str">
        <f t="shared" si="42"/>
        <v>CS3370</v>
      </c>
      <c r="AU626" s="51" t="s">
        <v>2501</v>
      </c>
      <c r="AV626" s="51" t="s">
        <v>2462</v>
      </c>
    </row>
    <row r="627" spans="1:48" ht="18" customHeight="1">
      <c r="A627" s="44">
        <v>625</v>
      </c>
      <c r="B627" s="71" t="s">
        <v>1076</v>
      </c>
      <c r="C627" s="52" t="s">
        <v>2283</v>
      </c>
      <c r="D627" s="54" t="s">
        <v>2442</v>
      </c>
      <c r="E627" s="44" t="s">
        <v>2462</v>
      </c>
      <c r="F627" s="44" t="s">
        <v>2502</v>
      </c>
      <c r="G627" s="44"/>
      <c r="H627" s="44"/>
      <c r="I627" s="44"/>
      <c r="J627" s="47" t="s">
        <v>35</v>
      </c>
      <c r="K627" s="47"/>
      <c r="L627" s="47"/>
      <c r="M627" s="47"/>
      <c r="N627" s="47"/>
      <c r="O627" s="44"/>
      <c r="P627" s="44"/>
      <c r="Q627" s="48">
        <f>VLOOKUP(E627,sheet1!$B$2:$D$3209,3,FALSE)</f>
        <v>135</v>
      </c>
      <c r="R627" s="47" t="s">
        <v>35</v>
      </c>
      <c r="S627" s="47" t="s">
        <v>35</v>
      </c>
      <c r="T627" s="47" t="s">
        <v>35</v>
      </c>
      <c r="U627" s="47" t="s">
        <v>35</v>
      </c>
      <c r="V627" s="47" t="s">
        <v>35</v>
      </c>
      <c r="W627" s="47" t="s">
        <v>35</v>
      </c>
      <c r="X627" s="47" t="s">
        <v>35</v>
      </c>
      <c r="Y627" s="47" t="s">
        <v>35</v>
      </c>
      <c r="Z627" s="47" t="s">
        <v>35</v>
      </c>
      <c r="AA627" s="47" t="s">
        <v>35</v>
      </c>
      <c r="AB627" s="47" t="s">
        <v>35</v>
      </c>
      <c r="AC627" s="47" t="s">
        <v>35</v>
      </c>
      <c r="AD627" s="73" t="str">
        <f>VLOOKUP(E638,sheet1!$B$2:$C$3209,2,FALSE)</f>
        <v>科目別仕入金額部課別一覧～画面チェック</v>
      </c>
      <c r="AE627" s="49"/>
      <c r="AF627" s="51" t="s">
        <v>2503</v>
      </c>
      <c r="AG627" s="51" t="s">
        <v>2504</v>
      </c>
      <c r="AH627" s="49" t="str">
        <f t="shared" si="47"/>
        <v>取引先別仕入実績推移表</v>
      </c>
      <c r="AI627" s="49"/>
      <c r="AJ627" s="49"/>
      <c r="AK627" s="49"/>
      <c r="AL627" s="49" t="str">
        <f t="shared" si="48"/>
        <v>取引先別仕入実績推移表</v>
      </c>
      <c r="AM627" s="49" t="s">
        <v>35</v>
      </c>
      <c r="AN627" s="49" t="s">
        <v>2505</v>
      </c>
      <c r="AO627" s="51" t="str">
        <f t="shared" si="39"/>
        <v>品目別実際原価表</v>
      </c>
      <c r="AP627" s="51" t="str">
        <f t="shared" si="40"/>
        <v>CS3380</v>
      </c>
      <c r="AQ627" s="51" t="s">
        <v>2506</v>
      </c>
      <c r="AR627" s="51" t="s">
        <v>2466</v>
      </c>
      <c r="AS627" s="49" t="str">
        <f t="shared" si="41"/>
        <v>品目別実際原価表</v>
      </c>
      <c r="AT627" s="49" t="str">
        <f t="shared" si="42"/>
        <v>CS3380</v>
      </c>
      <c r="AU627" s="51" t="s">
        <v>2506</v>
      </c>
      <c r="AV627" s="51" t="s">
        <v>2466</v>
      </c>
    </row>
    <row r="628" spans="1:48" ht="18" customHeight="1">
      <c r="A628" s="44">
        <v>626</v>
      </c>
      <c r="B628" s="71" t="s">
        <v>1076</v>
      </c>
      <c r="C628" s="52" t="s">
        <v>2283</v>
      </c>
      <c r="D628" s="54" t="s">
        <v>2442</v>
      </c>
      <c r="E628" s="44" t="s">
        <v>2466</v>
      </c>
      <c r="F628" s="44" t="s">
        <v>2507</v>
      </c>
      <c r="G628" s="44"/>
      <c r="H628" s="44"/>
      <c r="I628" s="44"/>
      <c r="J628" s="47" t="s">
        <v>35</v>
      </c>
      <c r="K628" s="47"/>
      <c r="L628" s="47"/>
      <c r="M628" s="47"/>
      <c r="N628" s="47"/>
      <c r="O628" s="44"/>
      <c r="P628" s="44"/>
      <c r="Q628" s="48">
        <f>VLOOKUP(E628,sheet1!$B$2:$D$3209,3,FALSE)</f>
        <v>138</v>
      </c>
      <c r="R628" s="47" t="s">
        <v>35</v>
      </c>
      <c r="S628" s="47" t="s">
        <v>35</v>
      </c>
      <c r="T628" s="47" t="s">
        <v>35</v>
      </c>
      <c r="U628" s="47" t="s">
        <v>35</v>
      </c>
      <c r="V628" s="47" t="s">
        <v>35</v>
      </c>
      <c r="W628" s="47" t="s">
        <v>35</v>
      </c>
      <c r="X628" s="47" t="s">
        <v>35</v>
      </c>
      <c r="Y628" s="47" t="s">
        <v>35</v>
      </c>
      <c r="Z628" s="47" t="s">
        <v>35</v>
      </c>
      <c r="AA628" s="47" t="s">
        <v>35</v>
      </c>
      <c r="AB628" s="47" t="s">
        <v>35</v>
      </c>
      <c r="AC628" s="47" t="s">
        <v>35</v>
      </c>
      <c r="AD628" s="73" t="str">
        <f>VLOOKUP(E639,sheet1!$B$2:$C$3209,2,FALSE)</f>
        <v>取引先別仕入実績推移表　画面入力</v>
      </c>
      <c r="AE628" s="49"/>
      <c r="AF628" s="51" t="s">
        <v>2508</v>
      </c>
      <c r="AG628" s="51" t="s">
        <v>2509</v>
      </c>
      <c r="AH628" s="49" t="str">
        <f t="shared" si="47"/>
        <v>仕入実績表　納入者・科目別</v>
      </c>
      <c r="AI628" s="49"/>
      <c r="AJ628" s="49"/>
      <c r="AK628" s="49"/>
      <c r="AL628" s="49" t="str">
        <f t="shared" si="48"/>
        <v>仕入実績表　納入者・科目別</v>
      </c>
      <c r="AM628" s="49" t="s">
        <v>35</v>
      </c>
      <c r="AN628" s="49" t="s">
        <v>2510</v>
      </c>
      <c r="AO628" s="51" t="str">
        <f t="shared" si="39"/>
        <v>原価差額処理</v>
      </c>
      <c r="AP628" s="51" t="str">
        <f t="shared" si="40"/>
        <v>CS360A</v>
      </c>
      <c r="AQ628" s="51" t="s">
        <v>2473</v>
      </c>
      <c r="AR628" s="51" t="s">
        <v>2474</v>
      </c>
      <c r="AS628" s="49" t="str">
        <f t="shared" si="41"/>
        <v/>
      </c>
      <c r="AT628" s="49" t="str">
        <f t="shared" si="42"/>
        <v/>
      </c>
      <c r="AU628" s="49"/>
      <c r="AV628" s="49"/>
    </row>
    <row r="629" spans="1:48" ht="18" customHeight="1">
      <c r="A629" s="44">
        <v>627</v>
      </c>
      <c r="B629" s="71" t="s">
        <v>1076</v>
      </c>
      <c r="C629" s="52" t="s">
        <v>2283</v>
      </c>
      <c r="D629" s="54" t="s">
        <v>2442</v>
      </c>
      <c r="E629" s="44" t="s">
        <v>2469</v>
      </c>
      <c r="F629" s="44" t="s">
        <v>2511</v>
      </c>
      <c r="G629" s="44"/>
      <c r="H629" s="44"/>
      <c r="I629" s="44"/>
      <c r="J629" s="47" t="s">
        <v>35</v>
      </c>
      <c r="K629" s="47"/>
      <c r="L629" s="47"/>
      <c r="M629" s="47"/>
      <c r="N629" s="47"/>
      <c r="O629" s="44"/>
      <c r="P629" s="44"/>
      <c r="Q629" s="48">
        <f>VLOOKUP(E629,sheet1!$B$2:$D$3209,3,FALSE)</f>
        <v>216</v>
      </c>
      <c r="R629" s="47" t="s">
        <v>35</v>
      </c>
      <c r="S629" s="47" t="s">
        <v>296</v>
      </c>
      <c r="T629" s="47"/>
      <c r="U629" s="47" t="s">
        <v>296</v>
      </c>
      <c r="V629" s="47" t="s">
        <v>296</v>
      </c>
      <c r="W629" s="47" t="s">
        <v>296</v>
      </c>
      <c r="X629" s="47" t="s">
        <v>296</v>
      </c>
      <c r="Y629" s="47" t="s">
        <v>296</v>
      </c>
      <c r="Z629" s="47" t="s">
        <v>296</v>
      </c>
      <c r="AA629" s="47" t="s">
        <v>296</v>
      </c>
      <c r="AB629" s="47"/>
      <c r="AC629" s="47" t="s">
        <v>35</v>
      </c>
      <c r="AD629" s="73" t="str">
        <f>VLOOKUP(E640,sheet1!$B$2:$C$3209,2,FALSE)</f>
        <v>仕入実績表　ワークＦ作成（全社・部門別・機種別）</v>
      </c>
      <c r="AE629" s="49"/>
      <c r="AF629" s="51" t="s">
        <v>2512</v>
      </c>
      <c r="AG629" s="51" t="s">
        <v>2513</v>
      </c>
      <c r="AH629" s="49" t="str">
        <f t="shared" si="47"/>
        <v>仕入実績表　納入・科目（経費</v>
      </c>
      <c r="AI629" s="49"/>
      <c r="AJ629" s="49"/>
      <c r="AK629" s="49"/>
      <c r="AL629" s="49" t="str">
        <f t="shared" si="48"/>
        <v>仕入実績表　納入・科目（経費）</v>
      </c>
      <c r="AM629" s="49" t="s">
        <v>35</v>
      </c>
      <c r="AN629" s="49" t="s">
        <v>2514</v>
      </c>
      <c r="AO629" s="51" t="str">
        <f t="shared" si="39"/>
        <v/>
      </c>
      <c r="AP629" s="51" t="str">
        <f t="shared" si="40"/>
        <v/>
      </c>
      <c r="AQ629" s="49"/>
      <c r="AR629" s="49"/>
      <c r="AS629" s="49" t="str">
        <f t="shared" si="41"/>
        <v/>
      </c>
      <c r="AT629" s="49" t="str">
        <f t="shared" si="42"/>
        <v/>
      </c>
      <c r="AU629" s="49"/>
      <c r="AV629" s="49"/>
    </row>
    <row r="630" spans="1:48" ht="18" customHeight="1">
      <c r="A630" s="44">
        <v>628</v>
      </c>
      <c r="B630" s="71" t="s">
        <v>1076</v>
      </c>
      <c r="C630" s="52" t="s">
        <v>2283</v>
      </c>
      <c r="D630" s="54" t="s">
        <v>2442</v>
      </c>
      <c r="E630" s="44" t="s">
        <v>2472</v>
      </c>
      <c r="F630" s="44" t="s">
        <v>2515</v>
      </c>
      <c r="G630" s="44"/>
      <c r="H630" s="44"/>
      <c r="I630" s="44"/>
      <c r="J630" s="47" t="s">
        <v>35</v>
      </c>
      <c r="K630" s="47"/>
      <c r="L630" s="47"/>
      <c r="M630" s="47"/>
      <c r="N630" s="47"/>
      <c r="O630" s="44"/>
      <c r="P630" s="44"/>
      <c r="Q630" s="48">
        <f>VLOOKUP(E630,sheet1!$B$2:$D$3209,3,FALSE)</f>
        <v>216</v>
      </c>
      <c r="R630" s="47" t="s">
        <v>35</v>
      </c>
      <c r="S630" s="47" t="s">
        <v>296</v>
      </c>
      <c r="T630" s="47"/>
      <c r="U630" s="47" t="s">
        <v>296</v>
      </c>
      <c r="V630" s="47" t="s">
        <v>296</v>
      </c>
      <c r="W630" s="47" t="s">
        <v>296</v>
      </c>
      <c r="X630" s="47" t="s">
        <v>296</v>
      </c>
      <c r="Y630" s="47" t="s">
        <v>296</v>
      </c>
      <c r="Z630" s="47" t="s">
        <v>296</v>
      </c>
      <c r="AA630" s="47" t="s">
        <v>296</v>
      </c>
      <c r="AB630" s="47"/>
      <c r="AC630" s="47" t="s">
        <v>35</v>
      </c>
      <c r="AD630" s="73" t="str">
        <f>VLOOKUP(E641,sheet1!$B$2:$C$3209,2,FALSE)</f>
        <v>仕入実績表　ワークＦ作成（全社・経費科目のみ）</v>
      </c>
      <c r="AE630" s="49"/>
      <c r="AF630" s="51" t="s">
        <v>2516</v>
      </c>
      <c r="AG630" s="51" t="s">
        <v>2517</v>
      </c>
      <c r="AH630" s="49" t="str">
        <f t="shared" si="47"/>
        <v>仕入実績表　部課・科目別</v>
      </c>
      <c r="AI630" s="49"/>
      <c r="AJ630" s="49"/>
      <c r="AK630" s="49"/>
      <c r="AL630" s="49" t="str">
        <f t="shared" si="48"/>
        <v>仕入実績表　部課・科目別</v>
      </c>
      <c r="AM630" s="49" t="s">
        <v>35</v>
      </c>
      <c r="AN630" s="49" t="s">
        <v>2518</v>
      </c>
      <c r="AO630" s="51" t="str">
        <f t="shared" si="39"/>
        <v/>
      </c>
      <c r="AP630" s="51" t="str">
        <f t="shared" si="40"/>
        <v/>
      </c>
      <c r="AQ630" s="49"/>
      <c r="AR630" s="49"/>
      <c r="AS630" s="49" t="str">
        <f t="shared" si="41"/>
        <v/>
      </c>
      <c r="AT630" s="49" t="str">
        <f t="shared" si="42"/>
        <v/>
      </c>
      <c r="AU630" s="49"/>
      <c r="AV630" s="49"/>
    </row>
    <row r="631" spans="1:48" ht="18" customHeight="1">
      <c r="A631" s="44">
        <v>629</v>
      </c>
      <c r="B631" s="71" t="s">
        <v>1076</v>
      </c>
      <c r="C631" s="52" t="s">
        <v>2283</v>
      </c>
      <c r="D631" s="71" t="s">
        <v>2442</v>
      </c>
      <c r="E631" s="44" t="s">
        <v>2474</v>
      </c>
      <c r="F631" s="44" t="s">
        <v>2519</v>
      </c>
      <c r="G631" s="44"/>
      <c r="H631" s="44"/>
      <c r="I631" s="44"/>
      <c r="J631" s="47" t="s">
        <v>35</v>
      </c>
      <c r="K631" s="47"/>
      <c r="L631" s="47"/>
      <c r="M631" s="47"/>
      <c r="N631" s="47"/>
      <c r="O631" s="44"/>
      <c r="P631" s="44"/>
      <c r="Q631" s="48">
        <f>VLOOKUP(E631,sheet1!$B$2:$D$3209,3,FALSE)</f>
        <v>162</v>
      </c>
      <c r="R631" s="47" t="s">
        <v>35</v>
      </c>
      <c r="S631" s="47" t="s">
        <v>296</v>
      </c>
      <c r="T631" s="47"/>
      <c r="U631" s="47" t="s">
        <v>296</v>
      </c>
      <c r="V631" s="47" t="s">
        <v>296</v>
      </c>
      <c r="W631" s="47" t="s">
        <v>296</v>
      </c>
      <c r="X631" s="47" t="s">
        <v>296</v>
      </c>
      <c r="Y631" s="47" t="s">
        <v>296</v>
      </c>
      <c r="Z631" s="47" t="s">
        <v>296</v>
      </c>
      <c r="AA631" s="47" t="s">
        <v>296</v>
      </c>
      <c r="AB631" s="47"/>
      <c r="AC631" s="47" t="s">
        <v>35</v>
      </c>
      <c r="AD631" s="73" t="str">
        <f>VLOOKUP(E642,sheet1!$B$2:$C$3209,2,FALSE)</f>
        <v>仕入実績表　部課別・勘定科目別</v>
      </c>
      <c r="AE631" s="49"/>
      <c r="AF631" s="51" t="s">
        <v>2520</v>
      </c>
      <c r="AG631" s="51" t="s">
        <v>2521</v>
      </c>
      <c r="AH631" s="49" t="str">
        <f t="shared" si="47"/>
        <v>仕入予定金額（部課別）</v>
      </c>
      <c r="AI631" s="49"/>
      <c r="AJ631" s="49"/>
      <c r="AK631" s="49"/>
      <c r="AL631" s="49" t="str">
        <f t="shared" si="48"/>
        <v>仕入予定金額（部課別）</v>
      </c>
      <c r="AM631" s="49" t="s">
        <v>35</v>
      </c>
      <c r="AN631" s="49" t="s">
        <v>2522</v>
      </c>
      <c r="AO631" s="51" t="str">
        <f t="shared" si="39"/>
        <v>仕入高合計一覧表（納入者順）</v>
      </c>
      <c r="AP631" s="51" t="str">
        <f t="shared" si="40"/>
        <v>AC4745</v>
      </c>
      <c r="AQ631" s="51" t="s">
        <v>2475</v>
      </c>
      <c r="AR631" s="51" t="s">
        <v>2476</v>
      </c>
      <c r="AS631" s="49" t="str">
        <f t="shared" si="41"/>
        <v>仕入高合計一覧表（納入者順）</v>
      </c>
      <c r="AT631" s="49" t="str">
        <f t="shared" si="42"/>
        <v>AC4745</v>
      </c>
      <c r="AU631" s="51" t="s">
        <v>2475</v>
      </c>
      <c r="AV631" s="51" t="s">
        <v>2476</v>
      </c>
    </row>
    <row r="632" spans="1:48" ht="18" customHeight="1">
      <c r="A632" s="44">
        <v>630</v>
      </c>
      <c r="B632" s="71" t="s">
        <v>1076</v>
      </c>
      <c r="C632" s="45" t="s">
        <v>2523</v>
      </c>
      <c r="D632" s="46" t="s">
        <v>116</v>
      </c>
      <c r="E632" s="44" t="s">
        <v>2476</v>
      </c>
      <c r="F632" s="44" t="s">
        <v>2477</v>
      </c>
      <c r="G632" s="44"/>
      <c r="H632" s="44"/>
      <c r="I632" s="44"/>
      <c r="J632" s="47" t="s">
        <v>35</v>
      </c>
      <c r="K632" s="47"/>
      <c r="L632" s="47"/>
      <c r="M632" s="47"/>
      <c r="N632" s="47"/>
      <c r="O632" s="44"/>
      <c r="P632" s="44"/>
      <c r="Q632" s="48">
        <f>VLOOKUP(E632,sheet1!$B$2:$D$3209,3,FALSE)</f>
        <v>149</v>
      </c>
      <c r="R632" s="47" t="s">
        <v>35</v>
      </c>
      <c r="S632" s="47" t="s">
        <v>35</v>
      </c>
      <c r="T632" s="47" t="s">
        <v>35</v>
      </c>
      <c r="U632" s="47" t="s">
        <v>35</v>
      </c>
      <c r="V632" s="47" t="s">
        <v>35</v>
      </c>
      <c r="W632" s="47" t="s">
        <v>35</v>
      </c>
      <c r="X632" s="47" t="s">
        <v>35</v>
      </c>
      <c r="Y632" s="47" t="s">
        <v>35</v>
      </c>
      <c r="Z632" s="47" t="s">
        <v>35</v>
      </c>
      <c r="AA632" s="47" t="s">
        <v>35</v>
      </c>
      <c r="AB632" s="47" t="s">
        <v>35</v>
      </c>
      <c r="AC632" s="47" t="s">
        <v>35</v>
      </c>
      <c r="AD632" s="73" t="str">
        <f>VLOOKUP(E643,sheet1!$B$2:$C$3209,2,FALSE)</f>
        <v>仕入予定金額集計表部課別</v>
      </c>
      <c r="AE632" s="49"/>
      <c r="AF632" s="51" t="s">
        <v>2524</v>
      </c>
      <c r="AG632" s="51" t="s">
        <v>2525</v>
      </c>
      <c r="AH632" s="49" t="str">
        <f t="shared" si="47"/>
        <v>仕入予定金額集計表（部門別）</v>
      </c>
      <c r="AI632" s="49"/>
      <c r="AJ632" s="49"/>
      <c r="AK632" s="49"/>
      <c r="AL632" s="49" t="str">
        <f t="shared" si="48"/>
        <v>仕入予定金額集計表（部門別）</v>
      </c>
      <c r="AM632" s="49" t="s">
        <v>35</v>
      </c>
      <c r="AN632" s="49" t="s">
        <v>2526</v>
      </c>
      <c r="AO632" s="51" t="str">
        <f t="shared" si="39"/>
        <v>仕入高合計一覧表（金額順）</v>
      </c>
      <c r="AP632" s="51" t="str">
        <f t="shared" si="40"/>
        <v>AC4750</v>
      </c>
      <c r="AQ632" s="51" t="s">
        <v>2479</v>
      </c>
      <c r="AR632" s="51" t="s">
        <v>2480</v>
      </c>
      <c r="AS632" s="49" t="str">
        <f t="shared" si="41"/>
        <v>仕入高合計一覧表（金額順）</v>
      </c>
      <c r="AT632" s="49" t="str">
        <f t="shared" si="42"/>
        <v>AC4750</v>
      </c>
      <c r="AU632" s="51" t="s">
        <v>2479</v>
      </c>
      <c r="AV632" s="51" t="s">
        <v>2480</v>
      </c>
    </row>
    <row r="633" spans="1:48" ht="18" customHeight="1">
      <c r="A633" s="44">
        <v>631</v>
      </c>
      <c r="B633" s="71" t="s">
        <v>1076</v>
      </c>
      <c r="C633" s="52" t="s">
        <v>2523</v>
      </c>
      <c r="D633" s="46" t="s">
        <v>116</v>
      </c>
      <c r="E633" s="44" t="s">
        <v>2480</v>
      </c>
      <c r="F633" s="44" t="s">
        <v>2527</v>
      </c>
      <c r="G633" s="44"/>
      <c r="H633" s="44"/>
      <c r="I633" s="44"/>
      <c r="J633" s="47" t="s">
        <v>35</v>
      </c>
      <c r="K633" s="47"/>
      <c r="L633" s="47"/>
      <c r="M633" s="47"/>
      <c r="N633" s="47"/>
      <c r="O633" s="44"/>
      <c r="P633" s="44"/>
      <c r="Q633" s="48">
        <f>VLOOKUP(E633,sheet1!$B$2:$D$3209,3,FALSE)</f>
        <v>161</v>
      </c>
      <c r="R633" s="47" t="s">
        <v>35</v>
      </c>
      <c r="S633" s="47" t="s">
        <v>35</v>
      </c>
      <c r="T633" s="47" t="s">
        <v>35</v>
      </c>
      <c r="U633" s="47" t="s">
        <v>35</v>
      </c>
      <c r="V633" s="47" t="s">
        <v>35</v>
      </c>
      <c r="W633" s="47" t="s">
        <v>35</v>
      </c>
      <c r="X633" s="47" t="s">
        <v>35</v>
      </c>
      <c r="Y633" s="47" t="s">
        <v>35</v>
      </c>
      <c r="Z633" s="47" t="s">
        <v>35</v>
      </c>
      <c r="AA633" s="47" t="s">
        <v>35</v>
      </c>
      <c r="AB633" s="47" t="s">
        <v>35</v>
      </c>
      <c r="AC633" s="47" t="s">
        <v>35</v>
      </c>
      <c r="AD633" s="73" t="str">
        <f>VLOOKUP(E644,sheet1!$B$2:$C$3209,2,FALSE)</f>
        <v>仕入予定金額集計表部門別</v>
      </c>
      <c r="AE633" s="49"/>
      <c r="AF633" s="51" t="s">
        <v>2528</v>
      </c>
      <c r="AG633" s="51" t="s">
        <v>2529</v>
      </c>
      <c r="AH633" s="49" t="str">
        <f t="shared" si="47"/>
        <v>仕入実績＆予定内訳</v>
      </c>
      <c r="AI633" s="49"/>
      <c r="AJ633" s="49"/>
      <c r="AK633" s="49"/>
      <c r="AL633" s="49" t="str">
        <f t="shared" si="48"/>
        <v>仕入実績＆予定内訳</v>
      </c>
      <c r="AM633" s="49" t="s">
        <v>35</v>
      </c>
      <c r="AN633" s="49" t="s">
        <v>2530</v>
      </c>
      <c r="AO633" s="51" t="str">
        <f t="shared" si="39"/>
        <v>部課別月別仕入明細表</v>
      </c>
      <c r="AP633" s="51" t="str">
        <f t="shared" si="40"/>
        <v>AC4750</v>
      </c>
      <c r="AQ633" s="51" t="s">
        <v>2531</v>
      </c>
      <c r="AR633" s="51" t="s">
        <v>2480</v>
      </c>
      <c r="AS633" s="49" t="str">
        <f t="shared" si="41"/>
        <v>部課別月別仕入明細表</v>
      </c>
      <c r="AT633" s="49" t="str">
        <f t="shared" si="42"/>
        <v>AC4750</v>
      </c>
      <c r="AU633" s="51" t="s">
        <v>2484</v>
      </c>
      <c r="AV633" s="51" t="s">
        <v>2480</v>
      </c>
    </row>
    <row r="634" spans="1:48" ht="18" customHeight="1">
      <c r="A634" s="44">
        <v>632</v>
      </c>
      <c r="B634" s="71" t="s">
        <v>1076</v>
      </c>
      <c r="C634" s="52" t="s">
        <v>2523</v>
      </c>
      <c r="D634" s="46" t="s">
        <v>116</v>
      </c>
      <c r="E634" s="44" t="s">
        <v>2480</v>
      </c>
      <c r="F634" s="44" t="s">
        <v>2532</v>
      </c>
      <c r="G634" s="44"/>
      <c r="H634" s="44"/>
      <c r="I634" s="44"/>
      <c r="J634" s="47" t="s">
        <v>35</v>
      </c>
      <c r="K634" s="47"/>
      <c r="L634" s="47"/>
      <c r="M634" s="47"/>
      <c r="N634" s="47"/>
      <c r="O634" s="44"/>
      <c r="P634" s="44"/>
      <c r="Q634" s="48">
        <f>VLOOKUP(E634,sheet1!$B$2:$D$3209,3,FALSE)</f>
        <v>161</v>
      </c>
      <c r="R634" s="47" t="s">
        <v>35</v>
      </c>
      <c r="S634" s="47" t="s">
        <v>35</v>
      </c>
      <c r="T634" s="47" t="s">
        <v>35</v>
      </c>
      <c r="U634" s="47" t="s">
        <v>35</v>
      </c>
      <c r="V634" s="47" t="s">
        <v>35</v>
      </c>
      <c r="W634" s="47" t="s">
        <v>35</v>
      </c>
      <c r="X634" s="47" t="s">
        <v>35</v>
      </c>
      <c r="Y634" s="47" t="s">
        <v>35</v>
      </c>
      <c r="Z634" s="47" t="s">
        <v>35</v>
      </c>
      <c r="AA634" s="47" t="s">
        <v>35</v>
      </c>
      <c r="AB634" s="47" t="s">
        <v>35</v>
      </c>
      <c r="AC634" s="47" t="s">
        <v>35</v>
      </c>
      <c r="AD634" s="73" t="str">
        <f>VLOOKUP(E645,sheet1!$B$2:$C$3209,2,FALSE)</f>
        <v>仕入実績&amp;予定内訳</v>
      </c>
      <c r="AE634" s="49"/>
      <c r="AF634" s="51" t="s">
        <v>2533</v>
      </c>
      <c r="AG634" s="51" t="s">
        <v>2534</v>
      </c>
      <c r="AH634" s="49" t="str">
        <f t="shared" si="47"/>
        <v>仕入照会（勘定科目検索）</v>
      </c>
      <c r="AI634" s="49"/>
      <c r="AJ634" s="49"/>
      <c r="AK634" s="49"/>
      <c r="AL634" s="49" t="str">
        <f t="shared" si="48"/>
        <v>仕入照会（勘定科目検索）</v>
      </c>
      <c r="AM634" s="49" t="s">
        <v>35</v>
      </c>
      <c r="AN634" s="49" t="s">
        <v>2535</v>
      </c>
      <c r="AO634" s="51" t="str">
        <f t="shared" si="39"/>
        <v>仕入伝票明細表</v>
      </c>
      <c r="AP634" s="51" t="str">
        <f t="shared" si="40"/>
        <v>AC4775</v>
      </c>
      <c r="AQ634" s="51" t="s">
        <v>2488</v>
      </c>
      <c r="AR634" s="51" t="s">
        <v>2489</v>
      </c>
      <c r="AS634" s="49" t="str">
        <f t="shared" si="41"/>
        <v>仕入伝票明細表</v>
      </c>
      <c r="AT634" s="49" t="str">
        <f t="shared" si="42"/>
        <v>AC4775</v>
      </c>
      <c r="AU634" s="51" t="s">
        <v>2488</v>
      </c>
      <c r="AV634" s="51" t="s">
        <v>2489</v>
      </c>
    </row>
    <row r="635" spans="1:48" ht="18" customHeight="1">
      <c r="A635" s="44">
        <v>633</v>
      </c>
      <c r="B635" s="71" t="s">
        <v>1076</v>
      </c>
      <c r="C635" s="52" t="s">
        <v>2523</v>
      </c>
      <c r="D635" s="46" t="s">
        <v>116</v>
      </c>
      <c r="E635" s="44" t="s">
        <v>2489</v>
      </c>
      <c r="F635" s="44" t="s">
        <v>2536</v>
      </c>
      <c r="G635" s="44"/>
      <c r="H635" s="44"/>
      <c r="I635" s="44"/>
      <c r="J635" s="47" t="s">
        <v>35</v>
      </c>
      <c r="K635" s="47"/>
      <c r="L635" s="47"/>
      <c r="M635" s="47"/>
      <c r="N635" s="47"/>
      <c r="O635" s="44"/>
      <c r="P635" s="44"/>
      <c r="Q635" s="48">
        <f>VLOOKUP(E635,sheet1!$B$2:$D$3209,3,FALSE)</f>
        <v>505</v>
      </c>
      <c r="R635" s="47" t="s">
        <v>35</v>
      </c>
      <c r="S635" s="47" t="s">
        <v>35</v>
      </c>
      <c r="T635" s="47" t="s">
        <v>35</v>
      </c>
      <c r="U635" s="47" t="s">
        <v>35</v>
      </c>
      <c r="V635" s="47" t="s">
        <v>35</v>
      </c>
      <c r="W635" s="47" t="s">
        <v>35</v>
      </c>
      <c r="X635" s="47" t="s">
        <v>35</v>
      </c>
      <c r="Y635" s="47" t="s">
        <v>35</v>
      </c>
      <c r="Z635" s="47" t="s">
        <v>35</v>
      </c>
      <c r="AA635" s="47" t="s">
        <v>35</v>
      </c>
      <c r="AB635" s="47" t="s">
        <v>35</v>
      </c>
      <c r="AC635" s="47" t="s">
        <v>35</v>
      </c>
      <c r="AD635" s="73" t="str">
        <f>VLOOKUP(E646,sheet1!$B$2:$C$3209,2,FALSE)</f>
        <v>仕入照会（勘定科目で検索）</v>
      </c>
      <c r="AE635" s="49"/>
      <c r="AF635" s="51" t="s">
        <v>2537</v>
      </c>
      <c r="AG635" s="51" t="s">
        <v>2538</v>
      </c>
      <c r="AH635" s="49" t="str">
        <f t="shared" si="47"/>
        <v>仕入予定金額照会</v>
      </c>
      <c r="AI635" s="49"/>
      <c r="AJ635" s="49"/>
      <c r="AK635" s="49"/>
      <c r="AL635" s="49" t="str">
        <f t="shared" si="48"/>
        <v>仕入予定金額照会</v>
      </c>
      <c r="AM635" s="49" t="s">
        <v>35</v>
      </c>
      <c r="AN635" s="49" t="s">
        <v>2539</v>
      </c>
      <c r="AO635" s="51" t="str">
        <f t="shared" si="39"/>
        <v>仕入金額集計表　部門別</v>
      </c>
      <c r="AP635" s="51" t="str">
        <f t="shared" si="40"/>
        <v>AC4785</v>
      </c>
      <c r="AQ635" s="51" t="s">
        <v>2493</v>
      </c>
      <c r="AR635" s="51" t="s">
        <v>2494</v>
      </c>
      <c r="AS635" s="49" t="str">
        <f t="shared" si="41"/>
        <v>仕入金額集計表　部門別</v>
      </c>
      <c r="AT635" s="49" t="str">
        <f t="shared" si="42"/>
        <v>AC4785</v>
      </c>
      <c r="AU635" s="51" t="s">
        <v>2493</v>
      </c>
      <c r="AV635" s="51" t="s">
        <v>2494</v>
      </c>
    </row>
    <row r="636" spans="1:48" ht="18" customHeight="1">
      <c r="A636" s="44">
        <v>634</v>
      </c>
      <c r="B636" s="71" t="s">
        <v>1076</v>
      </c>
      <c r="C636" s="52" t="s">
        <v>2523</v>
      </c>
      <c r="D636" s="46" t="s">
        <v>116</v>
      </c>
      <c r="E636" s="44" t="s">
        <v>2494</v>
      </c>
      <c r="F636" s="44" t="s">
        <v>2540</v>
      </c>
      <c r="G636" s="44"/>
      <c r="H636" s="44"/>
      <c r="I636" s="44"/>
      <c r="J636" s="47" t="s">
        <v>35</v>
      </c>
      <c r="K636" s="47"/>
      <c r="L636" s="47"/>
      <c r="M636" s="47"/>
      <c r="N636" s="47"/>
      <c r="O636" s="44"/>
      <c r="P636" s="44"/>
      <c r="Q636" s="48">
        <f>VLOOKUP(E636,sheet1!$B$2:$D$3209,3,FALSE)</f>
        <v>668</v>
      </c>
      <c r="R636" s="47" t="s">
        <v>35</v>
      </c>
      <c r="S636" s="47" t="s">
        <v>35</v>
      </c>
      <c r="T636" s="47" t="s">
        <v>35</v>
      </c>
      <c r="U636" s="47" t="s">
        <v>35</v>
      </c>
      <c r="V636" s="47" t="s">
        <v>35</v>
      </c>
      <c r="W636" s="47" t="s">
        <v>35</v>
      </c>
      <c r="X636" s="47" t="s">
        <v>35</v>
      </c>
      <c r="Y636" s="47" t="s">
        <v>35</v>
      </c>
      <c r="Z636" s="47" t="s">
        <v>35</v>
      </c>
      <c r="AA636" s="47" t="s">
        <v>35</v>
      </c>
      <c r="AB636" s="47" t="s">
        <v>35</v>
      </c>
      <c r="AC636" s="47" t="s">
        <v>35</v>
      </c>
      <c r="AD636" s="73" t="str">
        <f>VLOOKUP(E647,sheet1!$B$2:$C$3209,2,FALSE)</f>
        <v>仕入予定金額照会</v>
      </c>
      <c r="AE636" s="49"/>
      <c r="AF636" s="51" t="s">
        <v>2541</v>
      </c>
      <c r="AG636" s="51" t="s">
        <v>2542</v>
      </c>
      <c r="AH636" s="49" t="str">
        <f t="shared" si="47"/>
        <v>品目別平均仕入単価照会</v>
      </c>
      <c r="AI636" s="49"/>
      <c r="AJ636" s="49"/>
      <c r="AK636" s="49"/>
      <c r="AL636" s="49" t="str">
        <f t="shared" si="48"/>
        <v>品目別平均仕入単価照会</v>
      </c>
      <c r="AM636" s="49" t="s">
        <v>35</v>
      </c>
      <c r="AN636" s="49" t="s">
        <v>2543</v>
      </c>
      <c r="AO636" s="51" t="str">
        <f t="shared" si="39"/>
        <v>科目別仕入金額部課別一覧</v>
      </c>
      <c r="AP636" s="51" t="str">
        <f t="shared" si="40"/>
        <v>AC7135</v>
      </c>
      <c r="AQ636" s="51" t="s">
        <v>2498</v>
      </c>
      <c r="AR636" s="51" t="s">
        <v>2499</v>
      </c>
      <c r="AS636" s="49" t="str">
        <f t="shared" si="41"/>
        <v>科目別仕入金額部課別一覧</v>
      </c>
      <c r="AT636" s="49" t="str">
        <f t="shared" si="42"/>
        <v>AC7135</v>
      </c>
      <c r="AU636" s="51" t="s">
        <v>2498</v>
      </c>
      <c r="AV636" s="51" t="s">
        <v>2499</v>
      </c>
    </row>
    <row r="637" spans="1:48" ht="18" customHeight="1">
      <c r="A637" s="44">
        <v>635</v>
      </c>
      <c r="B637" s="71" t="s">
        <v>1076</v>
      </c>
      <c r="C637" s="52" t="s">
        <v>2523</v>
      </c>
      <c r="D637" s="46" t="s">
        <v>116</v>
      </c>
      <c r="E637" s="44" t="s">
        <v>2499</v>
      </c>
      <c r="F637" s="44" t="s">
        <v>2544</v>
      </c>
      <c r="G637" s="44"/>
      <c r="H637" s="44"/>
      <c r="I637" s="44"/>
      <c r="J637" s="47" t="s">
        <v>35</v>
      </c>
      <c r="K637" s="47"/>
      <c r="L637" s="47"/>
      <c r="M637" s="47"/>
      <c r="N637" s="47"/>
      <c r="O637" s="44"/>
      <c r="P637" s="44"/>
      <c r="Q637" s="48">
        <f>VLOOKUP(E637,sheet1!$B$2:$D$3209,3,FALSE)</f>
        <v>233</v>
      </c>
      <c r="R637" s="47" t="s">
        <v>35</v>
      </c>
      <c r="S637" s="47" t="s">
        <v>35</v>
      </c>
      <c r="T637" s="47" t="s">
        <v>35</v>
      </c>
      <c r="U637" s="47" t="s">
        <v>35</v>
      </c>
      <c r="V637" s="47" t="s">
        <v>35</v>
      </c>
      <c r="W637" s="47" t="s">
        <v>35</v>
      </c>
      <c r="X637" s="47" t="s">
        <v>35</v>
      </c>
      <c r="Y637" s="47" t="s">
        <v>35</v>
      </c>
      <c r="Z637" s="47" t="s">
        <v>35</v>
      </c>
      <c r="AA637" s="47" t="s">
        <v>35</v>
      </c>
      <c r="AB637" s="47" t="s">
        <v>35</v>
      </c>
      <c r="AC637" s="47" t="s">
        <v>35</v>
      </c>
      <c r="AD637" s="73" t="str">
        <f>VLOOKUP(E648,sheet1!$B$2:$C$3209,2,FALSE)</f>
        <v>納期回答調査表</v>
      </c>
      <c r="AE637" s="49"/>
      <c r="AF637" s="51" t="s">
        <v>2545</v>
      </c>
      <c r="AG637" s="51" t="s">
        <v>2546</v>
      </c>
      <c r="AH637" s="49" t="str">
        <f t="shared" si="47"/>
        <v>納期回答調査表印刷</v>
      </c>
      <c r="AI637" s="49"/>
      <c r="AJ637" s="49"/>
      <c r="AK637" s="49"/>
      <c r="AL637" s="49" t="str">
        <f t="shared" si="48"/>
        <v>納期回答調査表印刷</v>
      </c>
      <c r="AM637" s="49" t="s">
        <v>35</v>
      </c>
      <c r="AN637" s="49" t="s">
        <v>2547</v>
      </c>
      <c r="AO637" s="51" t="str">
        <f t="shared" si="39"/>
        <v>取引先別仕入実績推移表</v>
      </c>
      <c r="AP637" s="51" t="str">
        <f t="shared" si="40"/>
        <v>AC9061</v>
      </c>
      <c r="AQ637" s="51" t="s">
        <v>2503</v>
      </c>
      <c r="AR637" s="51" t="s">
        <v>2504</v>
      </c>
      <c r="AS637" s="49" t="str">
        <f t="shared" si="41"/>
        <v>取引先別仕入実績推移表</v>
      </c>
      <c r="AT637" s="49" t="str">
        <f t="shared" si="42"/>
        <v>AC9061</v>
      </c>
      <c r="AU637" s="51" t="s">
        <v>2503</v>
      </c>
      <c r="AV637" s="51" t="s">
        <v>2504</v>
      </c>
    </row>
    <row r="638" spans="1:48" ht="18" customHeight="1">
      <c r="A638" s="44">
        <v>636</v>
      </c>
      <c r="B638" s="71" t="s">
        <v>1076</v>
      </c>
      <c r="C638" s="52" t="s">
        <v>2523</v>
      </c>
      <c r="D638" s="46" t="s">
        <v>116</v>
      </c>
      <c r="E638" s="44" t="s">
        <v>2504</v>
      </c>
      <c r="F638" s="44" t="s">
        <v>2548</v>
      </c>
      <c r="G638" s="44"/>
      <c r="H638" s="44"/>
      <c r="I638" s="44"/>
      <c r="J638" s="47" t="s">
        <v>35</v>
      </c>
      <c r="K638" s="47"/>
      <c r="L638" s="47"/>
      <c r="M638" s="47"/>
      <c r="N638" s="47"/>
      <c r="O638" s="44"/>
      <c r="P638" s="44"/>
      <c r="Q638" s="48">
        <f>VLOOKUP(E638,sheet1!$B$2:$D$3209,3,FALSE)</f>
        <v>130</v>
      </c>
      <c r="R638" s="47" t="s">
        <v>35</v>
      </c>
      <c r="S638" s="47" t="s">
        <v>35</v>
      </c>
      <c r="T638" s="47" t="s">
        <v>35</v>
      </c>
      <c r="U638" s="47" t="s">
        <v>35</v>
      </c>
      <c r="V638" s="47" t="s">
        <v>35</v>
      </c>
      <c r="W638" s="47" t="s">
        <v>35</v>
      </c>
      <c r="X638" s="47" t="s">
        <v>35</v>
      </c>
      <c r="Y638" s="47" t="s">
        <v>35</v>
      </c>
      <c r="Z638" s="47" t="s">
        <v>35</v>
      </c>
      <c r="AA638" s="47" t="s">
        <v>35</v>
      </c>
      <c r="AB638" s="47" t="s">
        <v>35</v>
      </c>
      <c r="AC638" s="47" t="s">
        <v>35</v>
      </c>
      <c r="AD638" s="73" t="str">
        <f>VLOOKUP(E649,sheet1!$B$2:$C$3209,2,FALSE)</f>
        <v>仕入・出庫伝票表</v>
      </c>
      <c r="AE638" s="49"/>
      <c r="AF638" s="51" t="s">
        <v>2549</v>
      </c>
      <c r="AG638" s="51" t="s">
        <v>2550</v>
      </c>
      <c r="AH638" s="49" t="str">
        <f t="shared" si="47"/>
        <v>仕入・出庫伝票表</v>
      </c>
      <c r="AI638" s="49"/>
      <c r="AJ638" s="49"/>
      <c r="AK638" s="49"/>
      <c r="AL638" s="49" t="str">
        <f t="shared" si="48"/>
        <v>仕入・出庫伝票表</v>
      </c>
      <c r="AM638" s="49" t="s">
        <v>35</v>
      </c>
      <c r="AN638" s="49" t="s">
        <v>2551</v>
      </c>
      <c r="AO638" s="51" t="str">
        <f t="shared" si="39"/>
        <v>仕入実績表　納入者・科目別</v>
      </c>
      <c r="AP638" s="51" t="str">
        <f t="shared" si="40"/>
        <v>MP2800</v>
      </c>
      <c r="AQ638" s="51" t="s">
        <v>2508</v>
      </c>
      <c r="AR638" s="51" t="s">
        <v>2509</v>
      </c>
      <c r="AS638" s="49" t="str">
        <f t="shared" si="41"/>
        <v>仕入実績表　納入者・科目別</v>
      </c>
      <c r="AT638" s="49" t="str">
        <f t="shared" si="42"/>
        <v>MP2800</v>
      </c>
      <c r="AU638" s="51" t="s">
        <v>2508</v>
      </c>
      <c r="AV638" s="51" t="s">
        <v>2509</v>
      </c>
    </row>
    <row r="639" spans="1:48" ht="18" customHeight="1">
      <c r="A639" s="44">
        <v>637</v>
      </c>
      <c r="B639" s="71" t="s">
        <v>1076</v>
      </c>
      <c r="C639" s="52" t="s">
        <v>2523</v>
      </c>
      <c r="D639" s="46" t="s">
        <v>116</v>
      </c>
      <c r="E639" s="44" t="s">
        <v>2509</v>
      </c>
      <c r="F639" s="44" t="s">
        <v>2552</v>
      </c>
      <c r="G639" s="44"/>
      <c r="H639" s="44"/>
      <c r="I639" s="44"/>
      <c r="J639" s="47" t="s">
        <v>35</v>
      </c>
      <c r="K639" s="47"/>
      <c r="L639" s="47"/>
      <c r="M639" s="47"/>
      <c r="N639" s="47"/>
      <c r="O639" s="44"/>
      <c r="P639" s="44"/>
      <c r="Q639" s="48">
        <f>VLOOKUP(E639,sheet1!$B$2:$D$3209,3,FALSE)</f>
        <v>119</v>
      </c>
      <c r="R639" s="47" t="s">
        <v>35</v>
      </c>
      <c r="S639" s="47" t="s">
        <v>35</v>
      </c>
      <c r="T639" s="47" t="s">
        <v>35</v>
      </c>
      <c r="U639" s="47" t="s">
        <v>35</v>
      </c>
      <c r="V639" s="47" t="s">
        <v>35</v>
      </c>
      <c r="W639" s="47" t="s">
        <v>35</v>
      </c>
      <c r="X639" s="47" t="s">
        <v>35</v>
      </c>
      <c r="Y639" s="47" t="s">
        <v>35</v>
      </c>
      <c r="Z639" s="47" t="s">
        <v>35</v>
      </c>
      <c r="AA639" s="47" t="s">
        <v>35</v>
      </c>
      <c r="AB639" s="47" t="s">
        <v>35</v>
      </c>
      <c r="AC639" s="47" t="s">
        <v>35</v>
      </c>
      <c r="AD639" s="73" t="e">
        <f>VLOOKUP(E650,sheet1!$B$2:$C$3209,2,FALSE)</f>
        <v>#N/A</v>
      </c>
      <c r="AE639" s="49"/>
      <c r="AF639" s="51" t="s">
        <v>2553</v>
      </c>
      <c r="AG639" s="51" t="s">
        <v>344</v>
      </c>
      <c r="AH639" s="49" t="str">
        <f t="shared" si="47"/>
        <v>作業工数チェックリスト</v>
      </c>
      <c r="AI639" s="49"/>
      <c r="AJ639" s="49"/>
      <c r="AK639" s="49"/>
      <c r="AL639" s="49" t="str">
        <f t="shared" si="48"/>
        <v>作業工数チェックリスト</v>
      </c>
      <c r="AM639" s="49" t="s">
        <v>35</v>
      </c>
      <c r="AN639" s="49" t="s">
        <v>2554</v>
      </c>
      <c r="AO639" s="51" t="str">
        <f t="shared" si="39"/>
        <v>仕入実績表　納入・科目（経費）</v>
      </c>
      <c r="AP639" s="51" t="str">
        <f t="shared" si="40"/>
        <v>AC4760</v>
      </c>
      <c r="AQ639" s="51" t="s">
        <v>2555</v>
      </c>
      <c r="AR639" s="51" t="s">
        <v>2513</v>
      </c>
      <c r="AS639" s="49" t="str">
        <f t="shared" si="41"/>
        <v>仕入実績表　納入・科目（経費）</v>
      </c>
      <c r="AT639" s="49" t="str">
        <f t="shared" si="42"/>
        <v>AC4760</v>
      </c>
      <c r="AU639" s="51" t="s">
        <v>2556</v>
      </c>
      <c r="AV639" s="51" t="s">
        <v>2513</v>
      </c>
    </row>
    <row r="640" spans="1:48" ht="18" customHeight="1">
      <c r="A640" s="44">
        <v>638</v>
      </c>
      <c r="B640" s="71" t="s">
        <v>1076</v>
      </c>
      <c r="C640" s="52" t="s">
        <v>2523</v>
      </c>
      <c r="D640" s="46" t="s">
        <v>116</v>
      </c>
      <c r="E640" s="44" t="s">
        <v>2513</v>
      </c>
      <c r="F640" s="44" t="s">
        <v>2514</v>
      </c>
      <c r="G640" s="44"/>
      <c r="H640" s="44"/>
      <c r="I640" s="44"/>
      <c r="J640" s="47" t="s">
        <v>35</v>
      </c>
      <c r="K640" s="47"/>
      <c r="L640" s="47"/>
      <c r="M640" s="47"/>
      <c r="N640" s="47"/>
      <c r="O640" s="44"/>
      <c r="P640" s="44"/>
      <c r="Q640" s="48">
        <f>VLOOKUP(E640,sheet1!$B$2:$D$3209,3,FALSE)</f>
        <v>576</v>
      </c>
      <c r="R640" s="47" t="s">
        <v>35</v>
      </c>
      <c r="S640" s="47" t="s">
        <v>35</v>
      </c>
      <c r="T640" s="47" t="s">
        <v>35</v>
      </c>
      <c r="U640" s="47" t="s">
        <v>35</v>
      </c>
      <c r="V640" s="47" t="s">
        <v>35</v>
      </c>
      <c r="W640" s="47" t="s">
        <v>35</v>
      </c>
      <c r="X640" s="47" t="s">
        <v>35</v>
      </c>
      <c r="Y640" s="47" t="s">
        <v>35</v>
      </c>
      <c r="Z640" s="47" t="s">
        <v>35</v>
      </c>
      <c r="AA640" s="47" t="s">
        <v>35</v>
      </c>
      <c r="AB640" s="47" t="s">
        <v>35</v>
      </c>
      <c r="AC640" s="47" t="s">
        <v>35</v>
      </c>
      <c r="AD640" s="73"/>
      <c r="AE640" s="49"/>
      <c r="AF640" s="51" t="s">
        <v>2557</v>
      </c>
      <c r="AG640" s="51" t="s">
        <v>344</v>
      </c>
      <c r="AH640" s="49" t="str">
        <f t="shared" si="47"/>
        <v>イニシャル別品目リスト</v>
      </c>
      <c r="AI640" s="49"/>
      <c r="AJ640" s="49"/>
      <c r="AK640" s="49"/>
      <c r="AL640" s="49" t="str">
        <f t="shared" si="48"/>
        <v>イニシャル別品目リスト</v>
      </c>
      <c r="AM640" s="49" t="s">
        <v>35</v>
      </c>
      <c r="AN640" s="49" t="s">
        <v>2558</v>
      </c>
      <c r="AO640" s="51" t="str">
        <f t="shared" si="39"/>
        <v>仕入実績表　部課・科目別</v>
      </c>
      <c r="AP640" s="51" t="str">
        <f t="shared" si="40"/>
        <v>AC4765</v>
      </c>
      <c r="AQ640" s="51" t="s">
        <v>2516</v>
      </c>
      <c r="AR640" s="51" t="s">
        <v>2517</v>
      </c>
      <c r="AS640" s="49" t="str">
        <f t="shared" si="41"/>
        <v>仕入実績表　部課・科目別</v>
      </c>
      <c r="AT640" s="49" t="str">
        <f t="shared" si="42"/>
        <v>AC4765</v>
      </c>
      <c r="AU640" s="51" t="s">
        <v>2516</v>
      </c>
      <c r="AV640" s="51" t="s">
        <v>2517</v>
      </c>
    </row>
    <row r="641" spans="1:48" ht="18" customHeight="1">
      <c r="A641" s="44">
        <v>639</v>
      </c>
      <c r="B641" s="71" t="s">
        <v>1076</v>
      </c>
      <c r="C641" s="52" t="s">
        <v>2523</v>
      </c>
      <c r="D641" s="46" t="s">
        <v>116</v>
      </c>
      <c r="E641" s="44" t="s">
        <v>2517</v>
      </c>
      <c r="F641" s="44" t="s">
        <v>2559</v>
      </c>
      <c r="G641" s="44"/>
      <c r="H641" s="44"/>
      <c r="I641" s="44"/>
      <c r="J641" s="47" t="s">
        <v>35</v>
      </c>
      <c r="K641" s="47"/>
      <c r="L641" s="47"/>
      <c r="M641" s="47"/>
      <c r="N641" s="47"/>
      <c r="O641" s="44"/>
      <c r="P641" s="44"/>
      <c r="Q641" s="48">
        <f>VLOOKUP(E641,sheet1!$B$2:$D$3209,3,FALSE)</f>
        <v>283</v>
      </c>
      <c r="R641" s="47" t="s">
        <v>35</v>
      </c>
      <c r="S641" s="47" t="s">
        <v>35</v>
      </c>
      <c r="T641" s="47" t="s">
        <v>35</v>
      </c>
      <c r="U641" s="47" t="s">
        <v>35</v>
      </c>
      <c r="V641" s="47" t="s">
        <v>35</v>
      </c>
      <c r="W641" s="47" t="s">
        <v>35</v>
      </c>
      <c r="X641" s="47" t="s">
        <v>35</v>
      </c>
      <c r="Y641" s="47" t="s">
        <v>35</v>
      </c>
      <c r="Z641" s="47" t="s">
        <v>35</v>
      </c>
      <c r="AA641" s="47" t="s">
        <v>35</v>
      </c>
      <c r="AB641" s="47" t="s">
        <v>35</v>
      </c>
      <c r="AC641" s="47" t="s">
        <v>35</v>
      </c>
      <c r="AD641" s="73"/>
      <c r="AE641" s="49"/>
      <c r="AF641" s="51" t="s">
        <v>2560</v>
      </c>
      <c r="AG641" s="51" t="s">
        <v>344</v>
      </c>
      <c r="AH641" s="49" t="str">
        <f t="shared" si="47"/>
        <v>生産統轄先行手配リスト</v>
      </c>
      <c r="AI641" s="49"/>
      <c r="AJ641" s="49"/>
      <c r="AK641" s="49"/>
      <c r="AL641" s="49" t="str">
        <f t="shared" si="48"/>
        <v>生産統轄先行手配リスト</v>
      </c>
      <c r="AM641" s="49" t="s">
        <v>35</v>
      </c>
      <c r="AN641" s="49" t="s">
        <v>2561</v>
      </c>
      <c r="AO641" s="51" t="str">
        <f t="shared" si="39"/>
        <v>仕入予定金額（部課別）</v>
      </c>
      <c r="AP641" s="51" t="str">
        <f t="shared" si="40"/>
        <v>AC4790</v>
      </c>
      <c r="AQ641" s="51" t="s">
        <v>2562</v>
      </c>
      <c r="AR641" s="51" t="s">
        <v>2521</v>
      </c>
      <c r="AS641" s="49" t="str">
        <f t="shared" si="41"/>
        <v>仕入予定金額（部課別）</v>
      </c>
      <c r="AT641" s="49" t="str">
        <f t="shared" si="42"/>
        <v>AC4790</v>
      </c>
      <c r="AU641" s="51" t="s">
        <v>2520</v>
      </c>
      <c r="AV641" s="51" t="s">
        <v>2521</v>
      </c>
    </row>
    <row r="642" spans="1:48" ht="18" customHeight="1">
      <c r="A642" s="44">
        <v>640</v>
      </c>
      <c r="B642" s="71" t="s">
        <v>1076</v>
      </c>
      <c r="C642" s="52" t="s">
        <v>2523</v>
      </c>
      <c r="D642" s="46" t="s">
        <v>116</v>
      </c>
      <c r="E642" s="44" t="s">
        <v>2521</v>
      </c>
      <c r="F642" s="44" t="s">
        <v>2563</v>
      </c>
      <c r="G642" s="44"/>
      <c r="H642" s="44"/>
      <c r="I642" s="44"/>
      <c r="J642" s="47" t="s">
        <v>35</v>
      </c>
      <c r="K642" s="47"/>
      <c r="L642" s="47"/>
      <c r="M642" s="47"/>
      <c r="N642" s="47"/>
      <c r="O642" s="44"/>
      <c r="P642" s="44"/>
      <c r="Q642" s="48">
        <f>VLOOKUP(E642,sheet1!$B$2:$D$3209,3,FALSE)</f>
        <v>612</v>
      </c>
      <c r="R642" s="47" t="s">
        <v>35</v>
      </c>
      <c r="S642" s="47" t="s">
        <v>35</v>
      </c>
      <c r="T642" s="47" t="s">
        <v>35</v>
      </c>
      <c r="U642" s="47" t="s">
        <v>35</v>
      </c>
      <c r="V642" s="47" t="s">
        <v>35</v>
      </c>
      <c r="W642" s="47" t="s">
        <v>35</v>
      </c>
      <c r="X642" s="47" t="s">
        <v>35</v>
      </c>
      <c r="Y642" s="47" t="s">
        <v>35</v>
      </c>
      <c r="Z642" s="47" t="s">
        <v>35</v>
      </c>
      <c r="AA642" s="47" t="s">
        <v>35</v>
      </c>
      <c r="AB642" s="47" t="s">
        <v>35</v>
      </c>
      <c r="AC642" s="47" t="s">
        <v>35</v>
      </c>
      <c r="AD642" s="73" t="e">
        <f>VLOOKUP(E653,sheet1!$B$2:$C$3209,2,FALSE)</f>
        <v>#N/A</v>
      </c>
      <c r="AE642" s="49"/>
      <c r="AF642" s="51" t="s">
        <v>2564</v>
      </c>
      <c r="AG642" s="51" t="s">
        <v>344</v>
      </c>
      <c r="AH642" s="49" t="str">
        <f t="shared" si="47"/>
        <v>起源製番　照会</v>
      </c>
      <c r="AI642" s="49"/>
      <c r="AJ642" s="49"/>
      <c r="AK642" s="49"/>
      <c r="AL642" s="49" t="str">
        <f t="shared" si="48"/>
        <v>起源製番　照会</v>
      </c>
      <c r="AM642" s="49" t="s">
        <v>35</v>
      </c>
      <c r="AN642" s="49" t="s">
        <v>2565</v>
      </c>
      <c r="AO642" s="51" t="str">
        <f t="shared" si="39"/>
        <v>仕入予定金額集計表（部門別）</v>
      </c>
      <c r="AP642" s="51" t="str">
        <f t="shared" si="40"/>
        <v>AC7120</v>
      </c>
      <c r="AQ642" s="51" t="s">
        <v>2566</v>
      </c>
      <c r="AR642" s="51" t="s">
        <v>2525</v>
      </c>
      <c r="AS642" s="49" t="str">
        <f t="shared" si="41"/>
        <v>仕入予定金額集計表（部門別）</v>
      </c>
      <c r="AT642" s="49" t="str">
        <f t="shared" si="42"/>
        <v>AC7120</v>
      </c>
      <c r="AU642" s="51" t="s">
        <v>2524</v>
      </c>
      <c r="AV642" s="51" t="s">
        <v>2525</v>
      </c>
    </row>
    <row r="643" spans="1:48" ht="18" customHeight="1">
      <c r="A643" s="44">
        <v>641</v>
      </c>
      <c r="B643" s="71" t="s">
        <v>1076</v>
      </c>
      <c r="C643" s="52" t="s">
        <v>2523</v>
      </c>
      <c r="D643" s="46" t="s">
        <v>116</v>
      </c>
      <c r="E643" s="44" t="s">
        <v>2525</v>
      </c>
      <c r="F643" s="44" t="s">
        <v>2526</v>
      </c>
      <c r="G643" s="44"/>
      <c r="H643" s="44"/>
      <c r="I643" s="44"/>
      <c r="J643" s="47" t="s">
        <v>35</v>
      </c>
      <c r="K643" s="47"/>
      <c r="L643" s="47"/>
      <c r="M643" s="47"/>
      <c r="N643" s="47"/>
      <c r="O643" s="44"/>
      <c r="P643" s="44"/>
      <c r="Q643" s="48">
        <f>VLOOKUP(E643,sheet1!$B$2:$D$3209,3,FALSE)</f>
        <v>625</v>
      </c>
      <c r="R643" s="47" t="s">
        <v>35</v>
      </c>
      <c r="S643" s="47" t="s">
        <v>35</v>
      </c>
      <c r="T643" s="47" t="s">
        <v>35</v>
      </c>
      <c r="U643" s="47" t="s">
        <v>35</v>
      </c>
      <c r="V643" s="47" t="s">
        <v>35</v>
      </c>
      <c r="W643" s="47" t="s">
        <v>35</v>
      </c>
      <c r="X643" s="47" t="s">
        <v>35</v>
      </c>
      <c r="Y643" s="47" t="s">
        <v>35</v>
      </c>
      <c r="Z643" s="47" t="s">
        <v>35</v>
      </c>
      <c r="AA643" s="47" t="s">
        <v>35</v>
      </c>
      <c r="AB643" s="47" t="s">
        <v>35</v>
      </c>
      <c r="AC643" s="47" t="s">
        <v>35</v>
      </c>
      <c r="AD643" s="73" t="e">
        <f>VLOOKUP(E654,sheet1!$B$2:$C$3209,2,FALSE)</f>
        <v>#N/A</v>
      </c>
      <c r="AE643" s="49"/>
      <c r="AF643" s="51" t="s">
        <v>2567</v>
      </c>
      <c r="AG643" s="51" t="s">
        <v>344</v>
      </c>
      <c r="AH643" s="49" t="str">
        <f t="shared" si="47"/>
        <v>ユニット展開単位リスト</v>
      </c>
      <c r="AI643" s="49"/>
      <c r="AJ643" s="49"/>
      <c r="AK643" s="49"/>
      <c r="AL643" s="49" t="str">
        <f t="shared" si="48"/>
        <v>ユニット展開単位リスト</v>
      </c>
      <c r="AM643" s="49" t="s">
        <v>35</v>
      </c>
      <c r="AN643" s="49" t="s">
        <v>2568</v>
      </c>
      <c r="AO643" s="51" t="str">
        <f t="shared" si="39"/>
        <v>仕入実績＆予定内訳</v>
      </c>
      <c r="AP643" s="51" t="str">
        <f t="shared" si="40"/>
        <v>AC7130</v>
      </c>
      <c r="AQ643" s="51" t="s">
        <v>2569</v>
      </c>
      <c r="AR643" s="51" t="s">
        <v>2529</v>
      </c>
      <c r="AS643" s="49" t="str">
        <f t="shared" si="41"/>
        <v>仕入実績＆予定内訳</v>
      </c>
      <c r="AT643" s="49" t="str">
        <f t="shared" si="42"/>
        <v>AC7130</v>
      </c>
      <c r="AU643" s="51" t="s">
        <v>2528</v>
      </c>
      <c r="AV643" s="51" t="s">
        <v>2529</v>
      </c>
    </row>
    <row r="644" spans="1:48" ht="18" customHeight="1">
      <c r="A644" s="44">
        <v>642</v>
      </c>
      <c r="B644" s="71" t="s">
        <v>1076</v>
      </c>
      <c r="C644" s="52" t="s">
        <v>2523</v>
      </c>
      <c r="D644" s="46" t="s">
        <v>116</v>
      </c>
      <c r="E644" s="44" t="s">
        <v>2529</v>
      </c>
      <c r="F644" s="44" t="s">
        <v>2570</v>
      </c>
      <c r="G644" s="44"/>
      <c r="H644" s="44"/>
      <c r="I644" s="44"/>
      <c r="J644" s="47" t="s">
        <v>35</v>
      </c>
      <c r="K644" s="47"/>
      <c r="L644" s="47"/>
      <c r="M644" s="47"/>
      <c r="N644" s="47"/>
      <c r="O644" s="44"/>
      <c r="P644" s="44"/>
      <c r="Q644" s="48">
        <f>VLOOKUP(E644,sheet1!$B$2:$D$3209,3,FALSE)</f>
        <v>750</v>
      </c>
      <c r="R644" s="47" t="s">
        <v>35</v>
      </c>
      <c r="S644" s="47" t="s">
        <v>35</v>
      </c>
      <c r="T644" s="47" t="s">
        <v>35</v>
      </c>
      <c r="U644" s="47" t="s">
        <v>35</v>
      </c>
      <c r="V644" s="47" t="s">
        <v>35</v>
      </c>
      <c r="W644" s="47" t="s">
        <v>35</v>
      </c>
      <c r="X644" s="47" t="s">
        <v>35</v>
      </c>
      <c r="Y644" s="47" t="s">
        <v>35</v>
      </c>
      <c r="Z644" s="47" t="s">
        <v>35</v>
      </c>
      <c r="AA644" s="47" t="s">
        <v>35</v>
      </c>
      <c r="AB644" s="47" t="s">
        <v>35</v>
      </c>
      <c r="AC644" s="47" t="s">
        <v>35</v>
      </c>
      <c r="AD644" s="73" t="e">
        <f>VLOOKUP(E655,sheet1!$B$2:$C$3209,2,FALSE)</f>
        <v>#N/A</v>
      </c>
      <c r="AE644" s="49"/>
      <c r="AF644" s="51" t="s">
        <v>2571</v>
      </c>
      <c r="AG644" s="51" t="s">
        <v>344</v>
      </c>
      <c r="AH644" s="49" t="str">
        <f t="shared" si="47"/>
        <v>機種コード別品目リスト</v>
      </c>
      <c r="AI644" s="49"/>
      <c r="AJ644" s="49"/>
      <c r="AK644" s="49"/>
      <c r="AL644" s="49" t="str">
        <f t="shared" si="48"/>
        <v>機種コード別品目リスト</v>
      </c>
      <c r="AM644" s="49" t="s">
        <v>35</v>
      </c>
      <c r="AN644" s="49" t="s">
        <v>2572</v>
      </c>
      <c r="AO644" s="51" t="str">
        <f t="shared" si="39"/>
        <v>仕入照会（勘定科目検索）</v>
      </c>
      <c r="AP644" s="51" t="str">
        <f t="shared" si="40"/>
        <v>AC7138</v>
      </c>
      <c r="AQ644" s="51" t="s">
        <v>2573</v>
      </c>
      <c r="AR644" s="51" t="s">
        <v>2534</v>
      </c>
      <c r="AS644" s="49" t="str">
        <f t="shared" si="41"/>
        <v>仕入照会（勘定科目検索）</v>
      </c>
      <c r="AT644" s="49" t="str">
        <f t="shared" si="42"/>
        <v>AC7138</v>
      </c>
      <c r="AU644" s="51" t="s">
        <v>2533</v>
      </c>
      <c r="AV644" s="51" t="s">
        <v>2534</v>
      </c>
    </row>
    <row r="645" spans="1:48" ht="18" customHeight="1">
      <c r="A645" s="44">
        <v>643</v>
      </c>
      <c r="B645" s="71" t="s">
        <v>1076</v>
      </c>
      <c r="C645" s="52" t="s">
        <v>2523</v>
      </c>
      <c r="D645" s="46" t="s">
        <v>116</v>
      </c>
      <c r="E645" s="44" t="s">
        <v>2534</v>
      </c>
      <c r="F645" s="44" t="s">
        <v>2574</v>
      </c>
      <c r="G645" s="44"/>
      <c r="H645" s="44"/>
      <c r="I645" s="44"/>
      <c r="J645" s="47" t="s">
        <v>35</v>
      </c>
      <c r="K645" s="47"/>
      <c r="L645" s="47"/>
      <c r="M645" s="47"/>
      <c r="N645" s="47"/>
      <c r="O645" s="44"/>
      <c r="P645" s="44"/>
      <c r="Q645" s="48">
        <f>VLOOKUP(E645,sheet1!$B$2:$D$3209,3,FALSE)</f>
        <v>617</v>
      </c>
      <c r="R645" s="47" t="s">
        <v>35</v>
      </c>
      <c r="S645" s="47" t="s">
        <v>35</v>
      </c>
      <c r="T645" s="47" t="s">
        <v>35</v>
      </c>
      <c r="U645" s="47" t="s">
        <v>35</v>
      </c>
      <c r="V645" s="47" t="s">
        <v>35</v>
      </c>
      <c r="W645" s="47" t="s">
        <v>35</v>
      </c>
      <c r="X645" s="47" t="s">
        <v>35</v>
      </c>
      <c r="Y645" s="47" t="s">
        <v>35</v>
      </c>
      <c r="Z645" s="47" t="s">
        <v>35</v>
      </c>
      <c r="AA645" s="47" t="s">
        <v>35</v>
      </c>
      <c r="AB645" s="47" t="s">
        <v>35</v>
      </c>
      <c r="AC645" s="47" t="s">
        <v>35</v>
      </c>
      <c r="AD645" s="73" t="str">
        <f>VLOOKUP(E656,sheet1!$B$2:$C$3209,2,FALSE)</f>
        <v>部課別機種別生産実績集計表～画面入力</v>
      </c>
      <c r="AE645" s="49"/>
      <c r="AF645" s="51" t="s">
        <v>2575</v>
      </c>
      <c r="AG645" s="51" t="s">
        <v>2576</v>
      </c>
      <c r="AH645" s="49" t="str">
        <f t="shared" si="47"/>
        <v>部課別機種別生産実績集計表</v>
      </c>
      <c r="AI645" s="49"/>
      <c r="AJ645" s="49"/>
      <c r="AK645" s="49"/>
      <c r="AL645" s="49" t="str">
        <f t="shared" si="48"/>
        <v>部課別機種別生産実績集計表</v>
      </c>
      <c r="AM645" s="49" t="s">
        <v>35</v>
      </c>
      <c r="AN645" s="49" t="s">
        <v>2577</v>
      </c>
      <c r="AO645" s="51" t="str">
        <f t="shared" si="39"/>
        <v>仕入予定金額照会</v>
      </c>
      <c r="AP645" s="51" t="str">
        <f t="shared" si="40"/>
        <v>AC6315</v>
      </c>
      <c r="AQ645" s="51" t="s">
        <v>2578</v>
      </c>
      <c r="AR645" s="51" t="s">
        <v>2538</v>
      </c>
      <c r="AS645" s="49" t="str">
        <f t="shared" si="41"/>
        <v>仕入予定金額照会</v>
      </c>
      <c r="AT645" s="49" t="str">
        <f t="shared" si="42"/>
        <v>AC6315</v>
      </c>
      <c r="AU645" s="51" t="s">
        <v>2537</v>
      </c>
      <c r="AV645" s="51" t="s">
        <v>2538</v>
      </c>
    </row>
    <row r="646" spans="1:48" ht="18" customHeight="1">
      <c r="A646" s="44">
        <v>644</v>
      </c>
      <c r="B646" s="71" t="s">
        <v>1076</v>
      </c>
      <c r="C646" s="52" t="s">
        <v>2523</v>
      </c>
      <c r="D646" s="46" t="s">
        <v>116</v>
      </c>
      <c r="E646" s="44" t="s">
        <v>2538</v>
      </c>
      <c r="F646" s="44" t="s">
        <v>2579</v>
      </c>
      <c r="G646" s="44"/>
      <c r="H646" s="44"/>
      <c r="I646" s="44"/>
      <c r="J646" s="47" t="s">
        <v>35</v>
      </c>
      <c r="K646" s="47"/>
      <c r="L646" s="47"/>
      <c r="M646" s="47"/>
      <c r="N646" s="47"/>
      <c r="O646" s="44"/>
      <c r="P646" s="44"/>
      <c r="Q646" s="48">
        <f>VLOOKUP(E646,sheet1!$B$2:$D$3209,3,FALSE)</f>
        <v>371</v>
      </c>
      <c r="R646" s="47" t="s">
        <v>35</v>
      </c>
      <c r="S646" s="47" t="s">
        <v>35</v>
      </c>
      <c r="T646" s="47" t="s">
        <v>35</v>
      </c>
      <c r="U646" s="47" t="s">
        <v>35</v>
      </c>
      <c r="V646" s="47" t="s">
        <v>35</v>
      </c>
      <c r="W646" s="47" t="s">
        <v>35</v>
      </c>
      <c r="X646" s="47" t="s">
        <v>35</v>
      </c>
      <c r="Y646" s="47" t="s">
        <v>35</v>
      </c>
      <c r="Z646" s="47" t="s">
        <v>35</v>
      </c>
      <c r="AA646" s="47" t="s">
        <v>35</v>
      </c>
      <c r="AB646" s="47" t="s">
        <v>35</v>
      </c>
      <c r="AC646" s="47" t="s">
        <v>35</v>
      </c>
      <c r="AD646" s="73" t="str">
        <f>VLOOKUP(E657,sheet1!$B$2:$C$3209,2,FALSE)</f>
        <v>４品種別機種別完成台数製造原価集計表～画面入力</v>
      </c>
      <c r="AE646" s="49"/>
      <c r="AF646" s="51" t="s">
        <v>2580</v>
      </c>
      <c r="AG646" s="51" t="s">
        <v>2581</v>
      </c>
      <c r="AH646" s="49" t="str">
        <f t="shared" si="47"/>
        <v>完成台数製造原価集計表</v>
      </c>
      <c r="AI646" s="49"/>
      <c r="AJ646" s="49"/>
      <c r="AK646" s="49"/>
      <c r="AL646" s="49" t="str">
        <f t="shared" si="48"/>
        <v>完成台数製造原価集計表</v>
      </c>
      <c r="AM646" s="49" t="s">
        <v>35</v>
      </c>
      <c r="AN646" s="49" t="s">
        <v>2582</v>
      </c>
      <c r="AO646" s="51" t="str">
        <f t="shared" si="39"/>
        <v>品目別平均仕入単価照会</v>
      </c>
      <c r="AP646" s="51" t="str">
        <f t="shared" si="40"/>
        <v>MP7150</v>
      </c>
      <c r="AQ646" s="51" t="s">
        <v>2583</v>
      </c>
      <c r="AR646" s="51" t="s">
        <v>2542</v>
      </c>
      <c r="AS646" s="49" t="str">
        <f t="shared" si="41"/>
        <v>品目別平均仕入単価照会</v>
      </c>
      <c r="AT646" s="49" t="str">
        <f t="shared" si="42"/>
        <v>MP7150</v>
      </c>
      <c r="AU646" s="51" t="s">
        <v>2541</v>
      </c>
      <c r="AV646" s="51" t="s">
        <v>2542</v>
      </c>
    </row>
    <row r="647" spans="1:48" ht="18" customHeight="1">
      <c r="A647" s="44">
        <v>645</v>
      </c>
      <c r="B647" s="71" t="s">
        <v>1076</v>
      </c>
      <c r="C647" s="52" t="s">
        <v>2523</v>
      </c>
      <c r="D647" s="46" t="s">
        <v>116</v>
      </c>
      <c r="E647" s="59" t="s">
        <v>2542</v>
      </c>
      <c r="F647" s="44" t="s">
        <v>2584</v>
      </c>
      <c r="G647" s="44"/>
      <c r="H647" s="44"/>
      <c r="I647" s="44"/>
      <c r="J647" s="47" t="s">
        <v>35</v>
      </c>
      <c r="K647" s="47"/>
      <c r="L647" s="47"/>
      <c r="M647" s="47"/>
      <c r="N647" s="47"/>
      <c r="O647" s="44"/>
      <c r="P647" s="44"/>
      <c r="Q647" s="48">
        <f>VLOOKUP(E647,sheet1!$B$2:$D$3209,3,FALSE)</f>
        <v>278</v>
      </c>
      <c r="R647" s="47" t="s">
        <v>35</v>
      </c>
      <c r="S647" s="47" t="s">
        <v>35</v>
      </c>
      <c r="T647" s="47" t="s">
        <v>35</v>
      </c>
      <c r="U647" s="47" t="s">
        <v>35</v>
      </c>
      <c r="V647" s="47" t="s">
        <v>35</v>
      </c>
      <c r="W647" s="47" t="s">
        <v>35</v>
      </c>
      <c r="X647" s="47" t="s">
        <v>35</v>
      </c>
      <c r="Y647" s="47" t="s">
        <v>35</v>
      </c>
      <c r="Z647" s="47" t="s">
        <v>35</v>
      </c>
      <c r="AA647" s="47" t="s">
        <v>35</v>
      </c>
      <c r="AB647" s="47" t="s">
        <v>35</v>
      </c>
      <c r="AC647" s="47" t="s">
        <v>35</v>
      </c>
      <c r="AD647" s="73" t="e">
        <f>VLOOKUP(E658,sheet1!$B$2:$C$3209,2,FALSE)</f>
        <v>#N/A</v>
      </c>
      <c r="AE647" s="49"/>
      <c r="AF647" s="51" t="s">
        <v>2585</v>
      </c>
      <c r="AG647" s="51" t="s">
        <v>2586</v>
      </c>
      <c r="AH647" s="49" t="str">
        <f t="shared" si="47"/>
        <v>取引先タックシール作成（６行</v>
      </c>
      <c r="AI647" s="49"/>
      <c r="AJ647" s="49"/>
      <c r="AK647" s="49"/>
      <c r="AL647" s="49" t="str">
        <f t="shared" si="48"/>
        <v>取引先タックシール作成（６行</v>
      </c>
      <c r="AM647" s="49" t="s">
        <v>35</v>
      </c>
      <c r="AN647" s="49" t="s">
        <v>2587</v>
      </c>
      <c r="AO647" s="51" t="str">
        <f t="shared" si="39"/>
        <v>納期回答調査表印刷</v>
      </c>
      <c r="AP647" s="51" t="str">
        <f t="shared" si="40"/>
        <v>PD3690</v>
      </c>
      <c r="AQ647" s="51" t="s">
        <v>2588</v>
      </c>
      <c r="AR647" s="51" t="s">
        <v>2546</v>
      </c>
      <c r="AS647" s="49" t="str">
        <f t="shared" si="41"/>
        <v>納期回答調査表印刷</v>
      </c>
      <c r="AT647" s="49" t="str">
        <f t="shared" si="42"/>
        <v>PD3690</v>
      </c>
      <c r="AU647" s="51" t="s">
        <v>2545</v>
      </c>
      <c r="AV647" s="51" t="s">
        <v>2546</v>
      </c>
    </row>
    <row r="648" spans="1:48" ht="18" customHeight="1">
      <c r="A648" s="44">
        <v>646</v>
      </c>
      <c r="B648" s="71" t="s">
        <v>1076</v>
      </c>
      <c r="C648" s="52" t="s">
        <v>2523</v>
      </c>
      <c r="D648" s="46" t="s">
        <v>116</v>
      </c>
      <c r="E648" s="44" t="s">
        <v>2546</v>
      </c>
      <c r="F648" s="44" t="s">
        <v>2589</v>
      </c>
      <c r="G648" s="44"/>
      <c r="H648" s="44"/>
      <c r="I648" s="44"/>
      <c r="J648" s="47" t="s">
        <v>35</v>
      </c>
      <c r="K648" s="47"/>
      <c r="L648" s="47"/>
      <c r="M648" s="47"/>
      <c r="N648" s="47"/>
      <c r="O648" s="44"/>
      <c r="P648" s="44"/>
      <c r="Q648" s="48">
        <f>VLOOKUP(E648,sheet1!$B$2:$D$3209,3,FALSE)</f>
        <v>1375</v>
      </c>
      <c r="R648" s="47" t="s">
        <v>35</v>
      </c>
      <c r="S648" s="47" t="s">
        <v>35</v>
      </c>
      <c r="T648" s="47" t="s">
        <v>35</v>
      </c>
      <c r="U648" s="47" t="s">
        <v>35</v>
      </c>
      <c r="V648" s="47" t="s">
        <v>35</v>
      </c>
      <c r="W648" s="47" t="s">
        <v>35</v>
      </c>
      <c r="X648" s="47" t="s">
        <v>35</v>
      </c>
      <c r="Y648" s="47" t="s">
        <v>35</v>
      </c>
      <c r="Z648" s="47" t="s">
        <v>35</v>
      </c>
      <c r="AA648" s="47" t="s">
        <v>35</v>
      </c>
      <c r="AB648" s="47" t="s">
        <v>35</v>
      </c>
      <c r="AC648" s="47" t="s">
        <v>35</v>
      </c>
      <c r="AD648" s="73" t="str">
        <f>VLOOKUP(E659,sheet1!$B$2:$C$3209,2,FALSE)</f>
        <v>有償支給明細表</v>
      </c>
      <c r="AE648" s="49"/>
      <c r="AF648" s="51" t="s">
        <v>2590</v>
      </c>
      <c r="AG648" s="51" t="s">
        <v>2591</v>
      </c>
      <c r="AH648" s="49" t="str">
        <f t="shared" si="47"/>
        <v>有償支給明細書</v>
      </c>
      <c r="AI648" s="49"/>
      <c r="AJ648" s="49"/>
      <c r="AK648" s="49"/>
      <c r="AL648" s="49" t="str">
        <f t="shared" si="48"/>
        <v>有償支給明細書</v>
      </c>
      <c r="AM648" s="49" t="s">
        <v>35</v>
      </c>
      <c r="AN648" s="49" t="s">
        <v>2592</v>
      </c>
      <c r="AO648" s="51" t="str">
        <f t="shared" si="39"/>
        <v>仕入・出庫伝票表</v>
      </c>
      <c r="AP648" s="51" t="str">
        <f t="shared" si="40"/>
        <v>AC4730</v>
      </c>
      <c r="AQ648" s="51" t="s">
        <v>2593</v>
      </c>
      <c r="AR648" s="51" t="s">
        <v>2550</v>
      </c>
      <c r="AS648" s="49" t="str">
        <f t="shared" si="41"/>
        <v>仕入・出庫伝票表</v>
      </c>
      <c r="AT648" s="49" t="str">
        <f t="shared" si="42"/>
        <v>AC4730</v>
      </c>
      <c r="AU648" s="51" t="s">
        <v>2549</v>
      </c>
      <c r="AV648" s="51" t="s">
        <v>2550</v>
      </c>
    </row>
    <row r="649" spans="1:48" ht="18" customHeight="1">
      <c r="A649" s="44">
        <v>647</v>
      </c>
      <c r="B649" s="71" t="s">
        <v>1076</v>
      </c>
      <c r="C649" s="52" t="s">
        <v>2523</v>
      </c>
      <c r="D649" s="46" t="s">
        <v>116</v>
      </c>
      <c r="E649" s="44" t="s">
        <v>2550</v>
      </c>
      <c r="F649" s="44" t="s">
        <v>2594</v>
      </c>
      <c r="G649" s="44"/>
      <c r="H649" s="44"/>
      <c r="I649" s="44"/>
      <c r="J649" s="47" t="s">
        <v>35</v>
      </c>
      <c r="K649" s="47"/>
      <c r="L649" s="47"/>
      <c r="M649" s="47"/>
      <c r="N649" s="47"/>
      <c r="O649" s="44"/>
      <c r="P649" s="44"/>
      <c r="Q649" s="48">
        <f>VLOOKUP(E649,sheet1!$B$2:$D$3209,3,FALSE)</f>
        <v>810</v>
      </c>
      <c r="R649" s="47" t="s">
        <v>35</v>
      </c>
      <c r="S649" s="47" t="s">
        <v>35</v>
      </c>
      <c r="T649" s="47" t="s">
        <v>35</v>
      </c>
      <c r="U649" s="47" t="s">
        <v>35</v>
      </c>
      <c r="V649" s="47" t="s">
        <v>35</v>
      </c>
      <c r="W649" s="47" t="s">
        <v>35</v>
      </c>
      <c r="X649" s="47" t="s">
        <v>35</v>
      </c>
      <c r="Y649" s="47" t="s">
        <v>35</v>
      </c>
      <c r="Z649" s="47" t="s">
        <v>35</v>
      </c>
      <c r="AA649" s="47" t="s">
        <v>35</v>
      </c>
      <c r="AB649" s="47" t="s">
        <v>35</v>
      </c>
      <c r="AC649" s="47" t="s">
        <v>35</v>
      </c>
      <c r="AD649" s="73" t="str">
        <f>VLOOKUP(E660,sheet1!$B$2:$C$3209,2,FALSE)</f>
        <v>送り状作成指示（手動）</v>
      </c>
      <c r="AE649" s="49"/>
      <c r="AF649" s="51" t="s">
        <v>2595</v>
      </c>
      <c r="AG649" s="51" t="s">
        <v>654</v>
      </c>
      <c r="AH649" s="49" t="str">
        <f t="shared" si="47"/>
        <v>送り状作成（手動）</v>
      </c>
      <c r="AI649" s="49"/>
      <c r="AJ649" s="49"/>
      <c r="AK649" s="49"/>
      <c r="AL649" s="49" t="str">
        <f t="shared" si="48"/>
        <v>送り状作成（手動）</v>
      </c>
      <c r="AM649" s="49" t="s">
        <v>35</v>
      </c>
      <c r="AN649" s="49" t="s">
        <v>2596</v>
      </c>
      <c r="AO649" s="51" t="str">
        <f t="shared" si="39"/>
        <v>作業工数チェックリスト</v>
      </c>
      <c r="AP649" s="51" t="str">
        <f t="shared" si="40"/>
        <v>Query</v>
      </c>
      <c r="AQ649" s="51" t="s">
        <v>2553</v>
      </c>
      <c r="AR649" s="51" t="s">
        <v>344</v>
      </c>
      <c r="AS649" s="49" t="str">
        <f t="shared" si="41"/>
        <v>作業工数チェックリスト</v>
      </c>
      <c r="AT649" s="49" t="str">
        <f t="shared" si="42"/>
        <v>Query</v>
      </c>
      <c r="AU649" s="51" t="s">
        <v>2553</v>
      </c>
      <c r="AV649" s="51" t="s">
        <v>344</v>
      </c>
    </row>
    <row r="650" spans="1:48" ht="18" customHeight="1">
      <c r="A650" s="44">
        <v>648</v>
      </c>
      <c r="B650" s="71" t="s">
        <v>1076</v>
      </c>
      <c r="C650" s="45" t="s">
        <v>2597</v>
      </c>
      <c r="D650" s="46" t="s">
        <v>116</v>
      </c>
      <c r="E650" s="44" t="s">
        <v>344</v>
      </c>
      <c r="F650" s="44" t="s">
        <v>2598</v>
      </c>
      <c r="G650" s="44"/>
      <c r="H650" s="44"/>
      <c r="I650" s="44"/>
      <c r="J650" s="47"/>
      <c r="K650" s="47" t="s">
        <v>35</v>
      </c>
      <c r="L650" s="47"/>
      <c r="M650" s="47"/>
      <c r="N650" s="47"/>
      <c r="O650" s="44"/>
      <c r="P650" s="44"/>
      <c r="Q650" s="48" t="e">
        <f>VLOOKUP(E650,sheet1!$B$2:$D$3209,3,FALSE)</f>
        <v>#N/A</v>
      </c>
      <c r="R650" s="47"/>
      <c r="S650" s="47" t="s">
        <v>35</v>
      </c>
      <c r="T650" s="47" t="s">
        <v>35</v>
      </c>
      <c r="U650" s="47" t="s">
        <v>35</v>
      </c>
      <c r="V650" s="47" t="s">
        <v>35</v>
      </c>
      <c r="W650" s="47" t="s">
        <v>35</v>
      </c>
      <c r="X650" s="47" t="s">
        <v>35</v>
      </c>
      <c r="Y650" s="47" t="s">
        <v>35</v>
      </c>
      <c r="Z650" s="47" t="s">
        <v>35</v>
      </c>
      <c r="AA650" s="47" t="s">
        <v>35</v>
      </c>
      <c r="AB650" s="47" t="s">
        <v>35</v>
      </c>
      <c r="AC650" s="47" t="s">
        <v>35</v>
      </c>
      <c r="AD650" s="73" t="str">
        <f>VLOOKUP(E661,sheet1!$B$2:$C$3209,2,FALSE)</f>
        <v>発送先固有情報マスターメンテナンス</v>
      </c>
      <c r="AE650" s="49"/>
      <c r="AF650" s="51" t="s">
        <v>2599</v>
      </c>
      <c r="AG650" s="51" t="s">
        <v>2600</v>
      </c>
      <c r="AH650" s="49" t="str">
        <f t="shared" si="47"/>
        <v>発送先固有情報マスタ保守</v>
      </c>
      <c r="AI650" s="49"/>
      <c r="AJ650" s="49"/>
      <c r="AK650" s="49"/>
      <c r="AL650" s="49" t="str">
        <f t="shared" si="48"/>
        <v>発送先固有情報マスタ保守</v>
      </c>
      <c r="AM650" s="49" t="s">
        <v>35</v>
      </c>
      <c r="AN650" s="49" t="s">
        <v>2601</v>
      </c>
      <c r="AO650" s="51" t="str">
        <f t="shared" si="39"/>
        <v>イニシャル別品目リスト</v>
      </c>
      <c r="AP650" s="51" t="str">
        <f t="shared" si="40"/>
        <v>Query</v>
      </c>
      <c r="AQ650" s="51" t="s">
        <v>2557</v>
      </c>
      <c r="AR650" s="51" t="s">
        <v>344</v>
      </c>
      <c r="AS650" s="49" t="str">
        <f t="shared" si="41"/>
        <v>イニシャル別品目リスト</v>
      </c>
      <c r="AT650" s="49" t="str">
        <f t="shared" si="42"/>
        <v>Query</v>
      </c>
      <c r="AU650" s="51" t="s">
        <v>2557</v>
      </c>
      <c r="AV650" s="51" t="s">
        <v>344</v>
      </c>
    </row>
    <row r="651" spans="1:48" ht="18" customHeight="1">
      <c r="A651" s="44">
        <v>649</v>
      </c>
      <c r="B651" s="71" t="s">
        <v>1076</v>
      </c>
      <c r="C651" s="52" t="s">
        <v>2597</v>
      </c>
      <c r="D651" s="46" t="s">
        <v>116</v>
      </c>
      <c r="E651" s="44" t="s">
        <v>344</v>
      </c>
      <c r="F651" s="44" t="s">
        <v>2602</v>
      </c>
      <c r="G651" s="44"/>
      <c r="H651" s="44"/>
      <c r="I651" s="44"/>
      <c r="J651" s="47"/>
      <c r="K651" s="47" t="s">
        <v>35</v>
      </c>
      <c r="L651" s="47"/>
      <c r="M651" s="47"/>
      <c r="N651" s="47"/>
      <c r="O651" s="44"/>
      <c r="P651" s="44"/>
      <c r="Q651" s="48" t="e">
        <f>VLOOKUP(E651,sheet1!$B$2:$D$3209,3,FALSE)</f>
        <v>#N/A</v>
      </c>
      <c r="R651" s="47"/>
      <c r="S651" s="47" t="s">
        <v>35</v>
      </c>
      <c r="T651" s="47"/>
      <c r="U651" s="47" t="s">
        <v>35</v>
      </c>
      <c r="V651" s="47" t="s">
        <v>35</v>
      </c>
      <c r="W651" s="47" t="s">
        <v>35</v>
      </c>
      <c r="X651" s="47" t="s">
        <v>35</v>
      </c>
      <c r="Y651" s="47" t="s">
        <v>35</v>
      </c>
      <c r="Z651" s="47" t="s">
        <v>35</v>
      </c>
      <c r="AA651" s="47" t="s">
        <v>35</v>
      </c>
      <c r="AB651" s="47" t="s">
        <v>35</v>
      </c>
      <c r="AC651" s="47" t="s">
        <v>35</v>
      </c>
      <c r="AD651" s="73" t="e">
        <f>VLOOKUP(E662,sheet1!$B$2:$C$3209,2,FALSE)</f>
        <v>#N/A</v>
      </c>
      <c r="AE651" s="49"/>
      <c r="AF651" s="51" t="s">
        <v>2603</v>
      </c>
      <c r="AG651" s="51" t="s">
        <v>2604</v>
      </c>
      <c r="AH651" s="49" t="str">
        <f t="shared" si="47"/>
        <v>社員番号検索</v>
      </c>
      <c r="AI651" s="49"/>
      <c r="AJ651" s="49"/>
      <c r="AK651" s="49"/>
      <c r="AL651" s="49" t="str">
        <f t="shared" si="48"/>
        <v>社員番号検索</v>
      </c>
      <c r="AM651" s="49" t="s">
        <v>35</v>
      </c>
      <c r="AN651" s="49" t="s">
        <v>2605</v>
      </c>
      <c r="AO651" s="51" t="str">
        <f t="shared" si="39"/>
        <v>生産統轄先行手配リスト</v>
      </c>
      <c r="AP651" s="51" t="str">
        <f t="shared" si="40"/>
        <v>Query</v>
      </c>
      <c r="AQ651" s="51" t="s">
        <v>2560</v>
      </c>
      <c r="AR651" s="51" t="s">
        <v>344</v>
      </c>
      <c r="AS651" s="49" t="str">
        <f t="shared" si="41"/>
        <v>生産統轄先行手配リスト</v>
      </c>
      <c r="AT651" s="49" t="str">
        <f t="shared" si="42"/>
        <v>Query</v>
      </c>
      <c r="AU651" s="51" t="s">
        <v>2560</v>
      </c>
      <c r="AV651" s="51" t="s">
        <v>344</v>
      </c>
    </row>
    <row r="652" spans="1:48" ht="18" customHeight="1">
      <c r="A652" s="44">
        <v>650</v>
      </c>
      <c r="B652" s="71" t="s">
        <v>1076</v>
      </c>
      <c r="C652" s="52" t="s">
        <v>2597</v>
      </c>
      <c r="D652" s="46" t="s">
        <v>116</v>
      </c>
      <c r="E652" s="44" t="s">
        <v>344</v>
      </c>
      <c r="F652" s="44" t="s">
        <v>2606</v>
      </c>
      <c r="G652" s="44"/>
      <c r="H652" s="44"/>
      <c r="I652" s="44"/>
      <c r="J652" s="47"/>
      <c r="K652" s="47" t="s">
        <v>35</v>
      </c>
      <c r="L652" s="47"/>
      <c r="M652" s="47"/>
      <c r="N652" s="47"/>
      <c r="O652" s="44"/>
      <c r="P652" s="44"/>
      <c r="Q652" s="48" t="e">
        <f>VLOOKUP(E652,sheet1!$B$2:$D$3209,3,FALSE)</f>
        <v>#N/A</v>
      </c>
      <c r="R652" s="47"/>
      <c r="S652" s="47" t="s">
        <v>35</v>
      </c>
      <c r="T652" s="47"/>
      <c r="U652" s="47" t="s">
        <v>35</v>
      </c>
      <c r="V652" s="47" t="s">
        <v>35</v>
      </c>
      <c r="W652" s="47" t="s">
        <v>35</v>
      </c>
      <c r="X652" s="47" t="s">
        <v>35</v>
      </c>
      <c r="Y652" s="47" t="s">
        <v>35</v>
      </c>
      <c r="Z652" s="47" t="s">
        <v>35</v>
      </c>
      <c r="AA652" s="47" t="s">
        <v>35</v>
      </c>
      <c r="AB652" s="47" t="s">
        <v>35</v>
      </c>
      <c r="AC652" s="47" t="s">
        <v>35</v>
      </c>
      <c r="AD652" s="73" t="str">
        <f>VLOOKUP(E663,sheet1!$B$2:$C$3209,2,FALSE)</f>
        <v>社員番号／カナ検索・直接使用（照会）特別</v>
      </c>
      <c r="AE652" s="49"/>
      <c r="AF652" s="51" t="s">
        <v>2607</v>
      </c>
      <c r="AG652" s="51" t="s">
        <v>2608</v>
      </c>
      <c r="AH652" s="49" t="str">
        <f t="shared" si="47"/>
        <v>社員番号検索・特別</v>
      </c>
      <c r="AI652" s="49"/>
      <c r="AJ652" s="49"/>
      <c r="AK652" s="49"/>
      <c r="AL652" s="49" t="str">
        <f t="shared" si="48"/>
        <v>社員番号検索・特別</v>
      </c>
      <c r="AM652" s="49" t="s">
        <v>35</v>
      </c>
      <c r="AN652" s="49" t="s">
        <v>2609</v>
      </c>
      <c r="AO652" s="51" t="str">
        <f t="shared" si="39"/>
        <v>起源製番　照会</v>
      </c>
      <c r="AP652" s="51" t="str">
        <f t="shared" si="40"/>
        <v>Query</v>
      </c>
      <c r="AQ652" s="51" t="s">
        <v>2564</v>
      </c>
      <c r="AR652" s="51" t="s">
        <v>344</v>
      </c>
      <c r="AS652" s="49" t="str">
        <f t="shared" si="41"/>
        <v>起源製番　照会</v>
      </c>
      <c r="AT652" s="49" t="str">
        <f t="shared" si="42"/>
        <v>Query</v>
      </c>
      <c r="AU652" s="51" t="s">
        <v>2564</v>
      </c>
      <c r="AV652" s="51" t="s">
        <v>344</v>
      </c>
    </row>
    <row r="653" spans="1:48" ht="18" customHeight="1">
      <c r="A653" s="44">
        <v>651</v>
      </c>
      <c r="B653" s="71" t="s">
        <v>1076</v>
      </c>
      <c r="C653" s="52" t="s">
        <v>2597</v>
      </c>
      <c r="D653" s="46" t="s">
        <v>116</v>
      </c>
      <c r="E653" s="44" t="s">
        <v>344</v>
      </c>
      <c r="F653" s="44" t="s">
        <v>2610</v>
      </c>
      <c r="G653" s="44"/>
      <c r="H653" s="44"/>
      <c r="I653" s="44"/>
      <c r="J653" s="47"/>
      <c r="K653" s="47" t="s">
        <v>35</v>
      </c>
      <c r="L653" s="47"/>
      <c r="M653" s="47"/>
      <c r="N653" s="47"/>
      <c r="O653" s="44"/>
      <c r="P653" s="44"/>
      <c r="Q653" s="48" t="e">
        <f>VLOOKUP(E653,sheet1!$B$2:$D$3209,3,FALSE)</f>
        <v>#N/A</v>
      </c>
      <c r="R653" s="47"/>
      <c r="S653" s="47" t="s">
        <v>35</v>
      </c>
      <c r="T653" s="47" t="s">
        <v>35</v>
      </c>
      <c r="U653" s="47" t="s">
        <v>35</v>
      </c>
      <c r="V653" s="47" t="s">
        <v>35</v>
      </c>
      <c r="W653" s="47" t="s">
        <v>35</v>
      </c>
      <c r="X653" s="47" t="s">
        <v>35</v>
      </c>
      <c r="Y653" s="47" t="s">
        <v>35</v>
      </c>
      <c r="Z653" s="47" t="s">
        <v>35</v>
      </c>
      <c r="AA653" s="47" t="s">
        <v>35</v>
      </c>
      <c r="AB653" s="47" t="s">
        <v>35</v>
      </c>
      <c r="AC653" s="47" t="s">
        <v>35</v>
      </c>
      <c r="AD653" s="73" t="str">
        <f>VLOOKUP(E664,sheet1!$B$2:$C$3209,2,FALSE)</f>
        <v>引当照会</v>
      </c>
      <c r="AE653" s="49"/>
      <c r="AF653" s="51" t="s">
        <v>2611</v>
      </c>
      <c r="AG653" s="51" t="s">
        <v>1953</v>
      </c>
      <c r="AH653" s="49" t="str">
        <f t="shared" si="47"/>
        <v>在庫引当状況照会</v>
      </c>
      <c r="AI653" s="49"/>
      <c r="AJ653" s="49"/>
      <c r="AK653" s="49"/>
      <c r="AL653" s="49" t="str">
        <f t="shared" si="48"/>
        <v>在庫引当状況照会</v>
      </c>
      <c r="AM653" s="49" t="s">
        <v>35</v>
      </c>
      <c r="AN653" s="49" t="s">
        <v>2612</v>
      </c>
      <c r="AO653" s="51" t="str">
        <f t="shared" si="39"/>
        <v>ユニット展開単位リスト</v>
      </c>
      <c r="AP653" s="51" t="str">
        <f t="shared" si="40"/>
        <v>Query</v>
      </c>
      <c r="AQ653" s="51" t="s">
        <v>2567</v>
      </c>
      <c r="AR653" s="51" t="s">
        <v>344</v>
      </c>
      <c r="AS653" s="49" t="str">
        <f t="shared" si="41"/>
        <v>ユニット展開単位リスト</v>
      </c>
      <c r="AT653" s="49" t="str">
        <f t="shared" si="42"/>
        <v>Query</v>
      </c>
      <c r="AU653" s="51" t="s">
        <v>2567</v>
      </c>
      <c r="AV653" s="51" t="s">
        <v>344</v>
      </c>
    </row>
    <row r="654" spans="1:48" ht="18" customHeight="1">
      <c r="A654" s="44">
        <v>652</v>
      </c>
      <c r="B654" s="71" t="s">
        <v>1076</v>
      </c>
      <c r="C654" s="52" t="s">
        <v>2597</v>
      </c>
      <c r="D654" s="46" t="s">
        <v>116</v>
      </c>
      <c r="E654" s="44" t="s">
        <v>344</v>
      </c>
      <c r="F654" s="44" t="s">
        <v>2613</v>
      </c>
      <c r="G654" s="44"/>
      <c r="H654" s="44"/>
      <c r="I654" s="44"/>
      <c r="J654" s="47"/>
      <c r="K654" s="47" t="s">
        <v>35</v>
      </c>
      <c r="L654" s="47"/>
      <c r="M654" s="47"/>
      <c r="N654" s="47"/>
      <c r="O654" s="44"/>
      <c r="P654" s="44"/>
      <c r="Q654" s="48" t="e">
        <f>VLOOKUP(E654,sheet1!$B$2:$D$3209,3,FALSE)</f>
        <v>#N/A</v>
      </c>
      <c r="R654" s="47"/>
      <c r="S654" s="47" t="s">
        <v>35</v>
      </c>
      <c r="T654" s="47" t="s">
        <v>35</v>
      </c>
      <c r="U654" s="47" t="s">
        <v>35</v>
      </c>
      <c r="V654" s="47" t="s">
        <v>35</v>
      </c>
      <c r="W654" s="47" t="s">
        <v>35</v>
      </c>
      <c r="X654" s="47" t="s">
        <v>35</v>
      </c>
      <c r="Y654" s="47" t="s">
        <v>35</v>
      </c>
      <c r="Z654" s="47" t="s">
        <v>35</v>
      </c>
      <c r="AA654" s="47" t="s">
        <v>35</v>
      </c>
      <c r="AB654" s="47" t="s">
        <v>35</v>
      </c>
      <c r="AC654" s="47" t="s">
        <v>35</v>
      </c>
      <c r="AD654" s="73" t="str">
        <f>VLOOKUP(E665,sheet1!$B$2:$C$3209,2,FALSE)</f>
        <v>総合実績表　特別原価内訳照会</v>
      </c>
      <c r="AE654" s="49"/>
      <c r="AF654" s="51" t="s">
        <v>2614</v>
      </c>
      <c r="AG654" s="51" t="s">
        <v>2615</v>
      </c>
      <c r="AH654" s="49" t="str">
        <f t="shared" si="47"/>
        <v>総合実績　特別原価内訳照会</v>
      </c>
      <c r="AI654" s="49"/>
      <c r="AJ654" s="49"/>
      <c r="AK654" s="49"/>
      <c r="AL654" s="49" t="str">
        <f t="shared" si="48"/>
        <v>総合実績　特別原価内訳照会</v>
      </c>
      <c r="AM654" s="49" t="s">
        <v>35</v>
      </c>
      <c r="AN654" s="49" t="s">
        <v>2616</v>
      </c>
      <c r="AO654" s="51" t="str">
        <f t="shared" si="39"/>
        <v>機種コード別品目リスト</v>
      </c>
      <c r="AP654" s="51" t="str">
        <f t="shared" si="40"/>
        <v>Query</v>
      </c>
      <c r="AQ654" s="51" t="s">
        <v>2571</v>
      </c>
      <c r="AR654" s="51" t="s">
        <v>344</v>
      </c>
      <c r="AS654" s="49" t="str">
        <f t="shared" si="41"/>
        <v>機種コード別品目リスト</v>
      </c>
      <c r="AT654" s="49" t="str">
        <f t="shared" si="42"/>
        <v>Query</v>
      </c>
      <c r="AU654" s="51" t="s">
        <v>2571</v>
      </c>
      <c r="AV654" s="51" t="s">
        <v>344</v>
      </c>
    </row>
    <row r="655" spans="1:48" ht="18" customHeight="1">
      <c r="A655" s="44">
        <v>653</v>
      </c>
      <c r="B655" s="71" t="s">
        <v>1076</v>
      </c>
      <c r="C655" s="52" t="s">
        <v>2597</v>
      </c>
      <c r="D655" s="46" t="s">
        <v>116</v>
      </c>
      <c r="E655" s="44" t="s">
        <v>344</v>
      </c>
      <c r="F655" s="44" t="s">
        <v>2617</v>
      </c>
      <c r="G655" s="44"/>
      <c r="H655" s="44"/>
      <c r="I655" s="44"/>
      <c r="J655" s="47"/>
      <c r="K655" s="47" t="s">
        <v>35</v>
      </c>
      <c r="L655" s="47"/>
      <c r="M655" s="47"/>
      <c r="N655" s="47"/>
      <c r="O655" s="44"/>
      <c r="P655" s="44"/>
      <c r="Q655" s="48" t="e">
        <f>VLOOKUP(E655,sheet1!$B$2:$D$3209,3,FALSE)</f>
        <v>#N/A</v>
      </c>
      <c r="R655" s="47"/>
      <c r="S655" s="47" t="s">
        <v>35</v>
      </c>
      <c r="T655" s="47" t="s">
        <v>35</v>
      </c>
      <c r="U655" s="47" t="s">
        <v>35</v>
      </c>
      <c r="V655" s="47" t="s">
        <v>35</v>
      </c>
      <c r="W655" s="47" t="s">
        <v>35</v>
      </c>
      <c r="X655" s="47" t="s">
        <v>35</v>
      </c>
      <c r="Y655" s="47" t="s">
        <v>35</v>
      </c>
      <c r="Z655" s="47" t="s">
        <v>35</v>
      </c>
      <c r="AA655" s="47" t="s">
        <v>35</v>
      </c>
      <c r="AB655" s="47" t="s">
        <v>35</v>
      </c>
      <c r="AC655" s="47" t="s">
        <v>35</v>
      </c>
      <c r="AD655" s="73" t="str">
        <f>VLOOKUP(E666,sheet1!$B$2:$C$3209,2,FALSE)</f>
        <v>部課別出庫伝票集計表～画面入力</v>
      </c>
      <c r="AE655" s="49"/>
      <c r="AF655" s="51" t="s">
        <v>2618</v>
      </c>
      <c r="AG655" s="51" t="s">
        <v>2619</v>
      </c>
      <c r="AH655" s="49" t="str">
        <f t="shared" si="47"/>
        <v>部課別出庫伝票集計表</v>
      </c>
      <c r="AI655" s="49"/>
      <c r="AJ655" s="49"/>
      <c r="AK655" s="49"/>
      <c r="AL655" s="49" t="str">
        <f t="shared" si="48"/>
        <v>部課別出庫伝票集計表</v>
      </c>
      <c r="AM655" s="49" t="s">
        <v>35</v>
      </c>
      <c r="AN655" s="49" t="s">
        <v>2620</v>
      </c>
      <c r="AO655" s="51" t="str">
        <f t="shared" si="39"/>
        <v>部課別機種別生産実績集計表</v>
      </c>
      <c r="AP655" s="51" t="str">
        <f t="shared" si="40"/>
        <v>AC7200</v>
      </c>
      <c r="AQ655" s="51" t="s">
        <v>2575</v>
      </c>
      <c r="AR655" s="51" t="s">
        <v>2576</v>
      </c>
      <c r="AS655" s="49" t="str">
        <f t="shared" si="41"/>
        <v>部課別機種別生産実績集計表</v>
      </c>
      <c r="AT655" s="49" t="str">
        <f t="shared" si="42"/>
        <v>AC7200</v>
      </c>
      <c r="AU655" s="51" t="s">
        <v>2575</v>
      </c>
      <c r="AV655" s="51" t="s">
        <v>2576</v>
      </c>
    </row>
    <row r="656" spans="1:48" ht="18" customHeight="1">
      <c r="A656" s="44">
        <v>654</v>
      </c>
      <c r="B656" s="71" t="s">
        <v>1076</v>
      </c>
      <c r="C656" s="52" t="s">
        <v>2597</v>
      </c>
      <c r="D656" s="46" t="s">
        <v>116</v>
      </c>
      <c r="E656" s="44" t="s">
        <v>2576</v>
      </c>
      <c r="F656" s="44" t="s">
        <v>2621</v>
      </c>
      <c r="G656" s="44"/>
      <c r="H656" s="44"/>
      <c r="I656" s="44"/>
      <c r="J656" s="47" t="s">
        <v>35</v>
      </c>
      <c r="K656" s="47"/>
      <c r="L656" s="47"/>
      <c r="M656" s="47"/>
      <c r="N656" s="47"/>
      <c r="O656" s="44"/>
      <c r="P656" s="44"/>
      <c r="Q656" s="48">
        <f>VLOOKUP(E656,sheet1!$B$2:$D$3209,3,FALSE)</f>
        <v>135</v>
      </c>
      <c r="R656" s="47"/>
      <c r="S656" s="47" t="s">
        <v>35</v>
      </c>
      <c r="T656" s="47" t="s">
        <v>35</v>
      </c>
      <c r="U656" s="47" t="s">
        <v>35</v>
      </c>
      <c r="V656" s="47" t="s">
        <v>35</v>
      </c>
      <c r="W656" s="47" t="s">
        <v>35</v>
      </c>
      <c r="X656" s="47" t="s">
        <v>35</v>
      </c>
      <c r="Y656" s="47" t="s">
        <v>35</v>
      </c>
      <c r="Z656" s="47" t="s">
        <v>35</v>
      </c>
      <c r="AA656" s="47" t="s">
        <v>35</v>
      </c>
      <c r="AB656" s="47" t="s">
        <v>35</v>
      </c>
      <c r="AC656" s="47" t="s">
        <v>35</v>
      </c>
      <c r="AD656" s="73" t="str">
        <f>VLOOKUP(E667,sheet1!$B$2:$C$3209,2,FALSE)</f>
        <v>有償支給単価マスターメンテ</v>
      </c>
      <c r="AE656" s="49"/>
      <c r="AF656" s="51" t="s">
        <v>2622</v>
      </c>
      <c r="AG656" s="51" t="s">
        <v>2623</v>
      </c>
      <c r="AH656" s="49" t="str">
        <f t="shared" si="47"/>
        <v>有償支給単価マスターメンテ</v>
      </c>
      <c r="AI656" s="49"/>
      <c r="AJ656" s="49"/>
      <c r="AK656" s="49"/>
      <c r="AL656" s="49" t="str">
        <f t="shared" si="48"/>
        <v>有償支給単価マスターメンテ</v>
      </c>
      <c r="AM656" s="49" t="s">
        <v>35</v>
      </c>
      <c r="AN656" s="49" t="s">
        <v>2624</v>
      </c>
      <c r="AO656" s="51" t="str">
        <f t="shared" si="39"/>
        <v>完成台数製造原価集計表</v>
      </c>
      <c r="AP656" s="51" t="str">
        <f t="shared" si="40"/>
        <v>SA7230</v>
      </c>
      <c r="AQ656" s="51" t="s">
        <v>2580</v>
      </c>
      <c r="AR656" s="51" t="s">
        <v>2581</v>
      </c>
      <c r="AS656" s="49" t="str">
        <f t="shared" si="41"/>
        <v>完成台数製造原価集計表</v>
      </c>
      <c r="AT656" s="49" t="str">
        <f t="shared" si="42"/>
        <v>SA7230</v>
      </c>
      <c r="AU656" s="51" t="s">
        <v>2580</v>
      </c>
      <c r="AV656" s="51" t="s">
        <v>2581</v>
      </c>
    </row>
    <row r="657" spans="1:48" ht="18" customHeight="1">
      <c r="A657" s="44">
        <v>655</v>
      </c>
      <c r="B657" s="71" t="s">
        <v>1076</v>
      </c>
      <c r="C657" s="52" t="s">
        <v>2597</v>
      </c>
      <c r="D657" s="46" t="s">
        <v>116</v>
      </c>
      <c r="E657" s="44" t="s">
        <v>2581</v>
      </c>
      <c r="F657" s="44" t="s">
        <v>2625</v>
      </c>
      <c r="G657" s="44"/>
      <c r="H657" s="44"/>
      <c r="I657" s="44"/>
      <c r="J657" s="47" t="s">
        <v>35</v>
      </c>
      <c r="K657" s="47"/>
      <c r="L657" s="47"/>
      <c r="M657" s="47"/>
      <c r="N657" s="47"/>
      <c r="O657" s="44"/>
      <c r="P657" s="44"/>
      <c r="Q657" s="48">
        <f>VLOOKUP(E657,sheet1!$B$2:$D$3209,3,FALSE)</f>
        <v>199</v>
      </c>
      <c r="R657" s="47"/>
      <c r="S657" s="47" t="s">
        <v>35</v>
      </c>
      <c r="T657" s="47" t="s">
        <v>35</v>
      </c>
      <c r="U657" s="47" t="s">
        <v>35</v>
      </c>
      <c r="V657" s="47" t="s">
        <v>35</v>
      </c>
      <c r="W657" s="47" t="s">
        <v>35</v>
      </c>
      <c r="X657" s="47" t="s">
        <v>35</v>
      </c>
      <c r="Y657" s="47" t="s">
        <v>35</v>
      </c>
      <c r="Z657" s="47" t="s">
        <v>35</v>
      </c>
      <c r="AA657" s="47" t="s">
        <v>35</v>
      </c>
      <c r="AB657" s="47" t="s">
        <v>35</v>
      </c>
      <c r="AC657" s="47" t="s">
        <v>35</v>
      </c>
      <c r="AD657" s="73" t="str">
        <f>VLOOKUP(E668,sheet1!$B$2:$C$3209,2,FALSE)</f>
        <v>有償レートマスターメンテ</v>
      </c>
      <c r="AE657" s="49"/>
      <c r="AF657" s="51" t="s">
        <v>2626</v>
      </c>
      <c r="AG657" s="51" t="s">
        <v>2627</v>
      </c>
      <c r="AH657" s="49" t="str">
        <f t="shared" si="47"/>
        <v>有償レートマスターメンテ</v>
      </c>
      <c r="AI657" s="49"/>
      <c r="AJ657" s="49"/>
      <c r="AK657" s="49"/>
      <c r="AL657" s="49" t="str">
        <f t="shared" si="48"/>
        <v>有償レートマスターメンテ</v>
      </c>
      <c r="AM657" s="49" t="s">
        <v>35</v>
      </c>
      <c r="AN657" s="49" t="s">
        <v>2628</v>
      </c>
      <c r="AO657" s="51" t="str">
        <f t="shared" si="39"/>
        <v>取引先タックシール作成（６行</v>
      </c>
      <c r="AP657" s="51" t="str">
        <f t="shared" si="40"/>
        <v>MP0026A</v>
      </c>
      <c r="AQ657" s="51" t="s">
        <v>2585</v>
      </c>
      <c r="AR657" s="51" t="s">
        <v>2586</v>
      </c>
      <c r="AS657" s="49" t="str">
        <f t="shared" si="41"/>
        <v>取引先タックシール作成（６行</v>
      </c>
      <c r="AT657" s="49" t="str">
        <f t="shared" si="42"/>
        <v>MP0026A</v>
      </c>
      <c r="AU657" s="51" t="s">
        <v>2585</v>
      </c>
      <c r="AV657" s="51" t="s">
        <v>2586</v>
      </c>
    </row>
    <row r="658" spans="1:48" ht="18" customHeight="1">
      <c r="A658" s="44">
        <v>656</v>
      </c>
      <c r="B658" s="71" t="s">
        <v>1076</v>
      </c>
      <c r="C658" s="52" t="s">
        <v>2597</v>
      </c>
      <c r="D658" s="46" t="s">
        <v>116</v>
      </c>
      <c r="E658" s="44" t="s">
        <v>2586</v>
      </c>
      <c r="F658" s="44" t="s">
        <v>2587</v>
      </c>
      <c r="G658" s="44"/>
      <c r="H658" s="44"/>
      <c r="I658" s="44"/>
      <c r="J658" s="47" t="s">
        <v>35</v>
      </c>
      <c r="K658" s="47"/>
      <c r="L658" s="47"/>
      <c r="M658" s="47"/>
      <c r="N658" s="47"/>
      <c r="O658" s="44"/>
      <c r="P658" s="44"/>
      <c r="Q658" s="48" t="e">
        <f>VLOOKUP(E658,sheet1!$B$2:$D$3209,3,FALSE)</f>
        <v>#N/A</v>
      </c>
      <c r="R658" s="47"/>
      <c r="S658" s="47" t="s">
        <v>35</v>
      </c>
      <c r="T658" s="47" t="s">
        <v>35</v>
      </c>
      <c r="U658" s="47" t="s">
        <v>35</v>
      </c>
      <c r="V658" s="47" t="s">
        <v>35</v>
      </c>
      <c r="W658" s="47" t="s">
        <v>35</v>
      </c>
      <c r="X658" s="47" t="s">
        <v>35</v>
      </c>
      <c r="Y658" s="47" t="s">
        <v>35</v>
      </c>
      <c r="Z658" s="47" t="s">
        <v>35</v>
      </c>
      <c r="AA658" s="47" t="s">
        <v>35</v>
      </c>
      <c r="AB658" s="47" t="s">
        <v>35</v>
      </c>
      <c r="AC658" s="47" t="s">
        <v>35</v>
      </c>
      <c r="AD658" s="73" t="str">
        <f>VLOOKUP(E669,sheet1!$B$2:$C$3209,2,FALSE)</f>
        <v>海外拠点品目マスターメンテ</v>
      </c>
      <c r="AE658" s="49"/>
      <c r="AF658" s="51" t="s">
        <v>2629</v>
      </c>
      <c r="AG658" s="51" t="s">
        <v>2630</v>
      </c>
      <c r="AH658" s="49" t="str">
        <f t="shared" si="47"/>
        <v>海外拠点品目マスターメンテ</v>
      </c>
      <c r="AI658" s="49"/>
      <c r="AJ658" s="49"/>
      <c r="AK658" s="49"/>
      <c r="AL658" s="49" t="str">
        <f t="shared" si="48"/>
        <v>海外拠点品目マスターメンテ</v>
      </c>
      <c r="AM658" s="49" t="s">
        <v>35</v>
      </c>
      <c r="AN658" s="49" t="s">
        <v>2631</v>
      </c>
      <c r="AO658" s="51" t="str">
        <f t="shared" si="39"/>
        <v>有償支給明細書</v>
      </c>
      <c r="AP658" s="51" t="str">
        <f t="shared" si="40"/>
        <v>PD8170</v>
      </c>
      <c r="AQ658" s="51" t="s">
        <v>2590</v>
      </c>
      <c r="AR658" s="51" t="s">
        <v>2591</v>
      </c>
      <c r="AS658" s="49" t="str">
        <f t="shared" si="41"/>
        <v>有償支給明細書</v>
      </c>
      <c r="AT658" s="49" t="str">
        <f t="shared" si="42"/>
        <v>PD8170</v>
      </c>
      <c r="AU658" s="51" t="s">
        <v>2590</v>
      </c>
      <c r="AV658" s="51" t="s">
        <v>2591</v>
      </c>
    </row>
    <row r="659" spans="1:48" ht="18" customHeight="1">
      <c r="A659" s="44">
        <v>657</v>
      </c>
      <c r="B659" s="71" t="s">
        <v>1076</v>
      </c>
      <c r="C659" s="52" t="s">
        <v>2597</v>
      </c>
      <c r="D659" s="46" t="s">
        <v>116</v>
      </c>
      <c r="E659" s="44" t="s">
        <v>2591</v>
      </c>
      <c r="F659" s="44" t="s">
        <v>2632</v>
      </c>
      <c r="G659" s="44"/>
      <c r="H659" s="44"/>
      <c r="I659" s="44"/>
      <c r="J659" s="47" t="s">
        <v>35</v>
      </c>
      <c r="K659" s="47"/>
      <c r="L659" s="47"/>
      <c r="M659" s="47"/>
      <c r="N659" s="47"/>
      <c r="O659" s="44"/>
      <c r="P659" s="44"/>
      <c r="Q659" s="48">
        <f>VLOOKUP(E659,sheet1!$B$2:$D$3209,3,FALSE)</f>
        <v>239</v>
      </c>
      <c r="R659" s="47"/>
      <c r="S659" s="47" t="s">
        <v>35</v>
      </c>
      <c r="T659" s="47" t="s">
        <v>35</v>
      </c>
      <c r="U659" s="47" t="s">
        <v>35</v>
      </c>
      <c r="V659" s="47" t="s">
        <v>35</v>
      </c>
      <c r="W659" s="47" t="s">
        <v>35</v>
      </c>
      <c r="X659" s="47" t="s">
        <v>35</v>
      </c>
      <c r="Y659" s="47" t="s">
        <v>35</v>
      </c>
      <c r="Z659" s="47" t="s">
        <v>35</v>
      </c>
      <c r="AA659" s="47" t="s">
        <v>35</v>
      </c>
      <c r="AB659" s="47" t="s">
        <v>35</v>
      </c>
      <c r="AC659" s="47" t="s">
        <v>35</v>
      </c>
      <c r="AD659" s="73" t="str">
        <f>VLOOKUP(E670,sheet1!$B$2:$C$3209,2,FALSE)</f>
        <v>有償支給単価マスター照会</v>
      </c>
      <c r="AE659" s="49"/>
      <c r="AF659" s="51" t="s">
        <v>2633</v>
      </c>
      <c r="AG659" s="51" t="s">
        <v>2634</v>
      </c>
      <c r="AH659" s="49" t="str">
        <f t="shared" si="47"/>
        <v>有償支給単価マスター照会</v>
      </c>
      <c r="AI659" s="49"/>
      <c r="AJ659" s="49"/>
      <c r="AK659" s="49"/>
      <c r="AL659" s="49" t="str">
        <f t="shared" si="48"/>
        <v>有償支給単価マスター照会</v>
      </c>
      <c r="AM659" s="49" t="s">
        <v>35</v>
      </c>
      <c r="AN659" s="49" t="s">
        <v>2635</v>
      </c>
      <c r="AO659" s="51" t="str">
        <f t="shared" si="39"/>
        <v>送り状作成（手動）</v>
      </c>
      <c r="AP659" s="51" t="str">
        <f t="shared" si="40"/>
        <v>SA2310</v>
      </c>
      <c r="AQ659" s="51" t="s">
        <v>2595</v>
      </c>
      <c r="AR659" s="51" t="s">
        <v>654</v>
      </c>
      <c r="AS659" s="49" t="str">
        <f t="shared" si="41"/>
        <v>送り状作成（手動）</v>
      </c>
      <c r="AT659" s="49" t="str">
        <f t="shared" si="42"/>
        <v>SA2310</v>
      </c>
      <c r="AU659" s="51" t="s">
        <v>2595</v>
      </c>
      <c r="AV659" s="51" t="s">
        <v>654</v>
      </c>
    </row>
    <row r="660" spans="1:48" ht="18" customHeight="1">
      <c r="A660" s="44">
        <v>658</v>
      </c>
      <c r="B660" s="71" t="s">
        <v>1076</v>
      </c>
      <c r="C660" s="52" t="s">
        <v>2597</v>
      </c>
      <c r="D660" s="46" t="s">
        <v>116</v>
      </c>
      <c r="E660" s="44" t="s">
        <v>654</v>
      </c>
      <c r="F660" s="44" t="s">
        <v>655</v>
      </c>
      <c r="G660" s="44"/>
      <c r="H660" s="44"/>
      <c r="I660" s="44"/>
      <c r="J660" s="47" t="s">
        <v>35</v>
      </c>
      <c r="K660" s="47"/>
      <c r="L660" s="47"/>
      <c r="M660" s="47"/>
      <c r="N660" s="47"/>
      <c r="O660" s="44"/>
      <c r="P660" s="44"/>
      <c r="Q660" s="48">
        <f>VLOOKUP(E660,sheet1!$B$2:$D$3209,3,FALSE)</f>
        <v>308</v>
      </c>
      <c r="R660" s="47"/>
      <c r="S660" s="47" t="s">
        <v>35</v>
      </c>
      <c r="T660" s="47" t="s">
        <v>35</v>
      </c>
      <c r="U660" s="47" t="s">
        <v>35</v>
      </c>
      <c r="V660" s="47" t="s">
        <v>35</v>
      </c>
      <c r="W660" s="47" t="s">
        <v>35</v>
      </c>
      <c r="X660" s="47" t="s">
        <v>35</v>
      </c>
      <c r="Y660" s="47" t="s">
        <v>35</v>
      </c>
      <c r="Z660" s="47" t="s">
        <v>35</v>
      </c>
      <c r="AA660" s="47" t="s">
        <v>35</v>
      </c>
      <c r="AB660" s="47" t="s">
        <v>35</v>
      </c>
      <c r="AC660" s="47" t="s">
        <v>35</v>
      </c>
      <c r="AD660" s="73" t="str">
        <f>VLOOKUP(E671,sheet1!$B$2:$C$3209,2,FALSE)</f>
        <v>海外拠点品目マスター照会</v>
      </c>
      <c r="AE660" s="49"/>
      <c r="AF660" s="51" t="s">
        <v>2636</v>
      </c>
      <c r="AG660" s="51" t="s">
        <v>2637</v>
      </c>
      <c r="AH660" s="49" t="str">
        <f t="shared" si="47"/>
        <v>海外拠点品目マスター照会</v>
      </c>
      <c r="AI660" s="49"/>
      <c r="AJ660" s="49"/>
      <c r="AK660" s="49"/>
      <c r="AL660" s="49" t="str">
        <f t="shared" si="48"/>
        <v>海外拠点品目マスター照会</v>
      </c>
      <c r="AM660" s="49" t="s">
        <v>35</v>
      </c>
      <c r="AN660" s="49" t="s">
        <v>2638</v>
      </c>
      <c r="AO660" s="51" t="str">
        <f t="shared" si="39"/>
        <v>発送先固有情報マスタ保守</v>
      </c>
      <c r="AP660" s="51" t="str">
        <f t="shared" si="40"/>
        <v>SA0130</v>
      </c>
      <c r="AQ660" s="51" t="s">
        <v>2599</v>
      </c>
      <c r="AR660" s="51" t="s">
        <v>2600</v>
      </c>
      <c r="AS660" s="49" t="str">
        <f t="shared" si="41"/>
        <v>発送先固有情報マスタ保守</v>
      </c>
      <c r="AT660" s="49" t="str">
        <f t="shared" si="42"/>
        <v>SA0130</v>
      </c>
      <c r="AU660" s="51" t="s">
        <v>2599</v>
      </c>
      <c r="AV660" s="51" t="s">
        <v>2600</v>
      </c>
    </row>
    <row r="661" spans="1:48" ht="18" customHeight="1">
      <c r="A661" s="44">
        <v>659</v>
      </c>
      <c r="B661" s="71" t="s">
        <v>1076</v>
      </c>
      <c r="C661" s="52" t="s">
        <v>2597</v>
      </c>
      <c r="D661" s="46" t="s">
        <v>116</v>
      </c>
      <c r="E661" s="44" t="s">
        <v>2600</v>
      </c>
      <c r="F661" s="44" t="s">
        <v>2639</v>
      </c>
      <c r="G661" s="44"/>
      <c r="H661" s="44"/>
      <c r="I661" s="44"/>
      <c r="J661" s="47" t="s">
        <v>35</v>
      </c>
      <c r="K661" s="47"/>
      <c r="L661" s="47"/>
      <c r="M661" s="47"/>
      <c r="N661" s="47"/>
      <c r="O661" s="44"/>
      <c r="P661" s="44"/>
      <c r="Q661" s="48">
        <f>VLOOKUP(E661,sheet1!$B$2:$D$3209,3,FALSE)</f>
        <v>669</v>
      </c>
      <c r="R661" s="47"/>
      <c r="S661" s="47" t="s">
        <v>35</v>
      </c>
      <c r="T661" s="47" t="s">
        <v>35</v>
      </c>
      <c r="U661" s="47" t="s">
        <v>35</v>
      </c>
      <c r="V661" s="47" t="s">
        <v>35</v>
      </c>
      <c r="W661" s="47" t="s">
        <v>35</v>
      </c>
      <c r="X661" s="47" t="s">
        <v>35</v>
      </c>
      <c r="Y661" s="47" t="s">
        <v>35</v>
      </c>
      <c r="Z661" s="47" t="s">
        <v>35</v>
      </c>
      <c r="AA661" s="47" t="s">
        <v>35</v>
      </c>
      <c r="AB661" s="47" t="s">
        <v>35</v>
      </c>
      <c r="AC661" s="47" t="s">
        <v>35</v>
      </c>
      <c r="AD661" s="73" t="e">
        <f>VLOOKUP(E672,sheet1!$B$2:$C$3209,2,FALSE)</f>
        <v>#N/A</v>
      </c>
      <c r="AE661" s="49"/>
      <c r="AF661" s="51" t="s">
        <v>2640</v>
      </c>
      <c r="AG661" s="44" t="s">
        <v>116</v>
      </c>
      <c r="AH661" s="49" t="str">
        <f t="shared" si="47"/>
        <v>HK P/O出荷対象在庫一覧</v>
      </c>
      <c r="AI661" s="49"/>
      <c r="AJ661" s="49"/>
      <c r="AK661" s="49"/>
      <c r="AL661" s="49" t="str">
        <f t="shared" si="48"/>
        <v>HK P/O出荷対象在庫一覧</v>
      </c>
      <c r="AM661" s="49" t="s">
        <v>35</v>
      </c>
      <c r="AN661" s="49" t="s">
        <v>2641</v>
      </c>
      <c r="AO661" s="51" t="str">
        <f t="shared" si="39"/>
        <v>社員番号検索</v>
      </c>
      <c r="AP661" s="51" t="str">
        <f t="shared" si="40"/>
        <v>PR0035</v>
      </c>
      <c r="AQ661" s="51" t="s">
        <v>2603</v>
      </c>
      <c r="AR661" s="51" t="s">
        <v>2604</v>
      </c>
      <c r="AS661" s="49" t="str">
        <f t="shared" si="41"/>
        <v>社員番号検索</v>
      </c>
      <c r="AT661" s="49" t="str">
        <f t="shared" si="42"/>
        <v>PR0035</v>
      </c>
      <c r="AU661" s="51" t="s">
        <v>2603</v>
      </c>
      <c r="AV661" s="51" t="s">
        <v>2604</v>
      </c>
    </row>
    <row r="662" spans="1:48" ht="18" customHeight="1">
      <c r="A662" s="44">
        <v>660</v>
      </c>
      <c r="B662" s="71" t="s">
        <v>1076</v>
      </c>
      <c r="C662" s="52" t="s">
        <v>2597</v>
      </c>
      <c r="D662" s="46" t="s">
        <v>116</v>
      </c>
      <c r="E662" s="44" t="s">
        <v>2604</v>
      </c>
      <c r="F662" s="44" t="s">
        <v>2642</v>
      </c>
      <c r="G662" s="44"/>
      <c r="H662" s="44"/>
      <c r="I662" s="44"/>
      <c r="J662" s="47" t="s">
        <v>35</v>
      </c>
      <c r="K662" s="47"/>
      <c r="L662" s="47"/>
      <c r="M662" s="47"/>
      <c r="N662" s="47"/>
      <c r="O662" s="44"/>
      <c r="P662" s="44"/>
      <c r="Q662" s="48" t="e">
        <f>VLOOKUP(E662,sheet1!$B$2:$D$3209,3,FALSE)</f>
        <v>#N/A</v>
      </c>
      <c r="R662" s="47"/>
      <c r="S662" s="47" t="s">
        <v>35</v>
      </c>
      <c r="T662" s="47" t="s">
        <v>35</v>
      </c>
      <c r="U662" s="47" t="s">
        <v>35</v>
      </c>
      <c r="V662" s="47" t="s">
        <v>35</v>
      </c>
      <c r="W662" s="47" t="s">
        <v>35</v>
      </c>
      <c r="X662" s="47" t="s">
        <v>35</v>
      </c>
      <c r="Y662" s="47" t="s">
        <v>35</v>
      </c>
      <c r="Z662" s="47" t="s">
        <v>35</v>
      </c>
      <c r="AA662" s="47" t="s">
        <v>35</v>
      </c>
      <c r="AB662" s="47" t="s">
        <v>35</v>
      </c>
      <c r="AC662" s="47" t="s">
        <v>35</v>
      </c>
      <c r="AD662" s="73" t="e">
        <f>VLOOKUP(E673,sheet1!$B$2:$C$3209,2,FALSE)</f>
        <v>#N/A</v>
      </c>
      <c r="AE662" s="49"/>
      <c r="AF662" s="51" t="s">
        <v>2643</v>
      </c>
      <c r="AG662" s="44" t="s">
        <v>116</v>
      </c>
      <c r="AH662" s="49" t="str">
        <f t="shared" si="47"/>
        <v>HK P/O完了分一覧</v>
      </c>
      <c r="AI662" s="49"/>
      <c r="AJ662" s="49"/>
      <c r="AK662" s="49"/>
      <c r="AL662" s="49" t="str">
        <f t="shared" si="48"/>
        <v>HK P/O完了分一覧</v>
      </c>
      <c r="AM662" s="49" t="s">
        <v>35</v>
      </c>
      <c r="AN662" s="49" t="s">
        <v>2644</v>
      </c>
      <c r="AO662" s="51" t="str">
        <f t="shared" si="39"/>
        <v>社員番号検索・特別</v>
      </c>
      <c r="AP662" s="51" t="str">
        <f t="shared" si="40"/>
        <v>PR0035S</v>
      </c>
      <c r="AQ662" s="51" t="s">
        <v>2607</v>
      </c>
      <c r="AR662" s="51" t="s">
        <v>2608</v>
      </c>
      <c r="AS662" s="49" t="str">
        <f t="shared" si="41"/>
        <v>社員番号検索・特別</v>
      </c>
      <c r="AT662" s="49" t="str">
        <f t="shared" si="42"/>
        <v>PR0035S</v>
      </c>
      <c r="AU662" s="51" t="s">
        <v>2607</v>
      </c>
      <c r="AV662" s="51" t="s">
        <v>2608</v>
      </c>
    </row>
    <row r="663" spans="1:48" ht="18" customHeight="1">
      <c r="A663" s="44">
        <v>661</v>
      </c>
      <c r="B663" s="71" t="s">
        <v>1076</v>
      </c>
      <c r="C663" s="52" t="s">
        <v>2597</v>
      </c>
      <c r="D663" s="46" t="s">
        <v>116</v>
      </c>
      <c r="E663" s="44" t="s">
        <v>2608</v>
      </c>
      <c r="F663" s="44" t="s">
        <v>2645</v>
      </c>
      <c r="G663" s="44"/>
      <c r="H663" s="44"/>
      <c r="I663" s="44"/>
      <c r="J663" s="47" t="s">
        <v>35</v>
      </c>
      <c r="K663" s="47"/>
      <c r="L663" s="47"/>
      <c r="M663" s="47"/>
      <c r="N663" s="47"/>
      <c r="O663" s="44"/>
      <c r="P663" s="44"/>
      <c r="Q663" s="48">
        <f>VLOOKUP(E663,sheet1!$B$2:$D$3209,3,FALSE)</f>
        <v>223</v>
      </c>
      <c r="R663" s="47"/>
      <c r="S663" s="47" t="s">
        <v>35</v>
      </c>
      <c r="T663" s="47" t="s">
        <v>35</v>
      </c>
      <c r="U663" s="47" t="s">
        <v>35</v>
      </c>
      <c r="V663" s="47" t="s">
        <v>35</v>
      </c>
      <c r="W663" s="47" t="s">
        <v>35</v>
      </c>
      <c r="X663" s="47" t="s">
        <v>35</v>
      </c>
      <c r="Y663" s="47" t="s">
        <v>35</v>
      </c>
      <c r="Z663" s="47" t="s">
        <v>35</v>
      </c>
      <c r="AA663" s="47" t="s">
        <v>35</v>
      </c>
      <c r="AB663" s="47" t="s">
        <v>35</v>
      </c>
      <c r="AC663" s="47" t="s">
        <v>35</v>
      </c>
      <c r="AD663" s="73" t="str">
        <f>VLOOKUP(E674,sheet1!$B$2:$C$3209,2,FALSE)</f>
        <v>固定資産付加情報メンテ</v>
      </c>
      <c r="AE663" s="49"/>
      <c r="AF663" s="51" t="s">
        <v>2646</v>
      </c>
      <c r="AG663" s="51" t="s">
        <v>2647</v>
      </c>
      <c r="AH663" s="49" t="str">
        <f t="shared" si="47"/>
        <v>資産付加情報保守</v>
      </c>
      <c r="AI663" s="49"/>
      <c r="AJ663" s="49"/>
      <c r="AK663" s="49"/>
      <c r="AL663" s="49" t="str">
        <f t="shared" si="48"/>
        <v>資産付加情報保守</v>
      </c>
      <c r="AM663" s="49" t="s">
        <v>35</v>
      </c>
      <c r="AN663" s="49" t="s">
        <v>2648</v>
      </c>
      <c r="AO663" s="51" t="str">
        <f t="shared" si="39"/>
        <v>在庫引当状況照会</v>
      </c>
      <c r="AP663" s="51" t="str">
        <f t="shared" si="40"/>
        <v>SA5060</v>
      </c>
      <c r="AQ663" s="51" t="s">
        <v>2611</v>
      </c>
      <c r="AR663" s="51" t="s">
        <v>1953</v>
      </c>
      <c r="AS663" s="49" t="str">
        <f t="shared" si="41"/>
        <v>在庫引当状況照会</v>
      </c>
      <c r="AT663" s="49" t="str">
        <f t="shared" si="42"/>
        <v>SA5060</v>
      </c>
      <c r="AU663" s="51" t="s">
        <v>2611</v>
      </c>
      <c r="AV663" s="51" t="s">
        <v>1953</v>
      </c>
    </row>
    <row r="664" spans="1:48" ht="18" customHeight="1">
      <c r="A664" s="44">
        <v>662</v>
      </c>
      <c r="B664" s="71" t="s">
        <v>1076</v>
      </c>
      <c r="C664" s="52" t="s">
        <v>2597</v>
      </c>
      <c r="D664" s="46" t="s">
        <v>116</v>
      </c>
      <c r="E664" s="44" t="s">
        <v>1953</v>
      </c>
      <c r="F664" s="44" t="s">
        <v>552</v>
      </c>
      <c r="G664" s="44"/>
      <c r="H664" s="44"/>
      <c r="I664" s="44"/>
      <c r="J664" s="47" t="s">
        <v>35</v>
      </c>
      <c r="K664" s="47"/>
      <c r="L664" s="47"/>
      <c r="M664" s="47"/>
      <c r="N664" s="47"/>
      <c r="O664" s="44"/>
      <c r="P664" s="44"/>
      <c r="Q664" s="48">
        <f>VLOOKUP(E664,sheet1!$B$2:$D$3209,3,FALSE)</f>
        <v>885</v>
      </c>
      <c r="R664" s="47"/>
      <c r="S664" s="47" t="s">
        <v>35</v>
      </c>
      <c r="T664" s="47" t="s">
        <v>35</v>
      </c>
      <c r="U664" s="47" t="s">
        <v>35</v>
      </c>
      <c r="V664" s="47" t="s">
        <v>35</v>
      </c>
      <c r="W664" s="47" t="s">
        <v>35</v>
      </c>
      <c r="X664" s="47" t="s">
        <v>35</v>
      </c>
      <c r="Y664" s="47" t="s">
        <v>35</v>
      </c>
      <c r="Z664" s="47" t="s">
        <v>35</v>
      </c>
      <c r="AA664" s="47" t="s">
        <v>35</v>
      </c>
      <c r="AB664" s="47" t="s">
        <v>35</v>
      </c>
      <c r="AC664" s="47" t="s">
        <v>35</v>
      </c>
      <c r="AD664" s="73" t="str">
        <f>VLOOKUP(E675,sheet1!$B$2:$C$3209,2,FALSE)</f>
        <v>固定資産付加情報照会</v>
      </c>
      <c r="AE664" s="49"/>
      <c r="AF664" s="51" t="s">
        <v>2649</v>
      </c>
      <c r="AG664" s="51" t="s">
        <v>2650</v>
      </c>
      <c r="AH664" s="49" t="str">
        <f t="shared" si="47"/>
        <v>資産付加情報照会</v>
      </c>
      <c r="AI664" s="49"/>
      <c r="AJ664" s="49"/>
      <c r="AK664" s="49"/>
      <c r="AL664" s="49" t="str">
        <f t="shared" si="48"/>
        <v>資産付加情報照会</v>
      </c>
      <c r="AM664" s="49" t="s">
        <v>35</v>
      </c>
      <c r="AN664" s="49" t="s">
        <v>2651</v>
      </c>
      <c r="AO664" s="51" t="str">
        <f t="shared" si="39"/>
        <v>総合実績　特別原価内訳照会</v>
      </c>
      <c r="AP664" s="51" t="str">
        <f t="shared" si="40"/>
        <v>MS9440</v>
      </c>
      <c r="AQ664" s="51" t="s">
        <v>2614</v>
      </c>
      <c r="AR664" s="51" t="s">
        <v>2615</v>
      </c>
      <c r="AS664" s="49" t="str">
        <f t="shared" si="41"/>
        <v>総合実績　特別原価内訳照会</v>
      </c>
      <c r="AT664" s="49" t="str">
        <f t="shared" si="42"/>
        <v>MS9440</v>
      </c>
      <c r="AU664" s="51" t="s">
        <v>2614</v>
      </c>
      <c r="AV664" s="51" t="s">
        <v>2615</v>
      </c>
    </row>
    <row r="665" spans="1:48" ht="18" customHeight="1">
      <c r="A665" s="44">
        <v>663</v>
      </c>
      <c r="B665" s="71" t="s">
        <v>1076</v>
      </c>
      <c r="C665" s="52" t="s">
        <v>2597</v>
      </c>
      <c r="D665" s="46" t="s">
        <v>116</v>
      </c>
      <c r="E665" s="44" t="s">
        <v>2615</v>
      </c>
      <c r="F665" s="44" t="s">
        <v>2652</v>
      </c>
      <c r="G665" s="44"/>
      <c r="H665" s="44"/>
      <c r="I665" s="44"/>
      <c r="J665" s="47" t="s">
        <v>35</v>
      </c>
      <c r="K665" s="47"/>
      <c r="L665" s="47"/>
      <c r="M665" s="47"/>
      <c r="N665" s="47"/>
      <c r="O665" s="44"/>
      <c r="P665" s="44"/>
      <c r="Q665" s="48">
        <f>VLOOKUP(E665,sheet1!$B$2:$D$3209,3,FALSE)</f>
        <v>262</v>
      </c>
      <c r="R665" s="47"/>
      <c r="S665" s="47" t="s">
        <v>35</v>
      </c>
      <c r="T665" s="47" t="s">
        <v>35</v>
      </c>
      <c r="U665" s="47" t="s">
        <v>35</v>
      </c>
      <c r="V665" s="47" t="s">
        <v>35</v>
      </c>
      <c r="W665" s="47" t="s">
        <v>35</v>
      </c>
      <c r="X665" s="47" t="s">
        <v>35</v>
      </c>
      <c r="Y665" s="47" t="s">
        <v>35</v>
      </c>
      <c r="Z665" s="47" t="s">
        <v>35</v>
      </c>
      <c r="AA665" s="47" t="s">
        <v>35</v>
      </c>
      <c r="AB665" s="47" t="s">
        <v>35</v>
      </c>
      <c r="AC665" s="47" t="s">
        <v>35</v>
      </c>
      <c r="AD665" s="73" t="e">
        <f>VLOOKUP(E676,sheet1!$B$2:$C$3209,2,FALSE)</f>
        <v>#N/A</v>
      </c>
      <c r="AE665" s="49"/>
      <c r="AF665" s="51" t="s">
        <v>2653</v>
      </c>
      <c r="AG665" s="44" t="s">
        <v>116</v>
      </c>
      <c r="AH665" s="49" t="str">
        <f t="shared" si="47"/>
        <v>MRP展開単位相違品目一覧</v>
      </c>
      <c r="AI665" s="49"/>
      <c r="AJ665" s="49"/>
      <c r="AK665" s="49"/>
      <c r="AL665" s="49" t="str">
        <f t="shared" si="48"/>
        <v>MRP展開単位相違品目一覧</v>
      </c>
      <c r="AM665" s="49" t="s">
        <v>35</v>
      </c>
      <c r="AN665" s="49" t="s">
        <v>2654</v>
      </c>
      <c r="AO665" s="51" t="str">
        <f t="shared" si="39"/>
        <v>部課別出庫伝票集計表</v>
      </c>
      <c r="AP665" s="51" t="str">
        <f t="shared" si="40"/>
        <v>AC0820</v>
      </c>
      <c r="AQ665" s="51" t="s">
        <v>2618</v>
      </c>
      <c r="AR665" s="51" t="s">
        <v>2619</v>
      </c>
      <c r="AS665" s="49" t="str">
        <f t="shared" si="41"/>
        <v>部課別出庫伝票集計表</v>
      </c>
      <c r="AT665" s="49" t="str">
        <f t="shared" si="42"/>
        <v>AC0820</v>
      </c>
      <c r="AU665" s="51" t="s">
        <v>2618</v>
      </c>
      <c r="AV665" s="51" t="s">
        <v>2619</v>
      </c>
    </row>
    <row r="666" spans="1:48" ht="18" customHeight="1">
      <c r="A666" s="44">
        <v>664</v>
      </c>
      <c r="B666" s="71" t="s">
        <v>1076</v>
      </c>
      <c r="C666" s="52" t="s">
        <v>2597</v>
      </c>
      <c r="D666" s="46" t="s">
        <v>116</v>
      </c>
      <c r="E666" s="44" t="s">
        <v>2619</v>
      </c>
      <c r="F666" s="44" t="s">
        <v>2655</v>
      </c>
      <c r="G666" s="44"/>
      <c r="H666" s="44"/>
      <c r="I666" s="44"/>
      <c r="J666" s="47" t="s">
        <v>35</v>
      </c>
      <c r="K666" s="47"/>
      <c r="L666" s="47"/>
      <c r="M666" s="47"/>
      <c r="N666" s="47"/>
      <c r="O666" s="44"/>
      <c r="P666" s="44"/>
      <c r="Q666" s="48">
        <f>VLOOKUP(E666,sheet1!$B$2:$D$3209,3,FALSE)</f>
        <v>228</v>
      </c>
      <c r="R666" s="47"/>
      <c r="S666" s="47" t="s">
        <v>35</v>
      </c>
      <c r="T666" s="47" t="s">
        <v>35</v>
      </c>
      <c r="U666" s="47" t="s">
        <v>35</v>
      </c>
      <c r="V666" s="47" t="s">
        <v>35</v>
      </c>
      <c r="W666" s="47" t="s">
        <v>35</v>
      </c>
      <c r="X666" s="47" t="s">
        <v>35</v>
      </c>
      <c r="Y666" s="47" t="s">
        <v>35</v>
      </c>
      <c r="Z666" s="47" t="s">
        <v>35</v>
      </c>
      <c r="AA666" s="47" t="s">
        <v>35</v>
      </c>
      <c r="AB666" s="47" t="s">
        <v>35</v>
      </c>
      <c r="AC666" s="47" t="s">
        <v>35</v>
      </c>
      <c r="AD666" s="73" t="e">
        <f>VLOOKUP(E677,sheet1!$B$2:$C$3209,2,FALSE)</f>
        <v>#N/A</v>
      </c>
      <c r="AE666" s="49"/>
      <c r="AF666" s="51" t="s">
        <v>2656</v>
      </c>
      <c r="AG666" s="44" t="s">
        <v>116</v>
      </c>
      <c r="AH666" s="49" t="str">
        <f t="shared" si="47"/>
        <v>発注必要ﾕﾆｯﾄ展開単位一覧001</v>
      </c>
      <c r="AI666" s="49"/>
      <c r="AJ666" s="49"/>
      <c r="AK666" s="49"/>
      <c r="AL666" s="49" t="str">
        <f t="shared" si="48"/>
        <v>発注必要ﾕﾆｯﾄ展開単位一覧001</v>
      </c>
      <c r="AM666" s="49" t="s">
        <v>35</v>
      </c>
      <c r="AN666" s="49" t="s">
        <v>2657</v>
      </c>
      <c r="AO666" s="51" t="str">
        <f t="shared" si="39"/>
        <v>有償支給単価マスターメンテ</v>
      </c>
      <c r="AP666" s="51" t="str">
        <f t="shared" si="40"/>
        <v>SA0240</v>
      </c>
      <c r="AQ666" s="51" t="s">
        <v>2622</v>
      </c>
      <c r="AR666" s="51" t="s">
        <v>2623</v>
      </c>
      <c r="AS666" s="49" t="str">
        <f t="shared" si="41"/>
        <v>有償支給単価マスターメンテ</v>
      </c>
      <c r="AT666" s="49" t="str">
        <f t="shared" si="42"/>
        <v>SA0240</v>
      </c>
      <c r="AU666" s="51" t="s">
        <v>2622</v>
      </c>
      <c r="AV666" s="51" t="s">
        <v>2623</v>
      </c>
    </row>
    <row r="667" spans="1:48" ht="18" customHeight="1">
      <c r="A667" s="44">
        <v>665</v>
      </c>
      <c r="B667" s="71" t="s">
        <v>1076</v>
      </c>
      <c r="C667" s="52" t="s">
        <v>2597</v>
      </c>
      <c r="D667" s="46" t="s">
        <v>116</v>
      </c>
      <c r="E667" s="44" t="s">
        <v>2623</v>
      </c>
      <c r="F667" s="44" t="s">
        <v>2658</v>
      </c>
      <c r="G667" s="44"/>
      <c r="H667" s="44"/>
      <c r="I667" s="44"/>
      <c r="J667" s="47" t="s">
        <v>35</v>
      </c>
      <c r="K667" s="47"/>
      <c r="L667" s="47"/>
      <c r="M667" s="47"/>
      <c r="N667" s="47"/>
      <c r="O667" s="44"/>
      <c r="P667" s="44"/>
      <c r="Q667" s="48">
        <f>VLOOKUP(E667,sheet1!$B$2:$D$3209,3,FALSE)</f>
        <v>772</v>
      </c>
      <c r="R667" s="47"/>
      <c r="S667" s="47" t="s">
        <v>35</v>
      </c>
      <c r="T667" s="47" t="s">
        <v>35</v>
      </c>
      <c r="U667" s="47" t="s">
        <v>35</v>
      </c>
      <c r="V667" s="47" t="s">
        <v>35</v>
      </c>
      <c r="W667" s="47" t="s">
        <v>35</v>
      </c>
      <c r="X667" s="47" t="s">
        <v>35</v>
      </c>
      <c r="Y667" s="47" t="s">
        <v>35</v>
      </c>
      <c r="Z667" s="47" t="s">
        <v>35</v>
      </c>
      <c r="AA667" s="47" t="s">
        <v>35</v>
      </c>
      <c r="AB667" s="47" t="s">
        <v>35</v>
      </c>
      <c r="AC667" s="47" t="s">
        <v>35</v>
      </c>
      <c r="AD667" s="73" t="e">
        <f>VLOOKUP(E678,sheet1!$B$2:$C$3209,2,FALSE)</f>
        <v>#N/A</v>
      </c>
      <c r="AE667" s="49"/>
      <c r="AF667" s="51" t="s">
        <v>2659</v>
      </c>
      <c r="AG667" s="44" t="s">
        <v>116</v>
      </c>
      <c r="AH667" s="49" t="str">
        <f t="shared" si="47"/>
        <v>発注必要ﾕﾆｯﾄ展開単位一覧002</v>
      </c>
      <c r="AI667" s="49"/>
      <c r="AJ667" s="49"/>
      <c r="AK667" s="49"/>
      <c r="AL667" s="49" t="str">
        <f t="shared" si="48"/>
        <v>発注必要ﾕﾆｯﾄ展開単位一覧002</v>
      </c>
      <c r="AM667" s="49" t="s">
        <v>35</v>
      </c>
      <c r="AN667" s="49" t="s">
        <v>2660</v>
      </c>
      <c r="AO667" s="51" t="str">
        <f t="shared" si="39"/>
        <v>有償レートマスターメンテ</v>
      </c>
      <c r="AP667" s="51" t="str">
        <f t="shared" si="40"/>
        <v>SA0250</v>
      </c>
      <c r="AQ667" s="51" t="s">
        <v>2626</v>
      </c>
      <c r="AR667" s="51" t="s">
        <v>2627</v>
      </c>
      <c r="AS667" s="49" t="str">
        <f t="shared" si="41"/>
        <v>有償レートマスターメンテ</v>
      </c>
      <c r="AT667" s="49" t="str">
        <f t="shared" si="42"/>
        <v>SA0250</v>
      </c>
      <c r="AU667" s="51" t="s">
        <v>2626</v>
      </c>
      <c r="AV667" s="51" t="s">
        <v>2627</v>
      </c>
    </row>
    <row r="668" spans="1:48" ht="18" customHeight="1">
      <c r="A668" s="44">
        <v>666</v>
      </c>
      <c r="B668" s="71" t="s">
        <v>1076</v>
      </c>
      <c r="C668" s="52" t="s">
        <v>2597</v>
      </c>
      <c r="D668" s="46" t="s">
        <v>116</v>
      </c>
      <c r="E668" s="44" t="s">
        <v>2627</v>
      </c>
      <c r="F668" s="44" t="s">
        <v>2661</v>
      </c>
      <c r="G668" s="44"/>
      <c r="H668" s="44"/>
      <c r="I668" s="44"/>
      <c r="J668" s="47" t="s">
        <v>35</v>
      </c>
      <c r="K668" s="47"/>
      <c r="L668" s="47"/>
      <c r="M668" s="47"/>
      <c r="N668" s="47"/>
      <c r="O668" s="44"/>
      <c r="P668" s="44"/>
      <c r="Q668" s="48">
        <f>VLOOKUP(E668,sheet1!$B$2:$D$3209,3,FALSE)</f>
        <v>336</v>
      </c>
      <c r="R668" s="47"/>
      <c r="S668" s="47" t="s">
        <v>35</v>
      </c>
      <c r="T668" s="47" t="s">
        <v>35</v>
      </c>
      <c r="U668" s="47" t="s">
        <v>35</v>
      </c>
      <c r="V668" s="47" t="s">
        <v>35</v>
      </c>
      <c r="W668" s="47" t="s">
        <v>35</v>
      </c>
      <c r="X668" s="47" t="s">
        <v>35</v>
      </c>
      <c r="Y668" s="47" t="s">
        <v>35</v>
      </c>
      <c r="Z668" s="47" t="s">
        <v>35</v>
      </c>
      <c r="AA668" s="47" t="s">
        <v>35</v>
      </c>
      <c r="AB668" s="47" t="s">
        <v>35</v>
      </c>
      <c r="AC668" s="47" t="s">
        <v>35</v>
      </c>
      <c r="AD668" s="73" t="e">
        <f>VLOOKUP(E679,sheet1!$B$2:$C$3209,2,FALSE)</f>
        <v>#N/A</v>
      </c>
      <c r="AE668" s="49"/>
      <c r="AF668" s="51" t="s">
        <v>2662</v>
      </c>
      <c r="AG668" s="44" t="s">
        <v>116</v>
      </c>
      <c r="AH668" s="49" t="str">
        <f t="shared" si="47"/>
        <v>製番無在庫・発注有り品目一覧</v>
      </c>
      <c r="AI668" s="49"/>
      <c r="AJ668" s="49"/>
      <c r="AK668" s="49"/>
      <c r="AL668" s="49" t="str">
        <f t="shared" si="48"/>
        <v>製番無在庫・発注有り品目一覧</v>
      </c>
      <c r="AM668" s="49" t="s">
        <v>35</v>
      </c>
      <c r="AN668" s="49" t="s">
        <v>2663</v>
      </c>
      <c r="AO668" s="51" t="str">
        <f t="shared" si="39"/>
        <v>海外拠点品目マスターメンテ</v>
      </c>
      <c r="AP668" s="51" t="str">
        <f t="shared" si="40"/>
        <v>SA0260</v>
      </c>
      <c r="AQ668" s="51" t="s">
        <v>2629</v>
      </c>
      <c r="AR668" s="51" t="s">
        <v>2630</v>
      </c>
      <c r="AS668" s="49" t="str">
        <f t="shared" si="41"/>
        <v>海外拠点品目マスターメンテ</v>
      </c>
      <c r="AT668" s="49" t="str">
        <f t="shared" si="42"/>
        <v>SA0260</v>
      </c>
      <c r="AU668" s="51" t="s">
        <v>2629</v>
      </c>
      <c r="AV668" s="51" t="s">
        <v>2630</v>
      </c>
    </row>
    <row r="669" spans="1:48" ht="18" customHeight="1">
      <c r="A669" s="44">
        <v>667</v>
      </c>
      <c r="B669" s="71" t="s">
        <v>1076</v>
      </c>
      <c r="C669" s="52" t="s">
        <v>2597</v>
      </c>
      <c r="D669" s="46" t="s">
        <v>116</v>
      </c>
      <c r="E669" s="44" t="s">
        <v>2630</v>
      </c>
      <c r="F669" s="44" t="s">
        <v>2664</v>
      </c>
      <c r="G669" s="44"/>
      <c r="H669" s="44"/>
      <c r="I669" s="44"/>
      <c r="J669" s="47" t="s">
        <v>35</v>
      </c>
      <c r="K669" s="47"/>
      <c r="L669" s="47"/>
      <c r="M669" s="47"/>
      <c r="N669" s="47"/>
      <c r="O669" s="44"/>
      <c r="P669" s="44"/>
      <c r="Q669" s="48">
        <f>VLOOKUP(E669,sheet1!$B$2:$D$3209,3,FALSE)</f>
        <v>293</v>
      </c>
      <c r="R669" s="47"/>
      <c r="S669" s="47" t="s">
        <v>35</v>
      </c>
      <c r="T669" s="47" t="s">
        <v>35</v>
      </c>
      <c r="U669" s="47" t="s">
        <v>35</v>
      </c>
      <c r="V669" s="47" t="s">
        <v>35</v>
      </c>
      <c r="W669" s="47" t="s">
        <v>35</v>
      </c>
      <c r="X669" s="47" t="s">
        <v>35</v>
      </c>
      <c r="Y669" s="47" t="s">
        <v>35</v>
      </c>
      <c r="Z669" s="47" t="s">
        <v>35</v>
      </c>
      <c r="AA669" s="47" t="s">
        <v>35</v>
      </c>
      <c r="AB669" s="47" t="s">
        <v>35</v>
      </c>
      <c r="AC669" s="47" t="s">
        <v>35</v>
      </c>
      <c r="AD669" s="73" t="e">
        <f>VLOOKUP(E680,sheet1!$B$2:$C$3209,2,FALSE)</f>
        <v>#N/A</v>
      </c>
      <c r="AE669" s="49"/>
      <c r="AF669" s="51" t="s">
        <v>2665</v>
      </c>
      <c r="AG669" s="51" t="s">
        <v>344</v>
      </c>
      <c r="AH669" s="49" t="str">
        <f t="shared" si="47"/>
        <v>完成品入庫データ一覧表</v>
      </c>
      <c r="AI669" s="49"/>
      <c r="AJ669" s="49"/>
      <c r="AK669" s="49"/>
      <c r="AL669" s="49" t="str">
        <f t="shared" si="48"/>
        <v>完成品入庫データ一覧表</v>
      </c>
      <c r="AM669" s="49" t="s">
        <v>35</v>
      </c>
      <c r="AN669" s="49" t="s">
        <v>2666</v>
      </c>
      <c r="AO669" s="51" t="str">
        <f t="shared" si="39"/>
        <v>有償支給単価マスター照会</v>
      </c>
      <c r="AP669" s="51" t="str">
        <f t="shared" si="40"/>
        <v>SA1690</v>
      </c>
      <c r="AQ669" s="51" t="s">
        <v>2633</v>
      </c>
      <c r="AR669" s="51" t="s">
        <v>2634</v>
      </c>
      <c r="AS669" s="49" t="str">
        <f t="shared" si="41"/>
        <v>有償支給単価マスター照会</v>
      </c>
      <c r="AT669" s="49" t="str">
        <f t="shared" si="42"/>
        <v>SA1690</v>
      </c>
      <c r="AU669" s="51" t="s">
        <v>2633</v>
      </c>
      <c r="AV669" s="51" t="s">
        <v>2634</v>
      </c>
    </row>
    <row r="670" spans="1:48" ht="18" customHeight="1">
      <c r="A670" s="44">
        <v>668</v>
      </c>
      <c r="B670" s="71" t="s">
        <v>1076</v>
      </c>
      <c r="C670" s="52" t="s">
        <v>2597</v>
      </c>
      <c r="D670" s="46" t="s">
        <v>116</v>
      </c>
      <c r="E670" s="44" t="s">
        <v>2634</v>
      </c>
      <c r="F670" s="44" t="s">
        <v>2667</v>
      </c>
      <c r="G670" s="44"/>
      <c r="H670" s="44"/>
      <c r="I670" s="44"/>
      <c r="J670" s="47" t="s">
        <v>35</v>
      </c>
      <c r="K670" s="47"/>
      <c r="L670" s="47"/>
      <c r="M670" s="47"/>
      <c r="N670" s="47"/>
      <c r="O670" s="44"/>
      <c r="P670" s="44"/>
      <c r="Q670" s="48">
        <f>VLOOKUP(E670,sheet1!$B$2:$D$3209,3,FALSE)</f>
        <v>470</v>
      </c>
      <c r="R670" s="47"/>
      <c r="S670" s="47" t="s">
        <v>35</v>
      </c>
      <c r="T670" s="47" t="s">
        <v>35</v>
      </c>
      <c r="U670" s="47" t="s">
        <v>35</v>
      </c>
      <c r="V670" s="47" t="s">
        <v>35</v>
      </c>
      <c r="W670" s="47" t="s">
        <v>35</v>
      </c>
      <c r="X670" s="47" t="s">
        <v>35</v>
      </c>
      <c r="Y670" s="47" t="s">
        <v>35</v>
      </c>
      <c r="Z670" s="47" t="s">
        <v>35</v>
      </c>
      <c r="AA670" s="47" t="s">
        <v>35</v>
      </c>
      <c r="AB670" s="47" t="s">
        <v>35</v>
      </c>
      <c r="AC670" s="47" t="s">
        <v>35</v>
      </c>
      <c r="AD670" s="75" t="str">
        <f>VLOOKUP(E681,sheet1!$B$2:$C$3209,2,FALSE)</f>
        <v>受注一覧表ｴｸｾﾙﾀﾞｳﾝﾛｰﾄﾞ</v>
      </c>
      <c r="AE670" s="49"/>
      <c r="AF670" s="51" t="s">
        <v>2668</v>
      </c>
      <c r="AG670" s="51" t="s">
        <v>606</v>
      </c>
      <c r="AH670" s="49" t="str">
        <f t="shared" si="47"/>
        <v>受注一覧表ダウンロード</v>
      </c>
      <c r="AI670" s="49"/>
      <c r="AJ670" s="49"/>
      <c r="AK670" s="49"/>
      <c r="AL670" s="49" t="str">
        <f t="shared" si="48"/>
        <v>受注一覧表ダウンロード</v>
      </c>
      <c r="AM670" s="49" t="s">
        <v>35</v>
      </c>
      <c r="AN670" s="49" t="s">
        <v>2669</v>
      </c>
      <c r="AO670" s="51" t="str">
        <f t="shared" si="39"/>
        <v>海外拠点品目マスター照会</v>
      </c>
      <c r="AP670" s="51" t="str">
        <f t="shared" si="40"/>
        <v>SA1700</v>
      </c>
      <c r="AQ670" s="51" t="s">
        <v>2636</v>
      </c>
      <c r="AR670" s="51" t="s">
        <v>2637</v>
      </c>
      <c r="AS670" s="49" t="str">
        <f t="shared" si="41"/>
        <v>海外拠点品目マスター照会</v>
      </c>
      <c r="AT670" s="49" t="str">
        <f t="shared" si="42"/>
        <v>SA1700</v>
      </c>
      <c r="AU670" s="51" t="s">
        <v>2636</v>
      </c>
      <c r="AV670" s="51" t="s">
        <v>2637</v>
      </c>
    </row>
    <row r="671" spans="1:48" ht="18" customHeight="1">
      <c r="A671" s="44">
        <v>669</v>
      </c>
      <c r="B671" s="71" t="s">
        <v>1076</v>
      </c>
      <c r="C671" s="52" t="s">
        <v>2597</v>
      </c>
      <c r="D671" s="46" t="s">
        <v>116</v>
      </c>
      <c r="E671" s="44" t="s">
        <v>2637</v>
      </c>
      <c r="F671" s="44" t="s">
        <v>2670</v>
      </c>
      <c r="G671" s="44"/>
      <c r="H671" s="44"/>
      <c r="I671" s="44"/>
      <c r="J671" s="47" t="s">
        <v>35</v>
      </c>
      <c r="K671" s="47"/>
      <c r="L671" s="47"/>
      <c r="M671" s="47"/>
      <c r="N671" s="47"/>
      <c r="O671" s="44"/>
      <c r="P671" s="44"/>
      <c r="Q671" s="48">
        <f>VLOOKUP(E671,sheet1!$B$2:$D$3209,3,FALSE)</f>
        <v>274</v>
      </c>
      <c r="R671" s="47"/>
      <c r="S671" s="47" t="s">
        <v>35</v>
      </c>
      <c r="T671" s="47" t="s">
        <v>35</v>
      </c>
      <c r="U671" s="47" t="s">
        <v>35</v>
      </c>
      <c r="V671" s="47" t="s">
        <v>35</v>
      </c>
      <c r="W671" s="47" t="s">
        <v>35</v>
      </c>
      <c r="X671" s="47" t="s">
        <v>35</v>
      </c>
      <c r="Y671" s="47" t="s">
        <v>35</v>
      </c>
      <c r="Z671" s="47" t="s">
        <v>35</v>
      </c>
      <c r="AA671" s="47" t="s">
        <v>35</v>
      </c>
      <c r="AB671" s="47" t="s">
        <v>35</v>
      </c>
      <c r="AC671" s="47" t="s">
        <v>35</v>
      </c>
      <c r="AD671" s="75" t="str">
        <f>VLOOKUP(E682,sheet1!$B$2:$C$3209,2,FALSE)</f>
        <v>経費の部門名　保守</v>
      </c>
      <c r="AE671" s="49"/>
      <c r="AF671" s="51" t="s">
        <v>2671</v>
      </c>
      <c r="AG671" s="51" t="s">
        <v>2672</v>
      </c>
      <c r="AH671" s="49" t="str">
        <f t="shared" si="47"/>
        <v>部門名称ファイル</v>
      </c>
      <c r="AI671" s="49"/>
      <c r="AJ671" s="49"/>
      <c r="AK671" s="49"/>
      <c r="AL671" s="49"/>
      <c r="AM671" s="49"/>
      <c r="AN671" s="49"/>
      <c r="AO671" s="51" t="str">
        <f t="shared" si="39"/>
        <v>HK P/O出荷対象在庫一覧</v>
      </c>
      <c r="AP671" s="51" t="str">
        <f t="shared" si="40"/>
        <v/>
      </c>
      <c r="AQ671" s="51" t="s">
        <v>2673</v>
      </c>
      <c r="AR671" s="51"/>
      <c r="AS671" s="49" t="str">
        <f t="shared" si="41"/>
        <v>HK P/O出荷対象在庫一覧</v>
      </c>
      <c r="AT671" s="49" t="str">
        <f t="shared" si="42"/>
        <v/>
      </c>
      <c r="AU671" s="51" t="s">
        <v>2673</v>
      </c>
      <c r="AV671" s="51"/>
    </row>
    <row r="672" spans="1:48" ht="18" customHeight="1">
      <c r="A672" s="44">
        <v>670</v>
      </c>
      <c r="B672" s="71" t="s">
        <v>1076</v>
      </c>
      <c r="C672" s="52" t="s">
        <v>2597</v>
      </c>
      <c r="D672" s="46" t="s">
        <v>116</v>
      </c>
      <c r="E672" s="44" t="s">
        <v>116</v>
      </c>
      <c r="F672" s="44" t="s">
        <v>2674</v>
      </c>
      <c r="G672" s="44"/>
      <c r="H672" s="44"/>
      <c r="I672" s="44"/>
      <c r="J672" s="47" t="s">
        <v>35</v>
      </c>
      <c r="K672" s="47"/>
      <c r="L672" s="47"/>
      <c r="M672" s="47"/>
      <c r="N672" s="47"/>
      <c r="O672" s="44"/>
      <c r="P672" s="44"/>
      <c r="Q672" s="48" t="e">
        <f>VLOOKUP(E672,sheet1!$B$2:$D$3209,3,FALSE)</f>
        <v>#N/A</v>
      </c>
      <c r="R672" s="47"/>
      <c r="S672" s="47" t="s">
        <v>35</v>
      </c>
      <c r="T672" s="47" t="s">
        <v>35</v>
      </c>
      <c r="U672" s="47" t="s">
        <v>35</v>
      </c>
      <c r="V672" s="47" t="s">
        <v>35</v>
      </c>
      <c r="W672" s="47" t="s">
        <v>35</v>
      </c>
      <c r="X672" s="47" t="s">
        <v>35</v>
      </c>
      <c r="Y672" s="47" t="s">
        <v>35</v>
      </c>
      <c r="Z672" s="47" t="s">
        <v>35</v>
      </c>
      <c r="AA672" s="47" t="s">
        <v>35</v>
      </c>
      <c r="AB672" s="47" t="s">
        <v>35</v>
      </c>
      <c r="AC672" s="47" t="s">
        <v>35</v>
      </c>
      <c r="AD672" s="75" t="str">
        <f>VLOOKUP(E683,sheet1!$B$2:$C$3209,2,FALSE)</f>
        <v>部課コード／部門の関連　保守</v>
      </c>
      <c r="AE672" s="49"/>
      <c r="AF672" s="51" t="s">
        <v>2675</v>
      </c>
      <c r="AG672" s="51" t="s">
        <v>2676</v>
      </c>
      <c r="AH672" s="49" t="str">
        <f t="shared" si="47"/>
        <v>部課コード／部門関連ファイル</v>
      </c>
      <c r="AI672" s="49"/>
      <c r="AJ672" s="49"/>
      <c r="AK672" s="49"/>
      <c r="AL672" s="49"/>
      <c r="AM672" s="49"/>
      <c r="AN672" s="49"/>
      <c r="AO672" s="51" t="str">
        <f t="shared" si="39"/>
        <v>HK P/O完了分一覧</v>
      </c>
      <c r="AP672" s="51" t="str">
        <f t="shared" si="40"/>
        <v/>
      </c>
      <c r="AQ672" s="51" t="s">
        <v>2643</v>
      </c>
      <c r="AR672" s="51"/>
      <c r="AS672" s="49" t="str">
        <f t="shared" si="41"/>
        <v>HK P/O完了分一覧</v>
      </c>
      <c r="AT672" s="49" t="str">
        <f t="shared" si="42"/>
        <v/>
      </c>
      <c r="AU672" s="51" t="s">
        <v>2643</v>
      </c>
      <c r="AV672" s="51"/>
    </row>
    <row r="673" spans="1:48" ht="18" customHeight="1">
      <c r="A673" s="44">
        <v>671</v>
      </c>
      <c r="B673" s="71" t="s">
        <v>1076</v>
      </c>
      <c r="C673" s="52" t="s">
        <v>2597</v>
      </c>
      <c r="D673" s="46" t="s">
        <v>116</v>
      </c>
      <c r="E673" s="44" t="s">
        <v>116</v>
      </c>
      <c r="F673" s="44" t="s">
        <v>2677</v>
      </c>
      <c r="G673" s="44"/>
      <c r="H673" s="44"/>
      <c r="I673" s="44"/>
      <c r="J673" s="47" t="s">
        <v>35</v>
      </c>
      <c r="K673" s="47"/>
      <c r="L673" s="47"/>
      <c r="M673" s="47"/>
      <c r="N673" s="47"/>
      <c r="O673" s="44"/>
      <c r="P673" s="44"/>
      <c r="Q673" s="48" t="e">
        <f>VLOOKUP(E673,sheet1!$B$2:$D$3209,3,FALSE)</f>
        <v>#N/A</v>
      </c>
      <c r="R673" s="47"/>
      <c r="S673" s="47" t="s">
        <v>35</v>
      </c>
      <c r="T673" s="47" t="s">
        <v>35</v>
      </c>
      <c r="U673" s="47" t="s">
        <v>35</v>
      </c>
      <c r="V673" s="47" t="s">
        <v>35</v>
      </c>
      <c r="W673" s="47" t="s">
        <v>35</v>
      </c>
      <c r="X673" s="47" t="s">
        <v>35</v>
      </c>
      <c r="Y673" s="47" t="s">
        <v>35</v>
      </c>
      <c r="Z673" s="47" t="s">
        <v>35</v>
      </c>
      <c r="AA673" s="47" t="s">
        <v>35</v>
      </c>
      <c r="AB673" s="47" t="s">
        <v>35</v>
      </c>
      <c r="AC673" s="47" t="s">
        <v>35</v>
      </c>
      <c r="AD673" s="75" t="str">
        <f>VLOOKUP(E684,sheet1!$B$2:$C$3209,2,FALSE)</f>
        <v>部門分類マスターメンテナンス</v>
      </c>
      <c r="AE673" s="49"/>
      <c r="AF673" s="51" t="s">
        <v>2678</v>
      </c>
      <c r="AG673" s="51" t="s">
        <v>2679</v>
      </c>
      <c r="AH673" s="49" t="str">
        <f t="shared" si="47"/>
        <v>部門分類マスター</v>
      </c>
      <c r="AI673" s="49"/>
      <c r="AJ673" s="49"/>
      <c r="AK673" s="49"/>
      <c r="AL673" s="49"/>
      <c r="AM673" s="49"/>
      <c r="AN673" s="49"/>
      <c r="AO673" s="51" t="str">
        <f t="shared" si="39"/>
        <v>資産付加情報保守</v>
      </c>
      <c r="AP673" s="51" t="str">
        <f t="shared" si="40"/>
        <v>AC9210</v>
      </c>
      <c r="AQ673" s="51" t="s">
        <v>2646</v>
      </c>
      <c r="AR673" s="51" t="s">
        <v>2647</v>
      </c>
      <c r="AS673" s="49" t="str">
        <f t="shared" si="41"/>
        <v>資産付加情報保守</v>
      </c>
      <c r="AT673" s="49" t="str">
        <f t="shared" si="42"/>
        <v>AC9210</v>
      </c>
      <c r="AU673" s="51" t="s">
        <v>2646</v>
      </c>
      <c r="AV673" s="51" t="s">
        <v>2647</v>
      </c>
    </row>
    <row r="674" spans="1:48" ht="18" customHeight="1">
      <c r="A674" s="44">
        <v>672</v>
      </c>
      <c r="B674" s="71" t="s">
        <v>1076</v>
      </c>
      <c r="C674" s="52" t="s">
        <v>2597</v>
      </c>
      <c r="D674" s="46" t="s">
        <v>116</v>
      </c>
      <c r="E674" s="44" t="s">
        <v>2647</v>
      </c>
      <c r="F674" s="44" t="s">
        <v>2680</v>
      </c>
      <c r="G674" s="44"/>
      <c r="H674" s="44"/>
      <c r="I674" s="44"/>
      <c r="J674" s="47" t="s">
        <v>35</v>
      </c>
      <c r="K674" s="47"/>
      <c r="L674" s="47"/>
      <c r="M674" s="47"/>
      <c r="N674" s="47"/>
      <c r="O674" s="44"/>
      <c r="P674" s="44"/>
      <c r="Q674" s="48">
        <f>VLOOKUP(E674,sheet1!$B$2:$D$3209,3,FALSE)</f>
        <v>2391</v>
      </c>
      <c r="R674" s="47"/>
      <c r="S674" s="47" t="s">
        <v>35</v>
      </c>
      <c r="T674" s="47" t="s">
        <v>35</v>
      </c>
      <c r="U674" s="47" t="s">
        <v>35</v>
      </c>
      <c r="V674" s="47" t="s">
        <v>35</v>
      </c>
      <c r="W674" s="47" t="s">
        <v>35</v>
      </c>
      <c r="X674" s="47" t="s">
        <v>35</v>
      </c>
      <c r="Y674" s="47" t="s">
        <v>35</v>
      </c>
      <c r="Z674" s="47" t="s">
        <v>35</v>
      </c>
      <c r="AA674" s="47" t="s">
        <v>35</v>
      </c>
      <c r="AB674" s="47" t="s">
        <v>35</v>
      </c>
      <c r="AC674" s="47" t="s">
        <v>35</v>
      </c>
      <c r="AD674" s="75" t="str">
        <f>VLOOKUP(E685,sheet1!$B$2:$C$3209,2,FALSE)</f>
        <v>経費明細印刷列メンテナンス</v>
      </c>
      <c r="AE674" s="49"/>
      <c r="AF674" s="51" t="s">
        <v>2681</v>
      </c>
      <c r="AG674" s="51" t="s">
        <v>2682</v>
      </c>
      <c r="AH674" s="49" t="str">
        <f t="shared" si="47"/>
        <v>帳票別印刷列保守</v>
      </c>
      <c r="AI674" s="49"/>
      <c r="AJ674" s="49"/>
      <c r="AK674" s="49"/>
      <c r="AL674" s="49"/>
      <c r="AM674" s="49"/>
      <c r="AN674" s="49"/>
      <c r="AO674" s="51" t="str">
        <f t="shared" si="39"/>
        <v>資産付加情報照会</v>
      </c>
      <c r="AP674" s="51" t="str">
        <f t="shared" si="40"/>
        <v>AC9250</v>
      </c>
      <c r="AQ674" s="51" t="s">
        <v>2649</v>
      </c>
      <c r="AR674" s="51" t="s">
        <v>2650</v>
      </c>
      <c r="AS674" s="49" t="str">
        <f t="shared" si="41"/>
        <v>資産付加情報照会</v>
      </c>
      <c r="AT674" s="49" t="str">
        <f t="shared" si="42"/>
        <v>AC9250</v>
      </c>
      <c r="AU674" s="51" t="s">
        <v>2649</v>
      </c>
      <c r="AV674" s="51" t="s">
        <v>2650</v>
      </c>
    </row>
    <row r="675" spans="1:48" ht="18" customHeight="1">
      <c r="A675" s="44">
        <v>673</v>
      </c>
      <c r="B675" s="71" t="s">
        <v>1076</v>
      </c>
      <c r="C675" s="52" t="s">
        <v>2597</v>
      </c>
      <c r="D675" s="46" t="s">
        <v>116</v>
      </c>
      <c r="E675" s="44" t="s">
        <v>2650</v>
      </c>
      <c r="F675" s="44" t="s">
        <v>2683</v>
      </c>
      <c r="G675" s="44"/>
      <c r="H675" s="44"/>
      <c r="I675" s="44"/>
      <c r="J675" s="47" t="s">
        <v>35</v>
      </c>
      <c r="K675" s="47"/>
      <c r="L675" s="47"/>
      <c r="M675" s="47"/>
      <c r="N675" s="47"/>
      <c r="O675" s="44"/>
      <c r="P675" s="44"/>
      <c r="Q675" s="48">
        <f>VLOOKUP(E675,sheet1!$B$2:$D$3209,3,FALSE)</f>
        <v>685</v>
      </c>
      <c r="R675" s="47"/>
      <c r="S675" s="47" t="s">
        <v>35</v>
      </c>
      <c r="T675" s="47" t="s">
        <v>35</v>
      </c>
      <c r="U675" s="47" t="s">
        <v>35</v>
      </c>
      <c r="V675" s="47" t="s">
        <v>35</v>
      </c>
      <c r="W675" s="47" t="s">
        <v>35</v>
      </c>
      <c r="X675" s="47" t="s">
        <v>35</v>
      </c>
      <c r="Y675" s="47" t="s">
        <v>35</v>
      </c>
      <c r="Z675" s="47" t="s">
        <v>35</v>
      </c>
      <c r="AA675" s="47" t="s">
        <v>35</v>
      </c>
      <c r="AB675" s="47" t="s">
        <v>35</v>
      </c>
      <c r="AC675" s="47" t="s">
        <v>35</v>
      </c>
      <c r="AD675" s="75" t="str">
        <f>VLOOKUP(E686,sheet1!$B$2:$C$3209,2,FALSE)</f>
        <v>摘要マスター　メンテナンス</v>
      </c>
      <c r="AE675" s="49"/>
      <c r="AF675" s="51" t="s">
        <v>2684</v>
      </c>
      <c r="AG675" s="51" t="s">
        <v>2685</v>
      </c>
      <c r="AH675" s="49" t="str">
        <f t="shared" si="47"/>
        <v>摘要マスター保守</v>
      </c>
      <c r="AI675" s="49"/>
      <c r="AJ675" s="49"/>
      <c r="AK675" s="49"/>
      <c r="AL675" s="49"/>
      <c r="AM675" s="49"/>
      <c r="AN675" s="49"/>
      <c r="AO675" s="51" t="str">
        <f t="shared" si="39"/>
        <v>MRP展開単位相違品目一覧</v>
      </c>
      <c r="AP675" s="51" t="str">
        <f t="shared" si="40"/>
        <v/>
      </c>
      <c r="AQ675" s="51" t="s">
        <v>2653</v>
      </c>
      <c r="AR675" s="51"/>
      <c r="AS675" s="49" t="str">
        <f t="shared" si="41"/>
        <v>MRP展開単位相違品目一覧</v>
      </c>
      <c r="AT675" s="49" t="str">
        <f t="shared" si="42"/>
        <v/>
      </c>
      <c r="AU675" s="51" t="s">
        <v>2653</v>
      </c>
      <c r="AV675" s="51"/>
    </row>
    <row r="676" spans="1:48" ht="18" customHeight="1">
      <c r="A676" s="44">
        <v>674</v>
      </c>
      <c r="B676" s="71" t="s">
        <v>1076</v>
      </c>
      <c r="C676" s="52" t="s">
        <v>2597</v>
      </c>
      <c r="D676" s="46" t="s">
        <v>116</v>
      </c>
      <c r="E676" s="44" t="s">
        <v>116</v>
      </c>
      <c r="F676" s="44" t="s">
        <v>2686</v>
      </c>
      <c r="G676" s="44"/>
      <c r="H676" s="44"/>
      <c r="I676" s="44"/>
      <c r="J676" s="47" t="s">
        <v>35</v>
      </c>
      <c r="K676" s="47"/>
      <c r="L676" s="47"/>
      <c r="M676" s="47"/>
      <c r="N676" s="47"/>
      <c r="O676" s="44"/>
      <c r="P676" s="44"/>
      <c r="Q676" s="48" t="e">
        <f>VLOOKUP(E676,sheet1!$B$2:$D$3209,3,FALSE)</f>
        <v>#N/A</v>
      </c>
      <c r="R676" s="47"/>
      <c r="S676" s="47" t="s">
        <v>35</v>
      </c>
      <c r="T676" s="47" t="s">
        <v>35</v>
      </c>
      <c r="U676" s="47" t="s">
        <v>35</v>
      </c>
      <c r="V676" s="47" t="s">
        <v>35</v>
      </c>
      <c r="W676" s="47" t="s">
        <v>35</v>
      </c>
      <c r="X676" s="47" t="s">
        <v>35</v>
      </c>
      <c r="Y676" s="47" t="s">
        <v>35</v>
      </c>
      <c r="Z676" s="47" t="s">
        <v>35</v>
      </c>
      <c r="AA676" s="47" t="s">
        <v>35</v>
      </c>
      <c r="AB676" s="47" t="s">
        <v>35</v>
      </c>
      <c r="AC676" s="47" t="s">
        <v>35</v>
      </c>
      <c r="AD676" s="75" t="str">
        <f>VLOOKUP(E687,sheet1!$B$2:$C$3209,2,FALSE)</f>
        <v>勘定科目マスターメンテナンス</v>
      </c>
      <c r="AE676" s="49"/>
      <c r="AF676" s="51" t="s">
        <v>2687</v>
      </c>
      <c r="AG676" s="51" t="s">
        <v>2688</v>
      </c>
      <c r="AH676" s="49" t="str">
        <f t="shared" si="47"/>
        <v>勘定科目マスター保守</v>
      </c>
      <c r="AI676" s="49"/>
      <c r="AJ676" s="49"/>
      <c r="AK676" s="49"/>
      <c r="AL676" s="49"/>
      <c r="AM676" s="49"/>
      <c r="AN676" s="49"/>
      <c r="AO676" s="51" t="str">
        <f t="shared" si="39"/>
        <v>発注必要ﾕﾆｯﾄ展開単位一覧001</v>
      </c>
      <c r="AP676" s="51" t="str">
        <f t="shared" si="40"/>
        <v/>
      </c>
      <c r="AQ676" s="51" t="s">
        <v>2656</v>
      </c>
      <c r="AR676" s="51"/>
      <c r="AS676" s="49" t="str">
        <f t="shared" si="41"/>
        <v>発注必要ﾕﾆｯﾄ展開単位一覧001</v>
      </c>
      <c r="AT676" s="49" t="str">
        <f t="shared" si="42"/>
        <v/>
      </c>
      <c r="AU676" s="51" t="s">
        <v>2656</v>
      </c>
      <c r="AV676" s="51"/>
    </row>
    <row r="677" spans="1:48" ht="18" customHeight="1">
      <c r="A677" s="44">
        <v>675</v>
      </c>
      <c r="B677" s="71" t="s">
        <v>1076</v>
      </c>
      <c r="C677" s="52" t="s">
        <v>2597</v>
      </c>
      <c r="D677" s="46" t="s">
        <v>116</v>
      </c>
      <c r="E677" s="44" t="s">
        <v>116</v>
      </c>
      <c r="F677" s="44" t="s">
        <v>2657</v>
      </c>
      <c r="G677" s="44"/>
      <c r="H677" s="44"/>
      <c r="I677" s="44"/>
      <c r="J677" s="47" t="s">
        <v>35</v>
      </c>
      <c r="K677" s="47"/>
      <c r="L677" s="47"/>
      <c r="M677" s="47"/>
      <c r="N677" s="47"/>
      <c r="O677" s="44"/>
      <c r="P677" s="44"/>
      <c r="Q677" s="48" t="e">
        <f>VLOOKUP(E677,sheet1!$B$2:$D$3209,3,FALSE)</f>
        <v>#N/A</v>
      </c>
      <c r="R677" s="47"/>
      <c r="S677" s="47" t="s">
        <v>35</v>
      </c>
      <c r="T677" s="47" t="s">
        <v>35</v>
      </c>
      <c r="U677" s="47" t="s">
        <v>35</v>
      </c>
      <c r="V677" s="47" t="s">
        <v>35</v>
      </c>
      <c r="W677" s="47" t="s">
        <v>35</v>
      </c>
      <c r="X677" s="47" t="s">
        <v>35</v>
      </c>
      <c r="Y677" s="47" t="s">
        <v>35</v>
      </c>
      <c r="Z677" s="47" t="s">
        <v>35</v>
      </c>
      <c r="AA677" s="47" t="s">
        <v>35</v>
      </c>
      <c r="AB677" s="47" t="s">
        <v>35</v>
      </c>
      <c r="AC677" s="47" t="s">
        <v>35</v>
      </c>
      <c r="AD677" s="75" t="str">
        <f>VLOOKUP(E688,sheet1!$B$2:$C$3209,2,FALSE)</f>
        <v>親勘定科目マスターメンテナンス</v>
      </c>
      <c r="AE677" s="49"/>
      <c r="AF677" s="51" t="s">
        <v>2689</v>
      </c>
      <c r="AG677" s="51" t="s">
        <v>2690</v>
      </c>
      <c r="AH677" s="49" t="str">
        <f t="shared" si="47"/>
        <v>親勘定科目マスター保守</v>
      </c>
      <c r="AI677" s="49"/>
      <c r="AJ677" s="49"/>
      <c r="AK677" s="49"/>
      <c r="AL677" s="49"/>
      <c r="AM677" s="49"/>
      <c r="AN677" s="49"/>
      <c r="AO677" s="51" t="str">
        <f t="shared" si="39"/>
        <v>発注必要ﾕﾆｯﾄ展開単位一覧002</v>
      </c>
      <c r="AP677" s="51" t="str">
        <f t="shared" si="40"/>
        <v/>
      </c>
      <c r="AQ677" s="51" t="s">
        <v>2659</v>
      </c>
      <c r="AR677" s="51"/>
      <c r="AS677" s="49" t="str">
        <f t="shared" si="41"/>
        <v>発注必要ﾕﾆｯﾄ展開単位一覧002</v>
      </c>
      <c r="AT677" s="49" t="str">
        <f t="shared" si="42"/>
        <v/>
      </c>
      <c r="AU677" s="51" t="s">
        <v>2659</v>
      </c>
      <c r="AV677" s="51"/>
    </row>
    <row r="678" spans="1:48" ht="18" customHeight="1">
      <c r="A678" s="44">
        <v>676</v>
      </c>
      <c r="B678" s="71" t="s">
        <v>1076</v>
      </c>
      <c r="C678" s="52" t="s">
        <v>2597</v>
      </c>
      <c r="D678" s="46" t="s">
        <v>116</v>
      </c>
      <c r="E678" s="44" t="s">
        <v>116</v>
      </c>
      <c r="F678" s="44" t="s">
        <v>2660</v>
      </c>
      <c r="G678" s="44"/>
      <c r="H678" s="44"/>
      <c r="I678" s="44"/>
      <c r="J678" s="47" t="s">
        <v>35</v>
      </c>
      <c r="K678" s="47"/>
      <c r="L678" s="47"/>
      <c r="M678" s="47"/>
      <c r="N678" s="47"/>
      <c r="O678" s="44"/>
      <c r="P678" s="44"/>
      <c r="Q678" s="48" t="e">
        <f>VLOOKUP(E678,sheet1!$B$2:$D$3209,3,FALSE)</f>
        <v>#N/A</v>
      </c>
      <c r="R678" s="47"/>
      <c r="S678" s="47" t="s">
        <v>35</v>
      </c>
      <c r="T678" s="47" t="s">
        <v>35</v>
      </c>
      <c r="U678" s="47" t="s">
        <v>35</v>
      </c>
      <c r="V678" s="47" t="s">
        <v>35</v>
      </c>
      <c r="W678" s="47" t="s">
        <v>35</v>
      </c>
      <c r="X678" s="47" t="s">
        <v>35</v>
      </c>
      <c r="Y678" s="47" t="s">
        <v>35</v>
      </c>
      <c r="Z678" s="47" t="s">
        <v>35</v>
      </c>
      <c r="AA678" s="47" t="s">
        <v>35</v>
      </c>
      <c r="AB678" s="47" t="s">
        <v>35</v>
      </c>
      <c r="AC678" s="47" t="s">
        <v>35</v>
      </c>
      <c r="AD678" s="75" t="str">
        <f>VLOOKUP(E689,sheet1!$B$2:$C$3209,2,FALSE)</f>
        <v>勘定科目ｽﾄﾗｸﾁｬｰ ﾏｽﾀｰ ﾒﾝﾃﾅﾝｽ</v>
      </c>
      <c r="AE678" s="49"/>
      <c r="AF678" s="51" t="s">
        <v>2691</v>
      </c>
      <c r="AG678" s="51" t="s">
        <v>2692</v>
      </c>
      <c r="AH678" s="49" t="str">
        <f t="shared" si="47"/>
        <v>勘定科目ストラクチャー保守</v>
      </c>
      <c r="AI678" s="49"/>
      <c r="AJ678" s="49"/>
      <c r="AK678" s="49"/>
      <c r="AL678" s="49"/>
      <c r="AM678" s="49"/>
      <c r="AN678" s="49"/>
      <c r="AO678" s="51" t="str">
        <f t="shared" si="39"/>
        <v>製番無在庫・発注有り品目一覧</v>
      </c>
      <c r="AP678" s="51" t="str">
        <f t="shared" si="40"/>
        <v/>
      </c>
      <c r="AQ678" s="51" t="s">
        <v>2662</v>
      </c>
      <c r="AR678" s="51"/>
      <c r="AS678" s="49" t="str">
        <f t="shared" si="41"/>
        <v>製番無在庫・発注有り品目一覧</v>
      </c>
      <c r="AT678" s="49" t="str">
        <f t="shared" si="42"/>
        <v/>
      </c>
      <c r="AU678" s="51" t="s">
        <v>2662</v>
      </c>
      <c r="AV678" s="51"/>
    </row>
    <row r="679" spans="1:48" ht="18" customHeight="1">
      <c r="A679" s="44">
        <v>677</v>
      </c>
      <c r="B679" s="71" t="s">
        <v>1076</v>
      </c>
      <c r="C679" s="52" t="s">
        <v>2597</v>
      </c>
      <c r="D679" s="46" t="s">
        <v>116</v>
      </c>
      <c r="E679" s="44" t="s">
        <v>116</v>
      </c>
      <c r="F679" s="44" t="s">
        <v>2693</v>
      </c>
      <c r="G679" s="44"/>
      <c r="H679" s="44"/>
      <c r="I679" s="44"/>
      <c r="J679" s="47" t="s">
        <v>35</v>
      </c>
      <c r="K679" s="47"/>
      <c r="L679" s="47"/>
      <c r="M679" s="47"/>
      <c r="N679" s="47"/>
      <c r="O679" s="44"/>
      <c r="P679" s="44"/>
      <c r="Q679" s="48" t="e">
        <f>VLOOKUP(E679,sheet1!$B$2:$D$3209,3,FALSE)</f>
        <v>#N/A</v>
      </c>
      <c r="R679" s="47"/>
      <c r="S679" s="47" t="s">
        <v>35</v>
      </c>
      <c r="T679" s="47" t="s">
        <v>35</v>
      </c>
      <c r="U679" s="47" t="s">
        <v>35</v>
      </c>
      <c r="V679" s="47" t="s">
        <v>35</v>
      </c>
      <c r="W679" s="47" t="s">
        <v>35</v>
      </c>
      <c r="X679" s="47" t="s">
        <v>35</v>
      </c>
      <c r="Y679" s="47" t="s">
        <v>35</v>
      </c>
      <c r="Z679" s="47" t="s">
        <v>35</v>
      </c>
      <c r="AA679" s="47" t="s">
        <v>35</v>
      </c>
      <c r="AB679" s="47" t="s">
        <v>35</v>
      </c>
      <c r="AC679" s="47" t="s">
        <v>35</v>
      </c>
      <c r="AD679" s="75" t="str">
        <f>VLOOKUP(E690,sheet1!$B$2:$C$3209,2,FALSE)</f>
        <v>勘定科目・摘要コード関連データ保守</v>
      </c>
      <c r="AE679" s="49"/>
      <c r="AF679" s="51" t="s">
        <v>2694</v>
      </c>
      <c r="AG679" s="51" t="s">
        <v>2695</v>
      </c>
      <c r="AH679" s="49" t="str">
        <f t="shared" si="47"/>
        <v>勘定科目・摘要コード関連保守</v>
      </c>
      <c r="AI679" s="49"/>
      <c r="AJ679" s="49"/>
      <c r="AK679" s="49"/>
      <c r="AL679" s="49"/>
      <c r="AM679" s="49"/>
      <c r="AN679" s="49"/>
      <c r="AO679" s="51" t="str">
        <f t="shared" si="39"/>
        <v>完成品入庫データ一覧表</v>
      </c>
      <c r="AP679" s="51" t="str">
        <f t="shared" si="40"/>
        <v>Query</v>
      </c>
      <c r="AQ679" s="51" t="s">
        <v>2665</v>
      </c>
      <c r="AR679" s="51" t="s">
        <v>344</v>
      </c>
      <c r="AS679" s="49" t="str">
        <f t="shared" si="41"/>
        <v>完成品入庫データ一覧表</v>
      </c>
      <c r="AT679" s="49" t="str">
        <f t="shared" si="42"/>
        <v>Query</v>
      </c>
      <c r="AU679" s="51" t="s">
        <v>2665</v>
      </c>
      <c r="AV679" s="51" t="s">
        <v>344</v>
      </c>
    </row>
    <row r="680" spans="1:48" ht="18" customHeight="1">
      <c r="A680" s="44">
        <v>678</v>
      </c>
      <c r="B680" s="71" t="s">
        <v>1076</v>
      </c>
      <c r="C680" s="52" t="s">
        <v>2597</v>
      </c>
      <c r="D680" s="46" t="s">
        <v>116</v>
      </c>
      <c r="E680" s="44" t="s">
        <v>344</v>
      </c>
      <c r="F680" s="44" t="s">
        <v>2696</v>
      </c>
      <c r="G680" s="44"/>
      <c r="H680" s="44"/>
      <c r="I680" s="44"/>
      <c r="J680" s="47"/>
      <c r="K680" s="47" t="s">
        <v>35</v>
      </c>
      <c r="L680" s="47"/>
      <c r="M680" s="47"/>
      <c r="N680" s="47"/>
      <c r="O680" s="44"/>
      <c r="P680" s="44"/>
      <c r="Q680" s="48" t="e">
        <f>VLOOKUP(E680,sheet1!$B$2:$D$3209,3,FALSE)</f>
        <v>#N/A</v>
      </c>
      <c r="R680" s="47"/>
      <c r="S680" s="47" t="s">
        <v>35</v>
      </c>
      <c r="T680" s="47" t="s">
        <v>35</v>
      </c>
      <c r="U680" s="47" t="s">
        <v>35</v>
      </c>
      <c r="V680" s="47" t="s">
        <v>35</v>
      </c>
      <c r="W680" s="47" t="s">
        <v>35</v>
      </c>
      <c r="X680" s="47" t="s">
        <v>35</v>
      </c>
      <c r="Y680" s="47" t="s">
        <v>35</v>
      </c>
      <c r="Z680" s="47" t="s">
        <v>35</v>
      </c>
      <c r="AA680" s="47" t="s">
        <v>35</v>
      </c>
      <c r="AB680" s="47" t="s">
        <v>35</v>
      </c>
      <c r="AC680" s="47" t="s">
        <v>35</v>
      </c>
      <c r="AD680" s="75" t="str">
        <f>VLOOKUP(E691,sheet1!$B$2:$C$3209,2,FALSE)</f>
        <v>得意先親コードメンテナンス</v>
      </c>
      <c r="AE680" s="49"/>
      <c r="AF680" s="51" t="s">
        <v>2697</v>
      </c>
      <c r="AG680" s="51" t="s">
        <v>2698</v>
      </c>
      <c r="AH680" s="49" t="str">
        <f t="shared" si="47"/>
        <v>親得意先マスター</v>
      </c>
      <c r="AI680" s="49"/>
      <c r="AJ680" s="49"/>
      <c r="AK680" s="49"/>
      <c r="AL680" s="49"/>
      <c r="AM680" s="49"/>
      <c r="AN680" s="49"/>
      <c r="AO680" s="51" t="str">
        <f t="shared" si="39"/>
        <v>受注一覧表ダウンロード</v>
      </c>
      <c r="AP680" s="51" t="str">
        <f t="shared" si="40"/>
        <v>SA2395</v>
      </c>
      <c r="AQ680" s="51" t="s">
        <v>2668</v>
      </c>
      <c r="AR680" s="51" t="s">
        <v>606</v>
      </c>
      <c r="AS680" s="49" t="str">
        <f t="shared" si="41"/>
        <v>受注一覧表ダウンロード</v>
      </c>
      <c r="AT680" s="49" t="str">
        <f t="shared" si="42"/>
        <v>SA2395</v>
      </c>
      <c r="AU680" s="51" t="s">
        <v>2668</v>
      </c>
      <c r="AV680" s="51" t="s">
        <v>606</v>
      </c>
    </row>
    <row r="681" spans="1:48" ht="18" customHeight="1">
      <c r="A681" s="44">
        <v>679</v>
      </c>
      <c r="B681" s="71" t="s">
        <v>1076</v>
      </c>
      <c r="C681" s="52" t="s">
        <v>2597</v>
      </c>
      <c r="D681" s="46" t="s">
        <v>116</v>
      </c>
      <c r="E681" s="44" t="s">
        <v>606</v>
      </c>
      <c r="F681" s="44" t="s">
        <v>603</v>
      </c>
      <c r="G681" s="44"/>
      <c r="H681" s="44"/>
      <c r="I681" s="44"/>
      <c r="J681" s="47" t="s">
        <v>35</v>
      </c>
      <c r="K681" s="47"/>
      <c r="L681" s="47"/>
      <c r="M681" s="47"/>
      <c r="N681" s="47"/>
      <c r="O681" s="44"/>
      <c r="P681" s="44"/>
      <c r="Q681" s="48">
        <f>VLOOKUP(E681,sheet1!$B$2:$D$3209,3,FALSE)</f>
        <v>1370</v>
      </c>
      <c r="R681" s="47"/>
      <c r="S681" s="47" t="s">
        <v>35</v>
      </c>
      <c r="T681" s="47" t="s">
        <v>35</v>
      </c>
      <c r="U681" s="47" t="s">
        <v>35</v>
      </c>
      <c r="V681" s="47" t="s">
        <v>35</v>
      </c>
      <c r="W681" s="47" t="s">
        <v>35</v>
      </c>
      <c r="X681" s="47" t="s">
        <v>35</v>
      </c>
      <c r="Y681" s="47" t="s">
        <v>35</v>
      </c>
      <c r="Z681" s="47" t="s">
        <v>35</v>
      </c>
      <c r="AA681" s="47" t="s">
        <v>35</v>
      </c>
      <c r="AB681" s="47" t="s">
        <v>35</v>
      </c>
      <c r="AC681" s="47" t="s">
        <v>35</v>
      </c>
      <c r="AD681" s="75" t="str">
        <f>VLOOKUP(E692,sheet1!$B$2:$C$3209,2,FALSE)</f>
        <v>得意先親子コード関連付け保守</v>
      </c>
      <c r="AE681" s="49"/>
      <c r="AF681" s="51" t="s">
        <v>2699</v>
      </c>
      <c r="AG681" s="51" t="s">
        <v>2700</v>
      </c>
      <c r="AH681" s="49" t="str">
        <f t="shared" si="47"/>
        <v>得意先親子関連付マスター</v>
      </c>
      <c r="AI681" s="49"/>
      <c r="AJ681" s="49"/>
      <c r="AK681" s="49"/>
      <c r="AL681" s="49"/>
      <c r="AM681" s="49"/>
      <c r="AN681" s="49"/>
      <c r="AO681" s="51" t="str">
        <f t="shared" si="39"/>
        <v>部門名称ファイル</v>
      </c>
      <c r="AP681" s="51" t="str">
        <f t="shared" si="40"/>
        <v>MS0200</v>
      </c>
      <c r="AQ681" s="51" t="s">
        <v>2701</v>
      </c>
      <c r="AR681" s="51" t="s">
        <v>2672</v>
      </c>
      <c r="AS681" s="49" t="str">
        <f t="shared" si="41"/>
        <v/>
      </c>
      <c r="AT681" s="49" t="str">
        <f t="shared" si="42"/>
        <v/>
      </c>
      <c r="AU681" s="49"/>
      <c r="AV681" s="49"/>
    </row>
    <row r="682" spans="1:48" ht="18" customHeight="1">
      <c r="A682" s="44">
        <v>680</v>
      </c>
      <c r="B682" s="45" t="s">
        <v>2702</v>
      </c>
      <c r="C682" s="75" t="s">
        <v>293</v>
      </c>
      <c r="D682" s="46" t="s">
        <v>116</v>
      </c>
      <c r="E682" s="44" t="s">
        <v>2672</v>
      </c>
      <c r="F682" s="44" t="s">
        <v>2703</v>
      </c>
      <c r="G682" s="44"/>
      <c r="H682" s="44"/>
      <c r="I682" s="44"/>
      <c r="J682" s="47" t="s">
        <v>35</v>
      </c>
      <c r="K682" s="47"/>
      <c r="L682" s="47"/>
      <c r="M682" s="47"/>
      <c r="N682" s="47"/>
      <c r="O682" s="44"/>
      <c r="P682" s="44"/>
      <c r="Q682" s="48">
        <f>VLOOKUP(E682,sheet1!$B$2:$D$3209,3,FALSE)</f>
        <v>116</v>
      </c>
      <c r="R682" s="47" t="s">
        <v>35</v>
      </c>
      <c r="S682" s="47" t="s">
        <v>35</v>
      </c>
      <c r="T682" s="47"/>
      <c r="U682" s="47" t="s">
        <v>296</v>
      </c>
      <c r="V682" s="47" t="s">
        <v>296</v>
      </c>
      <c r="W682" s="47" t="s">
        <v>296</v>
      </c>
      <c r="X682" s="47" t="s">
        <v>296</v>
      </c>
      <c r="Y682" s="47"/>
      <c r="Z682" s="47" t="s">
        <v>296</v>
      </c>
      <c r="AA682" s="47" t="s">
        <v>296</v>
      </c>
      <c r="AB682" s="47"/>
      <c r="AC682" s="47" t="s">
        <v>35</v>
      </c>
      <c r="AD682" s="75" t="str">
        <f>VLOOKUP(E693,sheet1!$B$2:$C$3209,2,FALSE)</f>
        <v>償却率マスターメンテナス</v>
      </c>
      <c r="AE682" s="49"/>
      <c r="AF682" s="51" t="s">
        <v>2704</v>
      </c>
      <c r="AG682" s="51" t="s">
        <v>2705</v>
      </c>
      <c r="AH682" s="49" t="str">
        <f t="shared" si="47"/>
        <v>償却率マスター</v>
      </c>
      <c r="AI682" s="49"/>
      <c r="AJ682" s="49"/>
      <c r="AK682" s="49"/>
      <c r="AL682" s="49"/>
      <c r="AM682" s="49"/>
      <c r="AN682" s="49"/>
      <c r="AO682" s="51" t="str">
        <f t="shared" si="39"/>
        <v>部課コード／部門関連ファイル</v>
      </c>
      <c r="AP682" s="51" t="str">
        <f t="shared" si="40"/>
        <v>MS0300</v>
      </c>
      <c r="AQ682" s="51" t="s">
        <v>2675</v>
      </c>
      <c r="AR682" s="51" t="s">
        <v>2676</v>
      </c>
      <c r="AS682" s="49" t="str">
        <f t="shared" si="41"/>
        <v/>
      </c>
      <c r="AT682" s="49" t="str">
        <f t="shared" si="42"/>
        <v/>
      </c>
      <c r="AU682" s="49"/>
      <c r="AV682" s="49"/>
    </row>
    <row r="683" spans="1:48" ht="18" customHeight="1">
      <c r="A683" s="44">
        <v>681</v>
      </c>
      <c r="B683" s="52" t="s">
        <v>2702</v>
      </c>
      <c r="C683" s="80" t="s">
        <v>293</v>
      </c>
      <c r="D683" s="46" t="s">
        <v>116</v>
      </c>
      <c r="E683" s="44" t="s">
        <v>2676</v>
      </c>
      <c r="F683" s="44" t="s">
        <v>2706</v>
      </c>
      <c r="G683" s="44"/>
      <c r="H683" s="44"/>
      <c r="I683" s="44"/>
      <c r="J683" s="47" t="s">
        <v>35</v>
      </c>
      <c r="K683" s="47"/>
      <c r="L683" s="47"/>
      <c r="M683" s="47"/>
      <c r="N683" s="47"/>
      <c r="O683" s="44"/>
      <c r="P683" s="44"/>
      <c r="Q683" s="48">
        <f>VLOOKUP(E683,sheet1!$B$2:$D$3209,3,FALSE)</f>
        <v>376</v>
      </c>
      <c r="R683" s="47" t="s">
        <v>35</v>
      </c>
      <c r="S683" s="47" t="s">
        <v>35</v>
      </c>
      <c r="T683" s="47"/>
      <c r="U683" s="47" t="s">
        <v>296</v>
      </c>
      <c r="V683" s="47" t="s">
        <v>296</v>
      </c>
      <c r="W683" s="47" t="s">
        <v>296</v>
      </c>
      <c r="X683" s="47" t="s">
        <v>296</v>
      </c>
      <c r="Y683" s="47"/>
      <c r="Z683" s="47" t="s">
        <v>296</v>
      </c>
      <c r="AA683" s="47" t="s">
        <v>296</v>
      </c>
      <c r="AB683" s="47"/>
      <c r="AC683" s="47" t="s">
        <v>35</v>
      </c>
      <c r="AD683" s="75" t="str">
        <f>VLOOKUP(E694,sheet1!$B$2:$C$3209,2,FALSE)</f>
        <v>地区コードマスター　メンテナンス</v>
      </c>
      <c r="AE683" s="49"/>
      <c r="AF683" s="51" t="s">
        <v>2707</v>
      </c>
      <c r="AG683" s="51" t="s">
        <v>2708</v>
      </c>
      <c r="AH683" s="49" t="str">
        <f t="shared" si="47"/>
        <v>地区コードマスター</v>
      </c>
      <c r="AI683" s="49"/>
      <c r="AJ683" s="49"/>
      <c r="AK683" s="49"/>
      <c r="AL683" s="49"/>
      <c r="AM683" s="49"/>
      <c r="AN683" s="49"/>
      <c r="AO683" s="51" t="str">
        <f t="shared" si="39"/>
        <v>部門分類マスター</v>
      </c>
      <c r="AP683" s="51" t="str">
        <f t="shared" si="40"/>
        <v>MS1900</v>
      </c>
      <c r="AQ683" s="51" t="s">
        <v>2678</v>
      </c>
      <c r="AR683" s="51" t="s">
        <v>2679</v>
      </c>
      <c r="AS683" s="49" t="str">
        <f t="shared" si="41"/>
        <v/>
      </c>
      <c r="AT683" s="49" t="str">
        <f t="shared" si="42"/>
        <v/>
      </c>
      <c r="AU683" s="49"/>
      <c r="AV683" s="49"/>
    </row>
    <row r="684" spans="1:48" ht="18" customHeight="1">
      <c r="A684" s="44">
        <v>682</v>
      </c>
      <c r="B684" s="52" t="s">
        <v>2702</v>
      </c>
      <c r="C684" s="80" t="s">
        <v>293</v>
      </c>
      <c r="D684" s="46" t="s">
        <v>116</v>
      </c>
      <c r="E684" s="44" t="s">
        <v>2679</v>
      </c>
      <c r="F684" s="44" t="s">
        <v>2709</v>
      </c>
      <c r="G684" s="44"/>
      <c r="H684" s="44"/>
      <c r="I684" s="44"/>
      <c r="J684" s="47" t="s">
        <v>35</v>
      </c>
      <c r="K684" s="47"/>
      <c r="L684" s="47"/>
      <c r="M684" s="47"/>
      <c r="N684" s="47"/>
      <c r="O684" s="44"/>
      <c r="P684" s="44"/>
      <c r="Q684" s="48">
        <f>VLOOKUP(E684,sheet1!$B$2:$D$3209,3,FALSE)</f>
        <v>960</v>
      </c>
      <c r="R684" s="47" t="s">
        <v>35</v>
      </c>
      <c r="S684" s="47" t="s">
        <v>35</v>
      </c>
      <c r="T684" s="47"/>
      <c r="U684" s="47" t="s">
        <v>296</v>
      </c>
      <c r="V684" s="47" t="s">
        <v>296</v>
      </c>
      <c r="W684" s="47" t="s">
        <v>296</v>
      </c>
      <c r="X684" s="47" t="s">
        <v>296</v>
      </c>
      <c r="Y684" s="47"/>
      <c r="Z684" s="47" t="s">
        <v>296</v>
      </c>
      <c r="AA684" s="47" t="s">
        <v>296</v>
      </c>
      <c r="AB684" s="47"/>
      <c r="AC684" s="47" t="s">
        <v>35</v>
      </c>
      <c r="AD684" s="75" t="str">
        <f>VLOOKUP(E695,sheet1!$B$2:$C$3209,2,FALSE)</f>
        <v>通貨コードマスターメンテナンス</v>
      </c>
      <c r="AE684" s="49"/>
      <c r="AF684" s="51" t="s">
        <v>2710</v>
      </c>
      <c r="AG684" s="51" t="s">
        <v>2711</v>
      </c>
      <c r="AH684" s="49" t="str">
        <f t="shared" si="47"/>
        <v>通貨コードマスター</v>
      </c>
      <c r="AI684" s="49"/>
      <c r="AJ684" s="49"/>
      <c r="AK684" s="49"/>
      <c r="AL684" s="49"/>
      <c r="AM684" s="49"/>
      <c r="AN684" s="49"/>
      <c r="AO684" s="51" t="str">
        <f t="shared" si="39"/>
        <v>帳票別印刷列保守</v>
      </c>
      <c r="AP684" s="51" t="str">
        <f t="shared" si="40"/>
        <v>MS1920</v>
      </c>
      <c r="AQ684" s="51" t="s">
        <v>2681</v>
      </c>
      <c r="AR684" s="51" t="s">
        <v>2682</v>
      </c>
      <c r="AS684" s="49" t="str">
        <f t="shared" si="41"/>
        <v/>
      </c>
      <c r="AT684" s="49" t="str">
        <f t="shared" si="42"/>
        <v/>
      </c>
      <c r="AU684" s="49"/>
      <c r="AV684" s="49"/>
    </row>
    <row r="685" spans="1:48" ht="18" customHeight="1">
      <c r="A685" s="44">
        <v>683</v>
      </c>
      <c r="B685" s="52" t="s">
        <v>2702</v>
      </c>
      <c r="C685" s="80" t="s">
        <v>293</v>
      </c>
      <c r="D685" s="46" t="s">
        <v>116</v>
      </c>
      <c r="E685" s="44" t="s">
        <v>2682</v>
      </c>
      <c r="F685" s="44" t="s">
        <v>2712</v>
      </c>
      <c r="G685" s="44"/>
      <c r="H685" s="44"/>
      <c r="I685" s="44"/>
      <c r="J685" s="47" t="s">
        <v>35</v>
      </c>
      <c r="K685" s="47"/>
      <c r="L685" s="47"/>
      <c r="M685" s="47"/>
      <c r="N685" s="47"/>
      <c r="O685" s="44"/>
      <c r="P685" s="44"/>
      <c r="Q685" s="48">
        <f>VLOOKUP(E685,sheet1!$B$2:$D$3209,3,FALSE)</f>
        <v>498</v>
      </c>
      <c r="R685" s="47" t="s">
        <v>35</v>
      </c>
      <c r="S685" s="47" t="s">
        <v>35</v>
      </c>
      <c r="T685" s="47"/>
      <c r="U685" s="47" t="s">
        <v>296</v>
      </c>
      <c r="V685" s="47" t="s">
        <v>296</v>
      </c>
      <c r="W685" s="47" t="s">
        <v>296</v>
      </c>
      <c r="X685" s="47" t="s">
        <v>296</v>
      </c>
      <c r="Y685" s="47"/>
      <c r="Z685" s="47" t="s">
        <v>296</v>
      </c>
      <c r="AA685" s="47" t="s">
        <v>296</v>
      </c>
      <c r="AB685" s="47"/>
      <c r="AC685" s="47" t="s">
        <v>35</v>
      </c>
      <c r="AD685" s="75" t="str">
        <f>VLOOKUP(E696,sheet1!$B$2:$C$3209,2,FALSE)</f>
        <v>税率マスターの保守</v>
      </c>
      <c r="AE685" s="49"/>
      <c r="AF685" s="51" t="s">
        <v>2713</v>
      </c>
      <c r="AG685" s="51" t="s">
        <v>2714</v>
      </c>
      <c r="AH685" s="49" t="str">
        <f t="shared" si="47"/>
        <v>消費税率マスター</v>
      </c>
      <c r="AI685" s="49"/>
      <c r="AJ685" s="49"/>
      <c r="AK685" s="49"/>
      <c r="AL685" s="49"/>
      <c r="AM685" s="49"/>
      <c r="AN685" s="49"/>
      <c r="AO685" s="51" t="str">
        <f t="shared" si="39"/>
        <v>摘要マスター保守</v>
      </c>
      <c r="AP685" s="51" t="str">
        <f t="shared" si="40"/>
        <v>MS2300</v>
      </c>
      <c r="AQ685" s="51" t="s">
        <v>2684</v>
      </c>
      <c r="AR685" s="51" t="s">
        <v>2685</v>
      </c>
      <c r="AS685" s="49" t="str">
        <f t="shared" si="41"/>
        <v/>
      </c>
      <c r="AT685" s="49" t="str">
        <f t="shared" si="42"/>
        <v/>
      </c>
      <c r="AU685" s="49"/>
      <c r="AV685" s="49"/>
    </row>
    <row r="686" spans="1:48" ht="18" customHeight="1">
      <c r="A686" s="44">
        <v>684</v>
      </c>
      <c r="B686" s="52" t="s">
        <v>2702</v>
      </c>
      <c r="C686" s="80" t="s">
        <v>293</v>
      </c>
      <c r="D686" s="46" t="s">
        <v>116</v>
      </c>
      <c r="E686" s="44" t="s">
        <v>2685</v>
      </c>
      <c r="F686" s="44" t="s">
        <v>2715</v>
      </c>
      <c r="G686" s="44"/>
      <c r="H686" s="44"/>
      <c r="I686" s="44"/>
      <c r="J686" s="47" t="s">
        <v>35</v>
      </c>
      <c r="K686" s="47"/>
      <c r="L686" s="47"/>
      <c r="M686" s="47"/>
      <c r="N686" s="47"/>
      <c r="O686" s="44"/>
      <c r="P686" s="44"/>
      <c r="Q686" s="48">
        <f>VLOOKUP(E686,sheet1!$B$2:$D$3209,3,FALSE)</f>
        <v>250</v>
      </c>
      <c r="R686" s="47" t="s">
        <v>35</v>
      </c>
      <c r="S686" s="47" t="s">
        <v>35</v>
      </c>
      <c r="T686" s="47"/>
      <c r="U686" s="47" t="s">
        <v>296</v>
      </c>
      <c r="V686" s="47" t="s">
        <v>296</v>
      </c>
      <c r="W686" s="47" t="s">
        <v>296</v>
      </c>
      <c r="X686" s="47" t="s">
        <v>296</v>
      </c>
      <c r="Y686" s="47"/>
      <c r="Z686" s="47" t="s">
        <v>296</v>
      </c>
      <c r="AA686" s="47" t="s">
        <v>296</v>
      </c>
      <c r="AB686" s="47"/>
      <c r="AC686" s="47" t="s">
        <v>35</v>
      </c>
      <c r="AD686" s="75" t="e">
        <f>VLOOKUP(E697,sheet1!$B$2:$C$3209,2,FALSE)</f>
        <v>#N/A</v>
      </c>
      <c r="AE686" s="49"/>
      <c r="AF686" s="51" t="s">
        <v>2716</v>
      </c>
      <c r="AG686" s="51" t="s">
        <v>2717</v>
      </c>
      <c r="AH686" s="49" t="str">
        <f t="shared" si="47"/>
        <v>支払代行マスタ000***ｺｰﾄﾞ用</v>
      </c>
      <c r="AI686" s="49"/>
      <c r="AJ686" s="49"/>
      <c r="AK686" s="49"/>
      <c r="AL686" s="49"/>
      <c r="AM686" s="49"/>
      <c r="AN686" s="49"/>
      <c r="AO686" s="51" t="str">
        <f t="shared" si="39"/>
        <v>勘定科目マスター保守</v>
      </c>
      <c r="AP686" s="51" t="str">
        <f t="shared" si="40"/>
        <v>MS2400</v>
      </c>
      <c r="AQ686" s="51" t="s">
        <v>2687</v>
      </c>
      <c r="AR686" s="51" t="s">
        <v>2688</v>
      </c>
      <c r="AS686" s="49" t="str">
        <f t="shared" si="41"/>
        <v/>
      </c>
      <c r="AT686" s="49" t="str">
        <f t="shared" si="42"/>
        <v/>
      </c>
      <c r="AU686" s="49"/>
      <c r="AV686" s="49"/>
    </row>
    <row r="687" spans="1:48" ht="18" customHeight="1">
      <c r="A687" s="44">
        <v>685</v>
      </c>
      <c r="B687" s="52" t="s">
        <v>2702</v>
      </c>
      <c r="C687" s="80" t="s">
        <v>293</v>
      </c>
      <c r="D687" s="46" t="s">
        <v>116</v>
      </c>
      <c r="E687" s="44" t="s">
        <v>2688</v>
      </c>
      <c r="F687" s="44" t="s">
        <v>2718</v>
      </c>
      <c r="G687" s="44"/>
      <c r="H687" s="44"/>
      <c r="I687" s="44"/>
      <c r="J687" s="47" t="s">
        <v>35</v>
      </c>
      <c r="K687" s="47"/>
      <c r="L687" s="47"/>
      <c r="M687" s="47"/>
      <c r="N687" s="47"/>
      <c r="O687" s="44"/>
      <c r="P687" s="44"/>
      <c r="Q687" s="48">
        <f>VLOOKUP(E687,sheet1!$B$2:$D$3209,3,FALSE)</f>
        <v>379</v>
      </c>
      <c r="R687" s="47" t="s">
        <v>35</v>
      </c>
      <c r="S687" s="47" t="s">
        <v>35</v>
      </c>
      <c r="T687" s="47"/>
      <c r="U687" s="47" t="s">
        <v>296</v>
      </c>
      <c r="V687" s="47" t="s">
        <v>296</v>
      </c>
      <c r="W687" s="47" t="s">
        <v>296</v>
      </c>
      <c r="X687" s="47" t="s">
        <v>296</v>
      </c>
      <c r="Y687" s="47"/>
      <c r="Z687" s="47" t="s">
        <v>296</v>
      </c>
      <c r="AA687" s="47" t="s">
        <v>296</v>
      </c>
      <c r="AB687" s="47"/>
      <c r="AC687" s="47" t="s">
        <v>35</v>
      </c>
      <c r="AD687" s="75" t="e">
        <f>VLOOKUP(E698,sheet1!$B$2:$C$3209,2,FALSE)</f>
        <v>#N/A</v>
      </c>
      <c r="AE687" s="49"/>
      <c r="AF687" s="51" t="s">
        <v>2719</v>
      </c>
      <c r="AG687" s="51" t="s">
        <v>2720</v>
      </c>
      <c r="AH687" s="49" t="str">
        <f t="shared" si="47"/>
        <v>支払代行マスタ3*****ｺｰﾄﾞ用</v>
      </c>
      <c r="AI687" s="49"/>
      <c r="AJ687" s="49"/>
      <c r="AK687" s="49"/>
      <c r="AL687" s="49"/>
      <c r="AM687" s="49"/>
      <c r="AN687" s="49"/>
      <c r="AO687" s="51" t="str">
        <f t="shared" si="39"/>
        <v>親勘定科目マスター保守</v>
      </c>
      <c r="AP687" s="51" t="str">
        <f t="shared" si="40"/>
        <v>MS2500</v>
      </c>
      <c r="AQ687" s="51" t="s">
        <v>2689</v>
      </c>
      <c r="AR687" s="51" t="s">
        <v>2690</v>
      </c>
      <c r="AS687" s="49" t="str">
        <f t="shared" si="41"/>
        <v/>
      </c>
      <c r="AT687" s="49" t="str">
        <f t="shared" si="42"/>
        <v/>
      </c>
      <c r="AU687" s="49"/>
      <c r="AV687" s="49"/>
    </row>
    <row r="688" spans="1:48" ht="18" customHeight="1">
      <c r="A688" s="44">
        <v>686</v>
      </c>
      <c r="B688" s="52" t="s">
        <v>2702</v>
      </c>
      <c r="C688" s="80" t="s">
        <v>293</v>
      </c>
      <c r="D688" s="46" t="s">
        <v>116</v>
      </c>
      <c r="E688" s="44" t="s">
        <v>2690</v>
      </c>
      <c r="F688" s="44" t="s">
        <v>2721</v>
      </c>
      <c r="G688" s="44"/>
      <c r="H688" s="44"/>
      <c r="I688" s="44"/>
      <c r="J688" s="47" t="s">
        <v>35</v>
      </c>
      <c r="K688" s="47"/>
      <c r="L688" s="47"/>
      <c r="M688" s="47"/>
      <c r="N688" s="47"/>
      <c r="O688" s="44"/>
      <c r="P688" s="44"/>
      <c r="Q688" s="48">
        <f>VLOOKUP(E688,sheet1!$B$2:$D$3209,3,FALSE)</f>
        <v>382</v>
      </c>
      <c r="R688" s="47" t="s">
        <v>35</v>
      </c>
      <c r="S688" s="47" t="s">
        <v>35</v>
      </c>
      <c r="T688" s="47"/>
      <c r="U688" s="47" t="s">
        <v>296</v>
      </c>
      <c r="V688" s="47" t="s">
        <v>296</v>
      </c>
      <c r="W688" s="47" t="s">
        <v>296</v>
      </c>
      <c r="X688" s="47" t="s">
        <v>296</v>
      </c>
      <c r="Y688" s="47"/>
      <c r="Z688" s="47" t="s">
        <v>296</v>
      </c>
      <c r="AA688" s="47" t="s">
        <v>296</v>
      </c>
      <c r="AB688" s="47"/>
      <c r="AC688" s="47" t="s">
        <v>35</v>
      </c>
      <c r="AD688" s="75" t="e">
        <f>VLOOKUP(E699,sheet1!$B$2:$C$3209,2,FALSE)</f>
        <v>#N/A</v>
      </c>
      <c r="AE688" s="49"/>
      <c r="AF688" s="51" t="s">
        <v>2722</v>
      </c>
      <c r="AG688" s="51" t="s">
        <v>2723</v>
      </c>
      <c r="AH688" s="49" t="str">
        <f t="shared" si="47"/>
        <v>税区分ファイル</v>
      </c>
      <c r="AI688" s="49"/>
      <c r="AJ688" s="49"/>
      <c r="AK688" s="49"/>
      <c r="AL688" s="49"/>
      <c r="AM688" s="49"/>
      <c r="AN688" s="49"/>
      <c r="AO688" s="51" t="str">
        <f t="shared" si="39"/>
        <v>勘定科目ストラクチャー保守</v>
      </c>
      <c r="AP688" s="51" t="str">
        <f t="shared" si="40"/>
        <v>MS2600</v>
      </c>
      <c r="AQ688" s="51" t="s">
        <v>2691</v>
      </c>
      <c r="AR688" s="51" t="s">
        <v>2692</v>
      </c>
      <c r="AS688" s="49" t="str">
        <f t="shared" si="41"/>
        <v/>
      </c>
      <c r="AT688" s="49" t="str">
        <f t="shared" si="42"/>
        <v/>
      </c>
      <c r="AU688" s="49"/>
      <c r="AV688" s="49"/>
    </row>
    <row r="689" spans="1:48" ht="18" customHeight="1">
      <c r="A689" s="44">
        <v>687</v>
      </c>
      <c r="B689" s="52" t="s">
        <v>2702</v>
      </c>
      <c r="C689" s="80" t="s">
        <v>293</v>
      </c>
      <c r="D689" s="46" t="s">
        <v>116</v>
      </c>
      <c r="E689" s="44" t="s">
        <v>2692</v>
      </c>
      <c r="F689" s="44" t="s">
        <v>2724</v>
      </c>
      <c r="G689" s="44"/>
      <c r="H689" s="44"/>
      <c r="I689" s="44"/>
      <c r="J689" s="47" t="s">
        <v>35</v>
      </c>
      <c r="K689" s="47"/>
      <c r="L689" s="47"/>
      <c r="M689" s="47"/>
      <c r="N689" s="47"/>
      <c r="O689" s="44"/>
      <c r="P689" s="44"/>
      <c r="Q689" s="48">
        <f>VLOOKUP(E689,sheet1!$B$2:$D$3209,3,FALSE)</f>
        <v>493</v>
      </c>
      <c r="R689" s="47" t="s">
        <v>35</v>
      </c>
      <c r="S689" s="47" t="s">
        <v>35</v>
      </c>
      <c r="T689" s="47"/>
      <c r="U689" s="47" t="s">
        <v>296</v>
      </c>
      <c r="V689" s="47" t="s">
        <v>296</v>
      </c>
      <c r="W689" s="47" t="s">
        <v>296</v>
      </c>
      <c r="X689" s="47" t="s">
        <v>296</v>
      </c>
      <c r="Y689" s="47"/>
      <c r="Z689" s="47" t="s">
        <v>296</v>
      </c>
      <c r="AA689" s="47" t="s">
        <v>296</v>
      </c>
      <c r="AB689" s="47"/>
      <c r="AC689" s="47" t="s">
        <v>35</v>
      </c>
      <c r="AD689" s="75" t="e">
        <f>VLOOKUP(E700,sheet1!$B$2:$C$3209,2,FALSE)</f>
        <v>#N/A</v>
      </c>
      <c r="AE689" s="49"/>
      <c r="AF689" s="51" t="s">
        <v>2725</v>
      </c>
      <c r="AG689" s="51" t="s">
        <v>2726</v>
      </c>
      <c r="AH689" s="49" t="str">
        <f t="shared" si="47"/>
        <v>取引先ファイル・銀行区分</v>
      </c>
      <c r="AI689" s="49"/>
      <c r="AJ689" s="49"/>
      <c r="AK689" s="49"/>
      <c r="AL689" s="49"/>
      <c r="AM689" s="49"/>
      <c r="AN689" s="49"/>
      <c r="AO689" s="51" t="str">
        <f t="shared" si="39"/>
        <v>勘定科目・摘要コード関連保守</v>
      </c>
      <c r="AP689" s="51" t="str">
        <f t="shared" si="40"/>
        <v>MS2700</v>
      </c>
      <c r="AQ689" s="51" t="s">
        <v>2694</v>
      </c>
      <c r="AR689" s="51" t="s">
        <v>2695</v>
      </c>
      <c r="AS689" s="49" t="str">
        <f t="shared" si="41"/>
        <v/>
      </c>
      <c r="AT689" s="49" t="str">
        <f t="shared" si="42"/>
        <v/>
      </c>
      <c r="AU689" s="49"/>
      <c r="AV689" s="49"/>
    </row>
    <row r="690" spans="1:48" ht="18" customHeight="1">
      <c r="A690" s="44">
        <v>688</v>
      </c>
      <c r="B690" s="52" t="s">
        <v>2702</v>
      </c>
      <c r="C690" s="80" t="s">
        <v>293</v>
      </c>
      <c r="D690" s="46" t="s">
        <v>116</v>
      </c>
      <c r="E690" s="44" t="s">
        <v>2695</v>
      </c>
      <c r="F690" s="44" t="s">
        <v>2727</v>
      </c>
      <c r="G690" s="44"/>
      <c r="H690" s="44"/>
      <c r="I690" s="44"/>
      <c r="J690" s="47" t="s">
        <v>35</v>
      </c>
      <c r="K690" s="47"/>
      <c r="L690" s="47"/>
      <c r="M690" s="47"/>
      <c r="N690" s="47"/>
      <c r="O690" s="44"/>
      <c r="P690" s="44"/>
      <c r="Q690" s="48">
        <f>VLOOKUP(E690,sheet1!$B$2:$D$3209,3,FALSE)</f>
        <v>477</v>
      </c>
      <c r="R690" s="47" t="s">
        <v>35</v>
      </c>
      <c r="S690" s="47" t="s">
        <v>35</v>
      </c>
      <c r="T690" s="47"/>
      <c r="U690" s="47" t="s">
        <v>296</v>
      </c>
      <c r="V690" s="47" t="s">
        <v>296</v>
      </c>
      <c r="W690" s="47" t="s">
        <v>296</v>
      </c>
      <c r="X690" s="47" t="s">
        <v>296</v>
      </c>
      <c r="Y690" s="47"/>
      <c r="Z690" s="47" t="s">
        <v>296</v>
      </c>
      <c r="AA690" s="47" t="s">
        <v>296</v>
      </c>
      <c r="AB690" s="47"/>
      <c r="AC690" s="47" t="s">
        <v>35</v>
      </c>
      <c r="AD690" s="75" t="str">
        <f>VLOOKUP(E701,sheet1!$B$2:$C$3209,2,FALSE)</f>
        <v>経費集計印刷順ﾌｧｲﾙ入力</v>
      </c>
      <c r="AE690" s="49"/>
      <c r="AF690" s="51" t="s">
        <v>2728</v>
      </c>
      <c r="AG690" s="51" t="s">
        <v>2729</v>
      </c>
      <c r="AH690" s="49" t="str">
        <f t="shared" si="47"/>
        <v>経費集計印刷順ファイル入力</v>
      </c>
      <c r="AI690" s="49"/>
      <c r="AJ690" s="49"/>
      <c r="AK690" s="49"/>
      <c r="AL690" s="49"/>
      <c r="AM690" s="49"/>
      <c r="AN690" s="49"/>
      <c r="AO690" s="51" t="str">
        <f t="shared" si="39"/>
        <v>親得意先マスター</v>
      </c>
      <c r="AP690" s="51" t="str">
        <f t="shared" si="40"/>
        <v>MS1500</v>
      </c>
      <c r="AQ690" s="51" t="s">
        <v>2697</v>
      </c>
      <c r="AR690" s="51" t="s">
        <v>2698</v>
      </c>
      <c r="AS690" s="49" t="str">
        <f t="shared" si="41"/>
        <v/>
      </c>
      <c r="AT690" s="49" t="str">
        <f t="shared" si="42"/>
        <v/>
      </c>
      <c r="AU690" s="49"/>
      <c r="AV690" s="49"/>
    </row>
    <row r="691" spans="1:48" ht="18" customHeight="1">
      <c r="A691" s="44">
        <v>689</v>
      </c>
      <c r="B691" s="52" t="s">
        <v>2702</v>
      </c>
      <c r="C691" s="80" t="s">
        <v>293</v>
      </c>
      <c r="D691" s="46" t="s">
        <v>116</v>
      </c>
      <c r="E691" s="44" t="s">
        <v>2698</v>
      </c>
      <c r="F691" s="44" t="s">
        <v>2730</v>
      </c>
      <c r="G691" s="44"/>
      <c r="H691" s="44"/>
      <c r="I691" s="44"/>
      <c r="J691" s="47" t="s">
        <v>35</v>
      </c>
      <c r="K691" s="47"/>
      <c r="L691" s="47"/>
      <c r="M691" s="47"/>
      <c r="N691" s="47"/>
      <c r="O691" s="44"/>
      <c r="P691" s="44"/>
      <c r="Q691" s="48">
        <f>VLOOKUP(E691,sheet1!$B$2:$D$3209,3,FALSE)</f>
        <v>824</v>
      </c>
      <c r="R691" s="47" t="s">
        <v>35</v>
      </c>
      <c r="S691" s="47" t="s">
        <v>35</v>
      </c>
      <c r="T691" s="47"/>
      <c r="U691" s="47" t="s">
        <v>296</v>
      </c>
      <c r="V691" s="47" t="s">
        <v>296</v>
      </c>
      <c r="W691" s="47" t="s">
        <v>296</v>
      </c>
      <c r="X691" s="47" t="s">
        <v>296</v>
      </c>
      <c r="Y691" s="47"/>
      <c r="Z691" s="47" t="s">
        <v>296</v>
      </c>
      <c r="AA691" s="47" t="s">
        <v>296</v>
      </c>
      <c r="AB691" s="47"/>
      <c r="AC691" s="47" t="s">
        <v>35</v>
      </c>
      <c r="AD691" s="75" t="str">
        <f>VLOOKUP(E702,sheet1!$B$2:$C$3209,2,FALSE)</f>
        <v>振込手数料マスターメンテナンス</v>
      </c>
      <c r="AE691" s="49"/>
      <c r="AF691" s="51" t="s">
        <v>2731</v>
      </c>
      <c r="AG691" s="51" t="s">
        <v>2732</v>
      </c>
      <c r="AH691" s="49" t="str">
        <f t="shared" si="47"/>
        <v>振込手数料マスターﾒﾝﾃﾅﾝｽ</v>
      </c>
      <c r="AI691" s="49"/>
      <c r="AJ691" s="49"/>
      <c r="AK691" s="49"/>
      <c r="AL691" s="49"/>
      <c r="AM691" s="49"/>
      <c r="AN691" s="49"/>
      <c r="AO691" s="51" t="str">
        <f t="shared" si="39"/>
        <v>得意先親子関連付マスター</v>
      </c>
      <c r="AP691" s="51" t="str">
        <f t="shared" si="40"/>
        <v>MS1510</v>
      </c>
      <c r="AQ691" s="51" t="s">
        <v>2699</v>
      </c>
      <c r="AR691" s="51" t="s">
        <v>2700</v>
      </c>
      <c r="AS691" s="49" t="str">
        <f t="shared" si="41"/>
        <v/>
      </c>
      <c r="AT691" s="49" t="str">
        <f t="shared" si="42"/>
        <v/>
      </c>
      <c r="AU691" s="49"/>
      <c r="AV691" s="49"/>
    </row>
    <row r="692" spans="1:48" ht="18" customHeight="1">
      <c r="A692" s="44">
        <v>690</v>
      </c>
      <c r="B692" s="52" t="s">
        <v>2702</v>
      </c>
      <c r="C692" s="80" t="s">
        <v>293</v>
      </c>
      <c r="D692" s="46" t="s">
        <v>116</v>
      </c>
      <c r="E692" s="44" t="s">
        <v>2700</v>
      </c>
      <c r="F692" s="44" t="s">
        <v>2733</v>
      </c>
      <c r="G692" s="44"/>
      <c r="H692" s="44"/>
      <c r="I692" s="44"/>
      <c r="J692" s="47" t="s">
        <v>35</v>
      </c>
      <c r="K692" s="47"/>
      <c r="L692" s="47"/>
      <c r="M692" s="47"/>
      <c r="N692" s="47"/>
      <c r="O692" s="44"/>
      <c r="P692" s="44"/>
      <c r="Q692" s="48">
        <f>VLOOKUP(E692,sheet1!$B$2:$D$3209,3,FALSE)</f>
        <v>539</v>
      </c>
      <c r="R692" s="47" t="s">
        <v>35</v>
      </c>
      <c r="S692" s="47" t="s">
        <v>35</v>
      </c>
      <c r="T692" s="47"/>
      <c r="U692" s="47" t="s">
        <v>296</v>
      </c>
      <c r="V692" s="47" t="s">
        <v>296</v>
      </c>
      <c r="W692" s="47" t="s">
        <v>296</v>
      </c>
      <c r="X692" s="47" t="s">
        <v>296</v>
      </c>
      <c r="Y692" s="47"/>
      <c r="Z692" s="47" t="s">
        <v>296</v>
      </c>
      <c r="AA692" s="47" t="s">
        <v>296</v>
      </c>
      <c r="AB692" s="47"/>
      <c r="AC692" s="47" t="s">
        <v>35</v>
      </c>
      <c r="AD692" s="75" t="str">
        <f>VLOOKUP(E703,sheet1!$B$2:$C$3209,2,FALSE)</f>
        <v>ユーザーコントロールファイル　メンテナンス</v>
      </c>
      <c r="AE692" s="49"/>
      <c r="AF692" s="51" t="s">
        <v>2734</v>
      </c>
      <c r="AG692" s="51" t="s">
        <v>2735</v>
      </c>
      <c r="AH692" s="49" t="str">
        <f t="shared" si="47"/>
        <v>ﾕｰｻﾞｰｺﾝﾄﾛｰﾙﾌｧｲﾙ ﾒﾝﾃﾅﾝｽ</v>
      </c>
      <c r="AI692" s="49"/>
      <c r="AJ692" s="49"/>
      <c r="AK692" s="49"/>
      <c r="AL692" s="49"/>
      <c r="AM692" s="49"/>
      <c r="AN692" s="49"/>
      <c r="AO692" s="51" t="str">
        <f t="shared" si="39"/>
        <v>償却率マスター</v>
      </c>
      <c r="AP692" s="51" t="str">
        <f t="shared" si="40"/>
        <v>MS0190</v>
      </c>
      <c r="AQ692" s="51" t="s">
        <v>2704</v>
      </c>
      <c r="AR692" s="51" t="s">
        <v>2705</v>
      </c>
      <c r="AS692" s="49" t="str">
        <f t="shared" si="41"/>
        <v/>
      </c>
      <c r="AT692" s="49" t="str">
        <f t="shared" si="42"/>
        <v/>
      </c>
      <c r="AU692" s="49"/>
      <c r="AV692" s="49"/>
    </row>
    <row r="693" spans="1:48" ht="18" customHeight="1">
      <c r="A693" s="44">
        <v>691</v>
      </c>
      <c r="B693" s="52" t="s">
        <v>2702</v>
      </c>
      <c r="C693" s="80" t="s">
        <v>293</v>
      </c>
      <c r="D693" s="46" t="s">
        <v>116</v>
      </c>
      <c r="E693" s="44" t="s">
        <v>2705</v>
      </c>
      <c r="F693" s="44" t="s">
        <v>2736</v>
      </c>
      <c r="G693" s="44"/>
      <c r="H693" s="44"/>
      <c r="I693" s="44"/>
      <c r="J693" s="47" t="s">
        <v>35</v>
      </c>
      <c r="K693" s="47"/>
      <c r="L693" s="47"/>
      <c r="M693" s="47"/>
      <c r="N693" s="47"/>
      <c r="O693" s="44"/>
      <c r="P693" s="44"/>
      <c r="Q693" s="48">
        <f>VLOOKUP(E693,sheet1!$B$2:$D$3209,3,FALSE)</f>
        <v>148</v>
      </c>
      <c r="R693" s="47" t="s">
        <v>35</v>
      </c>
      <c r="S693" s="47" t="s">
        <v>35</v>
      </c>
      <c r="T693" s="47"/>
      <c r="U693" s="47" t="s">
        <v>296</v>
      </c>
      <c r="V693" s="47" t="s">
        <v>296</v>
      </c>
      <c r="W693" s="47" t="s">
        <v>296</v>
      </c>
      <c r="X693" s="47" t="s">
        <v>296</v>
      </c>
      <c r="Y693" s="47"/>
      <c r="Z693" s="47" t="s">
        <v>296</v>
      </c>
      <c r="AA693" s="47" t="s">
        <v>296</v>
      </c>
      <c r="AB693" s="47"/>
      <c r="AC693" s="47" t="s">
        <v>35</v>
      </c>
      <c r="AD693" s="75" t="str">
        <f>VLOOKUP(E704,sheet1!$B$2:$C$3209,2,FALSE)</f>
        <v>自治体マスターメンテナンス</v>
      </c>
      <c r="AE693" s="49"/>
      <c r="AF693" s="51" t="s">
        <v>2737</v>
      </c>
      <c r="AG693" s="51" t="s">
        <v>2738</v>
      </c>
      <c r="AH693" s="49" t="str">
        <f t="shared" si="47"/>
        <v>自治体コードマスターﾒﾝﾃﾅﾝｽ</v>
      </c>
      <c r="AI693" s="49"/>
      <c r="AJ693" s="49"/>
      <c r="AK693" s="49"/>
      <c r="AL693" s="49"/>
      <c r="AM693" s="49"/>
      <c r="AN693" s="49"/>
      <c r="AO693" s="51" t="str">
        <f t="shared" si="39"/>
        <v>地区コードマスター</v>
      </c>
      <c r="AP693" s="51" t="str">
        <f t="shared" si="40"/>
        <v>MS1400</v>
      </c>
      <c r="AQ693" s="51" t="s">
        <v>2707</v>
      </c>
      <c r="AR693" s="51" t="s">
        <v>2708</v>
      </c>
      <c r="AS693" s="49" t="str">
        <f t="shared" si="41"/>
        <v/>
      </c>
      <c r="AT693" s="49" t="str">
        <f t="shared" si="42"/>
        <v/>
      </c>
      <c r="AU693" s="49"/>
      <c r="AV693" s="49"/>
    </row>
    <row r="694" spans="1:48" ht="18" customHeight="1">
      <c r="A694" s="44">
        <v>692</v>
      </c>
      <c r="B694" s="52" t="s">
        <v>2702</v>
      </c>
      <c r="C694" s="80" t="s">
        <v>293</v>
      </c>
      <c r="D694" s="46" t="s">
        <v>116</v>
      </c>
      <c r="E694" s="44" t="s">
        <v>2708</v>
      </c>
      <c r="F694" s="44" t="s">
        <v>2739</v>
      </c>
      <c r="G694" s="44"/>
      <c r="H694" s="44"/>
      <c r="I694" s="44"/>
      <c r="J694" s="47" t="s">
        <v>35</v>
      </c>
      <c r="K694" s="47"/>
      <c r="L694" s="47"/>
      <c r="M694" s="47"/>
      <c r="N694" s="47"/>
      <c r="O694" s="44"/>
      <c r="P694" s="44"/>
      <c r="Q694" s="48">
        <f>VLOOKUP(E694,sheet1!$B$2:$D$3209,3,FALSE)</f>
        <v>302</v>
      </c>
      <c r="R694" s="47" t="s">
        <v>35</v>
      </c>
      <c r="S694" s="47" t="s">
        <v>35</v>
      </c>
      <c r="T694" s="47"/>
      <c r="U694" s="47" t="s">
        <v>296</v>
      </c>
      <c r="V694" s="47" t="s">
        <v>296</v>
      </c>
      <c r="W694" s="47" t="s">
        <v>296</v>
      </c>
      <c r="X694" s="47" t="s">
        <v>296</v>
      </c>
      <c r="Y694" s="47"/>
      <c r="Z694" s="47" t="s">
        <v>296</v>
      </c>
      <c r="AA694" s="47" t="s">
        <v>296</v>
      </c>
      <c r="AB694" s="47"/>
      <c r="AC694" s="47" t="s">
        <v>35</v>
      </c>
      <c r="AD694" s="75" t="str">
        <f>VLOOKUP(E705,sheet1!$B$2:$C$3209,2,FALSE)</f>
        <v>固定資産保管場所マスターメンテナンス</v>
      </c>
      <c r="AE694" s="49"/>
      <c r="AF694" s="51" t="s">
        <v>2740</v>
      </c>
      <c r="AG694" s="51" t="s">
        <v>2741</v>
      </c>
      <c r="AH694" s="49" t="str">
        <f t="shared" si="47"/>
        <v>固定資産保管場所マスタﾒﾝﾃﾅﾝｽ</v>
      </c>
      <c r="AI694" s="49"/>
      <c r="AJ694" s="49"/>
      <c r="AK694" s="49"/>
      <c r="AL694" s="49"/>
      <c r="AM694" s="49"/>
      <c r="AN694" s="49"/>
      <c r="AO694" s="51" t="str">
        <f t="shared" si="39"/>
        <v>通貨コードマスター</v>
      </c>
      <c r="AP694" s="51" t="str">
        <f t="shared" si="40"/>
        <v>MS6000</v>
      </c>
      <c r="AQ694" s="51" t="s">
        <v>2710</v>
      </c>
      <c r="AR694" s="51" t="s">
        <v>2711</v>
      </c>
      <c r="AS694" s="49" t="str">
        <f t="shared" si="41"/>
        <v/>
      </c>
      <c r="AT694" s="49" t="str">
        <f t="shared" si="42"/>
        <v/>
      </c>
      <c r="AU694" s="49"/>
      <c r="AV694" s="49"/>
    </row>
    <row r="695" spans="1:48" ht="18" customHeight="1">
      <c r="A695" s="44">
        <v>693</v>
      </c>
      <c r="B695" s="52" t="s">
        <v>2702</v>
      </c>
      <c r="C695" s="80" t="s">
        <v>293</v>
      </c>
      <c r="D695" s="46" t="s">
        <v>116</v>
      </c>
      <c r="E695" s="44" t="s">
        <v>2711</v>
      </c>
      <c r="F695" s="44" t="s">
        <v>2742</v>
      </c>
      <c r="G695" s="44"/>
      <c r="H695" s="44"/>
      <c r="I695" s="44"/>
      <c r="J695" s="47" t="s">
        <v>35</v>
      </c>
      <c r="K695" s="47"/>
      <c r="L695" s="47"/>
      <c r="M695" s="47"/>
      <c r="N695" s="47"/>
      <c r="O695" s="44"/>
      <c r="P695" s="44"/>
      <c r="Q695" s="48">
        <f>VLOOKUP(E695,sheet1!$B$2:$D$3209,3,FALSE)</f>
        <v>227</v>
      </c>
      <c r="R695" s="47" t="s">
        <v>35</v>
      </c>
      <c r="S695" s="47" t="s">
        <v>35</v>
      </c>
      <c r="T695" s="47"/>
      <c r="U695" s="47" t="s">
        <v>296</v>
      </c>
      <c r="V695" s="47" t="s">
        <v>296</v>
      </c>
      <c r="W695" s="47" t="s">
        <v>296</v>
      </c>
      <c r="X695" s="47" t="s">
        <v>296</v>
      </c>
      <c r="Y695" s="47"/>
      <c r="Z695" s="47" t="s">
        <v>296</v>
      </c>
      <c r="AA695" s="47" t="s">
        <v>296</v>
      </c>
      <c r="AB695" s="47"/>
      <c r="AC695" s="47" t="s">
        <v>35</v>
      </c>
      <c r="AD695" s="75" t="str">
        <f>VLOOKUP(E706,sheet1!$B$2:$C$3209,2,FALSE)</f>
        <v>勘定科目マスター照会</v>
      </c>
      <c r="AE695" s="49"/>
      <c r="AF695" s="51" t="s">
        <v>2743</v>
      </c>
      <c r="AG695" s="51" t="s">
        <v>2744</v>
      </c>
      <c r="AH695" s="49" t="str">
        <f t="shared" si="47"/>
        <v>勘定科目マスター照会</v>
      </c>
      <c r="AI695" s="49"/>
      <c r="AJ695" s="49"/>
      <c r="AK695" s="49"/>
      <c r="AL695" s="49"/>
      <c r="AM695" s="49"/>
      <c r="AN695" s="49"/>
      <c r="AO695" s="51" t="str">
        <f t="shared" si="39"/>
        <v>消費税率マスター</v>
      </c>
      <c r="AP695" s="51" t="str">
        <f t="shared" si="40"/>
        <v>MS0700</v>
      </c>
      <c r="AQ695" s="51" t="s">
        <v>2713</v>
      </c>
      <c r="AR695" s="51" t="s">
        <v>2714</v>
      </c>
      <c r="AS695" s="49" t="str">
        <f t="shared" si="41"/>
        <v/>
      </c>
      <c r="AT695" s="49" t="str">
        <f t="shared" si="42"/>
        <v/>
      </c>
      <c r="AU695" s="49"/>
      <c r="AV695" s="49"/>
    </row>
    <row r="696" spans="1:48" ht="18" customHeight="1">
      <c r="A696" s="44">
        <v>694</v>
      </c>
      <c r="B696" s="52" t="s">
        <v>2702</v>
      </c>
      <c r="C696" s="80" t="s">
        <v>293</v>
      </c>
      <c r="D696" s="46" t="s">
        <v>116</v>
      </c>
      <c r="E696" s="44" t="s">
        <v>2714</v>
      </c>
      <c r="F696" s="44" t="s">
        <v>2745</v>
      </c>
      <c r="G696" s="44"/>
      <c r="H696" s="44"/>
      <c r="I696" s="44"/>
      <c r="J696" s="47" t="s">
        <v>35</v>
      </c>
      <c r="K696" s="47"/>
      <c r="L696" s="47"/>
      <c r="M696" s="47"/>
      <c r="N696" s="47"/>
      <c r="O696" s="44"/>
      <c r="P696" s="44"/>
      <c r="Q696" s="48">
        <f>VLOOKUP(E696,sheet1!$B$2:$D$3209,3,FALSE)</f>
        <v>138</v>
      </c>
      <c r="R696" s="47" t="s">
        <v>35</v>
      </c>
      <c r="S696" s="47" t="s">
        <v>35</v>
      </c>
      <c r="T696" s="47"/>
      <c r="U696" s="47" t="s">
        <v>296</v>
      </c>
      <c r="V696" s="47" t="s">
        <v>296</v>
      </c>
      <c r="W696" s="47" t="s">
        <v>296</v>
      </c>
      <c r="X696" s="47" t="s">
        <v>296</v>
      </c>
      <c r="Y696" s="47"/>
      <c r="Z696" s="47" t="s">
        <v>296</v>
      </c>
      <c r="AA696" s="47" t="s">
        <v>296</v>
      </c>
      <c r="AB696" s="47"/>
      <c r="AC696" s="47" t="s">
        <v>35</v>
      </c>
      <c r="AD696" s="75" t="str">
        <f>VLOOKUP(E707,sheet1!$B$2:$C$3209,2,FALSE)</f>
        <v>帳票名称照会</v>
      </c>
      <c r="AE696" s="49"/>
      <c r="AF696" s="51" t="s">
        <v>2746</v>
      </c>
      <c r="AG696" s="51" t="s">
        <v>2747</v>
      </c>
      <c r="AH696" s="49" t="str">
        <f t="shared" si="47"/>
        <v>帳票名称照会</v>
      </c>
      <c r="AI696" s="49"/>
      <c r="AJ696" s="49"/>
      <c r="AK696" s="49"/>
      <c r="AL696" s="49"/>
      <c r="AM696" s="49"/>
      <c r="AN696" s="49"/>
      <c r="AO696" s="51" t="str">
        <f t="shared" si="39"/>
        <v>支払代行マスタ000***ｺｰﾄﾞ用</v>
      </c>
      <c r="AP696" s="51" t="str">
        <f t="shared" si="40"/>
        <v>DF¥FDCMSP</v>
      </c>
      <c r="AQ696" s="51" t="s">
        <v>2716</v>
      </c>
      <c r="AR696" s="51" t="s">
        <v>2717</v>
      </c>
      <c r="AS696" s="49" t="str">
        <f t="shared" si="41"/>
        <v/>
      </c>
      <c r="AT696" s="49" t="str">
        <f t="shared" si="42"/>
        <v/>
      </c>
      <c r="AU696" s="49"/>
      <c r="AV696" s="49"/>
    </row>
    <row r="697" spans="1:48" ht="18" customHeight="1">
      <c r="A697" s="44">
        <v>695</v>
      </c>
      <c r="B697" s="52" t="s">
        <v>2702</v>
      </c>
      <c r="C697" s="80" t="s">
        <v>293</v>
      </c>
      <c r="D697" s="46" t="s">
        <v>116</v>
      </c>
      <c r="E697" s="44" t="s">
        <v>2717</v>
      </c>
      <c r="F697" s="44" t="s">
        <v>2748</v>
      </c>
      <c r="G697" s="44"/>
      <c r="H697" s="44"/>
      <c r="I697" s="44"/>
      <c r="J697" s="47" t="s">
        <v>35</v>
      </c>
      <c r="K697" s="47"/>
      <c r="L697" s="47"/>
      <c r="M697" s="47"/>
      <c r="N697" s="47"/>
      <c r="O697" s="44"/>
      <c r="P697" s="44"/>
      <c r="Q697" s="48" t="e">
        <f>VLOOKUP(E697,sheet1!$B$2:$D$3209,3,FALSE)</f>
        <v>#N/A</v>
      </c>
      <c r="R697" s="47" t="s">
        <v>35</v>
      </c>
      <c r="S697" s="47" t="s">
        <v>35</v>
      </c>
      <c r="T697" s="47"/>
      <c r="U697" s="47" t="s">
        <v>296</v>
      </c>
      <c r="V697" s="47" t="s">
        <v>296</v>
      </c>
      <c r="W697" s="47" t="s">
        <v>296</v>
      </c>
      <c r="X697" s="47" t="s">
        <v>296</v>
      </c>
      <c r="Y697" s="47"/>
      <c r="Z697" s="47" t="s">
        <v>296</v>
      </c>
      <c r="AA697" s="47" t="s">
        <v>296</v>
      </c>
      <c r="AB697" s="47"/>
      <c r="AC697" s="47" t="s">
        <v>35</v>
      </c>
      <c r="AD697" s="75" t="str">
        <f>VLOOKUP(E708,sheet1!$B$2:$C$3209,2,FALSE)</f>
        <v>地区コードマスター照会</v>
      </c>
      <c r="AE697" s="49"/>
      <c r="AF697" s="51" t="s">
        <v>2749</v>
      </c>
      <c r="AG697" s="51" t="s">
        <v>2750</v>
      </c>
      <c r="AH697" s="49" t="str">
        <f t="shared" si="47"/>
        <v>地区コードマスター</v>
      </c>
      <c r="AI697" s="49"/>
      <c r="AJ697" s="49"/>
      <c r="AK697" s="49"/>
      <c r="AL697" s="49"/>
      <c r="AM697" s="49"/>
      <c r="AN697" s="49"/>
      <c r="AO697" s="51" t="str">
        <f t="shared" si="39"/>
        <v>支払代行マスタ3*****ｺｰﾄﾞ用</v>
      </c>
      <c r="AP697" s="51" t="str">
        <f t="shared" si="40"/>
        <v>DF¥FDCMSP2</v>
      </c>
      <c r="AQ697" s="51" t="s">
        <v>2719</v>
      </c>
      <c r="AR697" s="51" t="s">
        <v>2720</v>
      </c>
      <c r="AS697" s="49" t="str">
        <f t="shared" si="41"/>
        <v/>
      </c>
      <c r="AT697" s="49" t="str">
        <f t="shared" si="42"/>
        <v/>
      </c>
      <c r="AU697" s="49"/>
      <c r="AV697" s="49"/>
    </row>
    <row r="698" spans="1:48" ht="18" customHeight="1">
      <c r="A698" s="44">
        <v>696</v>
      </c>
      <c r="B698" s="52" t="s">
        <v>2702</v>
      </c>
      <c r="C698" s="80" t="s">
        <v>293</v>
      </c>
      <c r="D698" s="46" t="s">
        <v>116</v>
      </c>
      <c r="E698" s="44" t="s">
        <v>2720</v>
      </c>
      <c r="F698" s="44" t="s">
        <v>2751</v>
      </c>
      <c r="G698" s="44"/>
      <c r="H698" s="44"/>
      <c r="I698" s="44"/>
      <c r="J698" s="47" t="s">
        <v>35</v>
      </c>
      <c r="K698" s="47"/>
      <c r="L698" s="47"/>
      <c r="M698" s="47"/>
      <c r="N698" s="47"/>
      <c r="O698" s="44"/>
      <c r="P698" s="44"/>
      <c r="Q698" s="48" t="e">
        <f>VLOOKUP(E698,sheet1!$B$2:$D$3209,3,FALSE)</f>
        <v>#N/A</v>
      </c>
      <c r="R698" s="47" t="s">
        <v>35</v>
      </c>
      <c r="S698" s="47" t="s">
        <v>35</v>
      </c>
      <c r="T698" s="47"/>
      <c r="U698" s="47" t="s">
        <v>296</v>
      </c>
      <c r="V698" s="47" t="s">
        <v>296</v>
      </c>
      <c r="W698" s="47" t="s">
        <v>296</v>
      </c>
      <c r="X698" s="47" t="s">
        <v>296</v>
      </c>
      <c r="Y698" s="47"/>
      <c r="Z698" s="47" t="s">
        <v>296</v>
      </c>
      <c r="AA698" s="47" t="s">
        <v>296</v>
      </c>
      <c r="AB698" s="47"/>
      <c r="AC698" s="47" t="s">
        <v>35</v>
      </c>
      <c r="AD698" s="75" t="str">
        <f>VLOOKUP(E709,sheet1!$B$2:$C$3209,2,FALSE)</f>
        <v>地区分類コードマスター照会</v>
      </c>
      <c r="AE698" s="49"/>
      <c r="AF698" s="51" t="s">
        <v>2752</v>
      </c>
      <c r="AG698" s="51" t="s">
        <v>2753</v>
      </c>
      <c r="AH698" s="49" t="str">
        <f t="shared" si="47"/>
        <v>地区分類コードマスター</v>
      </c>
      <c r="AI698" s="49"/>
      <c r="AJ698" s="49"/>
      <c r="AK698" s="49"/>
      <c r="AL698" s="49"/>
      <c r="AM698" s="49"/>
      <c r="AN698" s="49"/>
      <c r="AO698" s="51" t="str">
        <f t="shared" si="39"/>
        <v>税区分ファイル</v>
      </c>
      <c r="AP698" s="51" t="str">
        <f t="shared" si="40"/>
        <v>DF¥ZKB</v>
      </c>
      <c r="AQ698" s="51" t="s">
        <v>2722</v>
      </c>
      <c r="AR698" s="51" t="s">
        <v>2723</v>
      </c>
      <c r="AS698" s="49" t="str">
        <f t="shared" si="41"/>
        <v/>
      </c>
      <c r="AT698" s="49" t="str">
        <f t="shared" si="42"/>
        <v/>
      </c>
      <c r="AU698" s="49"/>
      <c r="AV698" s="49"/>
    </row>
    <row r="699" spans="1:48" ht="18" customHeight="1">
      <c r="A699" s="44">
        <v>697</v>
      </c>
      <c r="B699" s="52" t="s">
        <v>2702</v>
      </c>
      <c r="C699" s="80" t="s">
        <v>293</v>
      </c>
      <c r="D699" s="46" t="s">
        <v>116</v>
      </c>
      <c r="E699" s="44" t="s">
        <v>2723</v>
      </c>
      <c r="F699" s="44" t="s">
        <v>2754</v>
      </c>
      <c r="G699" s="44"/>
      <c r="H699" s="44"/>
      <c r="I699" s="44"/>
      <c r="J699" s="47" t="s">
        <v>35</v>
      </c>
      <c r="K699" s="47"/>
      <c r="L699" s="47"/>
      <c r="M699" s="47"/>
      <c r="N699" s="47"/>
      <c r="O699" s="44"/>
      <c r="P699" s="44"/>
      <c r="Q699" s="48" t="e">
        <f>VLOOKUP(E699,sheet1!$B$2:$D$3209,3,FALSE)</f>
        <v>#N/A</v>
      </c>
      <c r="R699" s="47" t="s">
        <v>35</v>
      </c>
      <c r="S699" s="47" t="s">
        <v>35</v>
      </c>
      <c r="T699" s="47"/>
      <c r="U699" s="47" t="s">
        <v>296</v>
      </c>
      <c r="V699" s="47" t="s">
        <v>296</v>
      </c>
      <c r="W699" s="47" t="s">
        <v>296</v>
      </c>
      <c r="X699" s="47" t="s">
        <v>296</v>
      </c>
      <c r="Y699" s="47"/>
      <c r="Z699" s="47" t="s">
        <v>296</v>
      </c>
      <c r="AA699" s="47" t="s">
        <v>296</v>
      </c>
      <c r="AB699" s="47"/>
      <c r="AC699" s="47" t="s">
        <v>35</v>
      </c>
      <c r="AD699" s="75" t="str">
        <f>VLOOKUP(E710,sheet1!$B$2:$C$3209,2,FALSE)</f>
        <v>イニシャルマスター照会</v>
      </c>
      <c r="AE699" s="49"/>
      <c r="AF699" s="51" t="s">
        <v>2755</v>
      </c>
      <c r="AG699" s="51" t="s">
        <v>2756</v>
      </c>
      <c r="AH699" s="49" t="str">
        <f t="shared" si="47"/>
        <v>イニシャルマスター</v>
      </c>
      <c r="AI699" s="49"/>
      <c r="AJ699" s="49"/>
      <c r="AK699" s="49"/>
      <c r="AL699" s="49"/>
      <c r="AM699" s="49"/>
      <c r="AN699" s="49"/>
      <c r="AO699" s="51" t="str">
        <f t="shared" si="39"/>
        <v>取引先ファイル・銀行区分</v>
      </c>
      <c r="AP699" s="51" t="str">
        <f t="shared" si="40"/>
        <v>DF¥TRI</v>
      </c>
      <c r="AQ699" s="51" t="s">
        <v>2725</v>
      </c>
      <c r="AR699" s="51" t="s">
        <v>2726</v>
      </c>
      <c r="AS699" s="49" t="str">
        <f t="shared" si="41"/>
        <v/>
      </c>
      <c r="AT699" s="49" t="str">
        <f t="shared" si="42"/>
        <v/>
      </c>
      <c r="AU699" s="49"/>
      <c r="AV699" s="49"/>
    </row>
    <row r="700" spans="1:48" ht="18" customHeight="1">
      <c r="A700" s="44">
        <v>698</v>
      </c>
      <c r="B700" s="52" t="s">
        <v>2702</v>
      </c>
      <c r="C700" s="80" t="s">
        <v>293</v>
      </c>
      <c r="D700" s="46" t="s">
        <v>116</v>
      </c>
      <c r="E700" s="44" t="s">
        <v>2726</v>
      </c>
      <c r="F700" s="44" t="s">
        <v>2757</v>
      </c>
      <c r="G700" s="44"/>
      <c r="H700" s="44"/>
      <c r="I700" s="44"/>
      <c r="J700" s="47" t="s">
        <v>35</v>
      </c>
      <c r="K700" s="47"/>
      <c r="L700" s="47"/>
      <c r="M700" s="47"/>
      <c r="N700" s="47"/>
      <c r="O700" s="44"/>
      <c r="P700" s="44"/>
      <c r="Q700" s="48" t="e">
        <f>VLOOKUP(E700,sheet1!$B$2:$D$3209,3,FALSE)</f>
        <v>#N/A</v>
      </c>
      <c r="R700" s="47" t="s">
        <v>35</v>
      </c>
      <c r="S700" s="47" t="s">
        <v>35</v>
      </c>
      <c r="T700" s="47"/>
      <c r="U700" s="47" t="s">
        <v>296</v>
      </c>
      <c r="V700" s="47" t="s">
        <v>296</v>
      </c>
      <c r="W700" s="47" t="s">
        <v>296</v>
      </c>
      <c r="X700" s="47" t="s">
        <v>296</v>
      </c>
      <c r="Y700" s="47"/>
      <c r="Z700" s="47" t="s">
        <v>296</v>
      </c>
      <c r="AA700" s="47" t="s">
        <v>296</v>
      </c>
      <c r="AB700" s="47"/>
      <c r="AC700" s="47" t="s">
        <v>35</v>
      </c>
      <c r="AD700" s="75" t="str">
        <f>VLOOKUP(E711,sheet1!$B$2:$C$3209,2,FALSE)</f>
        <v>部門分類マスター　一覧表</v>
      </c>
      <c r="AE700" s="49"/>
      <c r="AF700" s="51" t="s">
        <v>2758</v>
      </c>
      <c r="AG700" s="51" t="s">
        <v>2759</v>
      </c>
      <c r="AH700" s="49" t="str">
        <f t="shared" si="47"/>
        <v>部門分類マスター一覧表</v>
      </c>
      <c r="AI700" s="49"/>
      <c r="AJ700" s="49"/>
      <c r="AK700" s="49"/>
      <c r="AL700" s="49"/>
      <c r="AM700" s="49"/>
      <c r="AN700" s="49"/>
      <c r="AO700" s="51" t="str">
        <f t="shared" si="39"/>
        <v>経費集計印刷順ファイル入力</v>
      </c>
      <c r="AP700" s="51" t="str">
        <f t="shared" si="40"/>
        <v>AC8519</v>
      </c>
      <c r="AQ700" s="51" t="s">
        <v>2728</v>
      </c>
      <c r="AR700" s="51" t="s">
        <v>2729</v>
      </c>
      <c r="AS700" s="49" t="str">
        <f t="shared" si="41"/>
        <v/>
      </c>
      <c r="AT700" s="49" t="str">
        <f t="shared" si="42"/>
        <v/>
      </c>
      <c r="AU700" s="49"/>
      <c r="AV700" s="49"/>
    </row>
    <row r="701" spans="1:48" ht="18" customHeight="1">
      <c r="A701" s="44">
        <v>699</v>
      </c>
      <c r="B701" s="52" t="s">
        <v>2702</v>
      </c>
      <c r="C701" s="80" t="s">
        <v>293</v>
      </c>
      <c r="D701" s="46" t="s">
        <v>116</v>
      </c>
      <c r="E701" s="44" t="s">
        <v>2729</v>
      </c>
      <c r="F701" s="44" t="s">
        <v>2760</v>
      </c>
      <c r="G701" s="44"/>
      <c r="H701" s="44"/>
      <c r="I701" s="44"/>
      <c r="J701" s="47" t="s">
        <v>35</v>
      </c>
      <c r="K701" s="47"/>
      <c r="L701" s="47"/>
      <c r="M701" s="47"/>
      <c r="N701" s="47"/>
      <c r="O701" s="44"/>
      <c r="P701" s="44"/>
      <c r="Q701" s="48">
        <f>VLOOKUP(E701,sheet1!$B$2:$D$3209,3,FALSE)</f>
        <v>652</v>
      </c>
      <c r="R701" s="47" t="s">
        <v>35</v>
      </c>
      <c r="S701" s="47" t="s">
        <v>35</v>
      </c>
      <c r="T701" s="47"/>
      <c r="U701" s="47" t="s">
        <v>296</v>
      </c>
      <c r="V701" s="47" t="s">
        <v>296</v>
      </c>
      <c r="W701" s="47" t="s">
        <v>296</v>
      </c>
      <c r="X701" s="47" t="s">
        <v>296</v>
      </c>
      <c r="Y701" s="47"/>
      <c r="Z701" s="47" t="s">
        <v>296</v>
      </c>
      <c r="AA701" s="47" t="s">
        <v>296</v>
      </c>
      <c r="AB701" s="47"/>
      <c r="AC701" s="47" t="s">
        <v>35</v>
      </c>
      <c r="AD701" s="75" t="str">
        <f>VLOOKUP(E712,sheet1!$B$2:$C$3209,2,FALSE)</f>
        <v>勘定科目ｽﾄﾗｸﾁｬｰ ﾏｽﾀｰ ﾘｽﾄ</v>
      </c>
      <c r="AE701" s="49"/>
      <c r="AF701" s="51" t="s">
        <v>2761</v>
      </c>
      <c r="AG701" s="51" t="s">
        <v>2762</v>
      </c>
      <c r="AH701" s="49" t="str">
        <f t="shared" si="47"/>
        <v>勘定科目ｽﾄﾗｸﾁｬｰﾏｽﾀｰﾘｽﾄ</v>
      </c>
      <c r="AI701" s="49"/>
      <c r="AJ701" s="49"/>
      <c r="AK701" s="49"/>
      <c r="AL701" s="49"/>
      <c r="AM701" s="49"/>
      <c r="AN701" s="49"/>
      <c r="AO701" s="51" t="str">
        <f t="shared" si="39"/>
        <v>振込手数料マスターﾒﾝﾃﾅﾝｽ</v>
      </c>
      <c r="AP701" s="51" t="str">
        <f t="shared" si="40"/>
        <v>MS0600</v>
      </c>
      <c r="AQ701" s="51" t="s">
        <v>2731</v>
      </c>
      <c r="AR701" s="51" t="s">
        <v>2732</v>
      </c>
      <c r="AS701" s="49" t="str">
        <f t="shared" si="41"/>
        <v/>
      </c>
      <c r="AT701" s="49" t="str">
        <f t="shared" si="42"/>
        <v/>
      </c>
      <c r="AU701" s="49"/>
      <c r="AV701" s="49"/>
    </row>
    <row r="702" spans="1:48" ht="18" customHeight="1">
      <c r="A702" s="44">
        <v>700</v>
      </c>
      <c r="B702" s="52" t="s">
        <v>2702</v>
      </c>
      <c r="C702" s="80" t="s">
        <v>293</v>
      </c>
      <c r="D702" s="46" t="s">
        <v>116</v>
      </c>
      <c r="E702" s="44" t="s">
        <v>2732</v>
      </c>
      <c r="F702" s="44" t="s">
        <v>2763</v>
      </c>
      <c r="G702" s="44"/>
      <c r="H702" s="44"/>
      <c r="I702" s="44"/>
      <c r="J702" s="47" t="s">
        <v>35</v>
      </c>
      <c r="K702" s="47"/>
      <c r="L702" s="47"/>
      <c r="M702" s="47"/>
      <c r="N702" s="47"/>
      <c r="O702" s="44"/>
      <c r="P702" s="44"/>
      <c r="Q702" s="48">
        <f>VLOOKUP(E702,sheet1!$B$2:$D$3209,3,FALSE)</f>
        <v>297</v>
      </c>
      <c r="R702" s="47" t="s">
        <v>35</v>
      </c>
      <c r="S702" s="47" t="s">
        <v>35</v>
      </c>
      <c r="T702" s="47"/>
      <c r="U702" s="47" t="s">
        <v>296</v>
      </c>
      <c r="V702" s="47" t="s">
        <v>296</v>
      </c>
      <c r="W702" s="47" t="s">
        <v>296</v>
      </c>
      <c r="X702" s="47" t="s">
        <v>296</v>
      </c>
      <c r="Y702" s="47"/>
      <c r="Z702" s="47" t="s">
        <v>296</v>
      </c>
      <c r="AA702" s="47" t="s">
        <v>296</v>
      </c>
      <c r="AB702" s="47"/>
      <c r="AC702" s="47" t="s">
        <v>35</v>
      </c>
      <c r="AD702" s="75" t="str">
        <f>VLOOKUP(E713,sheet1!$B$2:$C$3209,2,FALSE)</f>
        <v>勘定科目・摘要コード関連データリスト</v>
      </c>
      <c r="AE702" s="49"/>
      <c r="AF702" s="51" t="s">
        <v>2764</v>
      </c>
      <c r="AG702" s="51" t="s">
        <v>473</v>
      </c>
      <c r="AH702" s="49" t="str">
        <f t="shared" si="47"/>
        <v>摘要／科目・摘要ﾏｽﾀｰﾘｽﾄ</v>
      </c>
      <c r="AI702" s="49"/>
      <c r="AJ702" s="49"/>
      <c r="AK702" s="49"/>
      <c r="AL702" s="49"/>
      <c r="AM702" s="49"/>
      <c r="AN702" s="49"/>
      <c r="AO702" s="51" t="str">
        <f t="shared" si="39"/>
        <v>ﾕｰｻﾞｰｺﾝﾄﾛｰﾙﾌｧｲﾙ ﾒﾝﾃﾅﾝｽ</v>
      </c>
      <c r="AP702" s="51" t="str">
        <f t="shared" si="40"/>
        <v>MS0110</v>
      </c>
      <c r="AQ702" s="51" t="s">
        <v>2734</v>
      </c>
      <c r="AR702" s="51" t="s">
        <v>2735</v>
      </c>
      <c r="AS702" s="49" t="str">
        <f t="shared" si="41"/>
        <v/>
      </c>
      <c r="AT702" s="49" t="str">
        <f t="shared" si="42"/>
        <v/>
      </c>
      <c r="AU702" s="49"/>
      <c r="AV702" s="49"/>
    </row>
    <row r="703" spans="1:48" ht="18" customHeight="1">
      <c r="A703" s="44">
        <v>701</v>
      </c>
      <c r="B703" s="52" t="s">
        <v>2702</v>
      </c>
      <c r="C703" s="80" t="s">
        <v>293</v>
      </c>
      <c r="D703" s="46" t="s">
        <v>116</v>
      </c>
      <c r="E703" s="44" t="s">
        <v>2735</v>
      </c>
      <c r="F703" s="44" t="s">
        <v>2765</v>
      </c>
      <c r="G703" s="44"/>
      <c r="H703" s="44"/>
      <c r="I703" s="44"/>
      <c r="J703" s="47" t="s">
        <v>35</v>
      </c>
      <c r="K703" s="47"/>
      <c r="L703" s="47"/>
      <c r="M703" s="47"/>
      <c r="N703" s="47"/>
      <c r="O703" s="44"/>
      <c r="P703" s="44"/>
      <c r="Q703" s="48">
        <f>VLOOKUP(E703,sheet1!$B$2:$D$3209,3,FALSE)</f>
        <v>168</v>
      </c>
      <c r="R703" s="47" t="s">
        <v>35</v>
      </c>
      <c r="S703" s="47" t="s">
        <v>35</v>
      </c>
      <c r="T703" s="47"/>
      <c r="U703" s="47" t="s">
        <v>296</v>
      </c>
      <c r="V703" s="47" t="s">
        <v>296</v>
      </c>
      <c r="W703" s="47" t="s">
        <v>296</v>
      </c>
      <c r="X703" s="47" t="s">
        <v>296</v>
      </c>
      <c r="Y703" s="47"/>
      <c r="Z703" s="47" t="s">
        <v>296</v>
      </c>
      <c r="AA703" s="47" t="s">
        <v>296</v>
      </c>
      <c r="AB703" s="47"/>
      <c r="AC703" s="47" t="s">
        <v>35</v>
      </c>
      <c r="AD703" s="75" t="e">
        <f>VLOOKUP(E714,sheet1!$B$2:$C$3209,2,FALSE)</f>
        <v>#N/A</v>
      </c>
      <c r="AE703" s="49"/>
      <c r="AF703" s="51" t="s">
        <v>2766</v>
      </c>
      <c r="AG703" s="57" t="s">
        <v>116</v>
      </c>
      <c r="AH703" s="49" t="str">
        <f t="shared" si="47"/>
        <v>部門マスター</v>
      </c>
      <c r="AI703" s="49"/>
      <c r="AJ703" s="49"/>
      <c r="AK703" s="49"/>
      <c r="AL703" s="49"/>
      <c r="AM703" s="49"/>
      <c r="AN703" s="49"/>
      <c r="AO703" s="51" t="str">
        <f t="shared" si="39"/>
        <v>自治体コードマスターﾒﾝﾃﾅﾝｽ</v>
      </c>
      <c r="AP703" s="51" t="str">
        <f t="shared" si="40"/>
        <v>MS0160</v>
      </c>
      <c r="AQ703" s="51" t="s">
        <v>2737</v>
      </c>
      <c r="AR703" s="51" t="s">
        <v>2738</v>
      </c>
      <c r="AS703" s="49" t="str">
        <f t="shared" si="41"/>
        <v/>
      </c>
      <c r="AT703" s="49" t="str">
        <f t="shared" si="42"/>
        <v/>
      </c>
      <c r="AU703" s="49"/>
      <c r="AV703" s="49"/>
    </row>
    <row r="704" spans="1:48" ht="18" customHeight="1">
      <c r="A704" s="44">
        <v>702</v>
      </c>
      <c r="B704" s="52" t="s">
        <v>2702</v>
      </c>
      <c r="C704" s="80" t="s">
        <v>293</v>
      </c>
      <c r="D704" s="46" t="s">
        <v>116</v>
      </c>
      <c r="E704" s="44" t="s">
        <v>2738</v>
      </c>
      <c r="F704" s="44" t="s">
        <v>2767</v>
      </c>
      <c r="G704" s="44"/>
      <c r="H704" s="44"/>
      <c r="I704" s="44"/>
      <c r="J704" s="47" t="s">
        <v>35</v>
      </c>
      <c r="K704" s="47"/>
      <c r="L704" s="47"/>
      <c r="M704" s="47"/>
      <c r="N704" s="47"/>
      <c r="O704" s="44"/>
      <c r="P704" s="44"/>
      <c r="Q704" s="48">
        <f>VLOOKUP(E704,sheet1!$B$2:$D$3209,3,FALSE)</f>
        <v>193</v>
      </c>
      <c r="R704" s="47" t="s">
        <v>35</v>
      </c>
      <c r="S704" s="47" t="s">
        <v>35</v>
      </c>
      <c r="T704" s="47"/>
      <c r="U704" s="47" t="s">
        <v>296</v>
      </c>
      <c r="V704" s="47" t="s">
        <v>296</v>
      </c>
      <c r="W704" s="47" t="s">
        <v>296</v>
      </c>
      <c r="X704" s="47" t="s">
        <v>296</v>
      </c>
      <c r="Y704" s="47"/>
      <c r="Z704" s="47" t="s">
        <v>296</v>
      </c>
      <c r="AA704" s="47" t="s">
        <v>296</v>
      </c>
      <c r="AB704" s="47"/>
      <c r="AC704" s="47" t="s">
        <v>35</v>
      </c>
      <c r="AD704" s="75" t="str">
        <f>VLOOKUP(E715,sheet1!$B$2:$C$3209,2,FALSE)</f>
        <v>銀行住所一覧～入力&amp; ﾚｺｰﾄﾞ作成</v>
      </c>
      <c r="AE704" s="49"/>
      <c r="AF704" s="51" t="s">
        <v>2768</v>
      </c>
      <c r="AG704" s="51" t="s">
        <v>2769</v>
      </c>
      <c r="AH704" s="49" t="str">
        <f t="shared" si="47"/>
        <v>都道府県別銀行一覧</v>
      </c>
      <c r="AI704" s="49"/>
      <c r="AJ704" s="49"/>
      <c r="AK704" s="49"/>
      <c r="AL704" s="49"/>
      <c r="AM704" s="49"/>
      <c r="AN704" s="49"/>
      <c r="AO704" s="51" t="str">
        <f t="shared" si="39"/>
        <v>固定資産保管場所マスタﾒﾝﾃﾅﾝｽ</v>
      </c>
      <c r="AP704" s="51" t="str">
        <f t="shared" si="40"/>
        <v>MS0180</v>
      </c>
      <c r="AQ704" s="51" t="s">
        <v>2740</v>
      </c>
      <c r="AR704" s="51" t="s">
        <v>2741</v>
      </c>
      <c r="AS704" s="49" t="str">
        <f t="shared" si="41"/>
        <v/>
      </c>
      <c r="AT704" s="49" t="str">
        <f t="shared" si="42"/>
        <v/>
      </c>
      <c r="AU704" s="49"/>
      <c r="AV704" s="49"/>
    </row>
    <row r="705" spans="1:48" ht="18" customHeight="1">
      <c r="A705" s="44">
        <v>703</v>
      </c>
      <c r="B705" s="52" t="s">
        <v>2702</v>
      </c>
      <c r="C705" s="80" t="s">
        <v>293</v>
      </c>
      <c r="D705" s="46" t="s">
        <v>116</v>
      </c>
      <c r="E705" s="44" t="s">
        <v>2741</v>
      </c>
      <c r="F705" s="44" t="s">
        <v>2770</v>
      </c>
      <c r="G705" s="44"/>
      <c r="H705" s="44"/>
      <c r="I705" s="44"/>
      <c r="J705" s="47" t="s">
        <v>35</v>
      </c>
      <c r="K705" s="47"/>
      <c r="L705" s="47"/>
      <c r="M705" s="47"/>
      <c r="N705" s="47"/>
      <c r="O705" s="44"/>
      <c r="P705" s="44"/>
      <c r="Q705" s="48">
        <f>VLOOKUP(E705,sheet1!$B$2:$D$3209,3,FALSE)</f>
        <v>332</v>
      </c>
      <c r="R705" s="47" t="s">
        <v>35</v>
      </c>
      <c r="S705" s="47" t="s">
        <v>35</v>
      </c>
      <c r="T705" s="47"/>
      <c r="U705" s="47" t="s">
        <v>296</v>
      </c>
      <c r="V705" s="47" t="s">
        <v>296</v>
      </c>
      <c r="W705" s="47" t="s">
        <v>296</v>
      </c>
      <c r="X705" s="47" t="s">
        <v>296</v>
      </c>
      <c r="Y705" s="47"/>
      <c r="Z705" s="47" t="s">
        <v>296</v>
      </c>
      <c r="AA705" s="47" t="s">
        <v>296</v>
      </c>
      <c r="AB705" s="47"/>
      <c r="AC705" s="47" t="s">
        <v>35</v>
      </c>
      <c r="AD705" s="75" t="e">
        <f>VLOOKUP(E716,sheet1!$B$2:$C$3209,2,FALSE)</f>
        <v>#N/A</v>
      </c>
      <c r="AE705" s="49"/>
      <c r="AF705" s="51" t="s">
        <v>2771</v>
      </c>
      <c r="AG705" s="57" t="s">
        <v>116</v>
      </c>
      <c r="AH705" s="49" t="str">
        <f t="shared" si="47"/>
        <v>親子取引先住所相違リスト</v>
      </c>
      <c r="AI705" s="49"/>
      <c r="AJ705" s="49"/>
      <c r="AK705" s="49"/>
      <c r="AL705" s="49"/>
      <c r="AM705" s="49"/>
      <c r="AN705" s="49"/>
      <c r="AO705" s="51" t="str">
        <f t="shared" si="39"/>
        <v>勘定科目マスター照会</v>
      </c>
      <c r="AP705" s="51" t="str">
        <f t="shared" si="40"/>
        <v>MS1620</v>
      </c>
      <c r="AQ705" s="51" t="s">
        <v>2743</v>
      </c>
      <c r="AR705" s="51" t="s">
        <v>2744</v>
      </c>
      <c r="AS705" s="49" t="str">
        <f t="shared" si="41"/>
        <v/>
      </c>
      <c r="AT705" s="49" t="str">
        <f t="shared" si="42"/>
        <v/>
      </c>
      <c r="AU705" s="49"/>
      <c r="AV705" s="49"/>
    </row>
    <row r="706" spans="1:48" ht="18" customHeight="1">
      <c r="A706" s="44">
        <v>704</v>
      </c>
      <c r="B706" s="52" t="s">
        <v>2702</v>
      </c>
      <c r="C706" s="75" t="s">
        <v>382</v>
      </c>
      <c r="D706" s="46" t="s">
        <v>116</v>
      </c>
      <c r="E706" s="44" t="s">
        <v>2744</v>
      </c>
      <c r="F706" s="44" t="s">
        <v>2772</v>
      </c>
      <c r="G706" s="44"/>
      <c r="H706" s="44"/>
      <c r="I706" s="44"/>
      <c r="J706" s="47" t="s">
        <v>35</v>
      </c>
      <c r="K706" s="47"/>
      <c r="L706" s="47"/>
      <c r="M706" s="47"/>
      <c r="N706" s="47"/>
      <c r="O706" s="44"/>
      <c r="P706" s="44"/>
      <c r="Q706" s="48">
        <f>VLOOKUP(E706,sheet1!$B$2:$D$3209,3,FALSE)</f>
        <v>143</v>
      </c>
      <c r="R706" s="47" t="s">
        <v>35</v>
      </c>
      <c r="S706" s="47" t="s">
        <v>35</v>
      </c>
      <c r="T706" s="47"/>
      <c r="U706" s="47" t="s">
        <v>296</v>
      </c>
      <c r="V706" s="47" t="s">
        <v>296</v>
      </c>
      <c r="W706" s="47" t="s">
        <v>296</v>
      </c>
      <c r="X706" s="47" t="s">
        <v>296</v>
      </c>
      <c r="Y706" s="47"/>
      <c r="Z706" s="47" t="s">
        <v>296</v>
      </c>
      <c r="AA706" s="47" t="s">
        <v>296</v>
      </c>
      <c r="AB706" s="47"/>
      <c r="AC706" s="47" t="s">
        <v>35</v>
      </c>
      <c r="AD706" s="75" t="e">
        <f>VLOOKUP(E717,sheet1!$B$2:$C$3209,2,FALSE)</f>
        <v>#N/A</v>
      </c>
      <c r="AE706" s="49"/>
      <c r="AF706" s="51" t="s">
        <v>2773</v>
      </c>
      <c r="AG706" s="57" t="s">
        <v>116</v>
      </c>
      <c r="AH706" s="49" t="str">
        <f t="shared" si="47"/>
        <v>親得意先マスター一覧表</v>
      </c>
      <c r="AI706" s="49"/>
      <c r="AJ706" s="49"/>
      <c r="AK706" s="49"/>
      <c r="AL706" s="49"/>
      <c r="AM706" s="49"/>
      <c r="AN706" s="49"/>
      <c r="AO706" s="51" t="str">
        <f t="shared" si="39"/>
        <v>帳票名称照会</v>
      </c>
      <c r="AP706" s="51" t="str">
        <f t="shared" si="40"/>
        <v>MS1920X</v>
      </c>
      <c r="AQ706" s="51" t="s">
        <v>2746</v>
      </c>
      <c r="AR706" s="51" t="s">
        <v>2747</v>
      </c>
      <c r="AS706" s="49" t="str">
        <f t="shared" si="41"/>
        <v/>
      </c>
      <c r="AT706" s="49" t="str">
        <f t="shared" si="42"/>
        <v/>
      </c>
      <c r="AU706" s="49"/>
      <c r="AV706" s="49"/>
    </row>
    <row r="707" spans="1:48" ht="18" customHeight="1">
      <c r="A707" s="44">
        <v>705</v>
      </c>
      <c r="B707" s="52" t="s">
        <v>2702</v>
      </c>
      <c r="C707" s="80" t="s">
        <v>382</v>
      </c>
      <c r="D707" s="46" t="s">
        <v>116</v>
      </c>
      <c r="E707" s="44" t="s">
        <v>2747</v>
      </c>
      <c r="F707" s="44" t="s">
        <v>2774</v>
      </c>
      <c r="G707" s="44"/>
      <c r="H707" s="44"/>
      <c r="I707" s="44"/>
      <c r="J707" s="47" t="s">
        <v>35</v>
      </c>
      <c r="K707" s="47"/>
      <c r="L707" s="47"/>
      <c r="M707" s="47"/>
      <c r="N707" s="47"/>
      <c r="O707" s="44"/>
      <c r="P707" s="44"/>
      <c r="Q707" s="48">
        <f>VLOOKUP(E707,sheet1!$B$2:$D$3209,3,FALSE)</f>
        <v>102</v>
      </c>
      <c r="R707" s="47" t="s">
        <v>35</v>
      </c>
      <c r="S707" s="47" t="s">
        <v>35</v>
      </c>
      <c r="T707" s="47"/>
      <c r="U707" s="47" t="s">
        <v>296</v>
      </c>
      <c r="V707" s="47" t="s">
        <v>296</v>
      </c>
      <c r="W707" s="47" t="s">
        <v>296</v>
      </c>
      <c r="X707" s="47" t="s">
        <v>296</v>
      </c>
      <c r="Y707" s="47"/>
      <c r="Z707" s="47" t="s">
        <v>296</v>
      </c>
      <c r="AA707" s="47" t="s">
        <v>296</v>
      </c>
      <c r="AB707" s="47"/>
      <c r="AC707" s="47" t="s">
        <v>35</v>
      </c>
      <c r="AD707" s="75" t="str">
        <f>VLOOKUP(E718,sheet1!$B$2:$C$3209,2,FALSE)</f>
        <v>得意先一覧表（親ｺｰﾄﾞ付き,50音順）</v>
      </c>
      <c r="AE707" s="49"/>
      <c r="AF707" s="51" t="s">
        <v>2775</v>
      </c>
      <c r="AG707" s="51" t="s">
        <v>2776</v>
      </c>
      <c r="AH707" s="49" t="str">
        <f t="shared" si="47"/>
        <v>得意先一覧表（親コード付き）</v>
      </c>
      <c r="AI707" s="49"/>
      <c r="AJ707" s="49"/>
      <c r="AK707" s="49"/>
      <c r="AL707" s="49"/>
      <c r="AM707" s="49"/>
      <c r="AN707" s="49"/>
      <c r="AO707" s="51" t="str">
        <f t="shared" si="39"/>
        <v>地区コードマスター</v>
      </c>
      <c r="AP707" s="51" t="str">
        <f t="shared" si="40"/>
        <v>MS2200</v>
      </c>
      <c r="AQ707" s="51" t="s">
        <v>2749</v>
      </c>
      <c r="AR707" s="51" t="s">
        <v>2750</v>
      </c>
      <c r="AS707" s="49" t="str">
        <f t="shared" si="41"/>
        <v/>
      </c>
      <c r="AT707" s="49" t="str">
        <f t="shared" si="42"/>
        <v/>
      </c>
      <c r="AU707" s="49"/>
      <c r="AV707" s="49"/>
    </row>
    <row r="708" spans="1:48" ht="18" customHeight="1">
      <c r="A708" s="44">
        <v>706</v>
      </c>
      <c r="B708" s="52" t="s">
        <v>2702</v>
      </c>
      <c r="C708" s="80" t="s">
        <v>382</v>
      </c>
      <c r="D708" s="46" t="s">
        <v>116</v>
      </c>
      <c r="E708" s="44" t="s">
        <v>2750</v>
      </c>
      <c r="F708" s="44" t="s">
        <v>2739</v>
      </c>
      <c r="G708" s="44"/>
      <c r="H708" s="44"/>
      <c r="I708" s="44"/>
      <c r="J708" s="47" t="s">
        <v>35</v>
      </c>
      <c r="K708" s="47"/>
      <c r="L708" s="47"/>
      <c r="M708" s="47"/>
      <c r="N708" s="47"/>
      <c r="O708" s="44"/>
      <c r="P708" s="44"/>
      <c r="Q708" s="48">
        <f>VLOOKUP(E708,sheet1!$B$2:$D$3209,3,FALSE)</f>
        <v>71</v>
      </c>
      <c r="R708" s="47" t="s">
        <v>35</v>
      </c>
      <c r="S708" s="47" t="s">
        <v>35</v>
      </c>
      <c r="T708" s="47"/>
      <c r="U708" s="47" t="s">
        <v>296</v>
      </c>
      <c r="V708" s="47" t="s">
        <v>296</v>
      </c>
      <c r="W708" s="47" t="s">
        <v>296</v>
      </c>
      <c r="X708" s="47" t="s">
        <v>296</v>
      </c>
      <c r="Y708" s="47"/>
      <c r="Z708" s="47" t="s">
        <v>296</v>
      </c>
      <c r="AA708" s="47" t="s">
        <v>296</v>
      </c>
      <c r="AB708" s="47"/>
      <c r="AC708" s="47" t="s">
        <v>35</v>
      </c>
      <c r="AD708" s="75" t="str">
        <f>VLOOKUP(E719,sheet1!$B$2:$C$3209,2,FALSE)</f>
        <v>取引先固有情報マスター　一覧表　コード順</v>
      </c>
      <c r="AE708" s="49"/>
      <c r="AF708" s="51" t="s">
        <v>2777</v>
      </c>
      <c r="AG708" s="51" t="s">
        <v>2778</v>
      </c>
      <c r="AH708" s="49" t="str">
        <f t="shared" si="47"/>
        <v>取引先固有情報ﾏｽﾀｰコード順</v>
      </c>
      <c r="AI708" s="49"/>
      <c r="AJ708" s="49"/>
      <c r="AK708" s="49"/>
      <c r="AL708" s="49"/>
      <c r="AM708" s="49"/>
      <c r="AN708" s="49"/>
      <c r="AO708" s="51" t="str">
        <f t="shared" si="39"/>
        <v>地区分類コードマスター</v>
      </c>
      <c r="AP708" s="51" t="str">
        <f t="shared" si="40"/>
        <v>MS2210</v>
      </c>
      <c r="AQ708" s="51" t="s">
        <v>2752</v>
      </c>
      <c r="AR708" s="51" t="s">
        <v>2753</v>
      </c>
      <c r="AS708" s="49" t="str">
        <f t="shared" si="41"/>
        <v/>
      </c>
      <c r="AT708" s="49" t="str">
        <f t="shared" si="42"/>
        <v/>
      </c>
      <c r="AU708" s="49"/>
      <c r="AV708" s="49"/>
    </row>
    <row r="709" spans="1:48" ht="18" customHeight="1">
      <c r="A709" s="44">
        <v>707</v>
      </c>
      <c r="B709" s="52" t="s">
        <v>2702</v>
      </c>
      <c r="C709" s="80" t="s">
        <v>382</v>
      </c>
      <c r="D709" s="46" t="s">
        <v>116</v>
      </c>
      <c r="E709" s="44" t="s">
        <v>2753</v>
      </c>
      <c r="F709" s="44" t="s">
        <v>2779</v>
      </c>
      <c r="G709" s="44"/>
      <c r="H709" s="44"/>
      <c r="I709" s="44"/>
      <c r="J709" s="47" t="s">
        <v>35</v>
      </c>
      <c r="K709" s="47"/>
      <c r="L709" s="47"/>
      <c r="M709" s="47"/>
      <c r="N709" s="47"/>
      <c r="O709" s="44"/>
      <c r="P709" s="44"/>
      <c r="Q709" s="48">
        <f>VLOOKUP(E709,sheet1!$B$2:$D$3209,3,FALSE)</f>
        <v>96</v>
      </c>
      <c r="R709" s="47" t="s">
        <v>35</v>
      </c>
      <c r="S709" s="47" t="s">
        <v>35</v>
      </c>
      <c r="T709" s="47"/>
      <c r="U709" s="47" t="s">
        <v>296</v>
      </c>
      <c r="V709" s="47" t="s">
        <v>296</v>
      </c>
      <c r="W709" s="47" t="s">
        <v>296</v>
      </c>
      <c r="X709" s="47" t="s">
        <v>296</v>
      </c>
      <c r="Y709" s="47"/>
      <c r="Z709" s="47" t="s">
        <v>296</v>
      </c>
      <c r="AA709" s="47" t="s">
        <v>296</v>
      </c>
      <c r="AB709" s="47"/>
      <c r="AC709" s="47" t="s">
        <v>35</v>
      </c>
      <c r="AD709" s="75" t="str">
        <f>VLOOKUP(E720,sheet1!$B$2:$C$3209,2,FALSE)</f>
        <v>処理実行確認：Ｆ５                          6/10</v>
      </c>
      <c r="AE709" s="49"/>
      <c r="AF709" s="51" t="s">
        <v>2780</v>
      </c>
      <c r="AG709" s="51" t="s">
        <v>1188</v>
      </c>
      <c r="AH709" s="49" t="str">
        <f t="shared" si="47"/>
        <v>自治体コードマスター</v>
      </c>
      <c r="AI709" s="49"/>
      <c r="AJ709" s="49"/>
      <c r="AK709" s="49"/>
      <c r="AL709" s="49"/>
      <c r="AM709" s="49"/>
      <c r="AN709" s="49"/>
      <c r="AO709" s="51" t="str">
        <f t="shared" si="39"/>
        <v>イニシャルマスター</v>
      </c>
      <c r="AP709" s="51" t="str">
        <f t="shared" si="40"/>
        <v>MS1700</v>
      </c>
      <c r="AQ709" s="51" t="s">
        <v>2755</v>
      </c>
      <c r="AR709" s="51" t="s">
        <v>2756</v>
      </c>
      <c r="AS709" s="49" t="str">
        <f t="shared" si="41"/>
        <v/>
      </c>
      <c r="AT709" s="49" t="str">
        <f t="shared" si="42"/>
        <v/>
      </c>
      <c r="AU709" s="49"/>
      <c r="AV709" s="49"/>
    </row>
    <row r="710" spans="1:48" ht="18" customHeight="1">
      <c r="A710" s="44">
        <v>708</v>
      </c>
      <c r="B710" s="52" t="s">
        <v>2702</v>
      </c>
      <c r="C710" s="80" t="s">
        <v>382</v>
      </c>
      <c r="D710" s="46" t="s">
        <v>116</v>
      </c>
      <c r="E710" s="44" t="s">
        <v>2756</v>
      </c>
      <c r="F710" s="44" t="s">
        <v>2781</v>
      </c>
      <c r="G710" s="44"/>
      <c r="H710" s="44"/>
      <c r="I710" s="44"/>
      <c r="J710" s="47" t="s">
        <v>35</v>
      </c>
      <c r="K710" s="47"/>
      <c r="L710" s="47"/>
      <c r="M710" s="47"/>
      <c r="N710" s="47"/>
      <c r="O710" s="44"/>
      <c r="P710" s="44"/>
      <c r="Q710" s="48">
        <f>VLOOKUP(E710,sheet1!$B$2:$D$3209,3,FALSE)</f>
        <v>63</v>
      </c>
      <c r="R710" s="47" t="s">
        <v>35</v>
      </c>
      <c r="S710" s="47" t="s">
        <v>35</v>
      </c>
      <c r="T710" s="47"/>
      <c r="U710" s="47" t="s">
        <v>296</v>
      </c>
      <c r="V710" s="47" t="s">
        <v>296</v>
      </c>
      <c r="W710" s="47" t="s">
        <v>296</v>
      </c>
      <c r="X710" s="47" t="s">
        <v>296</v>
      </c>
      <c r="Y710" s="47"/>
      <c r="Z710" s="47" t="s">
        <v>296</v>
      </c>
      <c r="AA710" s="47" t="s">
        <v>296</v>
      </c>
      <c r="AB710" s="47"/>
      <c r="AC710" s="47" t="s">
        <v>35</v>
      </c>
      <c r="AD710" s="75" t="str">
        <f>VLOOKUP(E721,sheet1!$B$2:$C$3209,2,FALSE)</f>
        <v>固定資産保管場所マスターリスト</v>
      </c>
      <c r="AE710" s="49"/>
      <c r="AF710" s="51" t="s">
        <v>2782</v>
      </c>
      <c r="AG710" s="51" t="s">
        <v>2783</v>
      </c>
      <c r="AH710" s="49" t="str">
        <f t="shared" si="47"/>
        <v>固定資産保管場所マスター</v>
      </c>
      <c r="AI710" s="49"/>
      <c r="AJ710" s="49"/>
      <c r="AK710" s="49"/>
      <c r="AL710" s="49"/>
      <c r="AM710" s="49"/>
      <c r="AN710" s="49"/>
      <c r="AO710" s="51" t="str">
        <f t="shared" si="39"/>
        <v>部門分類マスター一覧表</v>
      </c>
      <c r="AP710" s="51" t="str">
        <f t="shared" si="40"/>
        <v>MS1930</v>
      </c>
      <c r="AQ710" s="51" t="s">
        <v>2758</v>
      </c>
      <c r="AR710" s="51" t="s">
        <v>2759</v>
      </c>
      <c r="AS710" s="49" t="str">
        <f t="shared" si="41"/>
        <v/>
      </c>
      <c r="AT710" s="49" t="str">
        <f t="shared" si="42"/>
        <v/>
      </c>
      <c r="AU710" s="49"/>
      <c r="AV710" s="49"/>
    </row>
    <row r="711" spans="1:48" ht="18" customHeight="1">
      <c r="A711" s="44">
        <v>709</v>
      </c>
      <c r="B711" s="52" t="s">
        <v>2702</v>
      </c>
      <c r="C711" s="75" t="s">
        <v>460</v>
      </c>
      <c r="D711" s="46" t="s">
        <v>116</v>
      </c>
      <c r="E711" s="44" t="s">
        <v>2759</v>
      </c>
      <c r="F711" s="44" t="s">
        <v>2784</v>
      </c>
      <c r="G711" s="44"/>
      <c r="H711" s="44"/>
      <c r="I711" s="44"/>
      <c r="J711" s="47" t="s">
        <v>35</v>
      </c>
      <c r="K711" s="47"/>
      <c r="L711" s="47"/>
      <c r="M711" s="47"/>
      <c r="N711" s="47"/>
      <c r="O711" s="44"/>
      <c r="P711" s="44"/>
      <c r="Q711" s="48">
        <f>VLOOKUP(E711,sheet1!$B$2:$D$3209,3,FALSE)</f>
        <v>167</v>
      </c>
      <c r="R711" s="47" t="s">
        <v>35</v>
      </c>
      <c r="S711" s="47" t="s">
        <v>35</v>
      </c>
      <c r="T711" s="47"/>
      <c r="U711" s="47" t="s">
        <v>296</v>
      </c>
      <c r="V711" s="47" t="s">
        <v>296</v>
      </c>
      <c r="W711" s="47" t="s">
        <v>296</v>
      </c>
      <c r="X711" s="47" t="s">
        <v>296</v>
      </c>
      <c r="Y711" s="47"/>
      <c r="Z711" s="47" t="s">
        <v>296</v>
      </c>
      <c r="AA711" s="47" t="s">
        <v>296</v>
      </c>
      <c r="AB711" s="47"/>
      <c r="AC711" s="47" t="s">
        <v>35</v>
      </c>
      <c r="AD711" s="75" t="e">
        <f>VLOOKUP(E722,sheet1!$B$2:$C$3209,2,FALSE)</f>
        <v>#N/A</v>
      </c>
      <c r="AE711" s="49"/>
      <c r="AF711" s="51" t="s">
        <v>2785</v>
      </c>
      <c r="AG711" s="51" t="s">
        <v>2786</v>
      </c>
      <c r="AH711" s="49" t="str">
        <f t="shared" si="47"/>
        <v>振替データ更新</v>
      </c>
      <c r="AI711" s="49"/>
      <c r="AJ711" s="49"/>
      <c r="AK711" s="49"/>
      <c r="AL711" s="49"/>
      <c r="AM711" s="49"/>
      <c r="AN711" s="49"/>
      <c r="AO711" s="51" t="str">
        <f t="shared" si="39"/>
        <v>勘定科目ｽﾄﾗｸﾁｬｰﾏｽﾀｰﾘｽﾄ</v>
      </c>
      <c r="AP711" s="51" t="str">
        <f t="shared" si="40"/>
        <v>MS2610</v>
      </c>
      <c r="AQ711" s="51" t="s">
        <v>2761</v>
      </c>
      <c r="AR711" s="51" t="s">
        <v>2762</v>
      </c>
      <c r="AS711" s="49" t="str">
        <f t="shared" si="41"/>
        <v/>
      </c>
      <c r="AT711" s="49" t="str">
        <f t="shared" si="42"/>
        <v/>
      </c>
      <c r="AU711" s="49"/>
      <c r="AV711" s="49"/>
    </row>
    <row r="712" spans="1:48" ht="18" customHeight="1">
      <c r="A712" s="44">
        <v>710</v>
      </c>
      <c r="B712" s="52" t="s">
        <v>2702</v>
      </c>
      <c r="C712" s="80" t="s">
        <v>460</v>
      </c>
      <c r="D712" s="46" t="s">
        <v>116</v>
      </c>
      <c r="E712" s="44" t="s">
        <v>2762</v>
      </c>
      <c r="F712" s="44" t="s">
        <v>2787</v>
      </c>
      <c r="G712" s="44"/>
      <c r="H712" s="44"/>
      <c r="I712" s="44"/>
      <c r="J712" s="47" t="s">
        <v>35</v>
      </c>
      <c r="K712" s="47"/>
      <c r="L712" s="47"/>
      <c r="M712" s="47"/>
      <c r="N712" s="47"/>
      <c r="O712" s="44"/>
      <c r="P712" s="44"/>
      <c r="Q712" s="48">
        <f>VLOOKUP(E712,sheet1!$B$2:$D$3209,3,FALSE)</f>
        <v>198</v>
      </c>
      <c r="R712" s="47" t="s">
        <v>35</v>
      </c>
      <c r="S712" s="47" t="s">
        <v>35</v>
      </c>
      <c r="T712" s="47"/>
      <c r="U712" s="47" t="s">
        <v>296</v>
      </c>
      <c r="V712" s="47" t="s">
        <v>296</v>
      </c>
      <c r="W712" s="47" t="s">
        <v>296</v>
      </c>
      <c r="X712" s="47" t="s">
        <v>296</v>
      </c>
      <c r="Y712" s="47"/>
      <c r="Z712" s="47" t="s">
        <v>296</v>
      </c>
      <c r="AA712" s="47" t="s">
        <v>296</v>
      </c>
      <c r="AB712" s="47"/>
      <c r="AC712" s="47" t="s">
        <v>35</v>
      </c>
      <c r="AD712" s="75" t="str">
        <f>VLOOKUP(E723,sheet1!$B$2:$C$3209,2,FALSE)</f>
        <v>貸借科目集計ファイル年次更新</v>
      </c>
      <c r="AE712" s="49"/>
      <c r="AF712" s="51" t="s">
        <v>2788</v>
      </c>
      <c r="AG712" s="51" t="s">
        <v>2789</v>
      </c>
      <c r="AH712" s="49" t="str">
        <f t="shared" si="47"/>
        <v>貸借科目集計ﾌｧｲﾙ年次更新</v>
      </c>
      <c r="AI712" s="49"/>
      <c r="AJ712" s="49"/>
      <c r="AK712" s="49"/>
      <c r="AL712" s="49"/>
      <c r="AM712" s="49"/>
      <c r="AN712" s="49"/>
      <c r="AO712" s="51" t="str">
        <f t="shared" si="39"/>
        <v>摘要／科目・摘要ﾏｽﾀｰﾘｽﾄ</v>
      </c>
      <c r="AP712" s="51" t="str">
        <f t="shared" si="40"/>
        <v>MS2710</v>
      </c>
      <c r="AQ712" s="51" t="s">
        <v>2764</v>
      </c>
      <c r="AR712" s="51" t="s">
        <v>473</v>
      </c>
      <c r="AS712" s="49" t="str">
        <f t="shared" si="41"/>
        <v/>
      </c>
      <c r="AT712" s="49" t="str">
        <f t="shared" si="42"/>
        <v/>
      </c>
      <c r="AU712" s="49"/>
      <c r="AV712" s="49"/>
    </row>
    <row r="713" spans="1:48" ht="18" customHeight="1">
      <c r="A713" s="44">
        <v>711</v>
      </c>
      <c r="B713" s="52" t="s">
        <v>2702</v>
      </c>
      <c r="C713" s="80" t="s">
        <v>460</v>
      </c>
      <c r="D713" s="46" t="s">
        <v>116</v>
      </c>
      <c r="E713" s="44" t="s">
        <v>473</v>
      </c>
      <c r="F713" s="44" t="s">
        <v>474</v>
      </c>
      <c r="G713" s="44"/>
      <c r="H713" s="44"/>
      <c r="I713" s="44"/>
      <c r="J713" s="47" t="s">
        <v>35</v>
      </c>
      <c r="K713" s="47"/>
      <c r="L713" s="47"/>
      <c r="M713" s="47"/>
      <c r="N713" s="47"/>
      <c r="O713" s="44"/>
      <c r="P713" s="44"/>
      <c r="Q713" s="48">
        <f>VLOOKUP(E713,sheet1!$B$2:$D$3209,3,FALSE)</f>
        <v>427</v>
      </c>
      <c r="R713" s="47" t="s">
        <v>35</v>
      </c>
      <c r="S713" s="47" t="s">
        <v>35</v>
      </c>
      <c r="T713" s="47"/>
      <c r="U713" s="47" t="s">
        <v>35</v>
      </c>
      <c r="V713" s="47" t="s">
        <v>296</v>
      </c>
      <c r="W713" s="47" t="s">
        <v>296</v>
      </c>
      <c r="X713" s="47" t="s">
        <v>296</v>
      </c>
      <c r="Y713" s="47"/>
      <c r="Z713" s="47" t="s">
        <v>296</v>
      </c>
      <c r="AA713" s="47" t="s">
        <v>296</v>
      </c>
      <c r="AB713" s="47"/>
      <c r="AC713" s="47" t="s">
        <v>35</v>
      </c>
      <c r="AD713" s="75" t="str">
        <f>VLOOKUP(E724,sheet1!$B$2:$C$3209,2,FALSE)</f>
        <v>外貨貸借科目集計ファイル年次更新</v>
      </c>
      <c r="AE713" s="49"/>
      <c r="AF713" s="51" t="s">
        <v>2790</v>
      </c>
      <c r="AG713" s="51" t="s">
        <v>2791</v>
      </c>
      <c r="AH713" s="49" t="str">
        <f t="shared" si="47"/>
        <v>貸借科目外貨ﾌｧｲﾙ年次更新</v>
      </c>
      <c r="AI713" s="49"/>
      <c r="AJ713" s="49"/>
      <c r="AK713" s="49"/>
      <c r="AL713" s="49"/>
      <c r="AM713" s="49"/>
      <c r="AN713" s="49"/>
      <c r="AO713" s="51" t="str">
        <f t="shared" si="39"/>
        <v>部門マスター</v>
      </c>
      <c r="AP713" s="51" t="str">
        <f t="shared" si="40"/>
        <v/>
      </c>
      <c r="AQ713" s="51" t="s">
        <v>2766</v>
      </c>
      <c r="AR713" s="51"/>
      <c r="AS713" s="49" t="str">
        <f t="shared" si="41"/>
        <v/>
      </c>
      <c r="AT713" s="49" t="str">
        <f t="shared" si="42"/>
        <v/>
      </c>
      <c r="AU713" s="49"/>
      <c r="AV713" s="49"/>
    </row>
    <row r="714" spans="1:48" ht="18" customHeight="1">
      <c r="A714" s="44">
        <v>712</v>
      </c>
      <c r="B714" s="52" t="s">
        <v>2702</v>
      </c>
      <c r="C714" s="80" t="s">
        <v>460</v>
      </c>
      <c r="D714" s="46" t="s">
        <v>116</v>
      </c>
      <c r="E714" s="44" t="s">
        <v>116</v>
      </c>
      <c r="F714" s="44" t="s">
        <v>2792</v>
      </c>
      <c r="G714" s="44"/>
      <c r="H714" s="44"/>
      <c r="I714" s="44"/>
      <c r="J714" s="47" t="s">
        <v>35</v>
      </c>
      <c r="K714" s="47"/>
      <c r="L714" s="47"/>
      <c r="M714" s="47"/>
      <c r="N714" s="47"/>
      <c r="O714" s="44"/>
      <c r="P714" s="44"/>
      <c r="Q714" s="48" t="e">
        <f>VLOOKUP(E714,sheet1!$B$2:$D$3209,3,FALSE)</f>
        <v>#N/A</v>
      </c>
      <c r="R714" s="47" t="s">
        <v>35</v>
      </c>
      <c r="S714" s="47" t="s">
        <v>35</v>
      </c>
      <c r="T714" s="47"/>
      <c r="U714" s="47" t="s">
        <v>296</v>
      </c>
      <c r="V714" s="47" t="s">
        <v>296</v>
      </c>
      <c r="W714" s="47" t="s">
        <v>296</v>
      </c>
      <c r="X714" s="47" t="s">
        <v>296</v>
      </c>
      <c r="Y714" s="47"/>
      <c r="Z714" s="47" t="s">
        <v>296</v>
      </c>
      <c r="AA714" s="47" t="s">
        <v>296</v>
      </c>
      <c r="AB714" s="47"/>
      <c r="AC714" s="47" t="s">
        <v>35</v>
      </c>
      <c r="AD714" s="75" t="e">
        <f>VLOOKUP(E725,sheet1!$B$2:$C$3209,2,FALSE)</f>
        <v>#N/A</v>
      </c>
      <c r="AE714" s="49"/>
      <c r="AF714" s="51" t="s">
        <v>2793</v>
      </c>
      <c r="AG714" s="57" t="s">
        <v>116</v>
      </c>
      <c r="AH714" s="49" t="str">
        <f t="shared" si="47"/>
        <v>貸借・損益科目集計ﾌｧｲﾙ再計算</v>
      </c>
      <c r="AI714" s="49"/>
      <c r="AJ714" s="49"/>
      <c r="AK714" s="49"/>
      <c r="AL714" s="49"/>
      <c r="AM714" s="49"/>
      <c r="AN714" s="49"/>
      <c r="AO714" s="51" t="str">
        <f t="shared" si="39"/>
        <v>都道府県別銀行一覧</v>
      </c>
      <c r="AP714" s="51" t="str">
        <f t="shared" si="40"/>
        <v>MS2120</v>
      </c>
      <c r="AQ714" s="51" t="s">
        <v>2768</v>
      </c>
      <c r="AR714" s="51" t="s">
        <v>2769</v>
      </c>
      <c r="AS714" s="49" t="str">
        <f t="shared" si="41"/>
        <v/>
      </c>
      <c r="AT714" s="49" t="str">
        <f t="shared" si="42"/>
        <v/>
      </c>
      <c r="AU714" s="49"/>
      <c r="AV714" s="49"/>
    </row>
    <row r="715" spans="1:48" ht="18" customHeight="1">
      <c r="A715" s="44">
        <v>713</v>
      </c>
      <c r="B715" s="52" t="s">
        <v>2702</v>
      </c>
      <c r="C715" s="80" t="s">
        <v>460</v>
      </c>
      <c r="D715" s="46" t="s">
        <v>116</v>
      </c>
      <c r="E715" s="44" t="s">
        <v>2769</v>
      </c>
      <c r="F715" s="44" t="s">
        <v>2794</v>
      </c>
      <c r="G715" s="44"/>
      <c r="H715" s="44"/>
      <c r="I715" s="44"/>
      <c r="J715" s="47" t="s">
        <v>35</v>
      </c>
      <c r="K715" s="47"/>
      <c r="L715" s="47"/>
      <c r="M715" s="47"/>
      <c r="N715" s="47"/>
      <c r="O715" s="44"/>
      <c r="P715" s="44"/>
      <c r="Q715" s="48">
        <f>VLOOKUP(E715,sheet1!$B$2:$D$3209,3,FALSE)</f>
        <v>288</v>
      </c>
      <c r="R715" s="47" t="s">
        <v>35</v>
      </c>
      <c r="S715" s="47" t="s">
        <v>35</v>
      </c>
      <c r="T715" s="47"/>
      <c r="U715" s="47" t="s">
        <v>296</v>
      </c>
      <c r="V715" s="47" t="s">
        <v>296</v>
      </c>
      <c r="W715" s="47" t="s">
        <v>296</v>
      </c>
      <c r="X715" s="47" t="s">
        <v>296</v>
      </c>
      <c r="Y715" s="47"/>
      <c r="Z715" s="47" t="s">
        <v>296</v>
      </c>
      <c r="AA715" s="47" t="s">
        <v>296</v>
      </c>
      <c r="AB715" s="47"/>
      <c r="AC715" s="47" t="s">
        <v>35</v>
      </c>
      <c r="AD715" s="75" t="str">
        <f>VLOOKUP(E726,sheet1!$B$2:$C$3209,2,FALSE)</f>
        <v>雛型振替伝票入力   　　　</v>
      </c>
      <c r="AE715" s="49"/>
      <c r="AF715" s="51" t="s">
        <v>2795</v>
      </c>
      <c r="AG715" s="51" t="s">
        <v>2796</v>
      </c>
      <c r="AH715" s="49" t="str">
        <f t="shared" si="47"/>
        <v>振替伝票雛型入力</v>
      </c>
      <c r="AI715" s="49"/>
      <c r="AJ715" s="49"/>
      <c r="AK715" s="49"/>
      <c r="AL715" s="49"/>
      <c r="AM715" s="49"/>
      <c r="AN715" s="49"/>
      <c r="AO715" s="51" t="str">
        <f t="shared" si="39"/>
        <v>親子取引先住所相違リスト</v>
      </c>
      <c r="AP715" s="51" t="str">
        <f t="shared" si="40"/>
        <v/>
      </c>
      <c r="AQ715" s="51" t="s">
        <v>2771</v>
      </c>
      <c r="AR715" s="51"/>
      <c r="AS715" s="49" t="str">
        <f t="shared" si="41"/>
        <v/>
      </c>
      <c r="AT715" s="49" t="str">
        <f t="shared" si="42"/>
        <v/>
      </c>
      <c r="AU715" s="49"/>
      <c r="AV715" s="49"/>
    </row>
    <row r="716" spans="1:48" ht="18" customHeight="1">
      <c r="A716" s="44">
        <v>714</v>
      </c>
      <c r="B716" s="52" t="s">
        <v>2702</v>
      </c>
      <c r="C716" s="80" t="s">
        <v>460</v>
      </c>
      <c r="D716" s="46" t="s">
        <v>116</v>
      </c>
      <c r="E716" s="44" t="s">
        <v>116</v>
      </c>
      <c r="F716" s="44" t="s">
        <v>2797</v>
      </c>
      <c r="G716" s="44"/>
      <c r="H716" s="44"/>
      <c r="I716" s="44"/>
      <c r="J716" s="47" t="s">
        <v>35</v>
      </c>
      <c r="K716" s="47"/>
      <c r="L716" s="47"/>
      <c r="M716" s="47"/>
      <c r="N716" s="47"/>
      <c r="O716" s="44"/>
      <c r="P716" s="44"/>
      <c r="Q716" s="48" t="e">
        <f>VLOOKUP(E716,sheet1!$B$2:$D$3209,3,FALSE)</f>
        <v>#N/A</v>
      </c>
      <c r="R716" s="47" t="s">
        <v>35</v>
      </c>
      <c r="S716" s="47" t="s">
        <v>35</v>
      </c>
      <c r="T716" s="47"/>
      <c r="U716" s="47" t="s">
        <v>296</v>
      </c>
      <c r="V716" s="47" t="s">
        <v>296</v>
      </c>
      <c r="W716" s="47" t="s">
        <v>296</v>
      </c>
      <c r="X716" s="47" t="s">
        <v>296</v>
      </c>
      <c r="Y716" s="47"/>
      <c r="Z716" s="47" t="s">
        <v>296</v>
      </c>
      <c r="AA716" s="47" t="s">
        <v>296</v>
      </c>
      <c r="AB716" s="47"/>
      <c r="AC716" s="47" t="s">
        <v>35</v>
      </c>
      <c r="AD716" s="75" t="str">
        <f>VLOOKUP(E727,sheet1!$B$2:$C$3209,2,FALSE)</f>
        <v>振替伝票申請入力</v>
      </c>
      <c r="AE716" s="49"/>
      <c r="AF716" s="51" t="s">
        <v>2798</v>
      </c>
      <c r="AG716" s="51" t="s">
        <v>2799</v>
      </c>
      <c r="AH716" s="49" t="str">
        <f t="shared" si="47"/>
        <v>振替伝票申請入力</v>
      </c>
      <c r="AI716" s="49"/>
      <c r="AJ716" s="49"/>
      <c r="AK716" s="49"/>
      <c r="AL716" s="49"/>
      <c r="AM716" s="49"/>
      <c r="AN716" s="49"/>
      <c r="AO716" s="51" t="str">
        <f t="shared" si="39"/>
        <v>親得意先マスター一覧表</v>
      </c>
      <c r="AP716" s="51" t="str">
        <f t="shared" si="40"/>
        <v/>
      </c>
      <c r="AQ716" s="51" t="s">
        <v>2773</v>
      </c>
      <c r="AR716" s="51"/>
      <c r="AS716" s="49" t="str">
        <f t="shared" si="41"/>
        <v/>
      </c>
      <c r="AT716" s="49" t="str">
        <f t="shared" si="42"/>
        <v/>
      </c>
      <c r="AU716" s="49"/>
      <c r="AV716" s="49"/>
    </row>
    <row r="717" spans="1:48" ht="18" customHeight="1">
      <c r="A717" s="44">
        <v>715</v>
      </c>
      <c r="B717" s="52" t="s">
        <v>2702</v>
      </c>
      <c r="C717" s="80" t="s">
        <v>460</v>
      </c>
      <c r="D717" s="46" t="s">
        <v>116</v>
      </c>
      <c r="E717" s="44" t="s">
        <v>116</v>
      </c>
      <c r="F717" s="44" t="s">
        <v>2800</v>
      </c>
      <c r="G717" s="44"/>
      <c r="H717" s="44"/>
      <c r="I717" s="44"/>
      <c r="J717" s="47" t="s">
        <v>35</v>
      </c>
      <c r="K717" s="47"/>
      <c r="L717" s="47"/>
      <c r="M717" s="47"/>
      <c r="N717" s="47"/>
      <c r="O717" s="44"/>
      <c r="P717" s="44"/>
      <c r="Q717" s="48" t="e">
        <f>VLOOKUP(E717,sheet1!$B$2:$D$3209,3,FALSE)</f>
        <v>#N/A</v>
      </c>
      <c r="R717" s="47" t="s">
        <v>35</v>
      </c>
      <c r="S717" s="47" t="s">
        <v>35</v>
      </c>
      <c r="T717" s="47"/>
      <c r="U717" s="47" t="s">
        <v>296</v>
      </c>
      <c r="V717" s="47" t="s">
        <v>296</v>
      </c>
      <c r="W717" s="47" t="s">
        <v>296</v>
      </c>
      <c r="X717" s="47" t="s">
        <v>296</v>
      </c>
      <c r="Y717" s="47"/>
      <c r="Z717" s="47" t="s">
        <v>296</v>
      </c>
      <c r="AA717" s="47" t="s">
        <v>296</v>
      </c>
      <c r="AB717" s="47"/>
      <c r="AC717" s="47" t="s">
        <v>35</v>
      </c>
      <c r="AD717" s="75" t="str">
        <f>VLOOKUP(E728,sheet1!$B$2:$C$3209,2,FALSE)</f>
        <v xml:space="preserve"> PC -&gt; AS400 CSVファイルアップロード</v>
      </c>
      <c r="AE717" s="49"/>
      <c r="AF717" s="51" t="s">
        <v>2801</v>
      </c>
      <c r="AG717" s="51" t="s">
        <v>2802</v>
      </c>
      <c r="AH717" s="49" t="str">
        <f t="shared" si="47"/>
        <v>振替伝票一括取込CSV--&gt;AS400</v>
      </c>
      <c r="AI717" s="49"/>
      <c r="AJ717" s="49"/>
      <c r="AK717" s="49"/>
      <c r="AL717" s="49"/>
      <c r="AM717" s="49"/>
      <c r="AN717" s="49"/>
      <c r="AO717" s="51" t="str">
        <f t="shared" ref="AO717:AO971" si="49">TRIM(MIDB(AQ717,4,99))</f>
        <v>得意先一覧表（親コード付き）</v>
      </c>
      <c r="AP717" s="51" t="str">
        <f t="shared" ref="AP717:AP971" si="50">TRIM(AR717)</f>
        <v>MS1545</v>
      </c>
      <c r="AQ717" s="51" t="s">
        <v>2775</v>
      </c>
      <c r="AR717" s="51" t="s">
        <v>2776</v>
      </c>
      <c r="AS717" s="49" t="str">
        <f t="shared" ref="AS717:AS971" si="51">TRIM(MID(AU717,4,99))</f>
        <v/>
      </c>
      <c r="AT717" s="49" t="str">
        <f t="shared" ref="AT717:AT971" si="52">TRIM(AV717)</f>
        <v/>
      </c>
      <c r="AU717" s="49"/>
      <c r="AV717" s="49"/>
    </row>
    <row r="718" spans="1:48" ht="18" customHeight="1">
      <c r="A718" s="44">
        <v>716</v>
      </c>
      <c r="B718" s="52" t="s">
        <v>2702</v>
      </c>
      <c r="C718" s="80" t="s">
        <v>460</v>
      </c>
      <c r="D718" s="46" t="s">
        <v>116</v>
      </c>
      <c r="E718" s="44" t="s">
        <v>2776</v>
      </c>
      <c r="F718" s="44" t="s">
        <v>2803</v>
      </c>
      <c r="G718" s="44"/>
      <c r="H718" s="44"/>
      <c r="I718" s="44"/>
      <c r="J718" s="47" t="s">
        <v>35</v>
      </c>
      <c r="K718" s="47"/>
      <c r="L718" s="47"/>
      <c r="M718" s="47"/>
      <c r="N718" s="47"/>
      <c r="O718" s="44"/>
      <c r="P718" s="44"/>
      <c r="Q718" s="48">
        <f>VLOOKUP(E718,sheet1!$B$2:$D$3209,3,FALSE)</f>
        <v>419</v>
      </c>
      <c r="R718" s="47" t="s">
        <v>35</v>
      </c>
      <c r="S718" s="47" t="s">
        <v>35</v>
      </c>
      <c r="T718" s="47"/>
      <c r="U718" s="47" t="s">
        <v>296</v>
      </c>
      <c r="V718" s="47" t="s">
        <v>296</v>
      </c>
      <c r="W718" s="47" t="s">
        <v>296</v>
      </c>
      <c r="X718" s="47" t="s">
        <v>296</v>
      </c>
      <c r="Y718" s="47"/>
      <c r="Z718" s="47" t="s">
        <v>296</v>
      </c>
      <c r="AA718" s="47" t="s">
        <v>296</v>
      </c>
      <c r="AB718" s="47"/>
      <c r="AC718" s="47" t="s">
        <v>35</v>
      </c>
      <c r="AD718" s="75" t="str">
        <f>VLOOKUP(E729,sheet1!$B$2:$C$3209,2,FALSE)</f>
        <v>振替伝票承認入力</v>
      </c>
      <c r="AE718" s="49"/>
      <c r="AF718" s="51" t="s">
        <v>2804</v>
      </c>
      <c r="AG718" s="51" t="s">
        <v>2805</v>
      </c>
      <c r="AH718" s="49" t="str">
        <f t="shared" si="47"/>
        <v>振替伝票承認入力</v>
      </c>
      <c r="AI718" s="49"/>
      <c r="AJ718" s="49"/>
      <c r="AK718" s="49"/>
      <c r="AL718" s="49"/>
      <c r="AM718" s="49"/>
      <c r="AN718" s="49"/>
      <c r="AO718" s="51" t="str">
        <f t="shared" si="49"/>
        <v>取引先固有情報ﾏｽﾀｰコード順</v>
      </c>
      <c r="AP718" s="51" t="str">
        <f t="shared" si="50"/>
        <v>AC0006A</v>
      </c>
      <c r="AQ718" s="51" t="s">
        <v>2777</v>
      </c>
      <c r="AR718" s="51" t="s">
        <v>2778</v>
      </c>
      <c r="AS718" s="49" t="str">
        <f t="shared" si="51"/>
        <v/>
      </c>
      <c r="AT718" s="49" t="str">
        <f t="shared" si="52"/>
        <v/>
      </c>
      <c r="AU718" s="49"/>
      <c r="AV718" s="49"/>
    </row>
    <row r="719" spans="1:48" ht="18" customHeight="1">
      <c r="A719" s="44">
        <v>717</v>
      </c>
      <c r="B719" s="52" t="s">
        <v>2702</v>
      </c>
      <c r="C719" s="80" t="s">
        <v>460</v>
      </c>
      <c r="D719" s="46" t="s">
        <v>116</v>
      </c>
      <c r="E719" s="44" t="s">
        <v>2778</v>
      </c>
      <c r="F719" s="44" t="s">
        <v>2806</v>
      </c>
      <c r="G719" s="44"/>
      <c r="H719" s="44"/>
      <c r="I719" s="44"/>
      <c r="J719" s="47" t="s">
        <v>35</v>
      </c>
      <c r="K719" s="47"/>
      <c r="L719" s="47"/>
      <c r="M719" s="47"/>
      <c r="N719" s="47"/>
      <c r="O719" s="44"/>
      <c r="P719" s="44"/>
      <c r="Q719" s="48">
        <f>VLOOKUP(E719,sheet1!$B$2:$D$3209,3,FALSE)</f>
        <v>651</v>
      </c>
      <c r="R719" s="47" t="s">
        <v>35</v>
      </c>
      <c r="S719" s="47" t="s">
        <v>35</v>
      </c>
      <c r="T719" s="47"/>
      <c r="U719" s="47" t="s">
        <v>296</v>
      </c>
      <c r="V719" s="47" t="s">
        <v>296</v>
      </c>
      <c r="W719" s="47" t="s">
        <v>296</v>
      </c>
      <c r="X719" s="47" t="s">
        <v>296</v>
      </c>
      <c r="Y719" s="47"/>
      <c r="Z719" s="47" t="s">
        <v>296</v>
      </c>
      <c r="AA719" s="47" t="s">
        <v>296</v>
      </c>
      <c r="AB719" s="47"/>
      <c r="AC719" s="47" t="s">
        <v>35</v>
      </c>
      <c r="AD719" s="75" t="str">
        <f>VLOOKUP(E730,sheet1!$B$2:$C$3209,2,FALSE)</f>
        <v>財務会計　新・振替伝票データ照会</v>
      </c>
      <c r="AE719" s="49"/>
      <c r="AF719" s="51" t="s">
        <v>2807</v>
      </c>
      <c r="AG719" s="51" t="s">
        <v>2808</v>
      </c>
      <c r="AH719" s="49" t="str">
        <f t="shared" si="47"/>
        <v>振替伝票データ照会</v>
      </c>
      <c r="AI719" s="49"/>
      <c r="AJ719" s="49"/>
      <c r="AK719" s="49"/>
      <c r="AL719" s="49"/>
      <c r="AM719" s="49"/>
      <c r="AN719" s="49"/>
      <c r="AO719" s="51" t="str">
        <f t="shared" si="49"/>
        <v>自治体コードマスター</v>
      </c>
      <c r="AP719" s="51" t="str">
        <f t="shared" si="50"/>
        <v>PD9060</v>
      </c>
      <c r="AQ719" s="51" t="s">
        <v>2780</v>
      </c>
      <c r="AR719" s="51" t="s">
        <v>1188</v>
      </c>
      <c r="AS719" s="49" t="str">
        <f t="shared" si="51"/>
        <v/>
      </c>
      <c r="AT719" s="49" t="str">
        <f t="shared" si="52"/>
        <v/>
      </c>
      <c r="AU719" s="49"/>
      <c r="AV719" s="49"/>
    </row>
    <row r="720" spans="1:48" ht="18" customHeight="1">
      <c r="A720" s="44">
        <v>718</v>
      </c>
      <c r="B720" s="52" t="s">
        <v>2702</v>
      </c>
      <c r="C720" s="80" t="s">
        <v>460</v>
      </c>
      <c r="D720" s="46" t="s">
        <v>116</v>
      </c>
      <c r="E720" s="44" t="s">
        <v>1188</v>
      </c>
      <c r="F720" s="44" t="s">
        <v>2809</v>
      </c>
      <c r="G720" s="44"/>
      <c r="H720" s="44"/>
      <c r="I720" s="44"/>
      <c r="J720" s="47" t="s">
        <v>35</v>
      </c>
      <c r="K720" s="47"/>
      <c r="L720" s="47"/>
      <c r="M720" s="47"/>
      <c r="N720" s="47"/>
      <c r="O720" s="44"/>
      <c r="P720" s="44"/>
      <c r="Q720" s="48">
        <f>VLOOKUP(E720,sheet1!$B$2:$D$3209,3,FALSE)</f>
        <v>60</v>
      </c>
      <c r="R720" s="47" t="s">
        <v>35</v>
      </c>
      <c r="S720" s="47" t="s">
        <v>35</v>
      </c>
      <c r="T720" s="47"/>
      <c r="U720" s="47" t="s">
        <v>296</v>
      </c>
      <c r="V720" s="47" t="s">
        <v>296</v>
      </c>
      <c r="W720" s="47" t="s">
        <v>296</v>
      </c>
      <c r="X720" s="47" t="s">
        <v>296</v>
      </c>
      <c r="Y720" s="47"/>
      <c r="Z720" s="47" t="s">
        <v>296</v>
      </c>
      <c r="AA720" s="47" t="s">
        <v>296</v>
      </c>
      <c r="AB720" s="47"/>
      <c r="AC720" s="47" t="s">
        <v>35</v>
      </c>
      <c r="AD720" s="75" t="str">
        <f>VLOOKUP(E731,sheet1!$B$2:$C$3209,2,FALSE)</f>
        <v>定型振替申請入力   　　　</v>
      </c>
      <c r="AE720" s="49"/>
      <c r="AF720" s="51" t="s">
        <v>2810</v>
      </c>
      <c r="AG720" s="51" t="s">
        <v>2811</v>
      </c>
      <c r="AH720" s="49" t="str">
        <f t="shared" si="47"/>
        <v>固定振替申請入力</v>
      </c>
      <c r="AI720" s="49"/>
      <c r="AJ720" s="49"/>
      <c r="AK720" s="49"/>
      <c r="AL720" s="49"/>
      <c r="AM720" s="49"/>
      <c r="AN720" s="49"/>
      <c r="AO720" s="51" t="str">
        <f t="shared" si="49"/>
        <v>固定資産保管場所マスター</v>
      </c>
      <c r="AP720" s="51" t="str">
        <f t="shared" si="50"/>
        <v>MS0185</v>
      </c>
      <c r="AQ720" s="51" t="s">
        <v>2782</v>
      </c>
      <c r="AR720" s="51" t="s">
        <v>2783</v>
      </c>
      <c r="AS720" s="49" t="str">
        <f t="shared" si="51"/>
        <v/>
      </c>
      <c r="AT720" s="49" t="str">
        <f t="shared" si="52"/>
        <v/>
      </c>
      <c r="AU720" s="49"/>
      <c r="AV720" s="49"/>
    </row>
    <row r="721" spans="1:48" ht="18" customHeight="1">
      <c r="A721" s="44">
        <v>719</v>
      </c>
      <c r="B721" s="52" t="s">
        <v>2702</v>
      </c>
      <c r="C721" s="80" t="s">
        <v>460</v>
      </c>
      <c r="D721" s="46" t="s">
        <v>116</v>
      </c>
      <c r="E721" s="44" t="s">
        <v>2783</v>
      </c>
      <c r="F721" s="44" t="s">
        <v>2812</v>
      </c>
      <c r="G721" s="44"/>
      <c r="H721" s="44"/>
      <c r="I721" s="44"/>
      <c r="J721" s="47" t="s">
        <v>35</v>
      </c>
      <c r="K721" s="47"/>
      <c r="L721" s="47"/>
      <c r="M721" s="47"/>
      <c r="N721" s="47"/>
      <c r="O721" s="44"/>
      <c r="P721" s="44"/>
      <c r="Q721" s="48">
        <f>VLOOKUP(E721,sheet1!$B$2:$D$3209,3,FALSE)</f>
        <v>85</v>
      </c>
      <c r="R721" s="47" t="s">
        <v>35</v>
      </c>
      <c r="S721" s="47" t="s">
        <v>35</v>
      </c>
      <c r="T721" s="47"/>
      <c r="U721" s="47" t="s">
        <v>296</v>
      </c>
      <c r="V721" s="47" t="s">
        <v>296</v>
      </c>
      <c r="W721" s="47" t="s">
        <v>296</v>
      </c>
      <c r="X721" s="47" t="s">
        <v>296</v>
      </c>
      <c r="Y721" s="47"/>
      <c r="Z721" s="47" t="s">
        <v>296</v>
      </c>
      <c r="AA721" s="47" t="s">
        <v>296</v>
      </c>
      <c r="AB721" s="47"/>
      <c r="AC721" s="47" t="s">
        <v>35</v>
      </c>
      <c r="AD721" s="75" t="str">
        <f>VLOOKUP(E732,sheet1!$B$2:$C$3209,2,FALSE)</f>
        <v>定型振替申請承認入力</v>
      </c>
      <c r="AE721" s="49"/>
      <c r="AF721" s="51" t="s">
        <v>2813</v>
      </c>
      <c r="AG721" s="51" t="s">
        <v>2814</v>
      </c>
      <c r="AH721" s="49" t="str">
        <f t="shared" si="47"/>
        <v>固定振替申請承認入力</v>
      </c>
      <c r="AI721" s="49"/>
      <c r="AJ721" s="49"/>
      <c r="AK721" s="49"/>
      <c r="AL721" s="49"/>
      <c r="AM721" s="49"/>
      <c r="AN721" s="49"/>
      <c r="AO721" s="51" t="str">
        <f t="shared" si="49"/>
        <v>振替データ更新</v>
      </c>
      <c r="AP721" s="51" t="str">
        <f t="shared" si="50"/>
        <v>AC1900</v>
      </c>
      <c r="AQ721" s="36" t="s">
        <v>2785</v>
      </c>
      <c r="AR721" s="49" t="s">
        <v>2786</v>
      </c>
      <c r="AS721" s="49" t="str">
        <f t="shared" si="51"/>
        <v>振替データ更新</v>
      </c>
      <c r="AT721" s="49" t="str">
        <f t="shared" si="52"/>
        <v>AC1900</v>
      </c>
      <c r="AU721" s="51" t="s">
        <v>2785</v>
      </c>
      <c r="AV721" s="51" t="s">
        <v>2786</v>
      </c>
    </row>
    <row r="722" spans="1:48" ht="18" customHeight="1">
      <c r="A722" s="44">
        <v>720</v>
      </c>
      <c r="B722" s="52" t="s">
        <v>2702</v>
      </c>
      <c r="C722" s="75" t="s">
        <v>2815</v>
      </c>
      <c r="D722" s="46" t="s">
        <v>116</v>
      </c>
      <c r="E722" s="44" t="s">
        <v>2786</v>
      </c>
      <c r="F722" s="44" t="s">
        <v>2816</v>
      </c>
      <c r="G722" s="44"/>
      <c r="H722" s="44"/>
      <c r="I722" s="44"/>
      <c r="J722" s="47" t="s">
        <v>35</v>
      </c>
      <c r="K722" s="47"/>
      <c r="L722" s="47"/>
      <c r="M722" s="47"/>
      <c r="N722" s="47"/>
      <c r="O722" s="44"/>
      <c r="P722" s="44"/>
      <c r="Q722" s="48" t="e">
        <f>VLOOKUP(E722,sheet1!$B$2:$D$3209,3,FALSE)</f>
        <v>#N/A</v>
      </c>
      <c r="R722" s="47" t="s">
        <v>35</v>
      </c>
      <c r="S722" s="47" t="s">
        <v>35</v>
      </c>
      <c r="T722" s="47"/>
      <c r="U722" s="47" t="s">
        <v>35</v>
      </c>
      <c r="V722" s="47" t="s">
        <v>35</v>
      </c>
      <c r="W722" s="47" t="s">
        <v>296</v>
      </c>
      <c r="X722" s="47" t="s">
        <v>296</v>
      </c>
      <c r="Y722" s="47"/>
      <c r="Z722" s="47" t="s">
        <v>296</v>
      </c>
      <c r="AA722" s="47" t="s">
        <v>296</v>
      </c>
      <c r="AB722" s="47"/>
      <c r="AC722" s="47" t="s">
        <v>35</v>
      </c>
      <c r="AD722" s="75" t="str">
        <f>VLOOKUP(E733,sheet1!$B$2:$C$3209,2,FALSE)</f>
        <v>定型振替伝票入力   　　　</v>
      </c>
      <c r="AE722" s="49"/>
      <c r="AF722" s="51" t="s">
        <v>2817</v>
      </c>
      <c r="AG722" s="51" t="s">
        <v>2818</v>
      </c>
      <c r="AH722" s="49" t="str">
        <f t="shared" si="47"/>
        <v>固定振替伝票入力</v>
      </c>
      <c r="AI722" s="49"/>
      <c r="AJ722" s="49"/>
      <c r="AK722" s="49"/>
      <c r="AL722" s="49"/>
      <c r="AM722" s="49"/>
      <c r="AN722" s="49"/>
      <c r="AO722" s="51" t="str">
        <f t="shared" si="49"/>
        <v>貸借科目集計ﾌｧｲﾙ年次更新</v>
      </c>
      <c r="AP722" s="51" t="str">
        <f t="shared" si="50"/>
        <v>AC7000B</v>
      </c>
      <c r="AQ722" s="49" t="s">
        <v>2788</v>
      </c>
      <c r="AR722" s="49" t="s">
        <v>2789</v>
      </c>
      <c r="AS722" s="49" t="str">
        <f t="shared" si="51"/>
        <v>貸借科目集計ﾌｧｲﾙ年次更新</v>
      </c>
      <c r="AT722" s="49" t="str">
        <f t="shared" si="52"/>
        <v>AC7000B</v>
      </c>
      <c r="AU722" s="51" t="s">
        <v>2788</v>
      </c>
      <c r="AV722" s="51" t="s">
        <v>2789</v>
      </c>
    </row>
    <row r="723" spans="1:48" ht="18" customHeight="1">
      <c r="A723" s="44">
        <v>721</v>
      </c>
      <c r="B723" s="52" t="s">
        <v>2702</v>
      </c>
      <c r="C723" s="80" t="s">
        <v>2815</v>
      </c>
      <c r="D723" s="46" t="s">
        <v>116</v>
      </c>
      <c r="E723" s="44" t="s">
        <v>2789</v>
      </c>
      <c r="F723" s="44" t="s">
        <v>2819</v>
      </c>
      <c r="G723" s="44"/>
      <c r="H723" s="44"/>
      <c r="I723" s="44"/>
      <c r="J723" s="47" t="s">
        <v>35</v>
      </c>
      <c r="K723" s="47"/>
      <c r="L723" s="47"/>
      <c r="M723" s="47"/>
      <c r="N723" s="47"/>
      <c r="O723" s="44"/>
      <c r="P723" s="44"/>
      <c r="Q723" s="48">
        <f>VLOOKUP(E723,sheet1!$B$2:$D$3209,3,FALSE)</f>
        <v>370</v>
      </c>
      <c r="R723" s="47" t="s">
        <v>35</v>
      </c>
      <c r="S723" s="47" t="s">
        <v>35</v>
      </c>
      <c r="T723" s="47"/>
      <c r="U723" s="47" t="s">
        <v>35</v>
      </c>
      <c r="V723" s="47" t="s">
        <v>35</v>
      </c>
      <c r="W723" s="47" t="s">
        <v>296</v>
      </c>
      <c r="X723" s="47" t="s">
        <v>296</v>
      </c>
      <c r="Y723" s="47"/>
      <c r="Z723" s="47" t="s">
        <v>296</v>
      </c>
      <c r="AA723" s="47" t="s">
        <v>296</v>
      </c>
      <c r="AB723" s="47"/>
      <c r="AC723" s="47" t="s">
        <v>35</v>
      </c>
      <c r="AD723" s="75" t="str">
        <f>VLOOKUP(E734,sheet1!$B$2:$C$3209,2,FALSE)</f>
        <v>定型振替伝票承認入力</v>
      </c>
      <c r="AE723" s="49"/>
      <c r="AF723" s="51" t="s">
        <v>2820</v>
      </c>
      <c r="AG723" s="51" t="s">
        <v>2821</v>
      </c>
      <c r="AH723" s="49" t="str">
        <f t="shared" si="47"/>
        <v>固定・定型振替伝票承認入力</v>
      </c>
      <c r="AI723" s="49"/>
      <c r="AJ723" s="49"/>
      <c r="AK723" s="49"/>
      <c r="AL723" s="49"/>
      <c r="AM723" s="49"/>
      <c r="AN723" s="49"/>
      <c r="AO723" s="51" t="str">
        <f t="shared" si="49"/>
        <v>貸借科目外貨ﾌｧｲﾙ年次更新</v>
      </c>
      <c r="AP723" s="51" t="str">
        <f t="shared" si="50"/>
        <v>AC1960B</v>
      </c>
      <c r="AQ723" s="49" t="s">
        <v>2790</v>
      </c>
      <c r="AR723" s="49" t="s">
        <v>2791</v>
      </c>
      <c r="AS723" s="49" t="str">
        <f t="shared" si="51"/>
        <v>貸借科目外貨ﾌｧｲﾙ年次更新</v>
      </c>
      <c r="AT723" s="49" t="str">
        <f t="shared" si="52"/>
        <v>AC1960B</v>
      </c>
      <c r="AU723" s="51" t="s">
        <v>2790</v>
      </c>
      <c r="AV723" s="51" t="s">
        <v>2791</v>
      </c>
    </row>
    <row r="724" spans="1:48" ht="18" customHeight="1">
      <c r="A724" s="44">
        <v>722</v>
      </c>
      <c r="B724" s="52" t="s">
        <v>2702</v>
      </c>
      <c r="C724" s="80" t="s">
        <v>2815</v>
      </c>
      <c r="D724" s="46" t="s">
        <v>116</v>
      </c>
      <c r="E724" s="44" t="s">
        <v>2791</v>
      </c>
      <c r="F724" s="44" t="s">
        <v>2822</v>
      </c>
      <c r="G724" s="44"/>
      <c r="H724" s="44"/>
      <c r="I724" s="44"/>
      <c r="J724" s="47" t="s">
        <v>35</v>
      </c>
      <c r="K724" s="47"/>
      <c r="L724" s="47"/>
      <c r="M724" s="47"/>
      <c r="N724" s="47"/>
      <c r="O724" s="44"/>
      <c r="P724" s="44"/>
      <c r="Q724" s="48">
        <f>VLOOKUP(E724,sheet1!$B$2:$D$3209,3,FALSE)</f>
        <v>469</v>
      </c>
      <c r="R724" s="47" t="s">
        <v>35</v>
      </c>
      <c r="S724" s="47" t="s">
        <v>35</v>
      </c>
      <c r="T724" s="47"/>
      <c r="U724" s="47" t="s">
        <v>35</v>
      </c>
      <c r="V724" s="47" t="s">
        <v>35</v>
      </c>
      <c r="W724" s="47" t="s">
        <v>296</v>
      </c>
      <c r="X724" s="47" t="s">
        <v>296</v>
      </c>
      <c r="Y724" s="47"/>
      <c r="Z724" s="47" t="s">
        <v>296</v>
      </c>
      <c r="AA724" s="47" t="s">
        <v>296</v>
      </c>
      <c r="AB724" s="47"/>
      <c r="AC724" s="47" t="s">
        <v>35</v>
      </c>
      <c r="AD724" s="75" t="str">
        <f>VLOOKUP(E735,sheet1!$B$2:$C$3209,2,FALSE)</f>
        <v>定型振替申請入力   　　　</v>
      </c>
      <c r="AE724" s="49"/>
      <c r="AF724" s="51" t="s">
        <v>2823</v>
      </c>
      <c r="AG724" s="51" t="s">
        <v>2811</v>
      </c>
      <c r="AH724" s="49" t="str">
        <f t="shared" si="47"/>
        <v>定型振替申請入力</v>
      </c>
      <c r="AI724" s="49"/>
      <c r="AJ724" s="49"/>
      <c r="AK724" s="49"/>
      <c r="AL724" s="49"/>
      <c r="AM724" s="49"/>
      <c r="AN724" s="49"/>
      <c r="AO724" s="51" t="str">
        <f t="shared" si="49"/>
        <v>貸借・損益科目集計ﾌｧｲﾙ再計算</v>
      </c>
      <c r="AP724" s="51" t="str">
        <f t="shared" si="50"/>
        <v>反応しない(権限がないから？)</v>
      </c>
      <c r="AQ724" s="49" t="s">
        <v>2793</v>
      </c>
      <c r="AR724" s="49" t="s">
        <v>2824</v>
      </c>
      <c r="AS724" s="49" t="str">
        <f t="shared" si="51"/>
        <v>貸借・損益科目集計ﾌｧｲﾙ再計算</v>
      </c>
      <c r="AT724" s="49" t="str">
        <f t="shared" si="52"/>
        <v/>
      </c>
      <c r="AU724" s="51" t="s">
        <v>2825</v>
      </c>
      <c r="AV724" s="51"/>
    </row>
    <row r="725" spans="1:48" ht="18" customHeight="1">
      <c r="A725" s="44">
        <v>723</v>
      </c>
      <c r="B725" s="52" t="s">
        <v>2702</v>
      </c>
      <c r="C725" s="80" t="s">
        <v>2815</v>
      </c>
      <c r="D725" s="46" t="s">
        <v>116</v>
      </c>
      <c r="E725" s="44" t="s">
        <v>116</v>
      </c>
      <c r="F725" s="44" t="s">
        <v>2826</v>
      </c>
      <c r="G725" s="44"/>
      <c r="H725" s="44"/>
      <c r="I725" s="44"/>
      <c r="J725" s="47" t="s">
        <v>35</v>
      </c>
      <c r="K725" s="47"/>
      <c r="L725" s="47"/>
      <c r="M725" s="47"/>
      <c r="N725" s="47"/>
      <c r="O725" s="44"/>
      <c r="P725" s="44"/>
      <c r="Q725" s="48" t="e">
        <f>VLOOKUP(E725,sheet1!$B$2:$D$3209,3,FALSE)</f>
        <v>#N/A</v>
      </c>
      <c r="R725" s="47" t="s">
        <v>35</v>
      </c>
      <c r="S725" s="47" t="s">
        <v>35</v>
      </c>
      <c r="T725" s="47"/>
      <c r="U725" s="47" t="s">
        <v>35</v>
      </c>
      <c r="V725" s="47" t="s">
        <v>35</v>
      </c>
      <c r="W725" s="47" t="s">
        <v>296</v>
      </c>
      <c r="X725" s="47" t="s">
        <v>296</v>
      </c>
      <c r="Y725" s="47"/>
      <c r="Z725" s="47" t="s">
        <v>296</v>
      </c>
      <c r="AA725" s="47" t="s">
        <v>296</v>
      </c>
      <c r="AB725" s="47"/>
      <c r="AC725" s="47" t="s">
        <v>35</v>
      </c>
      <c r="AD725" s="75" t="str">
        <f>VLOOKUP(E736,sheet1!$B$2:$C$3209,2,FALSE)</f>
        <v>定型振替申請承認入力</v>
      </c>
      <c r="AE725" s="49"/>
      <c r="AF725" s="51" t="s">
        <v>2827</v>
      </c>
      <c r="AG725" s="51" t="s">
        <v>2814</v>
      </c>
      <c r="AH725" s="49" t="str">
        <f t="shared" si="47"/>
        <v>定型振替申請承認入力</v>
      </c>
      <c r="AI725" s="49"/>
      <c r="AJ725" s="49"/>
      <c r="AK725" s="49"/>
      <c r="AL725" s="49"/>
      <c r="AM725" s="49"/>
      <c r="AN725" s="49"/>
      <c r="AO725" s="51" t="str">
        <f t="shared" si="49"/>
        <v>振替伝票雛型入力</v>
      </c>
      <c r="AP725" s="51" t="str">
        <f t="shared" si="50"/>
        <v>ZM3070</v>
      </c>
      <c r="AQ725" s="49" t="s">
        <v>2795</v>
      </c>
      <c r="AR725" s="49" t="s">
        <v>2796</v>
      </c>
      <c r="AS725" s="49" t="str">
        <f t="shared" si="51"/>
        <v>振替伝票雛型入力</v>
      </c>
      <c r="AT725" s="49" t="str">
        <f t="shared" si="52"/>
        <v>ZM3070</v>
      </c>
      <c r="AU725" s="51" t="s">
        <v>2795</v>
      </c>
      <c r="AV725" s="51" t="s">
        <v>2796</v>
      </c>
    </row>
    <row r="726" spans="1:48" ht="18" customHeight="1">
      <c r="A726" s="44">
        <v>724</v>
      </c>
      <c r="B726" s="52" t="s">
        <v>2702</v>
      </c>
      <c r="C726" s="80" t="s">
        <v>2815</v>
      </c>
      <c r="D726" s="46" t="s">
        <v>116</v>
      </c>
      <c r="E726" s="44" t="s">
        <v>2796</v>
      </c>
      <c r="F726" s="44" t="s">
        <v>2828</v>
      </c>
      <c r="G726" s="44"/>
      <c r="H726" s="44"/>
      <c r="I726" s="44"/>
      <c r="J726" s="47" t="s">
        <v>35</v>
      </c>
      <c r="K726" s="47"/>
      <c r="L726" s="47"/>
      <c r="M726" s="47"/>
      <c r="N726" s="47"/>
      <c r="O726" s="44"/>
      <c r="P726" s="44"/>
      <c r="Q726" s="48">
        <f>VLOOKUP(E726,sheet1!$B$2:$D$3209,3,FALSE)</f>
        <v>1524</v>
      </c>
      <c r="R726" s="47" t="s">
        <v>35</v>
      </c>
      <c r="S726" s="47" t="s">
        <v>35</v>
      </c>
      <c r="T726" s="47"/>
      <c r="U726" s="47" t="s">
        <v>35</v>
      </c>
      <c r="V726" s="47" t="s">
        <v>35</v>
      </c>
      <c r="W726" s="47" t="s">
        <v>35</v>
      </c>
      <c r="X726" s="47" t="s">
        <v>35</v>
      </c>
      <c r="Y726" s="47" t="s">
        <v>35</v>
      </c>
      <c r="Z726" s="47" t="s">
        <v>296</v>
      </c>
      <c r="AA726" s="47" t="s">
        <v>296</v>
      </c>
      <c r="AB726" s="47"/>
      <c r="AC726" s="47" t="s">
        <v>35</v>
      </c>
      <c r="AD726" s="75" t="str">
        <f>VLOOKUP(E737,sheet1!$B$2:$C$3209,2,FALSE)</f>
        <v>定型振替伝票入力   　　　</v>
      </c>
      <c r="AE726" s="49"/>
      <c r="AF726" s="51" t="s">
        <v>2829</v>
      </c>
      <c r="AG726" s="51" t="s">
        <v>2818</v>
      </c>
      <c r="AH726" s="49" t="str">
        <f t="shared" si="47"/>
        <v>定型振替伝票入力</v>
      </c>
      <c r="AI726" s="49"/>
      <c r="AJ726" s="49"/>
      <c r="AK726" s="49"/>
      <c r="AL726" s="49"/>
      <c r="AM726" s="49"/>
      <c r="AN726" s="49"/>
      <c r="AO726" s="51" t="str">
        <f t="shared" si="49"/>
        <v>振替伝票申請入力</v>
      </c>
      <c r="AP726" s="51" t="str">
        <f t="shared" si="50"/>
        <v>ZM3080</v>
      </c>
      <c r="AQ726" s="49" t="s">
        <v>2798</v>
      </c>
      <c r="AR726" s="49" t="s">
        <v>2799</v>
      </c>
      <c r="AS726" s="49" t="str">
        <f t="shared" si="51"/>
        <v>振替伝票申請入力</v>
      </c>
      <c r="AT726" s="49" t="str">
        <f t="shared" si="52"/>
        <v>ZM3080</v>
      </c>
      <c r="AU726" s="51" t="s">
        <v>2798</v>
      </c>
      <c r="AV726" s="51" t="s">
        <v>2799</v>
      </c>
    </row>
    <row r="727" spans="1:48" ht="18" customHeight="1">
      <c r="A727" s="44">
        <v>725</v>
      </c>
      <c r="B727" s="52" t="s">
        <v>2702</v>
      </c>
      <c r="C727" s="80" t="s">
        <v>2815</v>
      </c>
      <c r="D727" s="46" t="s">
        <v>116</v>
      </c>
      <c r="E727" s="44" t="s">
        <v>2799</v>
      </c>
      <c r="F727" s="44" t="s">
        <v>2830</v>
      </c>
      <c r="G727" s="44"/>
      <c r="H727" s="44"/>
      <c r="I727" s="44"/>
      <c r="J727" s="47" t="s">
        <v>35</v>
      </c>
      <c r="K727" s="47"/>
      <c r="L727" s="47"/>
      <c r="M727" s="47"/>
      <c r="N727" s="47"/>
      <c r="O727" s="44"/>
      <c r="P727" s="44"/>
      <c r="Q727" s="48">
        <f>VLOOKUP(E727,sheet1!$B$2:$D$3209,3,FALSE)</f>
        <v>2773</v>
      </c>
      <c r="R727" s="47" t="s">
        <v>35</v>
      </c>
      <c r="S727" s="47" t="s">
        <v>35</v>
      </c>
      <c r="T727" s="47"/>
      <c r="U727" s="47" t="s">
        <v>35</v>
      </c>
      <c r="V727" s="47" t="s">
        <v>35</v>
      </c>
      <c r="W727" s="47" t="s">
        <v>296</v>
      </c>
      <c r="X727" s="47" t="s">
        <v>35</v>
      </c>
      <c r="Y727" s="47" t="s">
        <v>35</v>
      </c>
      <c r="Z727" s="47" t="s">
        <v>296</v>
      </c>
      <c r="AA727" s="47" t="s">
        <v>296</v>
      </c>
      <c r="AB727" s="47"/>
      <c r="AC727" s="47" t="s">
        <v>35</v>
      </c>
      <c r="AD727" s="75" t="str">
        <f>VLOOKUP(E738,sheet1!$B$2:$C$3209,2,FALSE)</f>
        <v>固定定型振替伝票リスト  　　</v>
      </c>
      <c r="AE727" s="49"/>
      <c r="AF727" s="51" t="s">
        <v>2831</v>
      </c>
      <c r="AG727" s="51" t="s">
        <v>2832</v>
      </c>
      <c r="AH727" s="49" t="str">
        <f t="shared" si="47"/>
        <v>固定定型振替伝票リスト</v>
      </c>
      <c r="AI727" s="49"/>
      <c r="AJ727" s="49"/>
      <c r="AK727" s="49"/>
      <c r="AL727" s="49"/>
      <c r="AM727" s="49"/>
      <c r="AN727" s="49"/>
      <c r="AO727" s="51" t="str">
        <f t="shared" si="49"/>
        <v>振替伝票一括取込CSV--&gt;AS400</v>
      </c>
      <c r="AP727" s="51" t="str">
        <f t="shared" si="50"/>
        <v>PD9220</v>
      </c>
      <c r="AQ727" s="49" t="s">
        <v>2801</v>
      </c>
      <c r="AR727" s="49" t="s">
        <v>2802</v>
      </c>
      <c r="AS727" s="49" t="str">
        <f t="shared" si="51"/>
        <v>振替伝票一括取込CSV--&gt;AS400</v>
      </c>
      <c r="AT727" s="49" t="str">
        <f t="shared" si="52"/>
        <v/>
      </c>
      <c r="AU727" s="51" t="s">
        <v>2801</v>
      </c>
      <c r="AV727" s="51"/>
    </row>
    <row r="728" spans="1:48" ht="18" customHeight="1">
      <c r="A728" s="44">
        <v>726</v>
      </c>
      <c r="B728" s="52" t="s">
        <v>2702</v>
      </c>
      <c r="C728" s="80" t="s">
        <v>2815</v>
      </c>
      <c r="D728" s="46" t="s">
        <v>116</v>
      </c>
      <c r="E728" s="44" t="s">
        <v>2802</v>
      </c>
      <c r="F728" s="44" t="s">
        <v>2833</v>
      </c>
      <c r="G728" s="44"/>
      <c r="H728" s="44"/>
      <c r="I728" s="44"/>
      <c r="J728" s="47" t="s">
        <v>35</v>
      </c>
      <c r="K728" s="47"/>
      <c r="L728" s="47"/>
      <c r="M728" s="47"/>
      <c r="N728" s="47"/>
      <c r="O728" s="44"/>
      <c r="P728" s="44"/>
      <c r="Q728" s="48">
        <f>VLOOKUP(E728,sheet1!$B$2:$D$3209,3,FALSE)</f>
        <v>203</v>
      </c>
      <c r="R728" s="47" t="s">
        <v>35</v>
      </c>
      <c r="S728" s="47" t="s">
        <v>35</v>
      </c>
      <c r="T728" s="47"/>
      <c r="U728" s="47" t="s">
        <v>35</v>
      </c>
      <c r="V728" s="47" t="s">
        <v>35</v>
      </c>
      <c r="W728" s="47" t="s">
        <v>296</v>
      </c>
      <c r="X728" s="47" t="s">
        <v>296</v>
      </c>
      <c r="Y728" s="47"/>
      <c r="Z728" s="47" t="s">
        <v>296</v>
      </c>
      <c r="AA728" s="47" t="s">
        <v>296</v>
      </c>
      <c r="AB728" s="47"/>
      <c r="AC728" s="47" t="s">
        <v>35</v>
      </c>
      <c r="AD728" s="75" t="str">
        <f>VLOOKUP(E739,sheet1!$B$2:$C$3209,2,FALSE)</f>
        <v>固定・定型振替申請№・振替№照会</v>
      </c>
      <c r="AE728" s="49"/>
      <c r="AF728" s="51" t="s">
        <v>2834</v>
      </c>
      <c r="AG728" s="51" t="s">
        <v>2835</v>
      </c>
      <c r="AH728" s="44" t="s">
        <v>2836</v>
      </c>
      <c r="AI728" s="49"/>
      <c r="AJ728" s="49"/>
      <c r="AK728" s="49"/>
      <c r="AL728" s="49"/>
      <c r="AM728" s="49"/>
      <c r="AN728" s="49"/>
      <c r="AO728" s="51" t="str">
        <f t="shared" si="49"/>
        <v>振替伝票承認入力</v>
      </c>
      <c r="AP728" s="51" t="str">
        <f t="shared" si="50"/>
        <v>ZM3100</v>
      </c>
      <c r="AQ728" s="49" t="s">
        <v>2804</v>
      </c>
      <c r="AR728" s="49" t="s">
        <v>2805</v>
      </c>
      <c r="AS728" s="49" t="str">
        <f t="shared" si="51"/>
        <v>振替伝票承認入力</v>
      </c>
      <c r="AT728" s="49" t="str">
        <f t="shared" si="52"/>
        <v>ZM3100</v>
      </c>
      <c r="AU728" s="51" t="s">
        <v>2804</v>
      </c>
      <c r="AV728" s="51" t="s">
        <v>2805</v>
      </c>
    </row>
    <row r="729" spans="1:48" ht="18" customHeight="1">
      <c r="A729" s="44">
        <v>727</v>
      </c>
      <c r="B729" s="52" t="s">
        <v>2702</v>
      </c>
      <c r="C729" s="80" t="s">
        <v>2815</v>
      </c>
      <c r="D729" s="46" t="s">
        <v>116</v>
      </c>
      <c r="E729" s="44" t="s">
        <v>2805</v>
      </c>
      <c r="F729" s="44" t="s">
        <v>2837</v>
      </c>
      <c r="G729" s="44"/>
      <c r="H729" s="44"/>
      <c r="I729" s="44"/>
      <c r="J729" s="47" t="s">
        <v>35</v>
      </c>
      <c r="K729" s="47"/>
      <c r="L729" s="47"/>
      <c r="M729" s="47"/>
      <c r="N729" s="47"/>
      <c r="O729" s="44"/>
      <c r="P729" s="44"/>
      <c r="Q729" s="48">
        <f>VLOOKUP(E729,sheet1!$B$2:$D$3209,3,FALSE)</f>
        <v>1028</v>
      </c>
      <c r="R729" s="47" t="s">
        <v>35</v>
      </c>
      <c r="S729" s="47" t="s">
        <v>35</v>
      </c>
      <c r="T729" s="47"/>
      <c r="U729" s="47" t="s">
        <v>35</v>
      </c>
      <c r="V729" s="47" t="s">
        <v>35</v>
      </c>
      <c r="W729" s="47" t="s">
        <v>296</v>
      </c>
      <c r="X729" s="47" t="s">
        <v>296</v>
      </c>
      <c r="Y729" s="47"/>
      <c r="Z729" s="47" t="s">
        <v>296</v>
      </c>
      <c r="AA729" s="47" t="s">
        <v>296</v>
      </c>
      <c r="AB729" s="47"/>
      <c r="AC729" s="47" t="s">
        <v>35</v>
      </c>
      <c r="AD729" s="75" t="str">
        <f>VLOOKUP(E740,sheet1!$B$2:$C$3209,2,FALSE)</f>
        <v>振替申請№・振替№照会</v>
      </c>
      <c r="AE729" s="49"/>
      <c r="AF729" s="51" t="s">
        <v>2838</v>
      </c>
      <c r="AG729" s="51" t="s">
        <v>2839</v>
      </c>
      <c r="AH729" s="44" t="s">
        <v>2840</v>
      </c>
      <c r="AI729" s="49"/>
      <c r="AJ729" s="49"/>
      <c r="AK729" s="49"/>
      <c r="AL729" s="49"/>
      <c r="AM729" s="49"/>
      <c r="AN729" s="49"/>
      <c r="AO729" s="51" t="str">
        <f t="shared" si="49"/>
        <v>振替伝票データ照会</v>
      </c>
      <c r="AP729" s="51" t="str">
        <f t="shared" si="50"/>
        <v>AC7005</v>
      </c>
      <c r="AQ729" s="49" t="s">
        <v>2807</v>
      </c>
      <c r="AR729" s="49" t="s">
        <v>2808</v>
      </c>
      <c r="AS729" s="49" t="str">
        <f t="shared" si="51"/>
        <v>振替伝票データ照会</v>
      </c>
      <c r="AT729" s="49" t="str">
        <f t="shared" si="52"/>
        <v>AC7005</v>
      </c>
      <c r="AU729" s="51" t="s">
        <v>2841</v>
      </c>
      <c r="AV729" s="51" t="s">
        <v>2808</v>
      </c>
    </row>
    <row r="730" spans="1:48" ht="18" customHeight="1">
      <c r="A730" s="44">
        <v>728</v>
      </c>
      <c r="B730" s="52" t="s">
        <v>2702</v>
      </c>
      <c r="C730" s="80" t="s">
        <v>2815</v>
      </c>
      <c r="D730" s="46" t="s">
        <v>116</v>
      </c>
      <c r="E730" s="44" t="s">
        <v>2808</v>
      </c>
      <c r="F730" s="44" t="s">
        <v>2842</v>
      </c>
      <c r="G730" s="44"/>
      <c r="H730" s="44"/>
      <c r="I730" s="44"/>
      <c r="J730" s="47" t="s">
        <v>35</v>
      </c>
      <c r="K730" s="47"/>
      <c r="L730" s="47"/>
      <c r="M730" s="47"/>
      <c r="N730" s="47"/>
      <c r="O730" s="44"/>
      <c r="P730" s="44"/>
      <c r="Q730" s="48">
        <f>VLOOKUP(E730,sheet1!$B$2:$D$3209,3,FALSE)</f>
        <v>382</v>
      </c>
      <c r="R730" s="47" t="s">
        <v>35</v>
      </c>
      <c r="S730" s="47" t="s">
        <v>35</v>
      </c>
      <c r="T730" s="47"/>
      <c r="U730" s="47" t="s">
        <v>35</v>
      </c>
      <c r="V730" s="47" t="s">
        <v>35</v>
      </c>
      <c r="W730" s="47" t="s">
        <v>296</v>
      </c>
      <c r="X730" s="47" t="s">
        <v>296</v>
      </c>
      <c r="Y730" s="47"/>
      <c r="Z730" s="47" t="s">
        <v>296</v>
      </c>
      <c r="AA730" s="47" t="s">
        <v>296</v>
      </c>
      <c r="AB730" s="47"/>
      <c r="AC730" s="47" t="s">
        <v>35</v>
      </c>
      <c r="AD730" s="75" t="str">
        <f>VLOOKUP(E741,sheet1!$B$2:$C$3209,2,FALSE)</f>
        <v>雛型・振替伝票リスト    　　</v>
      </c>
      <c r="AE730" s="49"/>
      <c r="AF730" s="51" t="s">
        <v>2843</v>
      </c>
      <c r="AG730" s="51" t="s">
        <v>2844</v>
      </c>
      <c r="AH730" s="49" t="str">
        <f t="shared" ref="AH730:AH984" si="53">TRIM(MID(AF730,4,100))</f>
        <v>雛型・振替伝票リスト</v>
      </c>
      <c r="AI730" s="49"/>
      <c r="AJ730" s="49"/>
      <c r="AK730" s="49"/>
      <c r="AL730" s="49"/>
      <c r="AM730" s="49"/>
      <c r="AN730" s="49"/>
      <c r="AO730" s="51" t="str">
        <f t="shared" si="49"/>
        <v>固定振替申請入力</v>
      </c>
      <c r="AP730" s="51" t="str">
        <f t="shared" si="50"/>
        <v>ZM3030</v>
      </c>
      <c r="AQ730" s="49" t="s">
        <v>2810</v>
      </c>
      <c r="AR730" s="49" t="s">
        <v>2811</v>
      </c>
      <c r="AS730" s="49" t="str">
        <f t="shared" si="51"/>
        <v>固定振替申請入力</v>
      </c>
      <c r="AT730" s="49" t="str">
        <f t="shared" si="52"/>
        <v>ZM3030</v>
      </c>
      <c r="AU730" s="51" t="s">
        <v>2845</v>
      </c>
      <c r="AV730" s="51" t="s">
        <v>2811</v>
      </c>
    </row>
    <row r="731" spans="1:48" ht="18" customHeight="1">
      <c r="A731" s="44">
        <v>729</v>
      </c>
      <c r="B731" s="52" t="s">
        <v>2702</v>
      </c>
      <c r="C731" s="80" t="s">
        <v>2815</v>
      </c>
      <c r="D731" s="46" t="s">
        <v>116</v>
      </c>
      <c r="E731" s="44" t="s">
        <v>2811</v>
      </c>
      <c r="F731" s="44" t="s">
        <v>2846</v>
      </c>
      <c r="G731" s="44"/>
      <c r="H731" s="44"/>
      <c r="I731" s="44"/>
      <c r="J731" s="47" t="s">
        <v>35</v>
      </c>
      <c r="K731" s="47"/>
      <c r="L731" s="47"/>
      <c r="M731" s="47"/>
      <c r="N731" s="47"/>
      <c r="O731" s="44"/>
      <c r="P731" s="44"/>
      <c r="Q731" s="48">
        <f>VLOOKUP(E731,sheet1!$B$2:$D$3209,3,FALSE)</f>
        <v>1800</v>
      </c>
      <c r="R731" s="47" t="s">
        <v>35</v>
      </c>
      <c r="S731" s="47" t="s">
        <v>35</v>
      </c>
      <c r="T731" s="47"/>
      <c r="U731" s="47" t="s">
        <v>35</v>
      </c>
      <c r="V731" s="47" t="s">
        <v>35</v>
      </c>
      <c r="W731" s="47" t="s">
        <v>296</v>
      </c>
      <c r="X731" s="47" t="s">
        <v>296</v>
      </c>
      <c r="Y731" s="47" t="s">
        <v>35</v>
      </c>
      <c r="Z731" s="47" t="s">
        <v>296</v>
      </c>
      <c r="AA731" s="47" t="s">
        <v>296</v>
      </c>
      <c r="AB731" s="47"/>
      <c r="AC731" s="47" t="s">
        <v>35</v>
      </c>
      <c r="AD731" s="75" t="str">
        <f>VLOOKUP(E742,sheet1!$B$2:$C$3209,2,FALSE)</f>
        <v>経理自動振替データ作成（売上）～画面チェック</v>
      </c>
      <c r="AE731" s="49"/>
      <c r="AF731" s="51" t="s">
        <v>2847</v>
      </c>
      <c r="AG731" s="51" t="s">
        <v>2848</v>
      </c>
      <c r="AH731" s="49" t="str">
        <f t="shared" si="53"/>
        <v>売上自動振替データ作成</v>
      </c>
      <c r="AI731" s="49"/>
      <c r="AJ731" s="49"/>
      <c r="AK731" s="49"/>
      <c r="AL731" s="49"/>
      <c r="AM731" s="49"/>
      <c r="AN731" s="49"/>
      <c r="AO731" s="51" t="str">
        <f t="shared" si="49"/>
        <v>固定振替申請承認入力</v>
      </c>
      <c r="AP731" s="51" t="str">
        <f t="shared" si="50"/>
        <v>ZM3040</v>
      </c>
      <c r="AQ731" s="49" t="s">
        <v>2813</v>
      </c>
      <c r="AR731" s="49" t="s">
        <v>2814</v>
      </c>
      <c r="AS731" s="49" t="str">
        <f t="shared" si="51"/>
        <v>固定振替申請承認入力</v>
      </c>
      <c r="AT731" s="49" t="str">
        <f t="shared" si="52"/>
        <v>ZM3040</v>
      </c>
      <c r="AU731" s="51" t="s">
        <v>2849</v>
      </c>
      <c r="AV731" s="51" t="s">
        <v>2814</v>
      </c>
    </row>
    <row r="732" spans="1:48" ht="18" customHeight="1">
      <c r="A732" s="44">
        <v>730</v>
      </c>
      <c r="B732" s="52" t="s">
        <v>2702</v>
      </c>
      <c r="C732" s="80" t="s">
        <v>2815</v>
      </c>
      <c r="D732" s="46" t="s">
        <v>116</v>
      </c>
      <c r="E732" s="44" t="s">
        <v>2814</v>
      </c>
      <c r="F732" s="44" t="s">
        <v>2850</v>
      </c>
      <c r="G732" s="44"/>
      <c r="H732" s="44"/>
      <c r="I732" s="44"/>
      <c r="J732" s="47" t="s">
        <v>35</v>
      </c>
      <c r="K732" s="47"/>
      <c r="L732" s="47"/>
      <c r="M732" s="47"/>
      <c r="N732" s="47"/>
      <c r="O732" s="44"/>
      <c r="P732" s="44"/>
      <c r="Q732" s="48">
        <f>VLOOKUP(E732,sheet1!$B$2:$D$3209,3,FALSE)</f>
        <v>488</v>
      </c>
      <c r="R732" s="47" t="s">
        <v>35</v>
      </c>
      <c r="S732" s="47" t="s">
        <v>35</v>
      </c>
      <c r="T732" s="47"/>
      <c r="U732" s="47" t="s">
        <v>35</v>
      </c>
      <c r="V732" s="47" t="s">
        <v>35</v>
      </c>
      <c r="W732" s="47" t="s">
        <v>296</v>
      </c>
      <c r="X732" s="47" t="s">
        <v>296</v>
      </c>
      <c r="Y732" s="47"/>
      <c r="Z732" s="47" t="s">
        <v>296</v>
      </c>
      <c r="AA732" s="47" t="s">
        <v>296</v>
      </c>
      <c r="AB732" s="47"/>
      <c r="AC732" s="47" t="s">
        <v>35</v>
      </c>
      <c r="AD732" s="75" t="str">
        <f>VLOOKUP(E743,sheet1!$B$2:$C$3209,2,FALSE)</f>
        <v>業務別売上金額部課別一覧～画面チェック</v>
      </c>
      <c r="AE732" s="49"/>
      <c r="AF732" s="51" t="s">
        <v>2851</v>
      </c>
      <c r="AG732" s="51" t="s">
        <v>2852</v>
      </c>
      <c r="AH732" s="49" t="str">
        <f t="shared" si="53"/>
        <v>業務別売上金額部課別一覧</v>
      </c>
      <c r="AI732" s="49"/>
      <c r="AJ732" s="49"/>
      <c r="AK732" s="49"/>
      <c r="AL732" s="49"/>
      <c r="AM732" s="49"/>
      <c r="AN732" s="49"/>
      <c r="AO732" s="51" t="str">
        <f t="shared" si="49"/>
        <v>固定振替伝票入力</v>
      </c>
      <c r="AP732" s="51" t="str">
        <f t="shared" si="50"/>
        <v>ZM3050</v>
      </c>
      <c r="AQ732" s="49" t="s">
        <v>2817</v>
      </c>
      <c r="AR732" s="49" t="s">
        <v>2818</v>
      </c>
      <c r="AS732" s="49" t="str">
        <f t="shared" si="51"/>
        <v>固定振替伝票入力</v>
      </c>
      <c r="AT732" s="49" t="str">
        <f t="shared" si="52"/>
        <v>ZM3050</v>
      </c>
      <c r="AU732" s="51" t="s">
        <v>2853</v>
      </c>
      <c r="AV732" s="51" t="s">
        <v>2818</v>
      </c>
    </row>
    <row r="733" spans="1:48" ht="18" customHeight="1">
      <c r="A733" s="44">
        <v>731</v>
      </c>
      <c r="B733" s="52" t="s">
        <v>2702</v>
      </c>
      <c r="C733" s="80" t="s">
        <v>2815</v>
      </c>
      <c r="D733" s="46" t="s">
        <v>116</v>
      </c>
      <c r="E733" s="44" t="s">
        <v>2818</v>
      </c>
      <c r="F733" s="44" t="s">
        <v>2854</v>
      </c>
      <c r="G733" s="44"/>
      <c r="H733" s="44"/>
      <c r="I733" s="44"/>
      <c r="J733" s="47" t="s">
        <v>35</v>
      </c>
      <c r="K733" s="47"/>
      <c r="L733" s="47"/>
      <c r="M733" s="47"/>
      <c r="N733" s="47"/>
      <c r="O733" s="44"/>
      <c r="P733" s="44"/>
      <c r="Q733" s="48">
        <f>VLOOKUP(E733,sheet1!$B$2:$D$3209,3,FALSE)</f>
        <v>1156</v>
      </c>
      <c r="R733" s="47" t="s">
        <v>35</v>
      </c>
      <c r="S733" s="47" t="s">
        <v>35</v>
      </c>
      <c r="T733" s="47"/>
      <c r="U733" s="47" t="s">
        <v>35</v>
      </c>
      <c r="V733" s="47" t="s">
        <v>35</v>
      </c>
      <c r="W733" s="47" t="s">
        <v>35</v>
      </c>
      <c r="X733" s="47" t="s">
        <v>35</v>
      </c>
      <c r="Y733" s="47" t="s">
        <v>35</v>
      </c>
      <c r="Z733" s="47" t="s">
        <v>296</v>
      </c>
      <c r="AA733" s="47" t="s">
        <v>296</v>
      </c>
      <c r="AB733" s="47"/>
      <c r="AC733" s="47" t="s">
        <v>35</v>
      </c>
      <c r="AD733" s="75" t="str">
        <f>VLOOKUP(E744,sheet1!$B$2:$C$3209,2,FALSE)</f>
        <v>業務別振替　経理振替業務月度完了処理（売上）　</v>
      </c>
      <c r="AE733" s="49"/>
      <c r="AF733" s="51" t="s">
        <v>2855</v>
      </c>
      <c r="AG733" s="51" t="s">
        <v>2856</v>
      </c>
      <c r="AH733" s="49" t="str">
        <f t="shared" si="53"/>
        <v>売上振替業務月度完了処理</v>
      </c>
      <c r="AI733" s="49"/>
      <c r="AJ733" s="49"/>
      <c r="AK733" s="49"/>
      <c r="AL733" s="49"/>
      <c r="AM733" s="49"/>
      <c r="AN733" s="49"/>
      <c r="AO733" s="51" t="str">
        <f t="shared" si="49"/>
        <v>固定・定型振替伝票承認入力</v>
      </c>
      <c r="AP733" s="51" t="str">
        <f t="shared" si="50"/>
        <v>ZM3060</v>
      </c>
      <c r="AQ733" s="49" t="s">
        <v>2820</v>
      </c>
      <c r="AR733" s="49" t="s">
        <v>2821</v>
      </c>
      <c r="AS733" s="49" t="str">
        <f t="shared" si="51"/>
        <v>固定・定型振替伝票承認入力</v>
      </c>
      <c r="AT733" s="49" t="str">
        <f t="shared" si="52"/>
        <v>ZM3060</v>
      </c>
      <c r="AU733" s="51" t="s">
        <v>2820</v>
      </c>
      <c r="AV733" s="51" t="s">
        <v>2821</v>
      </c>
    </row>
    <row r="734" spans="1:48" ht="18" customHeight="1">
      <c r="A734" s="44">
        <v>732</v>
      </c>
      <c r="B734" s="52" t="s">
        <v>2702</v>
      </c>
      <c r="C734" s="80" t="s">
        <v>2815</v>
      </c>
      <c r="D734" s="46" t="s">
        <v>116</v>
      </c>
      <c r="E734" s="44" t="s">
        <v>2821</v>
      </c>
      <c r="F734" s="44" t="s">
        <v>2857</v>
      </c>
      <c r="G734" s="44"/>
      <c r="H734" s="44"/>
      <c r="I734" s="44"/>
      <c r="J734" s="47" t="s">
        <v>35</v>
      </c>
      <c r="K734" s="47"/>
      <c r="L734" s="47"/>
      <c r="M734" s="47"/>
      <c r="N734" s="47"/>
      <c r="O734" s="44"/>
      <c r="P734" s="44"/>
      <c r="Q734" s="48">
        <f>VLOOKUP(E734,sheet1!$B$2:$D$3209,3,FALSE)</f>
        <v>939</v>
      </c>
      <c r="R734" s="47" t="s">
        <v>35</v>
      </c>
      <c r="S734" s="47" t="s">
        <v>35</v>
      </c>
      <c r="T734" s="47"/>
      <c r="U734" s="47" t="s">
        <v>35</v>
      </c>
      <c r="V734" s="47" t="s">
        <v>35</v>
      </c>
      <c r="W734" s="47" t="s">
        <v>296</v>
      </c>
      <c r="X734" s="47" t="s">
        <v>296</v>
      </c>
      <c r="Y734" s="47"/>
      <c r="Z734" s="47" t="s">
        <v>296</v>
      </c>
      <c r="AA734" s="47" t="s">
        <v>296</v>
      </c>
      <c r="AB734" s="47"/>
      <c r="AC734" s="47" t="s">
        <v>35</v>
      </c>
      <c r="AD734" s="75" t="str">
        <f>VLOOKUP(E745,sheet1!$B$2:$C$3209,2,FALSE)</f>
        <v>データ転送（１）自動振替ﾌｧｲﾙ／売上　＜経理＞</v>
      </c>
      <c r="AE734" s="49"/>
      <c r="AF734" s="51" t="s">
        <v>2858</v>
      </c>
      <c r="AG734" s="51" t="s">
        <v>2859</v>
      </c>
      <c r="AH734" s="49" t="str">
        <f t="shared" si="53"/>
        <v>自動仕訳データ転送（売上</v>
      </c>
      <c r="AI734" s="49"/>
      <c r="AJ734" s="49"/>
      <c r="AK734" s="49"/>
      <c r="AL734" s="49"/>
      <c r="AM734" s="49"/>
      <c r="AN734" s="49"/>
      <c r="AO734" s="51" t="str">
        <f t="shared" si="49"/>
        <v>定型振替申請入力</v>
      </c>
      <c r="AP734" s="51" t="str">
        <f t="shared" si="50"/>
        <v>ZM3030</v>
      </c>
      <c r="AQ734" s="49" t="s">
        <v>2823</v>
      </c>
      <c r="AR734" s="49" t="s">
        <v>2811</v>
      </c>
      <c r="AS734" s="49" t="str">
        <f t="shared" si="51"/>
        <v>定型振替申請入力</v>
      </c>
      <c r="AT734" s="49" t="str">
        <f t="shared" si="52"/>
        <v/>
      </c>
      <c r="AU734" s="51" t="s">
        <v>2860</v>
      </c>
      <c r="AV734" s="51"/>
    </row>
    <row r="735" spans="1:48" ht="18" customHeight="1">
      <c r="A735" s="44">
        <v>733</v>
      </c>
      <c r="B735" s="52" t="s">
        <v>2702</v>
      </c>
      <c r="C735" s="80" t="s">
        <v>2815</v>
      </c>
      <c r="D735" s="46" t="s">
        <v>116</v>
      </c>
      <c r="E735" s="44" t="s">
        <v>2811</v>
      </c>
      <c r="F735" s="44" t="s">
        <v>2861</v>
      </c>
      <c r="G735" s="44"/>
      <c r="H735" s="44"/>
      <c r="I735" s="44"/>
      <c r="J735" s="47" t="s">
        <v>35</v>
      </c>
      <c r="K735" s="47"/>
      <c r="L735" s="47"/>
      <c r="M735" s="47"/>
      <c r="N735" s="47"/>
      <c r="O735" s="44"/>
      <c r="P735" s="44"/>
      <c r="Q735" s="48">
        <f>VLOOKUP(E735,sheet1!$B$2:$D$3209,3,FALSE)</f>
        <v>1800</v>
      </c>
      <c r="R735" s="47" t="s">
        <v>35</v>
      </c>
      <c r="S735" s="47" t="s">
        <v>35</v>
      </c>
      <c r="T735" s="47"/>
      <c r="U735" s="47" t="s">
        <v>35</v>
      </c>
      <c r="V735" s="47" t="s">
        <v>35</v>
      </c>
      <c r="W735" s="47" t="s">
        <v>296</v>
      </c>
      <c r="X735" s="47" t="s">
        <v>296</v>
      </c>
      <c r="Y735" s="47" t="s">
        <v>35</v>
      </c>
      <c r="Z735" s="47" t="s">
        <v>296</v>
      </c>
      <c r="AA735" s="47" t="s">
        <v>296</v>
      </c>
      <c r="AB735" s="47"/>
      <c r="AC735" s="47" t="s">
        <v>35</v>
      </c>
      <c r="AD735" s="75" t="str">
        <f>VLOOKUP(E746,sheet1!$B$2:$C$3209,2,FALSE)</f>
        <v>売上自動仕訳データ振替伝票作成（発行）</v>
      </c>
      <c r="AE735" s="49"/>
      <c r="AF735" s="51" t="s">
        <v>2862</v>
      </c>
      <c r="AG735" s="51" t="s">
        <v>2863</v>
      </c>
      <c r="AH735" s="49" t="str">
        <f t="shared" si="53"/>
        <v>自動仕訳データ伝票発行</v>
      </c>
      <c r="AI735" s="49"/>
      <c r="AJ735" s="49"/>
      <c r="AK735" s="49"/>
      <c r="AL735" s="49"/>
      <c r="AM735" s="49"/>
      <c r="AN735" s="49"/>
      <c r="AO735" s="51" t="str">
        <f t="shared" si="49"/>
        <v>定型振替申請承認入力</v>
      </c>
      <c r="AP735" s="51" t="str">
        <f t="shared" si="50"/>
        <v>ZM3040</v>
      </c>
      <c r="AQ735" s="49" t="s">
        <v>2827</v>
      </c>
      <c r="AR735" s="49" t="s">
        <v>2814</v>
      </c>
      <c r="AS735" s="49" t="str">
        <f t="shared" si="51"/>
        <v>定型振替申請承認入力</v>
      </c>
      <c r="AT735" s="49" t="str">
        <f t="shared" si="52"/>
        <v/>
      </c>
      <c r="AU735" s="51" t="s">
        <v>2864</v>
      </c>
      <c r="AV735" s="51"/>
    </row>
    <row r="736" spans="1:48" ht="18" customHeight="1">
      <c r="A736" s="44">
        <v>734</v>
      </c>
      <c r="B736" s="52" t="s">
        <v>2702</v>
      </c>
      <c r="C736" s="80" t="s">
        <v>2815</v>
      </c>
      <c r="D736" s="46" t="s">
        <v>116</v>
      </c>
      <c r="E736" s="44" t="s">
        <v>2814</v>
      </c>
      <c r="F736" s="44" t="s">
        <v>2865</v>
      </c>
      <c r="G736" s="44"/>
      <c r="H736" s="44"/>
      <c r="I736" s="44"/>
      <c r="J736" s="47" t="s">
        <v>35</v>
      </c>
      <c r="K736" s="47"/>
      <c r="L736" s="47"/>
      <c r="M736" s="47"/>
      <c r="N736" s="47"/>
      <c r="O736" s="44"/>
      <c r="P736" s="44"/>
      <c r="Q736" s="48">
        <f>VLOOKUP(E736,sheet1!$B$2:$D$3209,3,FALSE)</f>
        <v>488</v>
      </c>
      <c r="R736" s="47" t="s">
        <v>35</v>
      </c>
      <c r="S736" s="47" t="s">
        <v>35</v>
      </c>
      <c r="T736" s="47"/>
      <c r="U736" s="47" t="s">
        <v>35</v>
      </c>
      <c r="V736" s="47" t="s">
        <v>35</v>
      </c>
      <c r="W736" s="47" t="s">
        <v>296</v>
      </c>
      <c r="X736" s="47" t="s">
        <v>296</v>
      </c>
      <c r="Y736" s="47"/>
      <c r="Z736" s="47" t="s">
        <v>296</v>
      </c>
      <c r="AA736" s="47" t="s">
        <v>296</v>
      </c>
      <c r="AB736" s="47"/>
      <c r="AC736" s="47" t="s">
        <v>35</v>
      </c>
      <c r="AD736" s="75" t="str">
        <f>VLOOKUP(E747,sheet1!$B$2:$C$3209,2,FALSE)</f>
        <v>業務別売上振替金額合計表～印刷</v>
      </c>
      <c r="AE736" s="49"/>
      <c r="AF736" s="51" t="s">
        <v>2866</v>
      </c>
      <c r="AG736" s="51" t="s">
        <v>2867</v>
      </c>
      <c r="AH736" s="49" t="str">
        <f t="shared" si="53"/>
        <v>業務別売上金額合計表</v>
      </c>
      <c r="AI736" s="49"/>
      <c r="AJ736" s="49"/>
      <c r="AK736" s="49"/>
      <c r="AL736" s="49"/>
      <c r="AM736" s="49"/>
      <c r="AN736" s="49"/>
      <c r="AO736" s="51" t="str">
        <f t="shared" si="49"/>
        <v>定型振替伝票入力</v>
      </c>
      <c r="AP736" s="51" t="str">
        <f t="shared" si="50"/>
        <v>ZM3050</v>
      </c>
      <c r="AQ736" s="49" t="s">
        <v>2829</v>
      </c>
      <c r="AR736" s="49" t="s">
        <v>2818</v>
      </c>
      <c r="AS736" s="49" t="str">
        <f t="shared" si="51"/>
        <v>定型振替伝票入力</v>
      </c>
      <c r="AT736" s="49" t="str">
        <f t="shared" si="52"/>
        <v/>
      </c>
      <c r="AU736" s="51" t="s">
        <v>2868</v>
      </c>
      <c r="AV736" s="51"/>
    </row>
    <row r="737" spans="1:48" ht="18" customHeight="1">
      <c r="A737" s="44">
        <v>735</v>
      </c>
      <c r="B737" s="52" t="s">
        <v>2702</v>
      </c>
      <c r="C737" s="80" t="s">
        <v>2815</v>
      </c>
      <c r="D737" s="46" t="s">
        <v>116</v>
      </c>
      <c r="E737" s="44" t="s">
        <v>2818</v>
      </c>
      <c r="F737" s="44" t="s">
        <v>2869</v>
      </c>
      <c r="G737" s="44"/>
      <c r="H737" s="44"/>
      <c r="I737" s="44"/>
      <c r="J737" s="47" t="s">
        <v>35</v>
      </c>
      <c r="K737" s="47"/>
      <c r="L737" s="47"/>
      <c r="M737" s="47"/>
      <c r="N737" s="47"/>
      <c r="O737" s="44"/>
      <c r="P737" s="44"/>
      <c r="Q737" s="48">
        <f>VLOOKUP(E737,sheet1!$B$2:$D$3209,3,FALSE)</f>
        <v>1156</v>
      </c>
      <c r="R737" s="47" t="s">
        <v>35</v>
      </c>
      <c r="S737" s="47" t="s">
        <v>35</v>
      </c>
      <c r="T737" s="47"/>
      <c r="U737" s="47" t="s">
        <v>35</v>
      </c>
      <c r="V737" s="47" t="s">
        <v>35</v>
      </c>
      <c r="W737" s="47" t="s">
        <v>35</v>
      </c>
      <c r="X737" s="47" t="s">
        <v>35</v>
      </c>
      <c r="Y737" s="47" t="s">
        <v>35</v>
      </c>
      <c r="Z737" s="47" t="s">
        <v>296</v>
      </c>
      <c r="AA737" s="47" t="s">
        <v>296</v>
      </c>
      <c r="AB737" s="47"/>
      <c r="AC737" s="47" t="s">
        <v>35</v>
      </c>
      <c r="AD737" s="75" t="str">
        <f>VLOOKUP(E748,sheet1!$B$2:$C$3209,2,FALSE)</f>
        <v>経理自動振替データ作成（仕入）～画面チェック</v>
      </c>
      <c r="AE737" s="49"/>
      <c r="AF737" s="50" t="s">
        <v>2870</v>
      </c>
      <c r="AG737" s="50" t="s">
        <v>2871</v>
      </c>
      <c r="AH737" s="49" t="str">
        <f t="shared" si="53"/>
        <v>仕入自動振替データ作成</v>
      </c>
      <c r="AI737" s="49"/>
      <c r="AJ737" s="49"/>
      <c r="AK737" s="49"/>
      <c r="AL737" s="49"/>
      <c r="AM737" s="49"/>
      <c r="AN737" s="49"/>
      <c r="AO737" s="51" t="str">
        <f t="shared" si="49"/>
        <v>固定定型振替伝票リスト</v>
      </c>
      <c r="AP737" s="51" t="str">
        <f t="shared" si="50"/>
        <v>ZM5060</v>
      </c>
      <c r="AQ737" s="49" t="s">
        <v>2831</v>
      </c>
      <c r="AR737" s="49" t="s">
        <v>2832</v>
      </c>
      <c r="AS737" s="49" t="str">
        <f t="shared" si="51"/>
        <v>固定定型振替伝票リスト</v>
      </c>
      <c r="AT737" s="49" t="str">
        <f t="shared" si="52"/>
        <v/>
      </c>
      <c r="AU737" s="51" t="s">
        <v>2872</v>
      </c>
      <c r="AV737" s="51"/>
    </row>
    <row r="738" spans="1:48" ht="18" customHeight="1">
      <c r="A738" s="44">
        <v>736</v>
      </c>
      <c r="B738" s="52" t="s">
        <v>2702</v>
      </c>
      <c r="C738" s="80" t="s">
        <v>2815</v>
      </c>
      <c r="D738" s="46" t="s">
        <v>116</v>
      </c>
      <c r="E738" s="44" t="s">
        <v>2832</v>
      </c>
      <c r="F738" s="44" t="s">
        <v>2873</v>
      </c>
      <c r="G738" s="44"/>
      <c r="H738" s="44"/>
      <c r="I738" s="44"/>
      <c r="J738" s="47" t="s">
        <v>35</v>
      </c>
      <c r="K738" s="47"/>
      <c r="L738" s="47"/>
      <c r="M738" s="47"/>
      <c r="N738" s="47"/>
      <c r="O738" s="44"/>
      <c r="P738" s="44"/>
      <c r="Q738" s="48">
        <f>VLOOKUP(E738,sheet1!$B$2:$D$3209,3,FALSE)</f>
        <v>761</v>
      </c>
      <c r="R738" s="47" t="s">
        <v>35</v>
      </c>
      <c r="S738" s="47" t="s">
        <v>35</v>
      </c>
      <c r="T738" s="47"/>
      <c r="U738" s="47" t="s">
        <v>35</v>
      </c>
      <c r="V738" s="47" t="s">
        <v>35</v>
      </c>
      <c r="W738" s="47" t="s">
        <v>35</v>
      </c>
      <c r="X738" s="47" t="s">
        <v>35</v>
      </c>
      <c r="Y738" s="47" t="s">
        <v>35</v>
      </c>
      <c r="Z738" s="47" t="s">
        <v>296</v>
      </c>
      <c r="AA738" s="47" t="s">
        <v>296</v>
      </c>
      <c r="AB738" s="47"/>
      <c r="AC738" s="47" t="s">
        <v>35</v>
      </c>
      <c r="AD738" s="75" t="str">
        <f>VLOOKUP(E749,sheet1!$B$2:$C$3209,2,FALSE)</f>
        <v>科目別仕入金額部課別一覧～画面チェック</v>
      </c>
      <c r="AE738" s="49"/>
      <c r="AF738" s="50" t="s">
        <v>2874</v>
      </c>
      <c r="AG738" s="50" t="s">
        <v>2504</v>
      </c>
      <c r="AH738" s="49" t="str">
        <f t="shared" si="53"/>
        <v>科目別仕入金額部課別一覧</v>
      </c>
      <c r="AI738" s="49"/>
      <c r="AJ738" s="49"/>
      <c r="AK738" s="49"/>
      <c r="AL738" s="49"/>
      <c r="AM738" s="49"/>
      <c r="AN738" s="49"/>
      <c r="AO738" s="51" t="str">
        <f t="shared" si="49"/>
        <v>固定定型振替申請No.振替No.照会</v>
      </c>
      <c r="AP738" s="51" t="str">
        <f t="shared" si="50"/>
        <v>ZM2020</v>
      </c>
      <c r="AQ738" s="49" t="s">
        <v>2875</v>
      </c>
      <c r="AR738" s="49" t="s">
        <v>2835</v>
      </c>
      <c r="AS738" s="49" t="str">
        <f t="shared" si="51"/>
        <v>固定定型振替申請No.振替No.照会</v>
      </c>
      <c r="AT738" s="49" t="str">
        <f t="shared" si="52"/>
        <v/>
      </c>
      <c r="AU738" s="51" t="s">
        <v>2876</v>
      </c>
      <c r="AV738" s="51"/>
    </row>
    <row r="739" spans="1:48" ht="18" customHeight="1">
      <c r="A739" s="44">
        <v>737</v>
      </c>
      <c r="B739" s="52" t="s">
        <v>2702</v>
      </c>
      <c r="C739" s="80" t="s">
        <v>2815</v>
      </c>
      <c r="D739" s="46" t="s">
        <v>116</v>
      </c>
      <c r="E739" s="44" t="s">
        <v>2835</v>
      </c>
      <c r="F739" s="44" t="s">
        <v>2836</v>
      </c>
      <c r="G739" s="44"/>
      <c r="H739" s="44"/>
      <c r="I739" s="44"/>
      <c r="J739" s="47" t="s">
        <v>35</v>
      </c>
      <c r="K739" s="47"/>
      <c r="L739" s="47"/>
      <c r="M739" s="47"/>
      <c r="N739" s="47"/>
      <c r="O739" s="44"/>
      <c r="P739" s="44"/>
      <c r="Q739" s="48">
        <f>VLOOKUP(E739,sheet1!$B$2:$D$3209,3,FALSE)</f>
        <v>482</v>
      </c>
      <c r="R739" s="47" t="s">
        <v>35</v>
      </c>
      <c r="S739" s="47" t="s">
        <v>35</v>
      </c>
      <c r="T739" s="47"/>
      <c r="U739" s="47" t="s">
        <v>35</v>
      </c>
      <c r="V739" s="47" t="s">
        <v>35</v>
      </c>
      <c r="W739" s="47" t="s">
        <v>35</v>
      </c>
      <c r="X739" s="47" t="s">
        <v>35</v>
      </c>
      <c r="Y739" s="47" t="s">
        <v>35</v>
      </c>
      <c r="Z739" s="47" t="s">
        <v>296</v>
      </c>
      <c r="AA739" s="47" t="s">
        <v>296</v>
      </c>
      <c r="AB739" s="47"/>
      <c r="AC739" s="47" t="s">
        <v>35</v>
      </c>
      <c r="AD739" s="75" t="str">
        <f>VLOOKUP(E750,sheet1!$B$2:$C$3209,2,FALSE)</f>
        <v>業務別振替　経理振替業務月度完了処理（仕入）　</v>
      </c>
      <c r="AE739" s="49"/>
      <c r="AF739" s="50" t="s">
        <v>2877</v>
      </c>
      <c r="AG739" s="50" t="s">
        <v>2878</v>
      </c>
      <c r="AH739" s="49" t="str">
        <f t="shared" si="53"/>
        <v>仕入振替業務月度完了処理</v>
      </c>
      <c r="AI739" s="49"/>
      <c r="AJ739" s="49"/>
      <c r="AK739" s="49"/>
      <c r="AL739" s="49"/>
      <c r="AM739" s="49"/>
      <c r="AN739" s="49"/>
      <c r="AO739" s="51" t="str">
        <f t="shared" si="49"/>
        <v>振替申請No.・振替No.照会</v>
      </c>
      <c r="AP739" s="51" t="str">
        <f t="shared" si="50"/>
        <v>ZM2010</v>
      </c>
      <c r="AQ739" s="49" t="s">
        <v>2879</v>
      </c>
      <c r="AR739" s="49" t="s">
        <v>2839</v>
      </c>
      <c r="AS739" s="49" t="str">
        <f t="shared" si="51"/>
        <v>振替申請No.・振替No.照会</v>
      </c>
      <c r="AT739" s="49" t="str">
        <f t="shared" si="52"/>
        <v/>
      </c>
      <c r="AU739" s="51" t="s">
        <v>2880</v>
      </c>
      <c r="AV739" s="51"/>
    </row>
    <row r="740" spans="1:48" ht="18" customHeight="1">
      <c r="A740" s="44">
        <v>738</v>
      </c>
      <c r="B740" s="52" t="s">
        <v>2702</v>
      </c>
      <c r="C740" s="80" t="s">
        <v>2815</v>
      </c>
      <c r="D740" s="46" t="s">
        <v>116</v>
      </c>
      <c r="E740" s="44" t="s">
        <v>2839</v>
      </c>
      <c r="F740" s="44" t="s">
        <v>2840</v>
      </c>
      <c r="G740" s="44"/>
      <c r="H740" s="44"/>
      <c r="I740" s="44"/>
      <c r="J740" s="47" t="s">
        <v>35</v>
      </c>
      <c r="K740" s="47"/>
      <c r="L740" s="47"/>
      <c r="M740" s="47"/>
      <c r="N740" s="47"/>
      <c r="O740" s="44"/>
      <c r="P740" s="44"/>
      <c r="Q740" s="48">
        <f>VLOOKUP(E740,sheet1!$B$2:$D$3209,3,FALSE)</f>
        <v>878</v>
      </c>
      <c r="R740" s="47" t="s">
        <v>35</v>
      </c>
      <c r="S740" s="47" t="s">
        <v>35</v>
      </c>
      <c r="T740" s="47"/>
      <c r="U740" s="47" t="s">
        <v>35</v>
      </c>
      <c r="V740" s="47" t="s">
        <v>35</v>
      </c>
      <c r="W740" s="47" t="s">
        <v>35</v>
      </c>
      <c r="X740" s="47" t="s">
        <v>296</v>
      </c>
      <c r="Y740" s="47" t="s">
        <v>35</v>
      </c>
      <c r="Z740" s="47" t="s">
        <v>35</v>
      </c>
      <c r="AA740" s="47" t="s">
        <v>296</v>
      </c>
      <c r="AB740" s="47"/>
      <c r="AC740" s="47" t="s">
        <v>35</v>
      </c>
      <c r="AD740" s="75" t="str">
        <f>VLOOKUP(E751,sheet1!$B$2:$C$3209,2,FALSE)</f>
        <v>データ転送（１）自動振替ﾌｧｲﾙ／仕入　＜経理＞</v>
      </c>
      <c r="AE740" s="49"/>
      <c r="AF740" s="50" t="s">
        <v>2881</v>
      </c>
      <c r="AG740" s="50" t="s">
        <v>2882</v>
      </c>
      <c r="AH740" s="49" t="str">
        <f t="shared" si="53"/>
        <v>自動仕訳データ転送（仕入）</v>
      </c>
      <c r="AI740" s="49"/>
      <c r="AJ740" s="49"/>
      <c r="AK740" s="49"/>
      <c r="AL740" s="49"/>
      <c r="AM740" s="49"/>
      <c r="AN740" s="49"/>
      <c r="AO740" s="51" t="str">
        <f t="shared" si="49"/>
        <v>雛型・振替伝票リスト</v>
      </c>
      <c r="AP740" s="51" t="str">
        <f t="shared" si="50"/>
        <v>ZM5070</v>
      </c>
      <c r="AQ740" s="49" t="s">
        <v>2843</v>
      </c>
      <c r="AR740" s="49" t="s">
        <v>2844</v>
      </c>
      <c r="AS740" s="49" t="str">
        <f t="shared" si="51"/>
        <v>雛型・振替伝票リスト</v>
      </c>
      <c r="AT740" s="49" t="str">
        <f t="shared" si="52"/>
        <v/>
      </c>
      <c r="AU740" s="51" t="s">
        <v>2843</v>
      </c>
    </row>
    <row r="741" spans="1:48" ht="18" customHeight="1">
      <c r="A741" s="44">
        <v>739</v>
      </c>
      <c r="B741" s="52" t="s">
        <v>2702</v>
      </c>
      <c r="C741" s="80" t="s">
        <v>2815</v>
      </c>
      <c r="D741" s="46" t="s">
        <v>116</v>
      </c>
      <c r="E741" s="44" t="s">
        <v>2844</v>
      </c>
      <c r="F741" s="44" t="s">
        <v>2883</v>
      </c>
      <c r="G741" s="44"/>
      <c r="H741" s="44"/>
      <c r="I741" s="44"/>
      <c r="J741" s="47" t="s">
        <v>35</v>
      </c>
      <c r="K741" s="47"/>
      <c r="L741" s="47"/>
      <c r="M741" s="47"/>
      <c r="N741" s="47"/>
      <c r="O741" s="44"/>
      <c r="P741" s="44"/>
      <c r="Q741" s="48">
        <f>VLOOKUP(E741,sheet1!$B$2:$D$3209,3,FALSE)</f>
        <v>717</v>
      </c>
      <c r="R741" s="47" t="s">
        <v>35</v>
      </c>
      <c r="S741" s="47" t="s">
        <v>35</v>
      </c>
      <c r="T741" s="47"/>
      <c r="U741" s="47" t="s">
        <v>35</v>
      </c>
      <c r="V741" s="47" t="s">
        <v>35</v>
      </c>
      <c r="W741" s="47" t="s">
        <v>35</v>
      </c>
      <c r="X741" s="47" t="s">
        <v>296</v>
      </c>
      <c r="Y741" s="47" t="s">
        <v>35</v>
      </c>
      <c r="Z741" s="47" t="s">
        <v>35</v>
      </c>
      <c r="AA741" s="47" t="s">
        <v>296</v>
      </c>
      <c r="AB741" s="47"/>
      <c r="AC741" s="47" t="s">
        <v>35</v>
      </c>
      <c r="AD741" s="75" t="str">
        <f>VLOOKUP(E752,sheet1!$B$2:$C$3209,2,FALSE)</f>
        <v>仕入自動仕訳データ振替伝票作成（発行）</v>
      </c>
      <c r="AE741" s="49"/>
      <c r="AF741" s="50" t="s">
        <v>2862</v>
      </c>
      <c r="AG741" s="50" t="s">
        <v>2884</v>
      </c>
      <c r="AH741" s="49" t="str">
        <f t="shared" si="53"/>
        <v>自動仕訳データ伝票発行</v>
      </c>
      <c r="AI741" s="49"/>
      <c r="AJ741" s="49"/>
      <c r="AK741" s="49"/>
      <c r="AL741" s="49"/>
      <c r="AM741" s="49"/>
      <c r="AN741" s="49"/>
      <c r="AO741" s="51" t="str">
        <f t="shared" si="49"/>
        <v>売上自動振替データ作成</v>
      </c>
      <c r="AP741" s="51" t="str">
        <f t="shared" si="50"/>
        <v>MM6000</v>
      </c>
      <c r="AQ741" s="51" t="s">
        <v>2847</v>
      </c>
      <c r="AR741" s="51" t="s">
        <v>2848</v>
      </c>
      <c r="AS741" s="49" t="str">
        <f t="shared" si="51"/>
        <v/>
      </c>
      <c r="AT741" s="49" t="str">
        <f t="shared" si="52"/>
        <v/>
      </c>
      <c r="AU741" s="49"/>
      <c r="AV741" s="49"/>
    </row>
    <row r="742" spans="1:48" ht="18" customHeight="1">
      <c r="A742" s="44">
        <v>740</v>
      </c>
      <c r="B742" s="52" t="s">
        <v>2702</v>
      </c>
      <c r="C742" s="75" t="s">
        <v>2885</v>
      </c>
      <c r="D742" s="53" t="s">
        <v>2886</v>
      </c>
      <c r="E742" s="44" t="s">
        <v>2848</v>
      </c>
      <c r="F742" s="44" t="s">
        <v>2887</v>
      </c>
      <c r="G742" s="44"/>
      <c r="H742" s="44"/>
      <c r="I742" s="44"/>
      <c r="J742" s="47" t="s">
        <v>35</v>
      </c>
      <c r="K742" s="47"/>
      <c r="L742" s="47"/>
      <c r="M742" s="47"/>
      <c r="N742" s="47"/>
      <c r="O742" s="44"/>
      <c r="P742" s="44"/>
      <c r="Q742" s="48">
        <f>VLOOKUP(E742,sheet1!$B$2:$D$3209,3,FALSE)</f>
        <v>216</v>
      </c>
      <c r="R742" s="47" t="s">
        <v>35</v>
      </c>
      <c r="S742" s="47" t="s">
        <v>35</v>
      </c>
      <c r="T742" s="47"/>
      <c r="U742" s="47" t="s">
        <v>296</v>
      </c>
      <c r="V742" s="47" t="s">
        <v>296</v>
      </c>
      <c r="W742" s="47" t="s">
        <v>296</v>
      </c>
      <c r="X742" s="47" t="s">
        <v>296</v>
      </c>
      <c r="Y742" s="47"/>
      <c r="Z742" s="47" t="s">
        <v>296</v>
      </c>
      <c r="AA742" s="47" t="s">
        <v>296</v>
      </c>
      <c r="AB742" s="47"/>
      <c r="AC742" s="47" t="s">
        <v>35</v>
      </c>
      <c r="AD742" s="75" t="str">
        <f>VLOOKUP(E753,sheet1!$B$2:$C$3209,2,FALSE)</f>
        <v>３部門別仕入金額合計表～画面チェック</v>
      </c>
      <c r="AE742" s="49"/>
      <c r="AF742" s="50" t="s">
        <v>2888</v>
      </c>
      <c r="AG742" s="50" t="s">
        <v>2889</v>
      </c>
      <c r="AH742" s="49" t="str">
        <f t="shared" si="53"/>
        <v>３部門別仕入振替金額合計表</v>
      </c>
      <c r="AI742" s="49"/>
      <c r="AJ742" s="49"/>
      <c r="AK742" s="49"/>
      <c r="AL742" s="49"/>
      <c r="AM742" s="49"/>
      <c r="AN742" s="49"/>
      <c r="AO742" s="51" t="str">
        <f t="shared" si="49"/>
        <v>業務別売上金額部課別一覧</v>
      </c>
      <c r="AP742" s="51" t="str">
        <f t="shared" si="50"/>
        <v>AC9021</v>
      </c>
      <c r="AQ742" s="51" t="s">
        <v>2851</v>
      </c>
      <c r="AR742" s="51" t="s">
        <v>2852</v>
      </c>
      <c r="AS742" s="49" t="str">
        <f t="shared" si="51"/>
        <v/>
      </c>
      <c r="AT742" s="49" t="str">
        <f t="shared" si="52"/>
        <v/>
      </c>
      <c r="AU742" s="49"/>
      <c r="AV742" s="49"/>
    </row>
    <row r="743" spans="1:48" ht="18" customHeight="1">
      <c r="A743" s="44">
        <v>741</v>
      </c>
      <c r="B743" s="52" t="s">
        <v>2702</v>
      </c>
      <c r="C743" s="80" t="s">
        <v>2885</v>
      </c>
      <c r="D743" s="54" t="s">
        <v>2886</v>
      </c>
      <c r="E743" s="44" t="s">
        <v>2852</v>
      </c>
      <c r="F743" s="44" t="s">
        <v>2890</v>
      </c>
      <c r="G743" s="44"/>
      <c r="H743" s="44"/>
      <c r="I743" s="44"/>
      <c r="J743" s="47" t="s">
        <v>35</v>
      </c>
      <c r="K743" s="47"/>
      <c r="L743" s="47"/>
      <c r="M743" s="47"/>
      <c r="N743" s="47"/>
      <c r="O743" s="44"/>
      <c r="P743" s="44"/>
      <c r="Q743" s="48">
        <f>VLOOKUP(E743,sheet1!$B$2:$D$3209,3,FALSE)</f>
        <v>146</v>
      </c>
      <c r="R743" s="47" t="s">
        <v>35</v>
      </c>
      <c r="S743" s="47" t="s">
        <v>35</v>
      </c>
      <c r="T743" s="47"/>
      <c r="U743" s="47" t="s">
        <v>296</v>
      </c>
      <c r="V743" s="47" t="s">
        <v>296</v>
      </c>
      <c r="W743" s="47" t="s">
        <v>296</v>
      </c>
      <c r="X743" s="47" t="s">
        <v>296</v>
      </c>
      <c r="Y743" s="47"/>
      <c r="Z743" s="47" t="s">
        <v>296</v>
      </c>
      <c r="AA743" s="47" t="s">
        <v>296</v>
      </c>
      <c r="AB743" s="47"/>
      <c r="AC743" s="47" t="s">
        <v>35</v>
      </c>
      <c r="AD743" s="75" t="str">
        <f>VLOOKUP(E754,sheet1!$B$2:$C$3209,2,FALSE)</f>
        <v>支払手形自動振替データ作成</v>
      </c>
      <c r="AE743" s="49"/>
      <c r="AF743" s="50" t="s">
        <v>2891</v>
      </c>
      <c r="AG743" s="50" t="s">
        <v>2892</v>
      </c>
      <c r="AH743" s="49" t="str">
        <f t="shared" si="53"/>
        <v>支払手形自動振替データ作成</v>
      </c>
      <c r="AI743" s="49"/>
      <c r="AJ743" s="49"/>
      <c r="AK743" s="49"/>
      <c r="AL743" s="49"/>
      <c r="AM743" s="49"/>
      <c r="AN743" s="49"/>
      <c r="AO743" s="51" t="str">
        <f t="shared" si="49"/>
        <v>売上振替業務月度完了処理</v>
      </c>
      <c r="AP743" s="51" t="str">
        <f t="shared" si="50"/>
        <v>AC9014</v>
      </c>
      <c r="AQ743" s="51" t="s">
        <v>2855</v>
      </c>
      <c r="AR743" s="51" t="s">
        <v>2856</v>
      </c>
      <c r="AS743" s="49" t="str">
        <f t="shared" si="51"/>
        <v/>
      </c>
      <c r="AT743" s="49" t="str">
        <f t="shared" si="52"/>
        <v/>
      </c>
      <c r="AU743" s="49"/>
      <c r="AV743" s="49"/>
    </row>
    <row r="744" spans="1:48" ht="18" customHeight="1">
      <c r="A744" s="44">
        <v>742</v>
      </c>
      <c r="B744" s="52" t="s">
        <v>2702</v>
      </c>
      <c r="C744" s="80" t="s">
        <v>2885</v>
      </c>
      <c r="D744" s="54" t="s">
        <v>2886</v>
      </c>
      <c r="E744" s="44" t="s">
        <v>2856</v>
      </c>
      <c r="F744" s="44" t="s">
        <v>2893</v>
      </c>
      <c r="G744" s="44"/>
      <c r="H744" s="44"/>
      <c r="I744" s="44"/>
      <c r="J744" s="47" t="s">
        <v>35</v>
      </c>
      <c r="K744" s="47"/>
      <c r="L744" s="47"/>
      <c r="M744" s="47"/>
      <c r="N744" s="47"/>
      <c r="O744" s="44"/>
      <c r="P744" s="44"/>
      <c r="Q744" s="48">
        <f>VLOOKUP(E744,sheet1!$B$2:$D$3209,3,FALSE)</f>
        <v>144</v>
      </c>
      <c r="R744" s="47" t="s">
        <v>35</v>
      </c>
      <c r="S744" s="47" t="s">
        <v>35</v>
      </c>
      <c r="T744" s="47"/>
      <c r="U744" s="47" t="s">
        <v>296</v>
      </c>
      <c r="V744" s="47" t="s">
        <v>296</v>
      </c>
      <c r="W744" s="47" t="s">
        <v>296</v>
      </c>
      <c r="X744" s="47" t="s">
        <v>296</v>
      </c>
      <c r="Y744" s="47"/>
      <c r="Z744" s="47" t="s">
        <v>296</v>
      </c>
      <c r="AA744" s="47" t="s">
        <v>296</v>
      </c>
      <c r="AB744" s="47"/>
      <c r="AC744" s="47" t="s">
        <v>35</v>
      </c>
      <c r="AD744" s="75" t="str">
        <f>VLOOKUP(E755,sheet1!$B$2:$C$3209,2,FALSE)</f>
        <v>支払手形振替データ一覧</v>
      </c>
      <c r="AE744" s="49"/>
      <c r="AF744" s="50" t="s">
        <v>2894</v>
      </c>
      <c r="AG744" s="50" t="s">
        <v>2895</v>
      </c>
      <c r="AH744" s="49" t="str">
        <f t="shared" si="53"/>
        <v>支払手形自動振替データ一覧</v>
      </c>
      <c r="AI744" s="49"/>
      <c r="AJ744" s="49"/>
      <c r="AK744" s="49"/>
      <c r="AL744" s="49"/>
      <c r="AM744" s="49"/>
      <c r="AN744" s="49"/>
      <c r="AO744" s="51" t="str">
        <f t="shared" si="49"/>
        <v>自動仕訳データ転送（売上</v>
      </c>
      <c r="AP744" s="51" t="str">
        <f t="shared" si="50"/>
        <v>AC7013</v>
      </c>
      <c r="AQ744" s="51" t="s">
        <v>2858</v>
      </c>
      <c r="AR744" s="51" t="s">
        <v>2859</v>
      </c>
      <c r="AS744" s="49" t="str">
        <f t="shared" si="51"/>
        <v/>
      </c>
      <c r="AT744" s="49" t="str">
        <f t="shared" si="52"/>
        <v/>
      </c>
      <c r="AU744" s="49"/>
      <c r="AV744" s="49"/>
    </row>
    <row r="745" spans="1:48" ht="18" customHeight="1">
      <c r="A745" s="44">
        <v>743</v>
      </c>
      <c r="B745" s="52" t="s">
        <v>2702</v>
      </c>
      <c r="C745" s="80" t="s">
        <v>2885</v>
      </c>
      <c r="D745" s="54" t="s">
        <v>2886</v>
      </c>
      <c r="E745" s="44" t="s">
        <v>2859</v>
      </c>
      <c r="F745" s="44" t="s">
        <v>2896</v>
      </c>
      <c r="G745" s="44"/>
      <c r="H745" s="44"/>
      <c r="I745" s="44"/>
      <c r="J745" s="47" t="s">
        <v>35</v>
      </c>
      <c r="K745" s="47"/>
      <c r="L745" s="47"/>
      <c r="M745" s="47"/>
      <c r="N745" s="47"/>
      <c r="O745" s="44"/>
      <c r="P745" s="44"/>
      <c r="Q745" s="48">
        <f>VLOOKUP(E745,sheet1!$B$2:$D$3209,3,FALSE)</f>
        <v>414</v>
      </c>
      <c r="R745" s="47" t="s">
        <v>35</v>
      </c>
      <c r="S745" s="47" t="s">
        <v>35</v>
      </c>
      <c r="T745" s="47"/>
      <c r="U745" s="47" t="s">
        <v>296</v>
      </c>
      <c r="V745" s="47" t="s">
        <v>296</v>
      </c>
      <c r="W745" s="47" t="s">
        <v>296</v>
      </c>
      <c r="X745" s="47" t="s">
        <v>296</v>
      </c>
      <c r="Y745" s="47"/>
      <c r="Z745" s="47" t="s">
        <v>296</v>
      </c>
      <c r="AA745" s="47" t="s">
        <v>296</v>
      </c>
      <c r="AB745" s="47"/>
      <c r="AC745" s="47" t="s">
        <v>35</v>
      </c>
      <c r="AD745" s="75" t="str">
        <f>VLOOKUP(E756,sheet1!$B$2:$C$3209,2,FALSE)</f>
        <v>データ転送（１）自動振替ﾌｧｲﾙ／支払手形</v>
      </c>
      <c r="AE745" s="49"/>
      <c r="AF745" s="50" t="s">
        <v>2897</v>
      </c>
      <c r="AG745" s="50" t="s">
        <v>2898</v>
      </c>
      <c r="AH745" s="49" t="str">
        <f t="shared" si="53"/>
        <v>自動仕訳データ転送（支手）</v>
      </c>
      <c r="AI745" s="49"/>
      <c r="AJ745" s="49"/>
      <c r="AK745" s="49"/>
      <c r="AL745" s="49"/>
      <c r="AM745" s="49"/>
      <c r="AN745" s="49"/>
      <c r="AO745" s="51" t="str">
        <f t="shared" si="49"/>
        <v>自動仕訳データ伝票発行</v>
      </c>
      <c r="AP745" s="51" t="str">
        <f t="shared" si="50"/>
        <v>AC1951</v>
      </c>
      <c r="AQ745" s="51" t="s">
        <v>2862</v>
      </c>
      <c r="AR745" s="51" t="s">
        <v>2863</v>
      </c>
      <c r="AS745" s="49" t="str">
        <f t="shared" si="51"/>
        <v/>
      </c>
      <c r="AT745" s="49" t="str">
        <f t="shared" si="52"/>
        <v/>
      </c>
      <c r="AU745" s="49"/>
      <c r="AV745" s="49"/>
    </row>
    <row r="746" spans="1:48" ht="18" customHeight="1">
      <c r="A746" s="44">
        <v>744</v>
      </c>
      <c r="B746" s="52" t="s">
        <v>2702</v>
      </c>
      <c r="C746" s="80" t="s">
        <v>2885</v>
      </c>
      <c r="D746" s="54" t="s">
        <v>2886</v>
      </c>
      <c r="E746" s="44" t="s">
        <v>2863</v>
      </c>
      <c r="F746" s="44" t="s">
        <v>2899</v>
      </c>
      <c r="G746" s="44"/>
      <c r="H746" s="44"/>
      <c r="I746" s="44"/>
      <c r="J746" s="47" t="s">
        <v>35</v>
      </c>
      <c r="K746" s="47"/>
      <c r="L746" s="47"/>
      <c r="M746" s="47"/>
      <c r="N746" s="47"/>
      <c r="O746" s="44"/>
      <c r="P746" s="44"/>
      <c r="Q746" s="48">
        <f>VLOOKUP(E746,sheet1!$B$2:$D$3209,3,FALSE)</f>
        <v>674</v>
      </c>
      <c r="R746" s="47" t="s">
        <v>35</v>
      </c>
      <c r="S746" s="47" t="s">
        <v>35</v>
      </c>
      <c r="T746" s="47"/>
      <c r="U746" s="47" t="s">
        <v>296</v>
      </c>
      <c r="V746" s="47" t="s">
        <v>296</v>
      </c>
      <c r="W746" s="47" t="s">
        <v>296</v>
      </c>
      <c r="X746" s="47" t="s">
        <v>296</v>
      </c>
      <c r="Y746" s="47"/>
      <c r="Z746" s="47" t="s">
        <v>296</v>
      </c>
      <c r="AA746" s="47" t="s">
        <v>296</v>
      </c>
      <c r="AB746" s="47"/>
      <c r="AC746" s="47" t="s">
        <v>35</v>
      </c>
      <c r="AD746" s="75" t="str">
        <f>VLOOKUP(E757,sheet1!$B$2:$C$3209,2,FALSE)</f>
        <v>支払手形自動仕訳データ振替伝票作成（発行）</v>
      </c>
      <c r="AE746" s="49"/>
      <c r="AF746" s="50" t="s">
        <v>2862</v>
      </c>
      <c r="AG746" s="50" t="s">
        <v>2900</v>
      </c>
      <c r="AH746" s="49" t="str">
        <f t="shared" si="53"/>
        <v>自動仕訳データ伝票発行</v>
      </c>
      <c r="AI746" s="49"/>
      <c r="AJ746" s="49"/>
      <c r="AK746" s="49"/>
      <c r="AL746" s="49"/>
      <c r="AM746" s="49"/>
      <c r="AN746" s="49"/>
      <c r="AO746" s="51" t="str">
        <f t="shared" si="49"/>
        <v>業務別売上金額合計表</v>
      </c>
      <c r="AP746" s="51" t="str">
        <f t="shared" si="50"/>
        <v>AC7018</v>
      </c>
      <c r="AQ746" s="51" t="s">
        <v>2866</v>
      </c>
      <c r="AR746" s="51" t="s">
        <v>2867</v>
      </c>
      <c r="AS746" s="49" t="str">
        <f t="shared" si="51"/>
        <v/>
      </c>
      <c r="AT746" s="49" t="str">
        <f t="shared" si="52"/>
        <v/>
      </c>
      <c r="AU746" s="49"/>
      <c r="AV746" s="49"/>
    </row>
    <row r="747" spans="1:48" ht="18" customHeight="1">
      <c r="A747" s="44">
        <v>745</v>
      </c>
      <c r="B747" s="52" t="s">
        <v>2702</v>
      </c>
      <c r="C747" s="80" t="s">
        <v>2885</v>
      </c>
      <c r="D747" s="77" t="s">
        <v>2886</v>
      </c>
      <c r="E747" s="44" t="s">
        <v>2867</v>
      </c>
      <c r="F747" s="44" t="s">
        <v>2901</v>
      </c>
      <c r="G747" s="44"/>
      <c r="H747" s="44"/>
      <c r="I747" s="44"/>
      <c r="J747" s="47" t="s">
        <v>35</v>
      </c>
      <c r="K747" s="47"/>
      <c r="L747" s="47"/>
      <c r="M747" s="47"/>
      <c r="N747" s="47"/>
      <c r="O747" s="44"/>
      <c r="P747" s="44"/>
      <c r="Q747" s="48">
        <f>VLOOKUP(E747,sheet1!$B$2:$D$3209,3,FALSE)</f>
        <v>547</v>
      </c>
      <c r="R747" s="47" t="s">
        <v>35</v>
      </c>
      <c r="S747" s="47" t="s">
        <v>35</v>
      </c>
      <c r="T747" s="47"/>
      <c r="U747" s="47" t="s">
        <v>296</v>
      </c>
      <c r="V747" s="47" t="s">
        <v>296</v>
      </c>
      <c r="W747" s="47" t="s">
        <v>296</v>
      </c>
      <c r="X747" s="47" t="s">
        <v>296</v>
      </c>
      <c r="Y747" s="47"/>
      <c r="Z747" s="47" t="s">
        <v>296</v>
      </c>
      <c r="AA747" s="47" t="s">
        <v>296</v>
      </c>
      <c r="AB747" s="47"/>
      <c r="AC747" s="47" t="s">
        <v>35</v>
      </c>
      <c r="AD747" s="75" t="str">
        <f>VLOOKUP(E758,sheet1!$B$2:$C$3209,2,FALSE)</f>
        <v>自動振替データ作成（経理業務～項目選択JCM対応</v>
      </c>
      <c r="AE747" s="49"/>
      <c r="AF747" s="56" t="s">
        <v>2902</v>
      </c>
      <c r="AG747" s="56" t="s">
        <v>2903</v>
      </c>
      <c r="AH747" s="49" t="str">
        <f t="shared" si="53"/>
        <v>経費自動振替データ作成</v>
      </c>
      <c r="AI747" s="49"/>
      <c r="AJ747" s="49"/>
      <c r="AK747" s="49"/>
      <c r="AL747" s="49"/>
      <c r="AM747" s="49"/>
      <c r="AN747" s="49"/>
      <c r="AO747" s="51" t="str">
        <f t="shared" si="49"/>
        <v>仕入自動振替データ作成</v>
      </c>
      <c r="AP747" s="51" t="str">
        <f t="shared" si="50"/>
        <v>AC9050</v>
      </c>
      <c r="AQ747" s="51" t="s">
        <v>2870</v>
      </c>
      <c r="AR747" s="51" t="s">
        <v>2871</v>
      </c>
      <c r="AS747" s="49" t="str">
        <f t="shared" si="51"/>
        <v/>
      </c>
      <c r="AT747" s="49" t="str">
        <f t="shared" si="52"/>
        <v/>
      </c>
      <c r="AU747" s="49"/>
      <c r="AV747" s="49"/>
    </row>
    <row r="748" spans="1:48" ht="18" customHeight="1">
      <c r="A748" s="44">
        <v>746</v>
      </c>
      <c r="B748" s="52" t="s">
        <v>2702</v>
      </c>
      <c r="C748" s="80" t="s">
        <v>2885</v>
      </c>
      <c r="D748" s="79" t="s">
        <v>2904</v>
      </c>
      <c r="E748" s="44" t="s">
        <v>2871</v>
      </c>
      <c r="F748" s="44" t="s">
        <v>2905</v>
      </c>
      <c r="G748" s="44"/>
      <c r="H748" s="44"/>
      <c r="I748" s="44"/>
      <c r="J748" s="47" t="s">
        <v>35</v>
      </c>
      <c r="K748" s="47"/>
      <c r="L748" s="47"/>
      <c r="M748" s="47"/>
      <c r="N748" s="47"/>
      <c r="O748" s="44"/>
      <c r="P748" s="44"/>
      <c r="Q748" s="48">
        <f>VLOOKUP(E748,sheet1!$B$2:$D$3209,3,FALSE)</f>
        <v>157</v>
      </c>
      <c r="R748" s="47" t="s">
        <v>35</v>
      </c>
      <c r="S748" s="47" t="s">
        <v>35</v>
      </c>
      <c r="T748" s="47"/>
      <c r="U748" s="47" t="s">
        <v>296</v>
      </c>
      <c r="V748" s="47" t="s">
        <v>296</v>
      </c>
      <c r="W748" s="47" t="s">
        <v>296</v>
      </c>
      <c r="X748" s="47" t="s">
        <v>296</v>
      </c>
      <c r="Y748" s="47"/>
      <c r="Z748" s="47" t="s">
        <v>296</v>
      </c>
      <c r="AA748" s="47" t="s">
        <v>296</v>
      </c>
      <c r="AB748" s="47"/>
      <c r="AC748" s="47" t="s">
        <v>35</v>
      </c>
      <c r="AD748" s="75" t="str">
        <f>VLOOKUP(E759,sheet1!$B$2:$C$3209,2,FALSE)</f>
        <v>振替データ一覧（出庫・ｻｰﾋﾞｽ出庫伝票）</v>
      </c>
      <c r="AE748" s="49"/>
      <c r="AF748" s="56" t="s">
        <v>2906</v>
      </c>
      <c r="AG748" s="56" t="s">
        <v>2907</v>
      </c>
      <c r="AH748" s="49" t="str">
        <f t="shared" si="53"/>
        <v>経費関係振替データ一覧</v>
      </c>
      <c r="AI748" s="49"/>
      <c r="AJ748" s="49"/>
      <c r="AK748" s="49"/>
      <c r="AL748" s="49"/>
      <c r="AM748" s="49"/>
      <c r="AN748" s="49"/>
      <c r="AO748" s="51" t="str">
        <f t="shared" si="49"/>
        <v>科目別仕入金額部課別一覧</v>
      </c>
      <c r="AP748" s="51" t="str">
        <f t="shared" si="50"/>
        <v>AC9061</v>
      </c>
      <c r="AQ748" s="51" t="s">
        <v>2874</v>
      </c>
      <c r="AR748" s="51" t="s">
        <v>2504</v>
      </c>
      <c r="AS748" s="49" t="str">
        <f t="shared" si="51"/>
        <v/>
      </c>
      <c r="AT748" s="49" t="str">
        <f t="shared" si="52"/>
        <v/>
      </c>
      <c r="AU748" s="49"/>
      <c r="AV748" s="49"/>
    </row>
    <row r="749" spans="1:48" ht="18" customHeight="1">
      <c r="A749" s="44">
        <v>747</v>
      </c>
      <c r="B749" s="52" t="s">
        <v>2702</v>
      </c>
      <c r="C749" s="80" t="s">
        <v>2885</v>
      </c>
      <c r="D749" s="54" t="s">
        <v>2904</v>
      </c>
      <c r="E749" s="44" t="s">
        <v>2504</v>
      </c>
      <c r="F749" s="44" t="s">
        <v>2544</v>
      </c>
      <c r="G749" s="44"/>
      <c r="H749" s="44"/>
      <c r="I749" s="44"/>
      <c r="J749" s="47" t="s">
        <v>35</v>
      </c>
      <c r="K749" s="47"/>
      <c r="L749" s="47"/>
      <c r="M749" s="47"/>
      <c r="N749" s="47"/>
      <c r="O749" s="44"/>
      <c r="P749" s="44"/>
      <c r="Q749" s="48">
        <f>VLOOKUP(E749,sheet1!$B$2:$D$3209,3,FALSE)</f>
        <v>130</v>
      </c>
      <c r="R749" s="47" t="s">
        <v>35</v>
      </c>
      <c r="S749" s="47" t="s">
        <v>35</v>
      </c>
      <c r="T749" s="47"/>
      <c r="U749" s="47" t="s">
        <v>296</v>
      </c>
      <c r="V749" s="47" t="s">
        <v>296</v>
      </c>
      <c r="W749" s="47" t="s">
        <v>296</v>
      </c>
      <c r="X749" s="47" t="s">
        <v>296</v>
      </c>
      <c r="Y749" s="47"/>
      <c r="Z749" s="47" t="s">
        <v>296</v>
      </c>
      <c r="AA749" s="47" t="s">
        <v>296</v>
      </c>
      <c r="AB749" s="47"/>
      <c r="AC749" s="47" t="s">
        <v>35</v>
      </c>
      <c r="AD749" s="75" t="str">
        <f>VLOOKUP(E760,sheet1!$B$2:$C$3209,2,FALSE)</f>
        <v>業務別振替　経理振替業務月度完了処理（出庫）　</v>
      </c>
      <c r="AE749" s="49"/>
      <c r="AF749" s="56" t="s">
        <v>2908</v>
      </c>
      <c r="AG749" s="56" t="s">
        <v>2909</v>
      </c>
      <c r="AH749" s="49" t="str">
        <f t="shared" si="53"/>
        <v>経費振替業務月度完了処理</v>
      </c>
      <c r="AI749" s="49"/>
      <c r="AJ749" s="49"/>
      <c r="AK749" s="49"/>
      <c r="AL749" s="49"/>
      <c r="AM749" s="49"/>
      <c r="AN749" s="49"/>
      <c r="AO749" s="51" t="str">
        <f t="shared" si="49"/>
        <v>仕入振替業務月度完了処理</v>
      </c>
      <c r="AP749" s="51" t="str">
        <f t="shared" si="50"/>
        <v>AC9054</v>
      </c>
      <c r="AQ749" s="51" t="s">
        <v>2877</v>
      </c>
      <c r="AR749" s="51" t="s">
        <v>2878</v>
      </c>
      <c r="AS749" s="49" t="str">
        <f t="shared" si="51"/>
        <v/>
      </c>
      <c r="AT749" s="49" t="str">
        <f t="shared" si="52"/>
        <v/>
      </c>
      <c r="AU749" s="49"/>
      <c r="AV749" s="49"/>
    </row>
    <row r="750" spans="1:48" ht="18" customHeight="1">
      <c r="A750" s="44">
        <v>748</v>
      </c>
      <c r="B750" s="52" t="s">
        <v>2702</v>
      </c>
      <c r="C750" s="80" t="s">
        <v>2885</v>
      </c>
      <c r="D750" s="54" t="s">
        <v>2904</v>
      </c>
      <c r="E750" s="44" t="s">
        <v>2878</v>
      </c>
      <c r="F750" s="44" t="s">
        <v>2910</v>
      </c>
      <c r="G750" s="44"/>
      <c r="H750" s="44"/>
      <c r="I750" s="44"/>
      <c r="J750" s="47" t="s">
        <v>35</v>
      </c>
      <c r="K750" s="47"/>
      <c r="L750" s="47"/>
      <c r="M750" s="47"/>
      <c r="N750" s="47"/>
      <c r="O750" s="44"/>
      <c r="P750" s="44"/>
      <c r="Q750" s="48">
        <f>VLOOKUP(E750,sheet1!$B$2:$D$3209,3,FALSE)</f>
        <v>144</v>
      </c>
      <c r="R750" s="47" t="s">
        <v>35</v>
      </c>
      <c r="S750" s="47" t="s">
        <v>35</v>
      </c>
      <c r="T750" s="47"/>
      <c r="U750" s="47" t="s">
        <v>296</v>
      </c>
      <c r="V750" s="47" t="s">
        <v>296</v>
      </c>
      <c r="W750" s="47" t="s">
        <v>296</v>
      </c>
      <c r="X750" s="47" t="s">
        <v>296</v>
      </c>
      <c r="Y750" s="47"/>
      <c r="Z750" s="47" t="s">
        <v>296</v>
      </c>
      <c r="AA750" s="47" t="s">
        <v>296</v>
      </c>
      <c r="AB750" s="47"/>
      <c r="AC750" s="47" t="s">
        <v>35</v>
      </c>
      <c r="AD750" s="75" t="str">
        <f>VLOOKUP(E761,sheet1!$B$2:$C$3209,2,FALSE)</f>
        <v>データ転送(1)自動振替ﾌｧｲﾙ／出庫･ｻｰﾋﾞｽ出庫</v>
      </c>
      <c r="AE750" s="49"/>
      <c r="AF750" s="56" t="s">
        <v>2911</v>
      </c>
      <c r="AG750" s="56" t="s">
        <v>2912</v>
      </c>
      <c r="AH750" s="49" t="str">
        <f t="shared" si="53"/>
        <v>自動仕訳データ転送（経費）</v>
      </c>
      <c r="AI750" s="49"/>
      <c r="AJ750" s="49"/>
      <c r="AK750" s="49"/>
      <c r="AL750" s="49"/>
      <c r="AM750" s="49"/>
      <c r="AN750" s="49"/>
      <c r="AO750" s="51" t="str">
        <f t="shared" si="49"/>
        <v>自動仕訳データ転送（仕入）</v>
      </c>
      <c r="AP750" s="51" t="str">
        <f t="shared" si="50"/>
        <v>AC7014</v>
      </c>
      <c r="AQ750" s="51" t="s">
        <v>2881</v>
      </c>
      <c r="AR750" s="51" t="s">
        <v>2882</v>
      </c>
      <c r="AS750" s="49" t="str">
        <f t="shared" si="51"/>
        <v/>
      </c>
      <c r="AT750" s="49" t="str">
        <f t="shared" si="52"/>
        <v/>
      </c>
      <c r="AU750" s="49"/>
      <c r="AV750" s="49"/>
    </row>
    <row r="751" spans="1:48" ht="18" customHeight="1">
      <c r="A751" s="44">
        <v>749</v>
      </c>
      <c r="B751" s="52" t="s">
        <v>2702</v>
      </c>
      <c r="C751" s="80" t="s">
        <v>2885</v>
      </c>
      <c r="D751" s="54" t="s">
        <v>2904</v>
      </c>
      <c r="E751" s="44" t="s">
        <v>2882</v>
      </c>
      <c r="F751" s="44" t="s">
        <v>2913</v>
      </c>
      <c r="G751" s="44"/>
      <c r="H751" s="44"/>
      <c r="I751" s="44"/>
      <c r="J751" s="47" t="s">
        <v>35</v>
      </c>
      <c r="K751" s="47"/>
      <c r="L751" s="47"/>
      <c r="M751" s="47"/>
      <c r="N751" s="47"/>
      <c r="O751" s="44"/>
      <c r="P751" s="44"/>
      <c r="Q751" s="48">
        <f>VLOOKUP(E751,sheet1!$B$2:$D$3209,3,FALSE)</f>
        <v>430</v>
      </c>
      <c r="R751" s="47" t="s">
        <v>35</v>
      </c>
      <c r="S751" s="47" t="s">
        <v>35</v>
      </c>
      <c r="T751" s="47"/>
      <c r="U751" s="47" t="s">
        <v>296</v>
      </c>
      <c r="V751" s="47" t="s">
        <v>296</v>
      </c>
      <c r="W751" s="47" t="s">
        <v>296</v>
      </c>
      <c r="X751" s="47" t="s">
        <v>296</v>
      </c>
      <c r="Y751" s="47"/>
      <c r="Z751" s="47" t="s">
        <v>296</v>
      </c>
      <c r="AA751" s="47" t="s">
        <v>296</v>
      </c>
      <c r="AB751" s="47"/>
      <c r="AC751" s="47" t="s">
        <v>35</v>
      </c>
      <c r="AD751" s="75" t="str">
        <f>VLOOKUP(E762,sheet1!$B$2:$C$3209,2,FALSE)</f>
        <v>自動仕訳データ振替伝票発行／出庫・ｻｰﾋﾞｽ出庫</v>
      </c>
      <c r="AE751" s="49"/>
      <c r="AF751" s="56" t="s">
        <v>2862</v>
      </c>
      <c r="AG751" s="56" t="s">
        <v>2914</v>
      </c>
      <c r="AH751" s="49" t="str">
        <f t="shared" si="53"/>
        <v>自動仕訳データ伝票発行</v>
      </c>
      <c r="AI751" s="49"/>
      <c r="AJ751" s="49"/>
      <c r="AK751" s="49"/>
      <c r="AL751" s="49"/>
      <c r="AM751" s="49"/>
      <c r="AN751" s="49"/>
      <c r="AO751" s="51" t="str">
        <f t="shared" si="49"/>
        <v>自動仕訳データ伝票発行</v>
      </c>
      <c r="AP751" s="51" t="str">
        <f t="shared" si="50"/>
        <v>AC1952</v>
      </c>
      <c r="AQ751" s="51" t="s">
        <v>2862</v>
      </c>
      <c r="AR751" s="51" t="s">
        <v>2884</v>
      </c>
      <c r="AS751" s="49" t="str">
        <f t="shared" si="51"/>
        <v/>
      </c>
      <c r="AT751" s="49" t="str">
        <f t="shared" si="52"/>
        <v/>
      </c>
      <c r="AU751" s="49"/>
      <c r="AV751" s="49"/>
    </row>
    <row r="752" spans="1:48" ht="18" customHeight="1">
      <c r="A752" s="44">
        <v>750</v>
      </c>
      <c r="B752" s="52" t="s">
        <v>2702</v>
      </c>
      <c r="C752" s="80" t="s">
        <v>2885</v>
      </c>
      <c r="D752" s="54" t="s">
        <v>2904</v>
      </c>
      <c r="E752" s="44" t="s">
        <v>2884</v>
      </c>
      <c r="F752" s="44" t="s">
        <v>2899</v>
      </c>
      <c r="G752" s="44"/>
      <c r="H752" s="44"/>
      <c r="I752" s="44"/>
      <c r="J752" s="47" t="s">
        <v>35</v>
      </c>
      <c r="K752" s="47"/>
      <c r="L752" s="47"/>
      <c r="M752" s="47"/>
      <c r="N752" s="47"/>
      <c r="O752" s="44"/>
      <c r="P752" s="44"/>
      <c r="Q752" s="48">
        <f>VLOOKUP(E752,sheet1!$B$2:$D$3209,3,FALSE)</f>
        <v>695</v>
      </c>
      <c r="R752" s="47" t="s">
        <v>35</v>
      </c>
      <c r="S752" s="47" t="s">
        <v>35</v>
      </c>
      <c r="T752" s="47"/>
      <c r="U752" s="47" t="s">
        <v>296</v>
      </c>
      <c r="V752" s="47" t="s">
        <v>296</v>
      </c>
      <c r="W752" s="47" t="s">
        <v>296</v>
      </c>
      <c r="X752" s="47" t="s">
        <v>296</v>
      </c>
      <c r="Y752" s="47"/>
      <c r="Z752" s="47" t="s">
        <v>296</v>
      </c>
      <c r="AA752" s="47" t="s">
        <v>296</v>
      </c>
      <c r="AB752" s="47"/>
      <c r="AC752" s="47" t="s">
        <v>35</v>
      </c>
      <c r="AD752" s="75" t="str">
        <f>VLOOKUP(E763,sheet1!$B$2:$C$3209,2,FALSE)</f>
        <v>データ転送（２）振替伝票ﾌｧｲﾙ更新</v>
      </c>
      <c r="AE752" s="49"/>
      <c r="AF752" s="56" t="s">
        <v>2915</v>
      </c>
      <c r="AG752" s="56" t="s">
        <v>2916</v>
      </c>
      <c r="AH752" s="49" t="str">
        <f t="shared" si="53"/>
        <v>訳データ転送・更新</v>
      </c>
      <c r="AI752" s="49"/>
      <c r="AJ752" s="49"/>
      <c r="AK752" s="49"/>
      <c r="AL752" s="49"/>
      <c r="AM752" s="49"/>
      <c r="AN752" s="49"/>
      <c r="AO752" s="51" t="str">
        <f t="shared" si="49"/>
        <v>３部門別仕入振替金額合計表</v>
      </c>
      <c r="AP752" s="51" t="str">
        <f t="shared" si="50"/>
        <v>AC7020</v>
      </c>
      <c r="AQ752" s="51" t="s">
        <v>2888</v>
      </c>
      <c r="AR752" s="51" t="s">
        <v>2889</v>
      </c>
      <c r="AS752" s="49" t="str">
        <f t="shared" si="51"/>
        <v/>
      </c>
      <c r="AT752" s="49" t="str">
        <f t="shared" si="52"/>
        <v/>
      </c>
      <c r="AU752" s="49"/>
      <c r="AV752" s="49"/>
    </row>
    <row r="753" spans="1:48" ht="18" customHeight="1">
      <c r="A753" s="44">
        <v>751</v>
      </c>
      <c r="B753" s="52" t="s">
        <v>2702</v>
      </c>
      <c r="C753" s="80" t="s">
        <v>2885</v>
      </c>
      <c r="D753" s="77" t="s">
        <v>2904</v>
      </c>
      <c r="E753" s="44" t="s">
        <v>2889</v>
      </c>
      <c r="F753" s="44" t="s">
        <v>2917</v>
      </c>
      <c r="G753" s="44"/>
      <c r="H753" s="44"/>
      <c r="I753" s="44"/>
      <c r="J753" s="47" t="s">
        <v>35</v>
      </c>
      <c r="K753" s="47"/>
      <c r="L753" s="47"/>
      <c r="M753" s="47"/>
      <c r="N753" s="47"/>
      <c r="O753" s="44"/>
      <c r="P753" s="44"/>
      <c r="Q753" s="48">
        <f>VLOOKUP(E753,sheet1!$B$2:$D$3209,3,FALSE)</f>
        <v>236</v>
      </c>
      <c r="R753" s="47" t="s">
        <v>35</v>
      </c>
      <c r="S753" s="47" t="s">
        <v>35</v>
      </c>
      <c r="T753" s="47"/>
      <c r="U753" s="47" t="s">
        <v>296</v>
      </c>
      <c r="V753" s="47" t="s">
        <v>296</v>
      </c>
      <c r="W753" s="47" t="s">
        <v>296</v>
      </c>
      <c r="X753" s="47" t="s">
        <v>296</v>
      </c>
      <c r="Y753" s="47"/>
      <c r="Z753" s="47" t="s">
        <v>296</v>
      </c>
      <c r="AA753" s="47" t="s">
        <v>296</v>
      </c>
      <c r="AB753" s="47"/>
      <c r="AC753" s="47" t="s">
        <v>35</v>
      </c>
      <c r="AD753" s="75" t="str">
        <f>VLOOKUP(E764,sheet1!$B$2:$C$3209,2,FALSE)</f>
        <v>総勘定元帳～画面入力一部変更</v>
      </c>
      <c r="AE753" s="49"/>
      <c r="AF753" s="56" t="s">
        <v>2918</v>
      </c>
      <c r="AG753" s="56" t="s">
        <v>2919</v>
      </c>
      <c r="AH753" s="49" t="str">
        <f t="shared" si="53"/>
        <v>総勘定元帳</v>
      </c>
      <c r="AI753" s="49"/>
      <c r="AJ753" s="49"/>
      <c r="AK753" s="49"/>
      <c r="AL753" s="49"/>
      <c r="AM753" s="49"/>
      <c r="AN753" s="49"/>
      <c r="AO753" s="51" t="str">
        <f t="shared" si="49"/>
        <v>支払手形自動振替データ作成</v>
      </c>
      <c r="AP753" s="51" t="str">
        <f t="shared" si="50"/>
        <v>AC9090</v>
      </c>
      <c r="AQ753" s="51" t="s">
        <v>2891</v>
      </c>
      <c r="AR753" s="51" t="s">
        <v>2892</v>
      </c>
      <c r="AS753" s="49" t="str">
        <f t="shared" si="51"/>
        <v/>
      </c>
      <c r="AT753" s="49" t="str">
        <f t="shared" si="52"/>
        <v/>
      </c>
      <c r="AU753" s="49"/>
      <c r="AV753" s="49"/>
    </row>
    <row r="754" spans="1:48" ht="18" customHeight="1">
      <c r="A754" s="44">
        <v>752</v>
      </c>
      <c r="B754" s="52" t="s">
        <v>2702</v>
      </c>
      <c r="C754" s="80" t="s">
        <v>2885</v>
      </c>
      <c r="D754" s="53" t="s">
        <v>2920</v>
      </c>
      <c r="E754" s="44" t="s">
        <v>2892</v>
      </c>
      <c r="F754" s="44" t="s">
        <v>2921</v>
      </c>
      <c r="G754" s="44"/>
      <c r="H754" s="44"/>
      <c r="I754" s="44"/>
      <c r="J754" s="47" t="s">
        <v>35</v>
      </c>
      <c r="K754" s="47"/>
      <c r="L754" s="47"/>
      <c r="M754" s="47"/>
      <c r="N754" s="47"/>
      <c r="O754" s="44"/>
      <c r="P754" s="44"/>
      <c r="Q754" s="48">
        <f>VLOOKUP(E754,sheet1!$B$2:$D$3209,3,FALSE)</f>
        <v>365</v>
      </c>
      <c r="R754" s="47" t="s">
        <v>35</v>
      </c>
      <c r="S754" s="47" t="s">
        <v>35</v>
      </c>
      <c r="T754" s="47"/>
      <c r="U754" s="47" t="s">
        <v>296</v>
      </c>
      <c r="V754" s="47" t="s">
        <v>296</v>
      </c>
      <c r="W754" s="47" t="s">
        <v>296</v>
      </c>
      <c r="X754" s="47" t="s">
        <v>296</v>
      </c>
      <c r="Y754" s="47"/>
      <c r="Z754" s="47" t="s">
        <v>296</v>
      </c>
      <c r="AA754" s="47" t="s">
        <v>296</v>
      </c>
      <c r="AB754" s="47"/>
      <c r="AC754" s="47" t="s">
        <v>35</v>
      </c>
      <c r="AD754" s="75"/>
      <c r="AE754" s="49"/>
      <c r="AF754" s="56" t="s">
        <v>2922</v>
      </c>
      <c r="AG754" s="56" t="s">
        <v>2923</v>
      </c>
      <c r="AH754" s="49" t="str">
        <f t="shared" si="53"/>
        <v>相手先元帳</v>
      </c>
      <c r="AI754" s="49"/>
      <c r="AJ754" s="49"/>
      <c r="AK754" s="49"/>
      <c r="AL754" s="49"/>
      <c r="AM754" s="49"/>
      <c r="AN754" s="49"/>
      <c r="AO754" s="51" t="str">
        <f t="shared" si="49"/>
        <v>支払手形自動振替データ一覧</v>
      </c>
      <c r="AP754" s="51" t="str">
        <f t="shared" si="50"/>
        <v>AC9093</v>
      </c>
      <c r="AQ754" s="51" t="s">
        <v>2894</v>
      </c>
      <c r="AR754" s="51" t="s">
        <v>2895</v>
      </c>
      <c r="AS754" s="49" t="str">
        <f t="shared" si="51"/>
        <v/>
      </c>
      <c r="AT754" s="49" t="str">
        <f t="shared" si="52"/>
        <v/>
      </c>
      <c r="AU754" s="49"/>
      <c r="AV754" s="49"/>
    </row>
    <row r="755" spans="1:48" ht="18" customHeight="1">
      <c r="A755" s="44">
        <v>753</v>
      </c>
      <c r="B755" s="52" t="s">
        <v>2702</v>
      </c>
      <c r="C755" s="80" t="s">
        <v>2885</v>
      </c>
      <c r="D755" s="54" t="s">
        <v>2920</v>
      </c>
      <c r="E755" s="44" t="s">
        <v>2895</v>
      </c>
      <c r="F755" s="44" t="s">
        <v>2924</v>
      </c>
      <c r="G755" s="44"/>
      <c r="H755" s="44"/>
      <c r="I755" s="44"/>
      <c r="J755" s="47" t="s">
        <v>35</v>
      </c>
      <c r="K755" s="47"/>
      <c r="L755" s="47"/>
      <c r="M755" s="47"/>
      <c r="N755" s="47"/>
      <c r="O755" s="44"/>
      <c r="P755" s="44"/>
      <c r="Q755" s="48">
        <f>VLOOKUP(E755,sheet1!$B$2:$D$3209,3,FALSE)</f>
        <v>565</v>
      </c>
      <c r="R755" s="47" t="s">
        <v>35</v>
      </c>
      <c r="S755" s="47" t="s">
        <v>35</v>
      </c>
      <c r="T755" s="47"/>
      <c r="U755" s="47" t="s">
        <v>296</v>
      </c>
      <c r="V755" s="47" t="s">
        <v>296</v>
      </c>
      <c r="W755" s="47" t="s">
        <v>296</v>
      </c>
      <c r="X755" s="47" t="s">
        <v>296</v>
      </c>
      <c r="Y755" s="47"/>
      <c r="Z755" s="47" t="s">
        <v>296</v>
      </c>
      <c r="AA755" s="47" t="s">
        <v>296</v>
      </c>
      <c r="AB755" s="47"/>
      <c r="AC755" s="47" t="s">
        <v>35</v>
      </c>
      <c r="AD755" s="75"/>
      <c r="AE755" s="49"/>
      <c r="AF755" s="56" t="s">
        <v>2925</v>
      </c>
      <c r="AG755" s="56" t="s">
        <v>2926</v>
      </c>
      <c r="AH755" s="49" t="str">
        <f t="shared" si="53"/>
        <v>摘要元帳</v>
      </c>
      <c r="AI755" s="49"/>
      <c r="AJ755" s="49"/>
      <c r="AK755" s="49"/>
      <c r="AL755" s="49"/>
      <c r="AM755" s="49"/>
      <c r="AN755" s="49"/>
      <c r="AO755" s="51" t="str">
        <f t="shared" si="49"/>
        <v>自動仕訳データ転送（支手）</v>
      </c>
      <c r="AP755" s="51" t="str">
        <f t="shared" si="50"/>
        <v>AC9095</v>
      </c>
      <c r="AQ755" s="51" t="s">
        <v>2897</v>
      </c>
      <c r="AR755" s="51" t="s">
        <v>2898</v>
      </c>
      <c r="AS755" s="49" t="str">
        <f t="shared" si="51"/>
        <v/>
      </c>
      <c r="AT755" s="49" t="str">
        <f t="shared" si="52"/>
        <v/>
      </c>
      <c r="AU755" s="49"/>
      <c r="AV755" s="49"/>
    </row>
    <row r="756" spans="1:48" ht="18" customHeight="1">
      <c r="A756" s="44">
        <v>754</v>
      </c>
      <c r="B756" s="52" t="s">
        <v>2702</v>
      </c>
      <c r="C756" s="80" t="s">
        <v>2885</v>
      </c>
      <c r="D756" s="54" t="s">
        <v>2920</v>
      </c>
      <c r="E756" s="44" t="s">
        <v>2898</v>
      </c>
      <c r="F756" s="44" t="s">
        <v>2927</v>
      </c>
      <c r="G756" s="44"/>
      <c r="H756" s="44"/>
      <c r="I756" s="44"/>
      <c r="J756" s="47" t="s">
        <v>35</v>
      </c>
      <c r="K756" s="47"/>
      <c r="L756" s="47"/>
      <c r="M756" s="47"/>
      <c r="N756" s="47"/>
      <c r="O756" s="44"/>
      <c r="P756" s="44"/>
      <c r="Q756" s="48">
        <f>VLOOKUP(E756,sheet1!$B$2:$D$3209,3,FALSE)</f>
        <v>358</v>
      </c>
      <c r="R756" s="47" t="s">
        <v>35</v>
      </c>
      <c r="S756" s="47" t="s">
        <v>35</v>
      </c>
      <c r="T756" s="47"/>
      <c r="U756" s="47" t="s">
        <v>296</v>
      </c>
      <c r="V756" s="47" t="s">
        <v>296</v>
      </c>
      <c r="W756" s="47" t="s">
        <v>296</v>
      </c>
      <c r="X756" s="47" t="s">
        <v>296</v>
      </c>
      <c r="Y756" s="47"/>
      <c r="Z756" s="47" t="s">
        <v>296</v>
      </c>
      <c r="AA756" s="47" t="s">
        <v>296</v>
      </c>
      <c r="AB756" s="47"/>
      <c r="AC756" s="47" t="s">
        <v>35</v>
      </c>
      <c r="AD756" s="75"/>
      <c r="AE756" s="49"/>
      <c r="AF756" s="56" t="s">
        <v>2928</v>
      </c>
      <c r="AG756" s="56" t="s">
        <v>2929</v>
      </c>
      <c r="AH756" s="49" t="str">
        <f t="shared" si="53"/>
        <v>部課元帳</v>
      </c>
      <c r="AI756" s="49"/>
      <c r="AJ756" s="49"/>
      <c r="AK756" s="49"/>
      <c r="AL756" s="49"/>
      <c r="AM756" s="49"/>
      <c r="AN756" s="49"/>
      <c r="AO756" s="51" t="str">
        <f t="shared" si="49"/>
        <v>自動仕訳データ伝票発行</v>
      </c>
      <c r="AP756" s="51" t="str">
        <f t="shared" si="50"/>
        <v>AC1954</v>
      </c>
      <c r="AQ756" s="51" t="s">
        <v>2862</v>
      </c>
      <c r="AR756" s="51" t="s">
        <v>2900</v>
      </c>
      <c r="AS756" s="49" t="str">
        <f t="shared" si="51"/>
        <v/>
      </c>
      <c r="AT756" s="49" t="str">
        <f t="shared" si="52"/>
        <v/>
      </c>
      <c r="AU756" s="49"/>
      <c r="AV756" s="49"/>
    </row>
    <row r="757" spans="1:48" ht="18" customHeight="1">
      <c r="A757" s="44">
        <v>755</v>
      </c>
      <c r="B757" s="52" t="s">
        <v>2702</v>
      </c>
      <c r="C757" s="80" t="s">
        <v>2885</v>
      </c>
      <c r="D757" s="77" t="s">
        <v>2920</v>
      </c>
      <c r="E757" s="44" t="s">
        <v>2900</v>
      </c>
      <c r="F757" s="44" t="s">
        <v>2899</v>
      </c>
      <c r="G757" s="44"/>
      <c r="H757" s="44"/>
      <c r="I757" s="44"/>
      <c r="J757" s="47" t="s">
        <v>35</v>
      </c>
      <c r="K757" s="47"/>
      <c r="L757" s="47"/>
      <c r="M757" s="47"/>
      <c r="N757" s="47"/>
      <c r="O757" s="44"/>
      <c r="P757" s="44"/>
      <c r="Q757" s="48">
        <f>VLOOKUP(E757,sheet1!$B$2:$D$3209,3,FALSE)</f>
        <v>562</v>
      </c>
      <c r="R757" s="47" t="s">
        <v>35</v>
      </c>
      <c r="S757" s="47" t="s">
        <v>35</v>
      </c>
      <c r="T757" s="47"/>
      <c r="U757" s="47" t="s">
        <v>296</v>
      </c>
      <c r="V757" s="47" t="s">
        <v>296</v>
      </c>
      <c r="W757" s="47" t="s">
        <v>296</v>
      </c>
      <c r="X757" s="47" t="s">
        <v>296</v>
      </c>
      <c r="Y757" s="47"/>
      <c r="Z757" s="47" t="s">
        <v>296</v>
      </c>
      <c r="AA757" s="47" t="s">
        <v>296</v>
      </c>
      <c r="AB757" s="47"/>
      <c r="AC757" s="47" t="s">
        <v>35</v>
      </c>
      <c r="AD757" s="75"/>
      <c r="AE757" s="49"/>
      <c r="AF757" s="56" t="s">
        <v>2930</v>
      </c>
      <c r="AG757" s="56" t="s">
        <v>2931</v>
      </c>
      <c r="AH757" s="49" t="str">
        <f t="shared" si="53"/>
        <v>貸借対照表・損益計算書等</v>
      </c>
      <c r="AI757" s="49"/>
      <c r="AJ757" s="49"/>
      <c r="AK757" s="49"/>
      <c r="AL757" s="49"/>
      <c r="AM757" s="49"/>
      <c r="AN757" s="49"/>
      <c r="AO757" s="51" t="str">
        <f t="shared" si="49"/>
        <v>経費自動振替データ作成</v>
      </c>
      <c r="AP757" s="51" t="str">
        <f t="shared" si="50"/>
        <v>AT0200A-2</v>
      </c>
      <c r="AQ757" s="51" t="s">
        <v>2902</v>
      </c>
      <c r="AR757" s="51" t="s">
        <v>2932</v>
      </c>
      <c r="AS757" s="49" t="str">
        <f t="shared" si="51"/>
        <v/>
      </c>
      <c r="AT757" s="49" t="str">
        <f t="shared" si="52"/>
        <v/>
      </c>
      <c r="AU757" s="49"/>
      <c r="AV757" s="49"/>
    </row>
    <row r="758" spans="1:48" ht="18" customHeight="1">
      <c r="A758" s="44">
        <v>756</v>
      </c>
      <c r="B758" s="52" t="s">
        <v>2702</v>
      </c>
      <c r="C758" s="80" t="s">
        <v>2885</v>
      </c>
      <c r="D758" s="53" t="s">
        <v>2933</v>
      </c>
      <c r="E758" s="44" t="s">
        <v>2903</v>
      </c>
      <c r="F758" s="44" t="s">
        <v>2934</v>
      </c>
      <c r="G758" s="44"/>
      <c r="H758" s="44"/>
      <c r="I758" s="44"/>
      <c r="J758" s="47" t="s">
        <v>35</v>
      </c>
      <c r="K758" s="47"/>
      <c r="L758" s="47"/>
      <c r="M758" s="47"/>
      <c r="N758" s="47"/>
      <c r="O758" s="44"/>
      <c r="P758" s="44"/>
      <c r="Q758" s="48">
        <f>VLOOKUP(E758,sheet1!$B$2:$D$3209,3,FALSE)</f>
        <v>202</v>
      </c>
      <c r="R758" s="47" t="s">
        <v>35</v>
      </c>
      <c r="S758" s="47" t="s">
        <v>35</v>
      </c>
      <c r="T758" s="47"/>
      <c r="U758" s="47" t="s">
        <v>296</v>
      </c>
      <c r="V758" s="47" t="s">
        <v>296</v>
      </c>
      <c r="W758" s="47" t="s">
        <v>296</v>
      </c>
      <c r="X758" s="47" t="s">
        <v>296</v>
      </c>
      <c r="Y758" s="47"/>
      <c r="Z758" s="47" t="s">
        <v>296</v>
      </c>
      <c r="AA758" s="47" t="s">
        <v>296</v>
      </c>
      <c r="AB758" s="47"/>
      <c r="AC758" s="47" t="s">
        <v>35</v>
      </c>
      <c r="AD758" s="75"/>
      <c r="AE758" s="49"/>
      <c r="AF758" s="56" t="s">
        <v>2935</v>
      </c>
      <c r="AG758" s="56" t="s">
        <v>2936</v>
      </c>
      <c r="AH758" s="49" t="str">
        <f t="shared" si="53"/>
        <v>業務別３部門振替金額合計表</v>
      </c>
      <c r="AI758" s="49"/>
      <c r="AJ758" s="49"/>
      <c r="AK758" s="49"/>
      <c r="AL758" s="49"/>
      <c r="AM758" s="49"/>
      <c r="AN758" s="49"/>
      <c r="AO758" s="51" t="str">
        <f t="shared" si="49"/>
        <v>経費関係振替データ一覧</v>
      </c>
      <c r="AP758" s="51" t="str">
        <f t="shared" si="50"/>
        <v>AT0210</v>
      </c>
      <c r="AQ758" s="51" t="s">
        <v>2906</v>
      </c>
      <c r="AR758" s="51" t="s">
        <v>2907</v>
      </c>
      <c r="AS758" s="49" t="str">
        <f t="shared" si="51"/>
        <v/>
      </c>
      <c r="AT758" s="49" t="str">
        <f t="shared" si="52"/>
        <v/>
      </c>
      <c r="AU758" s="49"/>
      <c r="AV758" s="49"/>
    </row>
    <row r="759" spans="1:48" ht="18" customHeight="1">
      <c r="A759" s="44">
        <v>757</v>
      </c>
      <c r="B759" s="52" t="s">
        <v>2702</v>
      </c>
      <c r="C759" s="80" t="s">
        <v>2885</v>
      </c>
      <c r="D759" s="54" t="s">
        <v>2933</v>
      </c>
      <c r="E759" s="44" t="s">
        <v>2907</v>
      </c>
      <c r="F759" s="44" t="s">
        <v>2937</v>
      </c>
      <c r="G759" s="44"/>
      <c r="H759" s="44"/>
      <c r="I759" s="44"/>
      <c r="J759" s="47" t="s">
        <v>35</v>
      </c>
      <c r="K759" s="47"/>
      <c r="L759" s="47"/>
      <c r="M759" s="47"/>
      <c r="N759" s="47"/>
      <c r="O759" s="44"/>
      <c r="P759" s="44"/>
      <c r="Q759" s="48">
        <f>VLOOKUP(E759,sheet1!$B$2:$D$3209,3,FALSE)</f>
        <v>487</v>
      </c>
      <c r="R759" s="47" t="s">
        <v>35</v>
      </c>
      <c r="S759" s="47" t="s">
        <v>35</v>
      </c>
      <c r="T759" s="47"/>
      <c r="U759" s="47" t="s">
        <v>296</v>
      </c>
      <c r="V759" s="47" t="s">
        <v>296</v>
      </c>
      <c r="W759" s="47" t="s">
        <v>296</v>
      </c>
      <c r="X759" s="47" t="s">
        <v>296</v>
      </c>
      <c r="Y759" s="47"/>
      <c r="Z759" s="47" t="s">
        <v>296</v>
      </c>
      <c r="AA759" s="47" t="s">
        <v>296</v>
      </c>
      <c r="AB759" s="47"/>
      <c r="AC759" s="47" t="s">
        <v>35</v>
      </c>
      <c r="AD759" s="75"/>
      <c r="AE759" s="49"/>
      <c r="AF759" s="56" t="s">
        <v>2938</v>
      </c>
      <c r="AG759" s="56" t="s">
        <v>2939</v>
      </c>
      <c r="AH759" s="49" t="str">
        <f t="shared" si="53"/>
        <v>勘定科目残高内訳表</v>
      </c>
      <c r="AI759" s="49"/>
      <c r="AJ759" s="49"/>
      <c r="AK759" s="49"/>
      <c r="AL759" s="49"/>
      <c r="AM759" s="49"/>
      <c r="AN759" s="49"/>
      <c r="AO759" s="51" t="str">
        <f t="shared" si="49"/>
        <v>経費振替業務月度完了処理</v>
      </c>
      <c r="AP759" s="51" t="str">
        <f t="shared" si="50"/>
        <v>AT0204</v>
      </c>
      <c r="AQ759" s="51" t="s">
        <v>2908</v>
      </c>
      <c r="AR759" s="51" t="s">
        <v>2909</v>
      </c>
      <c r="AS759" s="49" t="str">
        <f t="shared" si="51"/>
        <v/>
      </c>
      <c r="AT759" s="49" t="str">
        <f t="shared" si="52"/>
        <v/>
      </c>
      <c r="AU759" s="49"/>
      <c r="AV759" s="49"/>
    </row>
    <row r="760" spans="1:48" ht="18" customHeight="1">
      <c r="A760" s="44">
        <v>758</v>
      </c>
      <c r="B760" s="52" t="s">
        <v>2702</v>
      </c>
      <c r="C760" s="80" t="s">
        <v>2885</v>
      </c>
      <c r="D760" s="54" t="s">
        <v>2933</v>
      </c>
      <c r="E760" s="44" t="s">
        <v>2909</v>
      </c>
      <c r="F760" s="44" t="s">
        <v>2940</v>
      </c>
      <c r="G760" s="44"/>
      <c r="H760" s="44"/>
      <c r="I760" s="44"/>
      <c r="J760" s="47" t="s">
        <v>35</v>
      </c>
      <c r="K760" s="47"/>
      <c r="L760" s="47"/>
      <c r="M760" s="47"/>
      <c r="N760" s="47"/>
      <c r="O760" s="44"/>
      <c r="P760" s="44"/>
      <c r="Q760" s="48">
        <f>VLOOKUP(E760,sheet1!$B$2:$D$3209,3,FALSE)</f>
        <v>144</v>
      </c>
      <c r="R760" s="47" t="s">
        <v>35</v>
      </c>
      <c r="S760" s="47" t="s">
        <v>35</v>
      </c>
      <c r="T760" s="47"/>
      <c r="U760" s="47" t="s">
        <v>296</v>
      </c>
      <c r="V760" s="47" t="s">
        <v>296</v>
      </c>
      <c r="W760" s="47" t="s">
        <v>296</v>
      </c>
      <c r="X760" s="47" t="s">
        <v>296</v>
      </c>
      <c r="Y760" s="47"/>
      <c r="Z760" s="47" t="s">
        <v>296</v>
      </c>
      <c r="AA760" s="47" t="s">
        <v>296</v>
      </c>
      <c r="AB760" s="47"/>
      <c r="AC760" s="47" t="s">
        <v>35</v>
      </c>
      <c r="AD760" s="75"/>
      <c r="AE760" s="49"/>
      <c r="AF760" s="56" t="s">
        <v>2941</v>
      </c>
      <c r="AG760" s="56" t="s">
        <v>2942</v>
      </c>
      <c r="AH760" s="49" t="str">
        <f t="shared" si="53"/>
        <v>外貨建相手先元帳</v>
      </c>
      <c r="AI760" s="49"/>
      <c r="AJ760" s="49"/>
      <c r="AK760" s="49"/>
      <c r="AL760" s="49"/>
      <c r="AM760" s="49"/>
      <c r="AN760" s="49"/>
      <c r="AO760" s="51" t="str">
        <f t="shared" si="49"/>
        <v>自動仕訳データ転送（経費）</v>
      </c>
      <c r="AP760" s="51" t="str">
        <f t="shared" si="50"/>
        <v>AT0220</v>
      </c>
      <c r="AQ760" s="51" t="s">
        <v>2911</v>
      </c>
      <c r="AR760" s="51" t="s">
        <v>2912</v>
      </c>
      <c r="AS760" s="49" t="str">
        <f t="shared" si="51"/>
        <v/>
      </c>
      <c r="AT760" s="49" t="str">
        <f t="shared" si="52"/>
        <v/>
      </c>
      <c r="AU760" s="49"/>
      <c r="AV760" s="49"/>
    </row>
    <row r="761" spans="1:48" ht="18" customHeight="1">
      <c r="A761" s="44">
        <v>759</v>
      </c>
      <c r="B761" s="52" t="s">
        <v>2702</v>
      </c>
      <c r="C761" s="80" t="s">
        <v>2885</v>
      </c>
      <c r="D761" s="54" t="s">
        <v>2933</v>
      </c>
      <c r="E761" s="44" t="s">
        <v>2912</v>
      </c>
      <c r="F761" s="44" t="s">
        <v>2943</v>
      </c>
      <c r="G761" s="44"/>
      <c r="H761" s="44"/>
      <c r="I761" s="44"/>
      <c r="J761" s="47" t="s">
        <v>35</v>
      </c>
      <c r="K761" s="47"/>
      <c r="L761" s="47"/>
      <c r="M761" s="47"/>
      <c r="N761" s="47"/>
      <c r="O761" s="44"/>
      <c r="P761" s="44"/>
      <c r="Q761" s="48">
        <f>VLOOKUP(E761,sheet1!$B$2:$D$3209,3,FALSE)</f>
        <v>377</v>
      </c>
      <c r="R761" s="47" t="s">
        <v>35</v>
      </c>
      <c r="S761" s="47" t="s">
        <v>35</v>
      </c>
      <c r="T761" s="47"/>
      <c r="U761" s="47" t="s">
        <v>296</v>
      </c>
      <c r="V761" s="47" t="s">
        <v>296</v>
      </c>
      <c r="W761" s="47" t="s">
        <v>296</v>
      </c>
      <c r="X761" s="47" t="s">
        <v>296</v>
      </c>
      <c r="Y761" s="47"/>
      <c r="Z761" s="47" t="s">
        <v>296</v>
      </c>
      <c r="AA761" s="47" t="s">
        <v>296</v>
      </c>
      <c r="AB761" s="47"/>
      <c r="AC761" s="47" t="s">
        <v>35</v>
      </c>
      <c r="AD761" s="75"/>
      <c r="AE761" s="49"/>
      <c r="AF761" s="56" t="s">
        <v>2944</v>
      </c>
      <c r="AG761" s="56" t="s">
        <v>2945</v>
      </c>
      <c r="AH761" s="49" t="str">
        <f t="shared" si="53"/>
        <v>振替伝票明細（科目・部課）</v>
      </c>
      <c r="AI761" s="49"/>
      <c r="AJ761" s="49"/>
      <c r="AK761" s="49"/>
      <c r="AL761" s="49"/>
      <c r="AM761" s="49"/>
      <c r="AN761" s="49"/>
      <c r="AO761" s="51" t="str">
        <f t="shared" si="49"/>
        <v>自動仕訳データ伝票発行</v>
      </c>
      <c r="AP761" s="51" t="str">
        <f t="shared" si="50"/>
        <v>AT0221</v>
      </c>
      <c r="AQ761" s="51" t="s">
        <v>2862</v>
      </c>
      <c r="AR761" s="51" t="s">
        <v>2914</v>
      </c>
      <c r="AS761" s="49" t="str">
        <f t="shared" si="51"/>
        <v/>
      </c>
      <c r="AT761" s="49" t="str">
        <f t="shared" si="52"/>
        <v/>
      </c>
      <c r="AU761" s="49"/>
      <c r="AV761" s="49"/>
    </row>
    <row r="762" spans="1:48" ht="18" customHeight="1">
      <c r="A762" s="44">
        <v>760</v>
      </c>
      <c r="B762" s="52" t="s">
        <v>2702</v>
      </c>
      <c r="C762" s="80" t="s">
        <v>2885</v>
      </c>
      <c r="D762" s="77" t="s">
        <v>2933</v>
      </c>
      <c r="E762" s="44" t="s">
        <v>2914</v>
      </c>
      <c r="F762" s="44" t="s">
        <v>2899</v>
      </c>
      <c r="G762" s="44"/>
      <c r="H762" s="44"/>
      <c r="I762" s="44"/>
      <c r="J762" s="47" t="s">
        <v>35</v>
      </c>
      <c r="K762" s="47"/>
      <c r="L762" s="47"/>
      <c r="M762" s="47"/>
      <c r="N762" s="47"/>
      <c r="O762" s="44"/>
      <c r="P762" s="44"/>
      <c r="Q762" s="48">
        <f>VLOOKUP(E762,sheet1!$B$2:$D$3209,3,FALSE)</f>
        <v>667</v>
      </c>
      <c r="R762" s="47" t="s">
        <v>35</v>
      </c>
      <c r="S762" s="47" t="s">
        <v>35</v>
      </c>
      <c r="T762" s="47"/>
      <c r="U762" s="47" t="s">
        <v>296</v>
      </c>
      <c r="V762" s="47" t="s">
        <v>296</v>
      </c>
      <c r="W762" s="47" t="s">
        <v>296</v>
      </c>
      <c r="X762" s="47" t="s">
        <v>296</v>
      </c>
      <c r="Y762" s="47"/>
      <c r="Z762" s="47" t="s">
        <v>296</v>
      </c>
      <c r="AA762" s="47" t="s">
        <v>296</v>
      </c>
      <c r="AB762" s="47"/>
      <c r="AC762" s="47" t="s">
        <v>35</v>
      </c>
      <c r="AD762" s="75"/>
      <c r="AE762" s="49"/>
      <c r="AF762" s="56" t="s">
        <v>2946</v>
      </c>
      <c r="AG762" s="56" t="s">
        <v>2947</v>
      </c>
      <c r="AH762" s="49" t="str">
        <f t="shared" si="53"/>
        <v>振替伝票明細（科目・相手先）</v>
      </c>
      <c r="AI762" s="49"/>
      <c r="AJ762" s="49"/>
      <c r="AK762" s="49"/>
      <c r="AL762" s="49"/>
      <c r="AM762" s="49"/>
      <c r="AN762" s="49"/>
      <c r="AO762" s="51" t="str">
        <f t="shared" si="49"/>
        <v>自動仕訳データ転送・更新</v>
      </c>
      <c r="AP762" s="51" t="str">
        <f t="shared" si="50"/>
        <v>AC7012</v>
      </c>
      <c r="AQ762" s="51" t="s">
        <v>2948</v>
      </c>
      <c r="AR762" s="51" t="s">
        <v>2916</v>
      </c>
      <c r="AS762" s="49" t="str">
        <f t="shared" si="51"/>
        <v/>
      </c>
      <c r="AT762" s="49" t="str">
        <f t="shared" si="52"/>
        <v/>
      </c>
      <c r="AU762" s="49"/>
      <c r="AV762" s="49"/>
    </row>
    <row r="763" spans="1:48" ht="18" customHeight="1">
      <c r="A763" s="44">
        <v>761</v>
      </c>
      <c r="B763" s="52" t="s">
        <v>2702</v>
      </c>
      <c r="C763" s="80" t="s">
        <v>2885</v>
      </c>
      <c r="D763" s="53" t="s">
        <v>72</v>
      </c>
      <c r="E763" s="44" t="s">
        <v>2916</v>
      </c>
      <c r="F763" s="44" t="s">
        <v>2915</v>
      </c>
      <c r="G763" s="44"/>
      <c r="H763" s="44"/>
      <c r="I763" s="44"/>
      <c r="J763" s="47" t="s">
        <v>35</v>
      </c>
      <c r="K763" s="47"/>
      <c r="L763" s="47"/>
      <c r="M763" s="47"/>
      <c r="N763" s="47"/>
      <c r="O763" s="44"/>
      <c r="P763" s="44"/>
      <c r="Q763" s="48">
        <f>VLOOKUP(E763,sheet1!$B$2:$D$3209,3,FALSE)</f>
        <v>875</v>
      </c>
      <c r="R763" s="47" t="s">
        <v>35</v>
      </c>
      <c r="S763" s="47" t="s">
        <v>35</v>
      </c>
      <c r="T763" s="47"/>
      <c r="U763" s="47" t="s">
        <v>296</v>
      </c>
      <c r="V763" s="47" t="s">
        <v>296</v>
      </c>
      <c r="W763" s="47" t="s">
        <v>296</v>
      </c>
      <c r="X763" s="47" t="s">
        <v>296</v>
      </c>
      <c r="Y763" s="47"/>
      <c r="Z763" s="47" t="s">
        <v>296</v>
      </c>
      <c r="AA763" s="47" t="s">
        <v>296</v>
      </c>
      <c r="AB763" s="47"/>
      <c r="AC763" s="47" t="s">
        <v>35</v>
      </c>
      <c r="AD763" s="75"/>
      <c r="AE763" s="49"/>
      <c r="AF763" s="56" t="s">
        <v>2949</v>
      </c>
      <c r="AG763" s="56" t="s">
        <v>2950</v>
      </c>
      <c r="AH763" s="49" t="str">
        <f t="shared" si="53"/>
        <v>振替伝票明細（科目・摘要）</v>
      </c>
      <c r="AI763" s="49"/>
      <c r="AJ763" s="49"/>
      <c r="AK763" s="49"/>
      <c r="AL763" s="49"/>
      <c r="AM763" s="49"/>
      <c r="AN763" s="49"/>
      <c r="AO763" s="51" t="str">
        <f t="shared" si="49"/>
        <v>総勘定元帳</v>
      </c>
      <c r="AP763" s="51" t="str">
        <f t="shared" si="50"/>
        <v>AC1700A</v>
      </c>
      <c r="AQ763" s="51" t="s">
        <v>2918</v>
      </c>
      <c r="AR763" s="51" t="s">
        <v>2919</v>
      </c>
      <c r="AS763" s="49" t="str">
        <f t="shared" si="51"/>
        <v/>
      </c>
      <c r="AT763" s="49" t="str">
        <f t="shared" si="52"/>
        <v/>
      </c>
      <c r="AU763" s="49"/>
      <c r="AV763" s="49"/>
    </row>
    <row r="764" spans="1:48" ht="18" customHeight="1">
      <c r="A764" s="44">
        <v>762</v>
      </c>
      <c r="B764" s="52" t="s">
        <v>2702</v>
      </c>
      <c r="C764" s="75" t="s">
        <v>2951</v>
      </c>
      <c r="D764" s="78" t="s">
        <v>72</v>
      </c>
      <c r="E764" s="44" t="s">
        <v>2919</v>
      </c>
      <c r="F764" s="44" t="s">
        <v>2952</v>
      </c>
      <c r="G764" s="44"/>
      <c r="H764" s="44"/>
      <c r="I764" s="44"/>
      <c r="J764" s="47" t="s">
        <v>35</v>
      </c>
      <c r="K764" s="47"/>
      <c r="L764" s="47"/>
      <c r="M764" s="47"/>
      <c r="N764" s="47"/>
      <c r="O764" s="44"/>
      <c r="P764" s="44"/>
      <c r="Q764" s="48">
        <f>VLOOKUP(E764,sheet1!$B$2:$D$3209,3,FALSE)</f>
        <v>307</v>
      </c>
      <c r="R764" s="47" t="s">
        <v>35</v>
      </c>
      <c r="S764" s="47" t="s">
        <v>35</v>
      </c>
      <c r="T764" s="47"/>
      <c r="U764" s="47" t="s">
        <v>35</v>
      </c>
      <c r="V764" s="47" t="s">
        <v>35</v>
      </c>
      <c r="W764" s="47" t="s">
        <v>296</v>
      </c>
      <c r="X764" s="47" t="s">
        <v>296</v>
      </c>
      <c r="Y764" s="47"/>
      <c r="Z764" s="47" t="s">
        <v>296</v>
      </c>
      <c r="AA764" s="47" t="s">
        <v>296</v>
      </c>
      <c r="AB764" s="47"/>
      <c r="AC764" s="47" t="s">
        <v>35</v>
      </c>
      <c r="AD764" s="75"/>
      <c r="AE764" s="49"/>
      <c r="AF764" s="56" t="s">
        <v>2953</v>
      </c>
      <c r="AG764" s="56" t="s">
        <v>2954</v>
      </c>
      <c r="AH764" s="49" t="str">
        <f t="shared" si="53"/>
        <v>振替伝票集計表</v>
      </c>
      <c r="AI764" s="49"/>
      <c r="AJ764" s="49"/>
      <c r="AK764" s="49"/>
      <c r="AL764" s="49"/>
      <c r="AM764" s="49"/>
      <c r="AN764" s="49"/>
      <c r="AO764" s="51" t="str">
        <f t="shared" si="49"/>
        <v>相手先元帳</v>
      </c>
      <c r="AP764" s="51" t="str">
        <f t="shared" si="50"/>
        <v>AC1710A</v>
      </c>
      <c r="AQ764" s="51" t="s">
        <v>2922</v>
      </c>
      <c r="AR764" s="51" t="s">
        <v>2923</v>
      </c>
      <c r="AS764" s="49" t="str">
        <f t="shared" si="51"/>
        <v/>
      </c>
      <c r="AT764" s="49" t="str">
        <f t="shared" si="52"/>
        <v/>
      </c>
      <c r="AU764" s="49"/>
      <c r="AV764" s="49"/>
    </row>
    <row r="765" spans="1:48" ht="18" customHeight="1">
      <c r="A765" s="44">
        <v>763</v>
      </c>
      <c r="B765" s="52" t="s">
        <v>2702</v>
      </c>
      <c r="C765" s="80" t="s">
        <v>2951</v>
      </c>
      <c r="D765" s="78" t="s">
        <v>72</v>
      </c>
      <c r="E765" s="44" t="s">
        <v>2923</v>
      </c>
      <c r="F765" s="44" t="s">
        <v>2955</v>
      </c>
      <c r="G765" s="44"/>
      <c r="H765" s="44"/>
      <c r="I765" s="44"/>
      <c r="J765" s="47" t="s">
        <v>35</v>
      </c>
      <c r="K765" s="47"/>
      <c r="L765" s="47"/>
      <c r="M765" s="47"/>
      <c r="N765" s="47"/>
      <c r="O765" s="44"/>
      <c r="P765" s="44"/>
      <c r="Q765" s="48">
        <f>VLOOKUP(E765,sheet1!$B$2:$D$3209,3,FALSE)</f>
        <v>387</v>
      </c>
      <c r="R765" s="47" t="s">
        <v>35</v>
      </c>
      <c r="S765" s="47" t="s">
        <v>35</v>
      </c>
      <c r="T765" s="47"/>
      <c r="U765" s="47" t="s">
        <v>35</v>
      </c>
      <c r="V765" s="47" t="s">
        <v>35</v>
      </c>
      <c r="W765" s="47" t="s">
        <v>296</v>
      </c>
      <c r="X765" s="47" t="s">
        <v>35</v>
      </c>
      <c r="Y765" s="47" t="s">
        <v>35</v>
      </c>
      <c r="Z765" s="47" t="s">
        <v>296</v>
      </c>
      <c r="AA765" s="47" t="s">
        <v>296</v>
      </c>
      <c r="AB765" s="47"/>
      <c r="AC765" s="47" t="s">
        <v>35</v>
      </c>
      <c r="AD765" s="75"/>
      <c r="AE765" s="49"/>
      <c r="AF765" s="56" t="s">
        <v>2956</v>
      </c>
      <c r="AG765" s="56" t="s">
        <v>2957</v>
      </c>
      <c r="AH765" s="49" t="str">
        <f t="shared" si="53"/>
        <v>資金収支表分類マスター保守</v>
      </c>
      <c r="AI765" s="49"/>
      <c r="AJ765" s="49"/>
      <c r="AK765" s="49"/>
      <c r="AL765" s="49"/>
      <c r="AM765" s="49"/>
      <c r="AN765" s="49"/>
      <c r="AO765" s="51" t="str">
        <f t="shared" si="49"/>
        <v>摘要元帳</v>
      </c>
      <c r="AP765" s="51" t="str">
        <f t="shared" si="50"/>
        <v>AC1720A</v>
      </c>
      <c r="AQ765" s="51" t="s">
        <v>2925</v>
      </c>
      <c r="AR765" s="51" t="s">
        <v>2926</v>
      </c>
      <c r="AS765" s="49" t="str">
        <f t="shared" si="51"/>
        <v/>
      </c>
      <c r="AT765" s="49" t="str">
        <f t="shared" si="52"/>
        <v/>
      </c>
      <c r="AU765" s="49"/>
      <c r="AV765" s="49"/>
    </row>
    <row r="766" spans="1:48" ht="18" customHeight="1">
      <c r="A766" s="44">
        <v>764</v>
      </c>
      <c r="B766" s="52" t="s">
        <v>2702</v>
      </c>
      <c r="C766" s="80" t="s">
        <v>2951</v>
      </c>
      <c r="D766" s="78" t="s">
        <v>72</v>
      </c>
      <c r="E766" s="44" t="s">
        <v>2926</v>
      </c>
      <c r="F766" s="44" t="s">
        <v>2958</v>
      </c>
      <c r="G766" s="44"/>
      <c r="H766" s="44"/>
      <c r="I766" s="44"/>
      <c r="J766" s="47" t="s">
        <v>35</v>
      </c>
      <c r="K766" s="47"/>
      <c r="L766" s="47"/>
      <c r="M766" s="47"/>
      <c r="N766" s="47"/>
      <c r="O766" s="44"/>
      <c r="P766" s="44"/>
      <c r="Q766" s="48">
        <f>VLOOKUP(E766,sheet1!$B$2:$D$3209,3,FALSE)</f>
        <v>435</v>
      </c>
      <c r="R766" s="47" t="s">
        <v>35</v>
      </c>
      <c r="S766" s="47" t="s">
        <v>35</v>
      </c>
      <c r="T766" s="47"/>
      <c r="U766" s="47" t="s">
        <v>35</v>
      </c>
      <c r="V766" s="47" t="s">
        <v>35</v>
      </c>
      <c r="W766" s="47" t="s">
        <v>296</v>
      </c>
      <c r="X766" s="47" t="s">
        <v>296</v>
      </c>
      <c r="Y766" s="47"/>
      <c r="Z766" s="47" t="s">
        <v>296</v>
      </c>
      <c r="AA766" s="47" t="s">
        <v>296</v>
      </c>
      <c r="AB766" s="47"/>
      <c r="AC766" s="47" t="s">
        <v>35</v>
      </c>
      <c r="AD766" s="75"/>
      <c r="AE766" s="49"/>
      <c r="AF766" s="56" t="s">
        <v>2959</v>
      </c>
      <c r="AG766" s="56" t="s">
        <v>2960</v>
      </c>
      <c r="AH766" s="49" t="str">
        <f t="shared" si="53"/>
        <v>資金収支表印刷</v>
      </c>
      <c r="AI766" s="49"/>
      <c r="AJ766" s="49"/>
      <c r="AK766" s="49"/>
      <c r="AL766" s="49"/>
      <c r="AM766" s="49"/>
      <c r="AN766" s="49"/>
      <c r="AO766" s="51" t="str">
        <f t="shared" si="49"/>
        <v>部課元帳</v>
      </c>
      <c r="AP766" s="51" t="str">
        <f t="shared" si="50"/>
        <v>AC1730A</v>
      </c>
      <c r="AQ766" s="51" t="s">
        <v>2928</v>
      </c>
      <c r="AR766" s="51" t="s">
        <v>2929</v>
      </c>
      <c r="AS766" s="49" t="str">
        <f t="shared" si="51"/>
        <v/>
      </c>
      <c r="AT766" s="49" t="str">
        <f t="shared" si="52"/>
        <v/>
      </c>
      <c r="AU766" s="49"/>
      <c r="AV766" s="49"/>
    </row>
    <row r="767" spans="1:48" ht="18" customHeight="1">
      <c r="A767" s="44">
        <v>765</v>
      </c>
      <c r="B767" s="52" t="s">
        <v>2702</v>
      </c>
      <c r="C767" s="80" t="s">
        <v>2951</v>
      </c>
      <c r="D767" s="78" t="s">
        <v>72</v>
      </c>
      <c r="E767" s="44" t="s">
        <v>2929</v>
      </c>
      <c r="F767" s="44" t="s">
        <v>2961</v>
      </c>
      <c r="G767" s="44"/>
      <c r="H767" s="44"/>
      <c r="I767" s="44"/>
      <c r="J767" s="47" t="s">
        <v>35</v>
      </c>
      <c r="K767" s="47"/>
      <c r="L767" s="47"/>
      <c r="M767" s="47"/>
      <c r="N767" s="47"/>
      <c r="O767" s="44"/>
      <c r="P767" s="44"/>
      <c r="Q767" s="48">
        <f>VLOOKUP(E767,sheet1!$B$2:$D$3209,3,FALSE)</f>
        <v>351</v>
      </c>
      <c r="R767" s="47" t="s">
        <v>35</v>
      </c>
      <c r="S767" s="47" t="s">
        <v>35</v>
      </c>
      <c r="T767" s="47"/>
      <c r="U767" s="47" t="s">
        <v>35</v>
      </c>
      <c r="V767" s="47" t="s">
        <v>35</v>
      </c>
      <c r="W767" s="47" t="s">
        <v>35</v>
      </c>
      <c r="X767" s="47" t="s">
        <v>35</v>
      </c>
      <c r="Y767" s="47" t="s">
        <v>35</v>
      </c>
      <c r="Z767" s="47" t="s">
        <v>296</v>
      </c>
      <c r="AA767" s="47" t="s">
        <v>296</v>
      </c>
      <c r="AB767" s="47"/>
      <c r="AC767" s="47" t="s">
        <v>35</v>
      </c>
      <c r="AD767" s="75"/>
      <c r="AE767" s="49"/>
      <c r="AF767" s="56" t="s">
        <v>2962</v>
      </c>
      <c r="AG767" s="56" t="s">
        <v>344</v>
      </c>
      <c r="AH767" s="49" t="str">
        <f t="shared" si="53"/>
        <v>PL科目ﾃﾞｰﾀﾀﾞｳﾝﾛｰﾄﾞ</v>
      </c>
      <c r="AI767" s="49"/>
      <c r="AJ767" s="49"/>
      <c r="AK767" s="49"/>
      <c r="AL767" s="49"/>
      <c r="AM767" s="49"/>
      <c r="AN767" s="49"/>
      <c r="AO767" s="51" t="str">
        <f t="shared" si="49"/>
        <v>貸借対照表・損益計算書等</v>
      </c>
      <c r="AP767" s="51" t="str">
        <f t="shared" si="50"/>
        <v>AC1740A</v>
      </c>
      <c r="AQ767" s="51" t="s">
        <v>2930</v>
      </c>
      <c r="AR767" s="51" t="s">
        <v>2931</v>
      </c>
      <c r="AS767" s="49" t="str">
        <f t="shared" si="51"/>
        <v/>
      </c>
      <c r="AT767" s="49" t="str">
        <f t="shared" si="52"/>
        <v/>
      </c>
      <c r="AU767" s="49"/>
      <c r="AV767" s="49"/>
    </row>
    <row r="768" spans="1:48" ht="18" customHeight="1">
      <c r="A768" s="44">
        <v>766</v>
      </c>
      <c r="B768" s="52" t="s">
        <v>2702</v>
      </c>
      <c r="C768" s="80" t="s">
        <v>2951</v>
      </c>
      <c r="D768" s="78" t="s">
        <v>72</v>
      </c>
      <c r="E768" s="44" t="s">
        <v>2931</v>
      </c>
      <c r="F768" s="44" t="s">
        <v>2963</v>
      </c>
      <c r="G768" s="44"/>
      <c r="H768" s="44"/>
      <c r="I768" s="44"/>
      <c r="J768" s="47" t="s">
        <v>35</v>
      </c>
      <c r="K768" s="47"/>
      <c r="L768" s="47"/>
      <c r="M768" s="47"/>
      <c r="N768" s="47"/>
      <c r="O768" s="44"/>
      <c r="P768" s="44"/>
      <c r="Q768" s="48">
        <f>VLOOKUP(E768,sheet1!$B$2:$D$3209,3,FALSE)</f>
        <v>152</v>
      </c>
      <c r="R768" s="47" t="s">
        <v>35</v>
      </c>
      <c r="S768" s="47" t="s">
        <v>35</v>
      </c>
      <c r="T768" s="47"/>
      <c r="U768" s="47" t="s">
        <v>296</v>
      </c>
      <c r="V768" s="47" t="s">
        <v>296</v>
      </c>
      <c r="W768" s="47" t="s">
        <v>296</v>
      </c>
      <c r="X768" s="47" t="s">
        <v>296</v>
      </c>
      <c r="Y768" s="47"/>
      <c r="Z768" s="47" t="s">
        <v>296</v>
      </c>
      <c r="AA768" s="47" t="s">
        <v>296</v>
      </c>
      <c r="AB768" s="47"/>
      <c r="AC768" s="47" t="s">
        <v>35</v>
      </c>
      <c r="AD768" s="75"/>
      <c r="AE768" s="49"/>
      <c r="AF768" s="56" t="s">
        <v>2964</v>
      </c>
      <c r="AG768" s="56" t="s">
        <v>344</v>
      </c>
      <c r="AH768" s="49" t="str">
        <f t="shared" si="53"/>
        <v>BS科目ﾃﾞｰﾀﾀﾞｳﾝﾛｰﾄﾞ</v>
      </c>
      <c r="AI768" s="49"/>
      <c r="AJ768" s="49"/>
      <c r="AK768" s="49"/>
      <c r="AL768" s="49"/>
      <c r="AM768" s="49"/>
      <c r="AN768" s="49"/>
      <c r="AO768" s="51" t="str">
        <f t="shared" si="49"/>
        <v>業務別３部門振替金額合計表</v>
      </c>
      <c r="AP768" s="51" t="str">
        <f t="shared" si="50"/>
        <v>AC7015</v>
      </c>
      <c r="AQ768" s="51" t="s">
        <v>2935</v>
      </c>
      <c r="AR768" s="51" t="s">
        <v>2936</v>
      </c>
      <c r="AS768" s="49" t="str">
        <f t="shared" si="51"/>
        <v/>
      </c>
      <c r="AT768" s="49" t="str">
        <f t="shared" si="52"/>
        <v/>
      </c>
      <c r="AU768" s="49"/>
      <c r="AV768" s="49"/>
    </row>
    <row r="769" spans="1:48" ht="18" customHeight="1">
      <c r="A769" s="44">
        <v>767</v>
      </c>
      <c r="B769" s="52" t="s">
        <v>2702</v>
      </c>
      <c r="C769" s="80" t="s">
        <v>2951</v>
      </c>
      <c r="D769" s="78" t="s">
        <v>72</v>
      </c>
      <c r="E769" s="44" t="s">
        <v>2936</v>
      </c>
      <c r="F769" s="44" t="s">
        <v>2965</v>
      </c>
      <c r="G769" s="44"/>
      <c r="H769" s="44"/>
      <c r="I769" s="44"/>
      <c r="J769" s="47" t="s">
        <v>35</v>
      </c>
      <c r="K769" s="47"/>
      <c r="L769" s="47"/>
      <c r="M769" s="47"/>
      <c r="N769" s="47"/>
      <c r="O769" s="44"/>
      <c r="P769" s="44"/>
      <c r="Q769" s="48">
        <f>VLOOKUP(E769,sheet1!$B$2:$D$3209,3,FALSE)</f>
        <v>250</v>
      </c>
      <c r="R769" s="47" t="s">
        <v>35</v>
      </c>
      <c r="S769" s="47" t="s">
        <v>35</v>
      </c>
      <c r="T769" s="47"/>
      <c r="U769" s="47" t="s">
        <v>296</v>
      </c>
      <c r="V769" s="47" t="s">
        <v>296</v>
      </c>
      <c r="W769" s="47" t="s">
        <v>296</v>
      </c>
      <c r="X769" s="47" t="s">
        <v>296</v>
      </c>
      <c r="Y769" s="47"/>
      <c r="Z769" s="47" t="s">
        <v>296</v>
      </c>
      <c r="AA769" s="47" t="s">
        <v>296</v>
      </c>
      <c r="AB769" s="47"/>
      <c r="AC769" s="47" t="s">
        <v>35</v>
      </c>
      <c r="AD769" s="75"/>
      <c r="AE769" s="49"/>
      <c r="AF769" s="56" t="s">
        <v>2966</v>
      </c>
      <c r="AG769" s="56" t="s">
        <v>344</v>
      </c>
      <c r="AH769" s="49" t="str">
        <f t="shared" si="53"/>
        <v>BS科目ﾃﾞｰﾀﾀﾞｳﾝﾛｰﾄﾞ科目集計</v>
      </c>
      <c r="AI769" s="49"/>
      <c r="AJ769" s="49"/>
      <c r="AK769" s="49"/>
      <c r="AL769" s="49"/>
      <c r="AM769" s="49"/>
      <c r="AN769" s="49"/>
      <c r="AO769" s="51" t="str">
        <f t="shared" si="49"/>
        <v>勘定科目残高内訳表</v>
      </c>
      <c r="AP769" s="51" t="str">
        <f t="shared" si="50"/>
        <v>AC1760</v>
      </c>
      <c r="AQ769" s="51" t="s">
        <v>2938</v>
      </c>
      <c r="AR769" s="51" t="s">
        <v>2939</v>
      </c>
      <c r="AS769" s="49" t="str">
        <f t="shared" si="51"/>
        <v/>
      </c>
      <c r="AT769" s="49" t="str">
        <f t="shared" si="52"/>
        <v/>
      </c>
      <c r="AU769" s="49"/>
      <c r="AV769" s="49"/>
    </row>
    <row r="770" spans="1:48" ht="18" customHeight="1">
      <c r="A770" s="44">
        <v>768</v>
      </c>
      <c r="B770" s="52" t="s">
        <v>2702</v>
      </c>
      <c r="C770" s="80" t="s">
        <v>2951</v>
      </c>
      <c r="D770" s="78" t="s">
        <v>72</v>
      </c>
      <c r="E770" s="44" t="s">
        <v>2939</v>
      </c>
      <c r="F770" s="44" t="s">
        <v>2967</v>
      </c>
      <c r="G770" s="44"/>
      <c r="H770" s="44"/>
      <c r="I770" s="44"/>
      <c r="J770" s="47" t="s">
        <v>35</v>
      </c>
      <c r="K770" s="47"/>
      <c r="L770" s="47"/>
      <c r="M770" s="47"/>
      <c r="N770" s="47"/>
      <c r="O770" s="44"/>
      <c r="P770" s="44"/>
      <c r="Q770" s="48">
        <f>VLOOKUP(E770,sheet1!$B$2:$D$3209,3,FALSE)</f>
        <v>169</v>
      </c>
      <c r="R770" s="47" t="s">
        <v>35</v>
      </c>
      <c r="S770" s="47" t="s">
        <v>35</v>
      </c>
      <c r="T770" s="47"/>
      <c r="U770" s="47" t="s">
        <v>296</v>
      </c>
      <c r="V770" s="47" t="s">
        <v>296</v>
      </c>
      <c r="W770" s="47" t="s">
        <v>296</v>
      </c>
      <c r="X770" s="47" t="s">
        <v>296</v>
      </c>
      <c r="Y770" s="47"/>
      <c r="Z770" s="47" t="s">
        <v>296</v>
      </c>
      <c r="AA770" s="47" t="s">
        <v>296</v>
      </c>
      <c r="AB770" s="47"/>
      <c r="AC770" s="47" t="s">
        <v>35</v>
      </c>
      <c r="AD770" s="75"/>
      <c r="AE770" s="49"/>
      <c r="AF770" s="51" t="s">
        <v>2968</v>
      </c>
      <c r="AG770" s="51" t="s">
        <v>2969</v>
      </c>
      <c r="AH770" s="49" t="str">
        <f t="shared" si="53"/>
        <v>支払手形次月落込明細表</v>
      </c>
      <c r="AI770" s="49"/>
      <c r="AJ770" s="49"/>
      <c r="AK770" s="49"/>
      <c r="AL770" s="49"/>
      <c r="AM770" s="49"/>
      <c r="AN770" s="49"/>
      <c r="AO770" s="51" t="str">
        <f t="shared" si="49"/>
        <v>外貨建相手先元帳</v>
      </c>
      <c r="AP770" s="51" t="str">
        <f t="shared" si="50"/>
        <v>AC1973</v>
      </c>
      <c r="AQ770" s="51" t="s">
        <v>2941</v>
      </c>
      <c r="AR770" s="51" t="s">
        <v>2942</v>
      </c>
      <c r="AS770" s="49" t="str">
        <f t="shared" si="51"/>
        <v/>
      </c>
      <c r="AT770" s="49" t="str">
        <f t="shared" si="52"/>
        <v/>
      </c>
      <c r="AU770" s="49"/>
      <c r="AV770" s="49"/>
    </row>
    <row r="771" spans="1:48" ht="18" customHeight="1">
      <c r="A771" s="44">
        <v>769</v>
      </c>
      <c r="B771" s="52" t="s">
        <v>2702</v>
      </c>
      <c r="C771" s="80" t="s">
        <v>2951</v>
      </c>
      <c r="D771" s="78" t="s">
        <v>72</v>
      </c>
      <c r="E771" s="44" t="s">
        <v>2942</v>
      </c>
      <c r="F771" s="44" t="s">
        <v>2970</v>
      </c>
      <c r="G771" s="44"/>
      <c r="H771" s="44"/>
      <c r="I771" s="44"/>
      <c r="J771" s="47" t="s">
        <v>35</v>
      </c>
      <c r="K771" s="47"/>
      <c r="L771" s="47"/>
      <c r="M771" s="47"/>
      <c r="N771" s="47"/>
      <c r="O771" s="44"/>
      <c r="P771" s="44"/>
      <c r="Q771" s="48">
        <f>VLOOKUP(E771,sheet1!$B$2:$D$3209,3,FALSE)</f>
        <v>243</v>
      </c>
      <c r="R771" s="47" t="s">
        <v>35</v>
      </c>
      <c r="S771" s="47" t="s">
        <v>35</v>
      </c>
      <c r="T771" s="47"/>
      <c r="U771" s="47" t="s">
        <v>296</v>
      </c>
      <c r="V771" s="47" t="s">
        <v>296</v>
      </c>
      <c r="W771" s="47" t="s">
        <v>296</v>
      </c>
      <c r="X771" s="47" t="s">
        <v>296</v>
      </c>
      <c r="Y771" s="47"/>
      <c r="Z771" s="47" t="s">
        <v>296</v>
      </c>
      <c r="AA771" s="47" t="s">
        <v>296</v>
      </c>
      <c r="AB771" s="47"/>
      <c r="AC771" s="47" t="s">
        <v>35</v>
      </c>
      <c r="AD771" s="75"/>
      <c r="AE771" s="49"/>
      <c r="AF771" s="51" t="s">
        <v>2971</v>
      </c>
      <c r="AG771" s="51" t="s">
        <v>2972</v>
      </c>
      <c r="AH771" s="49" t="str">
        <f t="shared" si="53"/>
        <v>支払手形管理表 取引先・期日</v>
      </c>
      <c r="AI771" s="49"/>
      <c r="AJ771" s="49"/>
      <c r="AK771" s="49"/>
      <c r="AL771" s="49"/>
      <c r="AM771" s="49"/>
      <c r="AN771" s="49"/>
      <c r="AO771" s="51" t="str">
        <f t="shared" si="49"/>
        <v>振替伝票明細（科目・部課）</v>
      </c>
      <c r="AP771" s="51" t="str">
        <f t="shared" si="50"/>
        <v>AC1735</v>
      </c>
      <c r="AQ771" s="51" t="s">
        <v>2944</v>
      </c>
      <c r="AR771" s="51" t="s">
        <v>2945</v>
      </c>
      <c r="AS771" s="49" t="str">
        <f t="shared" si="51"/>
        <v/>
      </c>
      <c r="AT771" s="49" t="str">
        <f t="shared" si="52"/>
        <v/>
      </c>
      <c r="AU771" s="49"/>
      <c r="AV771" s="49"/>
    </row>
    <row r="772" spans="1:48" ht="18" customHeight="1">
      <c r="A772" s="44">
        <v>770</v>
      </c>
      <c r="B772" s="52" t="s">
        <v>2702</v>
      </c>
      <c r="C772" s="80" t="s">
        <v>2951</v>
      </c>
      <c r="D772" s="78" t="s">
        <v>72</v>
      </c>
      <c r="E772" s="44" t="s">
        <v>2945</v>
      </c>
      <c r="F772" s="44" t="s">
        <v>2973</v>
      </c>
      <c r="G772" s="44"/>
      <c r="H772" s="44"/>
      <c r="I772" s="44"/>
      <c r="J772" s="47" t="s">
        <v>35</v>
      </c>
      <c r="K772" s="47"/>
      <c r="L772" s="47"/>
      <c r="M772" s="47"/>
      <c r="N772" s="47"/>
      <c r="O772" s="44"/>
      <c r="P772" s="44"/>
      <c r="Q772" s="48">
        <f>VLOOKUP(E772,sheet1!$B$2:$D$3209,3,FALSE)</f>
        <v>484</v>
      </c>
      <c r="R772" s="47" t="s">
        <v>35</v>
      </c>
      <c r="S772" s="47" t="s">
        <v>35</v>
      </c>
      <c r="T772" s="47"/>
      <c r="U772" s="47" t="s">
        <v>35</v>
      </c>
      <c r="V772" s="47" t="s">
        <v>35</v>
      </c>
      <c r="W772" s="47" t="s">
        <v>296</v>
      </c>
      <c r="X772" s="47" t="s">
        <v>296</v>
      </c>
      <c r="Y772" s="47"/>
      <c r="Z772" s="47" t="s">
        <v>296</v>
      </c>
      <c r="AA772" s="47" t="s">
        <v>296</v>
      </c>
      <c r="AB772" s="47"/>
      <c r="AC772" s="47" t="s">
        <v>35</v>
      </c>
      <c r="AD772" s="75"/>
      <c r="AE772" s="49"/>
      <c r="AF772" s="51" t="s">
        <v>2974</v>
      </c>
      <c r="AG772" s="51" t="s">
        <v>2975</v>
      </c>
      <c r="AH772" s="49" t="str">
        <f t="shared" si="53"/>
        <v>支払手形管理表銀行・期日</v>
      </c>
      <c r="AI772" s="49"/>
      <c r="AJ772" s="49"/>
      <c r="AK772" s="49"/>
      <c r="AL772" s="49"/>
      <c r="AM772" s="49"/>
      <c r="AN772" s="49"/>
      <c r="AO772" s="51" t="str">
        <f t="shared" si="49"/>
        <v>振替伝票明細（科目・相手先）</v>
      </c>
      <c r="AP772" s="51" t="str">
        <f t="shared" si="50"/>
        <v>AC1715</v>
      </c>
      <c r="AQ772" s="51" t="s">
        <v>2946</v>
      </c>
      <c r="AR772" s="51" t="s">
        <v>2947</v>
      </c>
      <c r="AS772" s="49" t="str">
        <f t="shared" si="51"/>
        <v/>
      </c>
      <c r="AT772" s="49" t="str">
        <f t="shared" si="52"/>
        <v/>
      </c>
      <c r="AU772" s="49"/>
      <c r="AV772" s="49"/>
    </row>
    <row r="773" spans="1:48" ht="18" customHeight="1">
      <c r="A773" s="44">
        <v>771</v>
      </c>
      <c r="B773" s="52" t="s">
        <v>2702</v>
      </c>
      <c r="C773" s="80" t="s">
        <v>2951</v>
      </c>
      <c r="D773" s="78" t="s">
        <v>72</v>
      </c>
      <c r="E773" s="44" t="s">
        <v>2947</v>
      </c>
      <c r="F773" s="44" t="s">
        <v>2976</v>
      </c>
      <c r="G773" s="44"/>
      <c r="H773" s="44"/>
      <c r="I773" s="44"/>
      <c r="J773" s="47" t="s">
        <v>35</v>
      </c>
      <c r="K773" s="47"/>
      <c r="L773" s="47"/>
      <c r="M773" s="47"/>
      <c r="N773" s="47"/>
      <c r="O773" s="44"/>
      <c r="P773" s="44"/>
      <c r="Q773" s="48">
        <f>VLOOKUP(E773,sheet1!$B$2:$D$3209,3,FALSE)</f>
        <v>380</v>
      </c>
      <c r="R773" s="47" t="s">
        <v>35</v>
      </c>
      <c r="S773" s="47" t="s">
        <v>35</v>
      </c>
      <c r="T773" s="47"/>
      <c r="U773" s="47" t="s">
        <v>35</v>
      </c>
      <c r="V773" s="47" t="s">
        <v>35</v>
      </c>
      <c r="W773" s="47" t="s">
        <v>296</v>
      </c>
      <c r="X773" s="47" t="s">
        <v>296</v>
      </c>
      <c r="Y773" s="47"/>
      <c r="Z773" s="47" t="s">
        <v>296</v>
      </c>
      <c r="AA773" s="47" t="s">
        <v>296</v>
      </c>
      <c r="AB773" s="47"/>
      <c r="AC773" s="47" t="s">
        <v>35</v>
      </c>
      <c r="AD773" s="75"/>
      <c r="AE773" s="49"/>
      <c r="AF773" s="51" t="s">
        <v>2977</v>
      </c>
      <c r="AG773" s="51" t="s">
        <v>2978</v>
      </c>
      <c r="AH773" s="49" t="str">
        <f t="shared" si="53"/>
        <v>手形送付案内書</v>
      </c>
      <c r="AI773" s="49"/>
      <c r="AJ773" s="49"/>
      <c r="AK773" s="49"/>
      <c r="AL773" s="49"/>
      <c r="AM773" s="49"/>
      <c r="AN773" s="49"/>
      <c r="AO773" s="51" t="str">
        <f t="shared" si="49"/>
        <v>振替伝票明細（科目・摘要）</v>
      </c>
      <c r="AP773" s="51" t="str">
        <f t="shared" si="50"/>
        <v>AC1725</v>
      </c>
      <c r="AQ773" s="51" t="s">
        <v>2949</v>
      </c>
      <c r="AR773" s="51" t="s">
        <v>2950</v>
      </c>
      <c r="AS773" s="49" t="str">
        <f t="shared" si="51"/>
        <v/>
      </c>
      <c r="AT773" s="49" t="str">
        <f t="shared" si="52"/>
        <v/>
      </c>
      <c r="AU773" s="49"/>
      <c r="AV773" s="49"/>
    </row>
    <row r="774" spans="1:48" ht="18" customHeight="1">
      <c r="A774" s="44">
        <v>772</v>
      </c>
      <c r="B774" s="52" t="s">
        <v>2702</v>
      </c>
      <c r="C774" s="80" t="s">
        <v>2951</v>
      </c>
      <c r="D774" s="78" t="s">
        <v>72</v>
      </c>
      <c r="E774" s="44" t="s">
        <v>2950</v>
      </c>
      <c r="F774" s="44" t="s">
        <v>2979</v>
      </c>
      <c r="G774" s="44"/>
      <c r="H774" s="44"/>
      <c r="I774" s="44"/>
      <c r="J774" s="47" t="s">
        <v>35</v>
      </c>
      <c r="K774" s="47"/>
      <c r="L774" s="47"/>
      <c r="M774" s="47"/>
      <c r="N774" s="47"/>
      <c r="O774" s="44"/>
      <c r="P774" s="44"/>
      <c r="Q774" s="48">
        <f>VLOOKUP(E774,sheet1!$B$2:$D$3209,3,FALSE)</f>
        <v>380</v>
      </c>
      <c r="R774" s="47" t="s">
        <v>35</v>
      </c>
      <c r="S774" s="47" t="s">
        <v>35</v>
      </c>
      <c r="T774" s="47"/>
      <c r="U774" s="47" t="s">
        <v>35</v>
      </c>
      <c r="V774" s="47" t="s">
        <v>35</v>
      </c>
      <c r="W774" s="47" t="s">
        <v>296</v>
      </c>
      <c r="X774" s="47" t="s">
        <v>296</v>
      </c>
      <c r="Y774" s="47"/>
      <c r="Z774" s="47" t="s">
        <v>296</v>
      </c>
      <c r="AA774" s="47" t="s">
        <v>296</v>
      </c>
      <c r="AB774" s="47"/>
      <c r="AC774" s="47" t="s">
        <v>35</v>
      </c>
      <c r="AD774" s="75"/>
      <c r="AE774" s="49"/>
      <c r="AF774" s="51" t="s">
        <v>2980</v>
      </c>
      <c r="AG774" s="51" t="s">
        <v>2981</v>
      </c>
      <c r="AH774" s="49" t="str">
        <f t="shared" si="53"/>
        <v>支払手形発行一覧表</v>
      </c>
      <c r="AI774" s="49"/>
      <c r="AJ774" s="49"/>
      <c r="AK774" s="49"/>
      <c r="AL774" s="49"/>
      <c r="AM774" s="49"/>
      <c r="AN774" s="49"/>
      <c r="AO774" s="51" t="str">
        <f t="shared" si="49"/>
        <v>振替伝票集計表</v>
      </c>
      <c r="AP774" s="51" t="str">
        <f t="shared" si="50"/>
        <v>AC1765</v>
      </c>
      <c r="AQ774" s="51" t="s">
        <v>2953</v>
      </c>
      <c r="AR774" s="51" t="s">
        <v>2954</v>
      </c>
      <c r="AS774" s="49" t="str">
        <f t="shared" si="51"/>
        <v/>
      </c>
      <c r="AT774" s="49" t="str">
        <f t="shared" si="52"/>
        <v/>
      </c>
      <c r="AU774" s="49"/>
      <c r="AV774" s="49"/>
    </row>
    <row r="775" spans="1:48" ht="18" customHeight="1">
      <c r="A775" s="44">
        <v>773</v>
      </c>
      <c r="B775" s="52" t="s">
        <v>2702</v>
      </c>
      <c r="C775" s="80" t="s">
        <v>2951</v>
      </c>
      <c r="D775" s="78" t="s">
        <v>72</v>
      </c>
      <c r="E775" s="44" t="s">
        <v>2954</v>
      </c>
      <c r="F775" s="44" t="s">
        <v>2982</v>
      </c>
      <c r="G775" s="44"/>
      <c r="H775" s="44"/>
      <c r="I775" s="44"/>
      <c r="J775" s="47" t="s">
        <v>35</v>
      </c>
      <c r="K775" s="47"/>
      <c r="L775" s="47"/>
      <c r="M775" s="47"/>
      <c r="N775" s="47"/>
      <c r="O775" s="44"/>
      <c r="P775" s="44"/>
      <c r="Q775" s="48">
        <f>VLOOKUP(E775,sheet1!$B$2:$D$3209,3,FALSE)</f>
        <v>158</v>
      </c>
      <c r="R775" s="47" t="s">
        <v>35</v>
      </c>
      <c r="S775" s="47" t="s">
        <v>35</v>
      </c>
      <c r="T775" s="47"/>
      <c r="U775" s="47" t="s">
        <v>296</v>
      </c>
      <c r="V775" s="47" t="s">
        <v>35</v>
      </c>
      <c r="W775" s="47" t="s">
        <v>296</v>
      </c>
      <c r="X775" s="47" t="s">
        <v>296</v>
      </c>
      <c r="Y775" s="47"/>
      <c r="Z775" s="47" t="s">
        <v>296</v>
      </c>
      <c r="AA775" s="47" t="s">
        <v>296</v>
      </c>
      <c r="AB775" s="47"/>
      <c r="AC775" s="47" t="s">
        <v>35</v>
      </c>
      <c r="AD775" s="75"/>
      <c r="AE775" s="49"/>
      <c r="AF775" s="51" t="s">
        <v>2983</v>
      </c>
      <c r="AG775" s="51" t="s">
        <v>2984</v>
      </c>
      <c r="AH775" s="49" t="str">
        <f t="shared" si="53"/>
        <v>支払手形発行チェックリスト</v>
      </c>
      <c r="AI775" s="49"/>
      <c r="AJ775" s="49"/>
      <c r="AK775" s="49"/>
      <c r="AL775" s="49"/>
      <c r="AM775" s="49"/>
      <c r="AN775" s="49"/>
      <c r="AO775" s="51" t="str">
        <f t="shared" si="49"/>
        <v>資金収支表分類マスター保守</v>
      </c>
      <c r="AP775" s="51" t="str">
        <f t="shared" si="50"/>
        <v>AC1770</v>
      </c>
      <c r="AQ775" s="51" t="s">
        <v>2956</v>
      </c>
      <c r="AR775" s="51" t="s">
        <v>2957</v>
      </c>
      <c r="AS775" s="49" t="str">
        <f t="shared" si="51"/>
        <v/>
      </c>
      <c r="AT775" s="49" t="str">
        <f t="shared" si="52"/>
        <v/>
      </c>
      <c r="AU775" s="49"/>
      <c r="AV775" s="49"/>
    </row>
    <row r="776" spans="1:48" ht="18" customHeight="1">
      <c r="A776" s="44">
        <v>774</v>
      </c>
      <c r="B776" s="52" t="s">
        <v>2702</v>
      </c>
      <c r="C776" s="80" t="s">
        <v>2951</v>
      </c>
      <c r="D776" s="78" t="s">
        <v>72</v>
      </c>
      <c r="E776" s="44" t="s">
        <v>2957</v>
      </c>
      <c r="F776" s="44" t="s">
        <v>2985</v>
      </c>
      <c r="G776" s="44"/>
      <c r="H776" s="44"/>
      <c r="I776" s="44"/>
      <c r="J776" s="47" t="s">
        <v>35</v>
      </c>
      <c r="K776" s="47"/>
      <c r="L776" s="47"/>
      <c r="M776" s="47"/>
      <c r="N776" s="47"/>
      <c r="O776" s="44"/>
      <c r="P776" s="44"/>
      <c r="Q776" s="48">
        <f>VLOOKUP(E776,sheet1!$B$2:$D$3209,3,FALSE)</f>
        <v>996</v>
      </c>
      <c r="R776" s="47" t="s">
        <v>35</v>
      </c>
      <c r="S776" s="47" t="s">
        <v>35</v>
      </c>
      <c r="T776" s="47"/>
      <c r="U776" s="47" t="s">
        <v>296</v>
      </c>
      <c r="V776" s="47" t="s">
        <v>296</v>
      </c>
      <c r="W776" s="47" t="s">
        <v>296</v>
      </c>
      <c r="X776" s="47" t="s">
        <v>296</v>
      </c>
      <c r="Y776" s="47"/>
      <c r="Z776" s="47" t="s">
        <v>296</v>
      </c>
      <c r="AA776" s="47" t="s">
        <v>296</v>
      </c>
      <c r="AB776" s="47"/>
      <c r="AC776" s="47" t="s">
        <v>35</v>
      </c>
      <c r="AD776" s="75"/>
      <c r="AE776" s="49"/>
      <c r="AF776" s="51" t="s">
        <v>2986</v>
      </c>
      <c r="AG776" s="51" t="s">
        <v>2987</v>
      </c>
      <c r="AH776" s="49" t="str">
        <f t="shared" si="53"/>
        <v>支払手形発行</v>
      </c>
      <c r="AI776" s="49"/>
      <c r="AJ776" s="49"/>
      <c r="AK776" s="49"/>
      <c r="AL776" s="49"/>
      <c r="AM776" s="49"/>
      <c r="AN776" s="49"/>
      <c r="AO776" s="51" t="str">
        <f t="shared" si="49"/>
        <v>資金収支表印刷</v>
      </c>
      <c r="AP776" s="51" t="str">
        <f t="shared" si="50"/>
        <v>AC1780</v>
      </c>
      <c r="AQ776" s="51" t="s">
        <v>2959</v>
      </c>
      <c r="AR776" s="51" t="s">
        <v>2960</v>
      </c>
      <c r="AS776" s="49" t="str">
        <f t="shared" si="51"/>
        <v/>
      </c>
      <c r="AT776" s="49" t="str">
        <f t="shared" si="52"/>
        <v/>
      </c>
      <c r="AU776" s="49"/>
      <c r="AV776" s="49"/>
    </row>
    <row r="777" spans="1:48" ht="18" customHeight="1">
      <c r="A777" s="44">
        <v>775</v>
      </c>
      <c r="B777" s="52" t="s">
        <v>2702</v>
      </c>
      <c r="C777" s="80" t="s">
        <v>2951</v>
      </c>
      <c r="D777" s="78" t="s">
        <v>72</v>
      </c>
      <c r="E777" s="44" t="s">
        <v>2960</v>
      </c>
      <c r="F777" s="44" t="s">
        <v>2988</v>
      </c>
      <c r="G777" s="44"/>
      <c r="H777" s="44"/>
      <c r="I777" s="44"/>
      <c r="J777" s="47" t="s">
        <v>35</v>
      </c>
      <c r="K777" s="47"/>
      <c r="L777" s="47"/>
      <c r="M777" s="47"/>
      <c r="N777" s="47"/>
      <c r="O777" s="44"/>
      <c r="P777" s="44"/>
      <c r="Q777" s="48">
        <f>VLOOKUP(E777,sheet1!$B$2:$D$3209,3,FALSE)</f>
        <v>135</v>
      </c>
      <c r="R777" s="47" t="s">
        <v>35</v>
      </c>
      <c r="S777" s="47" t="s">
        <v>35</v>
      </c>
      <c r="T777" s="47"/>
      <c r="U777" s="47" t="s">
        <v>296</v>
      </c>
      <c r="V777" s="47" t="s">
        <v>296</v>
      </c>
      <c r="W777" s="47" t="s">
        <v>296</v>
      </c>
      <c r="X777" s="47" t="s">
        <v>296</v>
      </c>
      <c r="Y777" s="47"/>
      <c r="Z777" s="47" t="s">
        <v>296</v>
      </c>
      <c r="AA777" s="47" t="s">
        <v>296</v>
      </c>
      <c r="AB777" s="47"/>
      <c r="AC777" s="47" t="s">
        <v>35</v>
      </c>
      <c r="AD777" s="75"/>
      <c r="AE777" s="49"/>
      <c r="AF777" s="51" t="s">
        <v>2989</v>
      </c>
      <c r="AG777" s="51" t="s">
        <v>2990</v>
      </c>
      <c r="AH777" s="49" t="str">
        <f t="shared" si="53"/>
        <v>支払手形再発行　前準備</v>
      </c>
      <c r="AI777" s="49"/>
      <c r="AJ777" s="49"/>
      <c r="AK777" s="49"/>
      <c r="AL777" s="49"/>
      <c r="AM777" s="49"/>
      <c r="AN777" s="49"/>
      <c r="AO777" s="51" t="str">
        <f t="shared" si="49"/>
        <v>PL科目ﾃﾞｰﾀﾀﾞｳﾝﾛｰﾄﾞ</v>
      </c>
      <c r="AP777" s="51" t="str">
        <f t="shared" si="50"/>
        <v>Query</v>
      </c>
      <c r="AQ777" s="51" t="s">
        <v>2962</v>
      </c>
      <c r="AR777" s="51" t="s">
        <v>344</v>
      </c>
      <c r="AS777" s="49" t="str">
        <f t="shared" si="51"/>
        <v/>
      </c>
      <c r="AT777" s="49" t="str">
        <f t="shared" si="52"/>
        <v/>
      </c>
      <c r="AU777" s="49"/>
      <c r="AV777" s="49"/>
    </row>
    <row r="778" spans="1:48" ht="18" customHeight="1">
      <c r="A778" s="44">
        <v>776</v>
      </c>
      <c r="B778" s="52" t="s">
        <v>2702</v>
      </c>
      <c r="C778" s="80" t="s">
        <v>2951</v>
      </c>
      <c r="D778" s="78" t="s">
        <v>72</v>
      </c>
      <c r="E778" s="44" t="s">
        <v>344</v>
      </c>
      <c r="F778" s="44" t="s">
        <v>2991</v>
      </c>
      <c r="G778" s="44"/>
      <c r="H778" s="44"/>
      <c r="I778" s="44"/>
      <c r="J778" s="47"/>
      <c r="K778" s="47" t="s">
        <v>35</v>
      </c>
      <c r="L778" s="47"/>
      <c r="M778" s="47"/>
      <c r="N778" s="47"/>
      <c r="O778" s="44"/>
      <c r="P778" s="44"/>
      <c r="Q778" s="48" t="e">
        <f>VLOOKUP(E778,sheet1!$B$2:$D$3209,3,FALSE)</f>
        <v>#N/A</v>
      </c>
      <c r="R778" s="47" t="s">
        <v>35</v>
      </c>
      <c r="S778" s="47" t="s">
        <v>35</v>
      </c>
      <c r="T778" s="47"/>
      <c r="U778" s="47" t="s">
        <v>296</v>
      </c>
      <c r="V778" s="47" t="s">
        <v>296</v>
      </c>
      <c r="W778" s="47" t="s">
        <v>296</v>
      </c>
      <c r="X778" s="47" t="s">
        <v>296</v>
      </c>
      <c r="Y778" s="47"/>
      <c r="Z778" s="47" t="s">
        <v>296</v>
      </c>
      <c r="AA778" s="47" t="s">
        <v>296</v>
      </c>
      <c r="AB778" s="47"/>
      <c r="AC778" s="47" t="s">
        <v>35</v>
      </c>
      <c r="AD778" s="75"/>
      <c r="AE778" s="49"/>
      <c r="AF778" s="51" t="s">
        <v>2992</v>
      </c>
      <c r="AG778" s="51" t="s">
        <v>2993</v>
      </c>
      <c r="AH778" s="49" t="str">
        <f t="shared" si="53"/>
        <v>期日別支払手形集計表</v>
      </c>
      <c r="AI778" s="49"/>
      <c r="AJ778" s="49"/>
      <c r="AK778" s="49"/>
      <c r="AL778" s="49"/>
      <c r="AM778" s="49"/>
      <c r="AN778" s="49"/>
      <c r="AO778" s="51" t="str">
        <f t="shared" si="49"/>
        <v>BS科目ﾃﾞｰﾀﾀﾞｳﾝﾛｰﾄﾞ</v>
      </c>
      <c r="AP778" s="51" t="str">
        <f t="shared" si="50"/>
        <v>Query</v>
      </c>
      <c r="AQ778" s="51" t="s">
        <v>2964</v>
      </c>
      <c r="AR778" s="51" t="s">
        <v>344</v>
      </c>
      <c r="AS778" s="49" t="str">
        <f t="shared" si="51"/>
        <v/>
      </c>
      <c r="AT778" s="49" t="str">
        <f t="shared" si="52"/>
        <v/>
      </c>
      <c r="AU778" s="49"/>
      <c r="AV778" s="49"/>
    </row>
    <row r="779" spans="1:48" ht="18" customHeight="1">
      <c r="A779" s="44">
        <v>777</v>
      </c>
      <c r="B779" s="52" t="s">
        <v>2702</v>
      </c>
      <c r="C779" s="80" t="s">
        <v>2951</v>
      </c>
      <c r="D779" s="78" t="s">
        <v>72</v>
      </c>
      <c r="E779" s="44" t="s">
        <v>344</v>
      </c>
      <c r="F779" s="44" t="s">
        <v>2994</v>
      </c>
      <c r="G779" s="44"/>
      <c r="H779" s="44"/>
      <c r="I779" s="44"/>
      <c r="J779" s="47"/>
      <c r="K779" s="47" t="s">
        <v>35</v>
      </c>
      <c r="L779" s="47"/>
      <c r="M779" s="47"/>
      <c r="N779" s="47"/>
      <c r="O779" s="44"/>
      <c r="P779" s="44"/>
      <c r="Q779" s="48" t="e">
        <f>VLOOKUP(E779,sheet1!$B$2:$D$3209,3,FALSE)</f>
        <v>#N/A</v>
      </c>
      <c r="R779" s="47" t="s">
        <v>35</v>
      </c>
      <c r="S779" s="47" t="s">
        <v>35</v>
      </c>
      <c r="T779" s="47"/>
      <c r="U779" s="47" t="s">
        <v>296</v>
      </c>
      <c r="V779" s="47" t="s">
        <v>296</v>
      </c>
      <c r="W779" s="47" t="s">
        <v>296</v>
      </c>
      <c r="X779" s="47" t="s">
        <v>296</v>
      </c>
      <c r="Y779" s="47"/>
      <c r="Z779" s="47" t="s">
        <v>296</v>
      </c>
      <c r="AA779" s="47" t="s">
        <v>296</v>
      </c>
      <c r="AB779" s="47"/>
      <c r="AC779" s="47" t="s">
        <v>35</v>
      </c>
      <c r="AD779" s="75"/>
      <c r="AE779" s="49"/>
      <c r="AF779" s="51" t="s">
        <v>2995</v>
      </c>
      <c r="AG779" s="51" t="s">
        <v>2996</v>
      </c>
      <c r="AH779" s="49" t="str">
        <f t="shared" si="53"/>
        <v>買掛金代行区分別期日引落</v>
      </c>
      <c r="AI779" s="49"/>
      <c r="AJ779" s="49"/>
      <c r="AK779" s="49"/>
      <c r="AL779" s="49"/>
      <c r="AM779" s="49"/>
      <c r="AN779" s="49"/>
      <c r="AO779" s="51" t="str">
        <f t="shared" si="49"/>
        <v>BS科目ﾃﾞｰﾀﾀﾞｳﾝﾛｰﾄﾞ科目集計</v>
      </c>
      <c r="AP779" s="51" t="str">
        <f t="shared" si="50"/>
        <v>Query</v>
      </c>
      <c r="AQ779" s="51" t="s">
        <v>2966</v>
      </c>
      <c r="AR779" s="51" t="s">
        <v>344</v>
      </c>
      <c r="AS779" s="49" t="str">
        <f t="shared" si="51"/>
        <v/>
      </c>
      <c r="AT779" s="49" t="str">
        <f t="shared" si="52"/>
        <v/>
      </c>
      <c r="AU779" s="49"/>
      <c r="AV779" s="49"/>
    </row>
    <row r="780" spans="1:48" ht="18" customHeight="1">
      <c r="A780" s="44">
        <v>778</v>
      </c>
      <c r="B780" s="52" t="s">
        <v>2702</v>
      </c>
      <c r="C780" s="80" t="s">
        <v>2951</v>
      </c>
      <c r="D780" s="46" t="s">
        <v>72</v>
      </c>
      <c r="E780" s="44" t="s">
        <v>344</v>
      </c>
      <c r="F780" s="44" t="s">
        <v>2997</v>
      </c>
      <c r="G780" s="44"/>
      <c r="H780" s="44"/>
      <c r="I780" s="44"/>
      <c r="J780" s="47"/>
      <c r="K780" s="47" t="s">
        <v>35</v>
      </c>
      <c r="L780" s="47"/>
      <c r="M780" s="47"/>
      <c r="N780" s="47"/>
      <c r="O780" s="44"/>
      <c r="P780" s="44"/>
      <c r="Q780" s="48" t="e">
        <f>VLOOKUP(E780,sheet1!$B$2:$D$3209,3,FALSE)</f>
        <v>#N/A</v>
      </c>
      <c r="R780" s="47" t="s">
        <v>35</v>
      </c>
      <c r="S780" s="47" t="s">
        <v>35</v>
      </c>
      <c r="T780" s="47"/>
      <c r="U780" s="47" t="s">
        <v>296</v>
      </c>
      <c r="V780" s="47" t="s">
        <v>296</v>
      </c>
      <c r="W780" s="47" t="s">
        <v>296</v>
      </c>
      <c r="X780" s="47" t="s">
        <v>296</v>
      </c>
      <c r="Y780" s="47"/>
      <c r="Z780" s="47" t="s">
        <v>296</v>
      </c>
      <c r="AA780" s="47" t="s">
        <v>296</v>
      </c>
      <c r="AB780" s="47"/>
      <c r="AC780" s="47" t="s">
        <v>35</v>
      </c>
      <c r="AD780" s="75"/>
      <c r="AE780" s="49"/>
      <c r="AF780" s="51" t="s">
        <v>2998</v>
      </c>
      <c r="AG780" s="51" t="s">
        <v>2999</v>
      </c>
      <c r="AH780" s="49" t="str">
        <f t="shared" si="53"/>
        <v>支払代行ＣＦ移行処理</v>
      </c>
      <c r="AI780" s="49"/>
      <c r="AJ780" s="49"/>
      <c r="AK780" s="49"/>
      <c r="AL780" s="49"/>
      <c r="AM780" s="49"/>
      <c r="AN780" s="49"/>
      <c r="AO780" s="51" t="str">
        <f t="shared" si="49"/>
        <v>支払手形次月落込明細表</v>
      </c>
      <c r="AP780" s="51" t="str">
        <f t="shared" si="50"/>
        <v>AC5200</v>
      </c>
      <c r="AQ780" s="51" t="s">
        <v>2968</v>
      </c>
      <c r="AR780" s="51" t="s">
        <v>2969</v>
      </c>
      <c r="AS780" s="49" t="str">
        <f t="shared" si="51"/>
        <v/>
      </c>
      <c r="AT780" s="49" t="str">
        <f t="shared" si="52"/>
        <v/>
      </c>
      <c r="AU780" s="49"/>
      <c r="AV780" s="49"/>
    </row>
    <row r="781" spans="1:48" ht="18" customHeight="1">
      <c r="A781" s="44">
        <v>779</v>
      </c>
      <c r="B781" s="52" t="s">
        <v>2702</v>
      </c>
      <c r="C781" s="45" t="s">
        <v>3000</v>
      </c>
      <c r="D781" s="46" t="s">
        <v>72</v>
      </c>
      <c r="E781" s="44" t="s">
        <v>2969</v>
      </c>
      <c r="F781" s="44" t="s">
        <v>3001</v>
      </c>
      <c r="G781" s="44"/>
      <c r="H781" s="44"/>
      <c r="I781" s="44"/>
      <c r="J781" s="47" t="s">
        <v>35</v>
      </c>
      <c r="K781" s="47"/>
      <c r="L781" s="47"/>
      <c r="M781" s="47"/>
      <c r="N781" s="47"/>
      <c r="O781" s="44"/>
      <c r="P781" s="44"/>
      <c r="Q781" s="48">
        <f>VLOOKUP(E781,sheet1!$B$2:$D$3209,3,FALSE)</f>
        <v>382</v>
      </c>
      <c r="R781" s="47" t="s">
        <v>35</v>
      </c>
      <c r="S781" s="47" t="s">
        <v>35</v>
      </c>
      <c r="T781" s="47"/>
      <c r="U781" s="47" t="s">
        <v>296</v>
      </c>
      <c r="V781" s="47" t="s">
        <v>296</v>
      </c>
      <c r="W781" s="47" t="s">
        <v>296</v>
      </c>
      <c r="X781" s="47" t="s">
        <v>296</v>
      </c>
      <c r="Y781" s="47"/>
      <c r="Z781" s="47" t="s">
        <v>296</v>
      </c>
      <c r="AA781" s="47" t="s">
        <v>296</v>
      </c>
      <c r="AB781" s="47"/>
      <c r="AC781" s="47" t="s">
        <v>35</v>
      </c>
      <c r="AD781" s="75"/>
      <c r="AE781" s="49"/>
      <c r="AF781" s="51" t="s">
        <v>3002</v>
      </c>
      <c r="AG781" s="51" t="s">
        <v>3003</v>
      </c>
      <c r="AH781" s="49" t="str">
        <f t="shared" si="53"/>
        <v>支払代行買取反映処理</v>
      </c>
      <c r="AI781" s="49"/>
      <c r="AJ781" s="49"/>
      <c r="AK781" s="49"/>
      <c r="AL781" s="49"/>
      <c r="AM781" s="49"/>
      <c r="AN781" s="49"/>
      <c r="AO781" s="51" t="str">
        <f t="shared" si="49"/>
        <v>支払手形管理表 取引先・期日</v>
      </c>
      <c r="AP781" s="51" t="str">
        <f t="shared" si="50"/>
        <v>AC5300</v>
      </c>
      <c r="AQ781" s="51" t="s">
        <v>2971</v>
      </c>
      <c r="AR781" s="51" t="s">
        <v>2972</v>
      </c>
      <c r="AS781" s="49" t="str">
        <f t="shared" si="51"/>
        <v/>
      </c>
      <c r="AT781" s="49" t="str">
        <f t="shared" si="52"/>
        <v/>
      </c>
      <c r="AU781" s="49"/>
      <c r="AV781" s="49"/>
    </row>
    <row r="782" spans="1:48" ht="18" customHeight="1">
      <c r="A782" s="44">
        <v>780</v>
      </c>
      <c r="B782" s="52" t="s">
        <v>2702</v>
      </c>
      <c r="C782" s="52" t="s">
        <v>3000</v>
      </c>
      <c r="D782" s="46" t="s">
        <v>72</v>
      </c>
      <c r="E782" s="44" t="s">
        <v>2972</v>
      </c>
      <c r="F782" s="44" t="s">
        <v>3004</v>
      </c>
      <c r="G782" s="44"/>
      <c r="H782" s="44"/>
      <c r="I782" s="44"/>
      <c r="J782" s="47" t="s">
        <v>35</v>
      </c>
      <c r="K782" s="47"/>
      <c r="L782" s="47"/>
      <c r="M782" s="47"/>
      <c r="N782" s="47"/>
      <c r="O782" s="44"/>
      <c r="P782" s="44"/>
      <c r="Q782" s="48">
        <f>VLOOKUP(E782,sheet1!$B$2:$D$3209,3,FALSE)</f>
        <v>534</v>
      </c>
      <c r="R782" s="47" t="s">
        <v>35</v>
      </c>
      <c r="S782" s="47" t="s">
        <v>35</v>
      </c>
      <c r="T782" s="47"/>
      <c r="U782" s="47" t="s">
        <v>296</v>
      </c>
      <c r="V782" s="47" t="s">
        <v>296</v>
      </c>
      <c r="W782" s="47" t="s">
        <v>296</v>
      </c>
      <c r="X782" s="47" t="s">
        <v>296</v>
      </c>
      <c r="Y782" s="47"/>
      <c r="Z782" s="47" t="s">
        <v>296</v>
      </c>
      <c r="AA782" s="47" t="s">
        <v>296</v>
      </c>
      <c r="AB782" s="47"/>
      <c r="AC782" s="47" t="s">
        <v>35</v>
      </c>
      <c r="AD782" s="75"/>
      <c r="AE782" s="49"/>
      <c r="AF782" s="51" t="s">
        <v>3005</v>
      </c>
      <c r="AG782" s="51" t="s">
        <v>3006</v>
      </c>
      <c r="AH782" s="49" t="str">
        <f t="shared" si="53"/>
        <v>支払代行データダウンロード</v>
      </c>
      <c r="AI782" s="49"/>
      <c r="AJ782" s="49"/>
      <c r="AK782" s="49"/>
      <c r="AL782" s="49"/>
      <c r="AM782" s="49"/>
      <c r="AN782" s="49"/>
      <c r="AO782" s="51" t="str">
        <f t="shared" si="49"/>
        <v>支払手形管理表銀行・期日</v>
      </c>
      <c r="AP782" s="51" t="str">
        <f t="shared" si="50"/>
        <v>AC5400</v>
      </c>
      <c r="AQ782" s="51" t="s">
        <v>2974</v>
      </c>
      <c r="AR782" s="51" t="s">
        <v>2975</v>
      </c>
      <c r="AS782" s="49" t="str">
        <f t="shared" si="51"/>
        <v/>
      </c>
      <c r="AT782" s="49" t="str">
        <f t="shared" si="52"/>
        <v/>
      </c>
      <c r="AU782" s="49"/>
      <c r="AV782" s="49"/>
    </row>
    <row r="783" spans="1:48" ht="18" customHeight="1">
      <c r="A783" s="44">
        <v>781</v>
      </c>
      <c r="B783" s="52" t="s">
        <v>2702</v>
      </c>
      <c r="C783" s="52" t="s">
        <v>3000</v>
      </c>
      <c r="D783" s="46" t="s">
        <v>72</v>
      </c>
      <c r="E783" s="44" t="s">
        <v>2975</v>
      </c>
      <c r="F783" s="44" t="s">
        <v>3007</v>
      </c>
      <c r="G783" s="44"/>
      <c r="H783" s="44"/>
      <c r="I783" s="44"/>
      <c r="J783" s="47" t="s">
        <v>35</v>
      </c>
      <c r="K783" s="47"/>
      <c r="L783" s="47"/>
      <c r="M783" s="47"/>
      <c r="N783" s="47"/>
      <c r="O783" s="44"/>
      <c r="P783" s="44"/>
      <c r="Q783" s="48">
        <f>VLOOKUP(E783,sheet1!$B$2:$D$3209,3,FALSE)</f>
        <v>497</v>
      </c>
      <c r="R783" s="47" t="s">
        <v>35</v>
      </c>
      <c r="S783" s="47" t="s">
        <v>35</v>
      </c>
      <c r="T783" s="47"/>
      <c r="U783" s="47" t="s">
        <v>296</v>
      </c>
      <c r="V783" s="47" t="s">
        <v>296</v>
      </c>
      <c r="W783" s="47" t="s">
        <v>296</v>
      </c>
      <c r="X783" s="47" t="s">
        <v>296</v>
      </c>
      <c r="Y783" s="47"/>
      <c r="Z783" s="47" t="s">
        <v>296</v>
      </c>
      <c r="AA783" s="47" t="s">
        <v>296</v>
      </c>
      <c r="AB783" s="47"/>
      <c r="AC783" s="47" t="s">
        <v>35</v>
      </c>
      <c r="AD783" s="75"/>
      <c r="AE783" s="49"/>
      <c r="AF783" s="51" t="s">
        <v>3008</v>
      </c>
      <c r="AG783" s="51" t="s">
        <v>344</v>
      </c>
      <c r="AH783" s="49" t="str">
        <f t="shared" si="53"/>
        <v>支払代行ＣＦ移行一覧</v>
      </c>
      <c r="AI783" s="49"/>
      <c r="AJ783" s="49"/>
      <c r="AK783" s="49"/>
      <c r="AL783" s="49"/>
      <c r="AM783" s="49"/>
      <c r="AN783" s="49"/>
      <c r="AO783" s="51" t="str">
        <f t="shared" si="49"/>
        <v>手形送付案内書</v>
      </c>
      <c r="AP783" s="51" t="str">
        <f t="shared" si="50"/>
        <v>AC5500</v>
      </c>
      <c r="AQ783" s="51" t="s">
        <v>2977</v>
      </c>
      <c r="AR783" s="51" t="s">
        <v>2978</v>
      </c>
      <c r="AS783" s="49" t="str">
        <f t="shared" si="51"/>
        <v/>
      </c>
      <c r="AT783" s="49" t="str">
        <f t="shared" si="52"/>
        <v/>
      </c>
      <c r="AU783" s="49"/>
      <c r="AV783" s="49"/>
    </row>
    <row r="784" spans="1:48" ht="18" customHeight="1">
      <c r="A784" s="44">
        <v>782</v>
      </c>
      <c r="B784" s="52" t="s">
        <v>2702</v>
      </c>
      <c r="C784" s="52" t="s">
        <v>3000</v>
      </c>
      <c r="D784" s="46" t="s">
        <v>72</v>
      </c>
      <c r="E784" s="44" t="s">
        <v>2978</v>
      </c>
      <c r="F784" s="44" t="s">
        <v>3009</v>
      </c>
      <c r="G784" s="44"/>
      <c r="H784" s="44"/>
      <c r="I784" s="44"/>
      <c r="J784" s="47" t="s">
        <v>35</v>
      </c>
      <c r="K784" s="47"/>
      <c r="L784" s="47"/>
      <c r="M784" s="47"/>
      <c r="N784" s="47"/>
      <c r="O784" s="44"/>
      <c r="P784" s="44"/>
      <c r="Q784" s="48">
        <f>VLOOKUP(E784,sheet1!$B$2:$D$3209,3,FALSE)</f>
        <v>521</v>
      </c>
      <c r="R784" s="47" t="s">
        <v>35</v>
      </c>
      <c r="S784" s="47" t="s">
        <v>35</v>
      </c>
      <c r="T784" s="47"/>
      <c r="U784" s="47" t="s">
        <v>296</v>
      </c>
      <c r="V784" s="47" t="s">
        <v>296</v>
      </c>
      <c r="W784" s="47" t="s">
        <v>296</v>
      </c>
      <c r="X784" s="47" t="s">
        <v>296</v>
      </c>
      <c r="Y784" s="47"/>
      <c r="Z784" s="47" t="s">
        <v>296</v>
      </c>
      <c r="AA784" s="47" t="s">
        <v>296</v>
      </c>
      <c r="AB784" s="47"/>
      <c r="AC784" s="47" t="s">
        <v>35</v>
      </c>
      <c r="AD784" s="75"/>
      <c r="AE784" s="49"/>
      <c r="AF784" s="51" t="s">
        <v>3010</v>
      </c>
      <c r="AG784" s="51" t="s">
        <v>3011</v>
      </c>
      <c r="AH784" s="49" t="str">
        <f t="shared" si="53"/>
        <v>支払手形データ明細データ作成</v>
      </c>
      <c r="AI784" s="49"/>
      <c r="AJ784" s="49"/>
      <c r="AK784" s="49"/>
      <c r="AL784" s="49"/>
      <c r="AM784" s="49"/>
      <c r="AN784" s="49"/>
      <c r="AO784" s="51" t="str">
        <f t="shared" si="49"/>
        <v>支払手形発行一覧表</v>
      </c>
      <c r="AP784" s="51" t="str">
        <f t="shared" si="50"/>
        <v>AC510L</v>
      </c>
      <c r="AQ784" s="51" t="s">
        <v>2980</v>
      </c>
      <c r="AR784" s="51" t="s">
        <v>2981</v>
      </c>
      <c r="AS784" s="49" t="str">
        <f t="shared" si="51"/>
        <v/>
      </c>
      <c r="AT784" s="49" t="str">
        <f t="shared" si="52"/>
        <v/>
      </c>
      <c r="AU784" s="49"/>
      <c r="AV784" s="49"/>
    </row>
    <row r="785" spans="1:48" ht="18" customHeight="1">
      <c r="A785" s="44">
        <v>783</v>
      </c>
      <c r="B785" s="52" t="s">
        <v>2702</v>
      </c>
      <c r="C785" s="52" t="s">
        <v>3000</v>
      </c>
      <c r="D785" s="46" t="s">
        <v>72</v>
      </c>
      <c r="E785" s="44" t="s">
        <v>2981</v>
      </c>
      <c r="F785" s="44" t="s">
        <v>3012</v>
      </c>
      <c r="G785" s="44"/>
      <c r="H785" s="44"/>
      <c r="I785" s="44"/>
      <c r="J785" s="47" t="s">
        <v>35</v>
      </c>
      <c r="K785" s="47"/>
      <c r="L785" s="47"/>
      <c r="M785" s="47"/>
      <c r="N785" s="47"/>
      <c r="O785" s="44"/>
      <c r="P785" s="44"/>
      <c r="Q785" s="48">
        <f>VLOOKUP(E785,sheet1!$B$2:$D$3209,3,FALSE)</f>
        <v>704</v>
      </c>
      <c r="R785" s="47" t="s">
        <v>35</v>
      </c>
      <c r="S785" s="47" t="s">
        <v>35</v>
      </c>
      <c r="T785" s="47"/>
      <c r="U785" s="47" t="s">
        <v>296</v>
      </c>
      <c r="V785" s="47" t="s">
        <v>296</v>
      </c>
      <c r="W785" s="47" t="s">
        <v>296</v>
      </c>
      <c r="X785" s="47" t="s">
        <v>296</v>
      </c>
      <c r="Y785" s="47"/>
      <c r="Z785" s="47" t="s">
        <v>296</v>
      </c>
      <c r="AA785" s="47" t="s">
        <v>296</v>
      </c>
      <c r="AB785" s="47"/>
      <c r="AC785" s="47" t="s">
        <v>35</v>
      </c>
      <c r="AD785" s="75"/>
      <c r="AE785" s="49"/>
      <c r="AF785" s="51" t="s">
        <v>3013</v>
      </c>
      <c r="AG785" s="51" t="s">
        <v>3014</v>
      </c>
      <c r="AH785" s="49" t="str">
        <f t="shared" si="53"/>
        <v>期日別支払手形明細書</v>
      </c>
      <c r="AI785" s="49"/>
      <c r="AJ785" s="49"/>
      <c r="AK785" s="49"/>
      <c r="AL785" s="49"/>
      <c r="AM785" s="49"/>
      <c r="AN785" s="49"/>
      <c r="AO785" s="51" t="str">
        <f t="shared" si="49"/>
        <v>支払手形発行チェックリスト</v>
      </c>
      <c r="AP785" s="51" t="str">
        <f t="shared" si="50"/>
        <v>AC515L</v>
      </c>
      <c r="AQ785" s="51" t="s">
        <v>2983</v>
      </c>
      <c r="AR785" s="51" t="s">
        <v>2984</v>
      </c>
      <c r="AS785" s="49" t="str">
        <f t="shared" si="51"/>
        <v/>
      </c>
      <c r="AT785" s="49" t="str">
        <f t="shared" si="52"/>
        <v/>
      </c>
      <c r="AU785" s="49"/>
      <c r="AV785" s="49"/>
    </row>
    <row r="786" spans="1:48" ht="18" customHeight="1">
      <c r="A786" s="44">
        <v>784</v>
      </c>
      <c r="B786" s="52" t="s">
        <v>2702</v>
      </c>
      <c r="C786" s="52" t="s">
        <v>3000</v>
      </c>
      <c r="D786" s="46" t="s">
        <v>72</v>
      </c>
      <c r="E786" s="44" t="s">
        <v>2984</v>
      </c>
      <c r="F786" s="44" t="s">
        <v>3015</v>
      </c>
      <c r="G786" s="44"/>
      <c r="H786" s="44"/>
      <c r="I786" s="44"/>
      <c r="J786" s="47" t="s">
        <v>35</v>
      </c>
      <c r="K786" s="47"/>
      <c r="L786" s="47"/>
      <c r="M786" s="47"/>
      <c r="N786" s="47"/>
      <c r="O786" s="44"/>
      <c r="P786" s="44"/>
      <c r="Q786" s="48">
        <f>VLOOKUP(E786,sheet1!$B$2:$D$3209,3,FALSE)</f>
        <v>646</v>
      </c>
      <c r="R786" s="47" t="s">
        <v>35</v>
      </c>
      <c r="S786" s="47" t="s">
        <v>35</v>
      </c>
      <c r="T786" s="47"/>
      <c r="U786" s="47" t="s">
        <v>296</v>
      </c>
      <c r="V786" s="47" t="s">
        <v>296</v>
      </c>
      <c r="W786" s="47" t="s">
        <v>296</v>
      </c>
      <c r="X786" s="47" t="s">
        <v>296</v>
      </c>
      <c r="Y786" s="47"/>
      <c r="Z786" s="47" t="s">
        <v>296</v>
      </c>
      <c r="AA786" s="47" t="s">
        <v>296</v>
      </c>
      <c r="AB786" s="47"/>
      <c r="AC786" s="47" t="s">
        <v>35</v>
      </c>
      <c r="AD786" s="75"/>
      <c r="AE786" s="49"/>
      <c r="AF786" s="51" t="s">
        <v>3016</v>
      </c>
      <c r="AG786" s="51" t="s">
        <v>3017</v>
      </c>
      <c r="AH786" s="49" t="str">
        <f t="shared" si="53"/>
        <v>支払／設備手形明細管理表</v>
      </c>
      <c r="AI786" s="49"/>
      <c r="AJ786" s="49"/>
      <c r="AK786" s="49"/>
      <c r="AL786" s="49"/>
      <c r="AM786" s="49"/>
      <c r="AN786" s="49"/>
      <c r="AO786" s="51" t="str">
        <f t="shared" si="49"/>
        <v>支払手形発行</v>
      </c>
      <c r="AP786" s="51" t="str">
        <f t="shared" si="50"/>
        <v>AC500LA</v>
      </c>
      <c r="AQ786" s="51" t="s">
        <v>2986</v>
      </c>
      <c r="AR786" s="51" t="s">
        <v>2987</v>
      </c>
      <c r="AS786" s="49" t="str">
        <f t="shared" si="51"/>
        <v/>
      </c>
      <c r="AT786" s="49" t="str">
        <f t="shared" si="52"/>
        <v/>
      </c>
      <c r="AU786" s="49"/>
      <c r="AV786" s="49"/>
    </row>
    <row r="787" spans="1:48" ht="18" customHeight="1">
      <c r="A787" s="44">
        <v>785</v>
      </c>
      <c r="B787" s="52" t="s">
        <v>2702</v>
      </c>
      <c r="C787" s="52" t="s">
        <v>3000</v>
      </c>
      <c r="D787" s="46" t="s">
        <v>72</v>
      </c>
      <c r="E787" s="44" t="s">
        <v>2987</v>
      </c>
      <c r="F787" s="44" t="s">
        <v>3018</v>
      </c>
      <c r="G787" s="44"/>
      <c r="H787" s="44"/>
      <c r="I787" s="44"/>
      <c r="J787" s="47" t="s">
        <v>35</v>
      </c>
      <c r="K787" s="47"/>
      <c r="L787" s="47"/>
      <c r="M787" s="47"/>
      <c r="N787" s="47"/>
      <c r="O787" s="44"/>
      <c r="P787" s="44"/>
      <c r="Q787" s="48">
        <f>VLOOKUP(E787,sheet1!$B$2:$D$3209,3,FALSE)</f>
        <v>1114</v>
      </c>
      <c r="R787" s="47" t="s">
        <v>35</v>
      </c>
      <c r="S787" s="47" t="s">
        <v>35</v>
      </c>
      <c r="T787" s="47"/>
      <c r="U787" s="47" t="s">
        <v>296</v>
      </c>
      <c r="V787" s="47" t="s">
        <v>296</v>
      </c>
      <c r="W787" s="47" t="s">
        <v>296</v>
      </c>
      <c r="X787" s="47" t="s">
        <v>296</v>
      </c>
      <c r="Y787" s="47"/>
      <c r="Z787" s="47" t="s">
        <v>296</v>
      </c>
      <c r="AA787" s="47" t="s">
        <v>296</v>
      </c>
      <c r="AB787" s="47"/>
      <c r="AC787" s="47" t="s">
        <v>35</v>
      </c>
      <c r="AD787" s="75"/>
      <c r="AE787" s="49"/>
      <c r="AF787" s="51" t="s">
        <v>3019</v>
      </c>
      <c r="AG787" s="51" t="s">
        <v>2984</v>
      </c>
      <c r="AH787" s="49" t="str">
        <f t="shared" si="53"/>
        <v>支払代行実行チェックリスト</v>
      </c>
      <c r="AI787" s="49"/>
      <c r="AJ787" s="49"/>
      <c r="AK787" s="49"/>
      <c r="AL787" s="49"/>
      <c r="AM787" s="49"/>
      <c r="AN787" s="49"/>
      <c r="AO787" s="51" t="str">
        <f t="shared" si="49"/>
        <v>支払手形再発行　前準備</v>
      </c>
      <c r="AP787" s="51" t="str">
        <f t="shared" si="50"/>
        <v>DF#STGTRL1</v>
      </c>
      <c r="AQ787" s="51" t="s">
        <v>2989</v>
      </c>
      <c r="AR787" s="51" t="s">
        <v>2990</v>
      </c>
      <c r="AS787" s="49" t="str">
        <f t="shared" si="51"/>
        <v/>
      </c>
      <c r="AT787" s="49" t="str">
        <f t="shared" si="52"/>
        <v/>
      </c>
      <c r="AU787" s="49"/>
      <c r="AV787" s="49"/>
    </row>
    <row r="788" spans="1:48" ht="18" customHeight="1">
      <c r="A788" s="44">
        <v>786</v>
      </c>
      <c r="B788" s="52" t="s">
        <v>2702</v>
      </c>
      <c r="C788" s="52" t="s">
        <v>3000</v>
      </c>
      <c r="D788" s="46" t="s">
        <v>72</v>
      </c>
      <c r="E788" s="44" t="s">
        <v>2990</v>
      </c>
      <c r="F788" s="44" t="s">
        <v>3020</v>
      </c>
      <c r="G788" s="44"/>
      <c r="H788" s="44"/>
      <c r="I788" s="44"/>
      <c r="J788" s="47" t="s">
        <v>35</v>
      </c>
      <c r="K788" s="47"/>
      <c r="L788" s="47"/>
      <c r="M788" s="47"/>
      <c r="N788" s="47"/>
      <c r="O788" s="44"/>
      <c r="P788" s="44"/>
      <c r="Q788" s="48" t="e">
        <f>VLOOKUP(E788,sheet1!$B$2:$D$3209,3,FALSE)</f>
        <v>#N/A</v>
      </c>
      <c r="R788" s="47" t="s">
        <v>35</v>
      </c>
      <c r="S788" s="47" t="s">
        <v>35</v>
      </c>
      <c r="T788" s="47"/>
      <c r="U788" s="47" t="s">
        <v>296</v>
      </c>
      <c r="V788" s="47" t="s">
        <v>296</v>
      </c>
      <c r="W788" s="47" t="s">
        <v>296</v>
      </c>
      <c r="X788" s="47" t="s">
        <v>296</v>
      </c>
      <c r="Y788" s="47"/>
      <c r="Z788" s="47" t="s">
        <v>296</v>
      </c>
      <c r="AA788" s="47" t="s">
        <v>296</v>
      </c>
      <c r="AB788" s="47"/>
      <c r="AC788" s="47" t="s">
        <v>35</v>
      </c>
      <c r="AD788" s="75"/>
      <c r="AE788" s="49"/>
      <c r="AF788" s="51" t="s">
        <v>3021</v>
      </c>
      <c r="AG788" s="51" t="s">
        <v>3022</v>
      </c>
      <c r="AH788" s="49" t="str">
        <f t="shared" si="53"/>
        <v>支払代行実行一覧表</v>
      </c>
      <c r="AI788" s="49"/>
      <c r="AJ788" s="49"/>
      <c r="AK788" s="49"/>
      <c r="AL788" s="49"/>
      <c r="AM788" s="49"/>
      <c r="AN788" s="49"/>
      <c r="AO788" s="51" t="str">
        <f t="shared" si="49"/>
        <v>期日別支払手形集計表</v>
      </c>
      <c r="AP788" s="51" t="str">
        <f t="shared" si="50"/>
        <v>AC5800</v>
      </c>
      <c r="AQ788" s="51" t="s">
        <v>2992</v>
      </c>
      <c r="AR788" s="51" t="s">
        <v>2993</v>
      </c>
      <c r="AS788" s="49" t="str">
        <f t="shared" si="51"/>
        <v/>
      </c>
      <c r="AT788" s="49" t="str">
        <f t="shared" si="52"/>
        <v/>
      </c>
      <c r="AU788" s="49"/>
      <c r="AV788" s="49"/>
    </row>
    <row r="789" spans="1:48" ht="18" customHeight="1">
      <c r="A789" s="44">
        <v>787</v>
      </c>
      <c r="B789" s="52" t="s">
        <v>2702</v>
      </c>
      <c r="C789" s="52" t="s">
        <v>3000</v>
      </c>
      <c r="D789" s="46" t="s">
        <v>72</v>
      </c>
      <c r="E789" s="44" t="s">
        <v>2993</v>
      </c>
      <c r="F789" s="44" t="s">
        <v>3023</v>
      </c>
      <c r="G789" s="44"/>
      <c r="H789" s="44"/>
      <c r="I789" s="44"/>
      <c r="J789" s="47" t="s">
        <v>35</v>
      </c>
      <c r="K789" s="47"/>
      <c r="L789" s="47"/>
      <c r="M789" s="47"/>
      <c r="N789" s="47"/>
      <c r="O789" s="44"/>
      <c r="P789" s="44"/>
      <c r="Q789" s="48">
        <f>VLOOKUP(E789,sheet1!$B$2:$D$3209,3,FALSE)</f>
        <v>230</v>
      </c>
      <c r="R789" s="47" t="s">
        <v>35</v>
      </c>
      <c r="S789" s="47" t="s">
        <v>35</v>
      </c>
      <c r="T789" s="47"/>
      <c r="U789" s="47" t="s">
        <v>296</v>
      </c>
      <c r="V789" s="47" t="s">
        <v>296</v>
      </c>
      <c r="W789" s="47" t="s">
        <v>296</v>
      </c>
      <c r="X789" s="47" t="s">
        <v>296</v>
      </c>
      <c r="Y789" s="47"/>
      <c r="Z789" s="47" t="s">
        <v>296</v>
      </c>
      <c r="AA789" s="47" t="s">
        <v>296</v>
      </c>
      <c r="AB789" s="47"/>
      <c r="AC789" s="47" t="s">
        <v>35</v>
      </c>
      <c r="AD789" s="75"/>
      <c r="AE789" s="49"/>
      <c r="AF789" s="51" t="s">
        <v>3024</v>
      </c>
      <c r="AG789" s="51" t="s">
        <v>3025</v>
      </c>
      <c r="AH789" s="49" t="str">
        <f t="shared" si="53"/>
        <v>外貨取引買掛金元帳</v>
      </c>
      <c r="AI789" s="49"/>
      <c r="AJ789" s="49"/>
      <c r="AK789" s="49"/>
      <c r="AL789" s="49"/>
      <c r="AM789" s="49"/>
      <c r="AN789" s="49"/>
      <c r="AO789" s="51" t="str">
        <f t="shared" si="49"/>
        <v>買掛金代行区分別期日引落</v>
      </c>
      <c r="AP789" s="51" t="str">
        <f t="shared" si="50"/>
        <v>AC9520</v>
      </c>
      <c r="AQ789" s="51" t="s">
        <v>2995</v>
      </c>
      <c r="AR789" s="51" t="s">
        <v>2996</v>
      </c>
      <c r="AS789" s="49" t="str">
        <f t="shared" si="51"/>
        <v/>
      </c>
      <c r="AT789" s="49" t="str">
        <f t="shared" si="52"/>
        <v/>
      </c>
      <c r="AU789" s="49"/>
      <c r="AV789" s="49"/>
    </row>
    <row r="790" spans="1:48" ht="18" customHeight="1">
      <c r="A790" s="44">
        <v>788</v>
      </c>
      <c r="B790" s="52" t="s">
        <v>2702</v>
      </c>
      <c r="C790" s="52" t="s">
        <v>3000</v>
      </c>
      <c r="D790" s="46" t="s">
        <v>72</v>
      </c>
      <c r="E790" s="44" t="s">
        <v>2996</v>
      </c>
      <c r="F790" s="44" t="s">
        <v>3026</v>
      </c>
      <c r="G790" s="44"/>
      <c r="H790" s="44"/>
      <c r="I790" s="44"/>
      <c r="J790" s="47" t="s">
        <v>35</v>
      </c>
      <c r="K790" s="47"/>
      <c r="L790" s="47"/>
      <c r="M790" s="47"/>
      <c r="N790" s="47"/>
      <c r="O790" s="44"/>
      <c r="P790" s="44"/>
      <c r="Q790" s="48">
        <f>VLOOKUP(E790,sheet1!$B$2:$D$3209,3,FALSE)</f>
        <v>295</v>
      </c>
      <c r="R790" s="47" t="s">
        <v>35</v>
      </c>
      <c r="S790" s="47" t="s">
        <v>35</v>
      </c>
      <c r="T790" s="47"/>
      <c r="U790" s="47" t="s">
        <v>296</v>
      </c>
      <c r="V790" s="47" t="s">
        <v>296</v>
      </c>
      <c r="W790" s="47" t="s">
        <v>296</v>
      </c>
      <c r="X790" s="47" t="s">
        <v>296</v>
      </c>
      <c r="Y790" s="47"/>
      <c r="Z790" s="47" t="s">
        <v>296</v>
      </c>
      <c r="AA790" s="47" t="s">
        <v>296</v>
      </c>
      <c r="AB790" s="47"/>
      <c r="AC790" s="47" t="s">
        <v>35</v>
      </c>
      <c r="AD790" s="75"/>
      <c r="AE790" s="49"/>
      <c r="AF790" s="51" t="s">
        <v>3027</v>
      </c>
      <c r="AG790" s="51" t="s">
        <v>3028</v>
      </c>
      <c r="AH790" s="49" t="str">
        <f t="shared" si="53"/>
        <v>外貨建買掛金支払入力</v>
      </c>
      <c r="AI790" s="49"/>
      <c r="AJ790" s="49"/>
      <c r="AK790" s="49"/>
      <c r="AL790" s="49"/>
      <c r="AM790" s="49"/>
      <c r="AN790" s="49"/>
      <c r="AO790" s="51" t="str">
        <f t="shared" si="49"/>
        <v>支払代行ＣＦ移行処理</v>
      </c>
      <c r="AP790" s="51" t="str">
        <f t="shared" si="50"/>
        <v>AC9510</v>
      </c>
      <c r="AQ790" s="51" t="s">
        <v>2998</v>
      </c>
      <c r="AR790" s="51" t="s">
        <v>2999</v>
      </c>
      <c r="AS790" s="49" t="str">
        <f t="shared" si="51"/>
        <v/>
      </c>
      <c r="AT790" s="49" t="str">
        <f t="shared" si="52"/>
        <v/>
      </c>
      <c r="AU790" s="49"/>
      <c r="AV790" s="49"/>
    </row>
    <row r="791" spans="1:48" ht="18" customHeight="1">
      <c r="A791" s="44">
        <v>789</v>
      </c>
      <c r="B791" s="52" t="s">
        <v>2702</v>
      </c>
      <c r="C791" s="52" t="s">
        <v>3000</v>
      </c>
      <c r="D791" s="46" t="s">
        <v>72</v>
      </c>
      <c r="E791" s="44" t="s">
        <v>2999</v>
      </c>
      <c r="F791" s="44" t="s">
        <v>3029</v>
      </c>
      <c r="G791" s="44"/>
      <c r="H791" s="44"/>
      <c r="I791" s="44"/>
      <c r="J791" s="47" t="s">
        <v>35</v>
      </c>
      <c r="K791" s="47"/>
      <c r="L791" s="47"/>
      <c r="M791" s="47"/>
      <c r="N791" s="47"/>
      <c r="O791" s="44"/>
      <c r="P791" s="44"/>
      <c r="Q791" s="48">
        <f>VLOOKUP(E791,sheet1!$B$2:$D$3209,3,FALSE)</f>
        <v>649</v>
      </c>
      <c r="R791" s="47" t="s">
        <v>35</v>
      </c>
      <c r="S791" s="47" t="s">
        <v>35</v>
      </c>
      <c r="T791" s="47"/>
      <c r="U791" s="47" t="s">
        <v>296</v>
      </c>
      <c r="V791" s="47" t="s">
        <v>296</v>
      </c>
      <c r="W791" s="47" t="s">
        <v>296</v>
      </c>
      <c r="X791" s="47" t="s">
        <v>296</v>
      </c>
      <c r="Y791" s="47"/>
      <c r="Z791" s="47" t="s">
        <v>296</v>
      </c>
      <c r="AA791" s="47" t="s">
        <v>296</v>
      </c>
      <c r="AB791" s="47"/>
      <c r="AC791" s="47" t="s">
        <v>35</v>
      </c>
      <c r="AD791" s="75"/>
      <c r="AE791" s="49"/>
      <c r="AF791" s="51" t="s">
        <v>3030</v>
      </c>
      <c r="AG791" s="51" t="s">
        <v>3031</v>
      </c>
      <c r="AH791" s="49" t="str">
        <f t="shared" si="53"/>
        <v>外貨建買掛金・月次更新</v>
      </c>
      <c r="AI791" s="49"/>
      <c r="AJ791" s="49"/>
      <c r="AK791" s="49"/>
      <c r="AL791" s="49"/>
      <c r="AM791" s="49"/>
      <c r="AN791" s="49"/>
      <c r="AO791" s="51" t="str">
        <f t="shared" si="49"/>
        <v>支払代行買取反映処理</v>
      </c>
      <c r="AP791" s="51" t="str">
        <f t="shared" si="50"/>
        <v>AC9530</v>
      </c>
      <c r="AQ791" s="51" t="s">
        <v>3002</v>
      </c>
      <c r="AR791" s="51" t="s">
        <v>3003</v>
      </c>
      <c r="AS791" s="49" t="str">
        <f t="shared" si="51"/>
        <v/>
      </c>
      <c r="AT791" s="49" t="str">
        <f t="shared" si="52"/>
        <v/>
      </c>
      <c r="AU791" s="49"/>
      <c r="AV791" s="49"/>
    </row>
    <row r="792" spans="1:48" ht="18" customHeight="1">
      <c r="A792" s="44">
        <v>790</v>
      </c>
      <c r="B792" s="52" t="s">
        <v>2702</v>
      </c>
      <c r="C792" s="52" t="s">
        <v>3000</v>
      </c>
      <c r="D792" s="46" t="s">
        <v>72</v>
      </c>
      <c r="E792" s="44" t="s">
        <v>3003</v>
      </c>
      <c r="F792" s="44" t="s">
        <v>3032</v>
      </c>
      <c r="G792" s="44"/>
      <c r="H792" s="44"/>
      <c r="I792" s="44"/>
      <c r="J792" s="47" t="s">
        <v>35</v>
      </c>
      <c r="K792" s="47"/>
      <c r="L792" s="47"/>
      <c r="M792" s="47"/>
      <c r="N792" s="47"/>
      <c r="O792" s="44"/>
      <c r="P792" s="44"/>
      <c r="Q792" s="48">
        <f>VLOOKUP(E792,sheet1!$B$2:$D$3209,3,FALSE)</f>
        <v>211</v>
      </c>
      <c r="R792" s="47" t="s">
        <v>35</v>
      </c>
      <c r="S792" s="47" t="s">
        <v>35</v>
      </c>
      <c r="T792" s="47"/>
      <c r="U792" s="47" t="s">
        <v>296</v>
      </c>
      <c r="V792" s="47" t="s">
        <v>296</v>
      </c>
      <c r="W792" s="47" t="s">
        <v>296</v>
      </c>
      <c r="X792" s="47" t="s">
        <v>296</v>
      </c>
      <c r="Y792" s="47"/>
      <c r="Z792" s="47" t="s">
        <v>296</v>
      </c>
      <c r="AA792" s="47" t="s">
        <v>296</v>
      </c>
      <c r="AB792" s="47"/>
      <c r="AC792" s="47" t="s">
        <v>35</v>
      </c>
      <c r="AD792" s="75"/>
      <c r="AE792" s="49"/>
      <c r="AF792" s="51" t="s">
        <v>3033</v>
      </c>
      <c r="AG792" s="51" t="s">
        <v>3034</v>
      </c>
      <c r="AH792" s="49" t="str">
        <f t="shared" si="53"/>
        <v>相殺金額入力（買掛金）</v>
      </c>
      <c r="AI792" s="49"/>
      <c r="AJ792" s="49"/>
      <c r="AK792" s="49"/>
      <c r="AL792" s="49"/>
      <c r="AM792" s="49"/>
      <c r="AN792" s="49"/>
      <c r="AO792" s="51" t="str">
        <f t="shared" si="49"/>
        <v>支払代行データダウンロード</v>
      </c>
      <c r="AP792" s="51" t="str">
        <f t="shared" si="50"/>
        <v>AC9540</v>
      </c>
      <c r="AQ792" s="51" t="s">
        <v>3005</v>
      </c>
      <c r="AR792" s="51" t="s">
        <v>3006</v>
      </c>
      <c r="AS792" s="49" t="str">
        <f t="shared" si="51"/>
        <v/>
      </c>
      <c r="AT792" s="49" t="str">
        <f t="shared" si="52"/>
        <v/>
      </c>
      <c r="AU792" s="49"/>
      <c r="AV792" s="49"/>
    </row>
    <row r="793" spans="1:48" ht="18" customHeight="1">
      <c r="A793" s="44">
        <v>791</v>
      </c>
      <c r="B793" s="52" t="s">
        <v>2702</v>
      </c>
      <c r="C793" s="52" t="s">
        <v>3000</v>
      </c>
      <c r="D793" s="46" t="s">
        <v>72</v>
      </c>
      <c r="E793" s="44" t="s">
        <v>3006</v>
      </c>
      <c r="F793" s="44" t="s">
        <v>3035</v>
      </c>
      <c r="G793" s="44"/>
      <c r="H793" s="44"/>
      <c r="I793" s="44"/>
      <c r="J793" s="47" t="s">
        <v>35</v>
      </c>
      <c r="K793" s="47"/>
      <c r="L793" s="47"/>
      <c r="M793" s="47"/>
      <c r="N793" s="47"/>
      <c r="O793" s="44"/>
      <c r="P793" s="44"/>
      <c r="Q793" s="48">
        <f>VLOOKUP(E793,sheet1!$B$2:$D$3209,3,FALSE)</f>
        <v>277</v>
      </c>
      <c r="R793" s="47" t="s">
        <v>35</v>
      </c>
      <c r="S793" s="47" t="s">
        <v>35</v>
      </c>
      <c r="T793" s="47"/>
      <c r="U793" s="47" t="s">
        <v>296</v>
      </c>
      <c r="V793" s="47" t="s">
        <v>296</v>
      </c>
      <c r="W793" s="47" t="s">
        <v>296</v>
      </c>
      <c r="X793" s="47" t="s">
        <v>296</v>
      </c>
      <c r="Y793" s="47"/>
      <c r="Z793" s="47" t="s">
        <v>296</v>
      </c>
      <c r="AA793" s="47" t="s">
        <v>296</v>
      </c>
      <c r="AB793" s="47"/>
      <c r="AC793" s="47" t="s">
        <v>35</v>
      </c>
      <c r="AD793" s="75"/>
      <c r="AE793" s="49"/>
      <c r="AF793" s="51" t="s">
        <v>3036</v>
      </c>
      <c r="AG793" s="51" t="s">
        <v>3037</v>
      </c>
      <c r="AH793" s="49" t="str">
        <f t="shared" si="53"/>
        <v>買掛金管理表</v>
      </c>
      <c r="AI793" s="49"/>
      <c r="AJ793" s="49"/>
      <c r="AK793" s="49"/>
      <c r="AL793" s="49"/>
      <c r="AM793" s="49"/>
      <c r="AN793" s="49"/>
      <c r="AO793" s="51" t="str">
        <f t="shared" si="49"/>
        <v>支払代行ＣＦ移行一覧</v>
      </c>
      <c r="AP793" s="51" t="str">
        <f t="shared" si="50"/>
        <v>Query</v>
      </c>
      <c r="AQ793" s="51" t="s">
        <v>3008</v>
      </c>
      <c r="AR793" s="51" t="s">
        <v>344</v>
      </c>
      <c r="AS793" s="49" t="str">
        <f t="shared" si="51"/>
        <v/>
      </c>
      <c r="AT793" s="49" t="str">
        <f t="shared" si="52"/>
        <v/>
      </c>
      <c r="AU793" s="49"/>
      <c r="AV793" s="49"/>
    </row>
    <row r="794" spans="1:48" ht="18" customHeight="1">
      <c r="A794" s="44">
        <v>792</v>
      </c>
      <c r="B794" s="52" t="s">
        <v>2702</v>
      </c>
      <c r="C794" s="52" t="s">
        <v>3000</v>
      </c>
      <c r="D794" s="46" t="s">
        <v>72</v>
      </c>
      <c r="E794" s="44" t="s">
        <v>344</v>
      </c>
      <c r="F794" s="44" t="s">
        <v>3038</v>
      </c>
      <c r="G794" s="44"/>
      <c r="H794" s="44"/>
      <c r="I794" s="44"/>
      <c r="J794" s="47"/>
      <c r="K794" s="47" t="s">
        <v>35</v>
      </c>
      <c r="L794" s="47"/>
      <c r="M794" s="47"/>
      <c r="N794" s="47"/>
      <c r="O794" s="44"/>
      <c r="P794" s="44"/>
      <c r="Q794" s="48" t="e">
        <f>VLOOKUP(E794,sheet1!$B$2:$D$3209,3,FALSE)</f>
        <v>#N/A</v>
      </c>
      <c r="R794" s="47" t="s">
        <v>35</v>
      </c>
      <c r="S794" s="47" t="s">
        <v>35</v>
      </c>
      <c r="T794" s="47"/>
      <c r="U794" s="47" t="s">
        <v>296</v>
      </c>
      <c r="V794" s="47" t="s">
        <v>296</v>
      </c>
      <c r="W794" s="47" t="s">
        <v>296</v>
      </c>
      <c r="X794" s="47" t="s">
        <v>296</v>
      </c>
      <c r="Y794" s="47"/>
      <c r="Z794" s="47" t="s">
        <v>296</v>
      </c>
      <c r="AA794" s="47" t="s">
        <v>296</v>
      </c>
      <c r="AB794" s="47"/>
      <c r="AC794" s="47" t="s">
        <v>35</v>
      </c>
      <c r="AD794" s="75"/>
      <c r="AE794" s="49"/>
      <c r="AF794" s="51" t="s">
        <v>3039</v>
      </c>
      <c r="AG794" s="51" t="s">
        <v>3040</v>
      </c>
      <c r="AH794" s="49" t="str">
        <f t="shared" si="53"/>
        <v>買掛金支払管理表</v>
      </c>
      <c r="AI794" s="49"/>
      <c r="AJ794" s="49"/>
      <c r="AK794" s="49"/>
      <c r="AL794" s="49"/>
      <c r="AM794" s="49"/>
      <c r="AN794" s="49"/>
      <c r="AO794" s="51" t="str">
        <f t="shared" si="49"/>
        <v>支払手形データ明細データ作成</v>
      </c>
      <c r="AP794" s="51" t="str">
        <f t="shared" si="50"/>
        <v>AC9600</v>
      </c>
      <c r="AQ794" s="51" t="s">
        <v>3010</v>
      </c>
      <c r="AR794" s="51" t="s">
        <v>3011</v>
      </c>
      <c r="AS794" s="49" t="str">
        <f t="shared" si="51"/>
        <v/>
      </c>
      <c r="AT794" s="49" t="str">
        <f t="shared" si="52"/>
        <v/>
      </c>
      <c r="AU794" s="49"/>
      <c r="AV794" s="49"/>
    </row>
    <row r="795" spans="1:48" ht="18" customHeight="1">
      <c r="A795" s="44">
        <v>793</v>
      </c>
      <c r="B795" s="52" t="s">
        <v>2702</v>
      </c>
      <c r="C795" s="52" t="s">
        <v>3000</v>
      </c>
      <c r="D795" s="46" t="s">
        <v>72</v>
      </c>
      <c r="E795" s="44" t="s">
        <v>3011</v>
      </c>
      <c r="F795" s="44" t="s">
        <v>3041</v>
      </c>
      <c r="G795" s="44"/>
      <c r="H795" s="44"/>
      <c r="I795" s="44"/>
      <c r="J795" s="47" t="s">
        <v>35</v>
      </c>
      <c r="K795" s="47"/>
      <c r="L795" s="47"/>
      <c r="M795" s="47"/>
      <c r="N795" s="47"/>
      <c r="O795" s="44"/>
      <c r="P795" s="44"/>
      <c r="Q795" s="48">
        <f>VLOOKUP(E795,sheet1!$B$2:$D$3209,3,FALSE)</f>
        <v>110</v>
      </c>
      <c r="R795" s="47" t="s">
        <v>35</v>
      </c>
      <c r="S795" s="47" t="s">
        <v>35</v>
      </c>
      <c r="T795" s="47"/>
      <c r="U795" s="47" t="s">
        <v>296</v>
      </c>
      <c r="V795" s="47" t="s">
        <v>296</v>
      </c>
      <c r="W795" s="47" t="s">
        <v>296</v>
      </c>
      <c r="X795" s="47" t="s">
        <v>296</v>
      </c>
      <c r="Y795" s="47"/>
      <c r="Z795" s="47" t="s">
        <v>296</v>
      </c>
      <c r="AA795" s="47" t="s">
        <v>296</v>
      </c>
      <c r="AB795" s="47"/>
      <c r="AC795" s="47" t="s">
        <v>35</v>
      </c>
      <c r="AD795" s="75"/>
      <c r="AE795" s="49"/>
      <c r="AF795" s="51" t="s">
        <v>3042</v>
      </c>
      <c r="AG795" s="51" t="s">
        <v>3043</v>
      </c>
      <c r="AH795" s="49" t="str">
        <f t="shared" si="53"/>
        <v>買掛金元帳</v>
      </c>
      <c r="AI795" s="49"/>
      <c r="AJ795" s="49"/>
      <c r="AK795" s="49"/>
      <c r="AL795" s="49"/>
      <c r="AM795" s="49"/>
      <c r="AN795" s="49"/>
      <c r="AO795" s="51" t="str">
        <f t="shared" si="49"/>
        <v>期日別支払手形明細書</v>
      </c>
      <c r="AP795" s="51" t="str">
        <f t="shared" si="50"/>
        <v>AC9610</v>
      </c>
      <c r="AQ795" s="51" t="s">
        <v>3013</v>
      </c>
      <c r="AR795" s="51" t="s">
        <v>3014</v>
      </c>
      <c r="AS795" s="49" t="str">
        <f t="shared" si="51"/>
        <v/>
      </c>
      <c r="AT795" s="49" t="str">
        <f t="shared" si="52"/>
        <v/>
      </c>
      <c r="AU795" s="49"/>
      <c r="AV795" s="49"/>
    </row>
    <row r="796" spans="1:48" ht="18" customHeight="1">
      <c r="A796" s="44">
        <v>794</v>
      </c>
      <c r="B796" s="52" t="s">
        <v>2702</v>
      </c>
      <c r="C796" s="52" t="s">
        <v>3000</v>
      </c>
      <c r="D796" s="46" t="s">
        <v>72</v>
      </c>
      <c r="E796" s="44" t="s">
        <v>3014</v>
      </c>
      <c r="F796" s="44" t="s">
        <v>3044</v>
      </c>
      <c r="G796" s="44"/>
      <c r="H796" s="44"/>
      <c r="I796" s="44"/>
      <c r="J796" s="47" t="s">
        <v>35</v>
      </c>
      <c r="K796" s="47"/>
      <c r="L796" s="47"/>
      <c r="M796" s="47"/>
      <c r="N796" s="47"/>
      <c r="O796" s="44"/>
      <c r="P796" s="44"/>
      <c r="Q796" s="48" t="e">
        <f>VLOOKUP(E796,sheet1!$B$2:$D$3209,3,FALSE)</f>
        <v>#N/A</v>
      </c>
      <c r="R796" s="47" t="s">
        <v>35</v>
      </c>
      <c r="S796" s="47" t="s">
        <v>35</v>
      </c>
      <c r="T796" s="47"/>
      <c r="U796" s="47" t="s">
        <v>296</v>
      </c>
      <c r="V796" s="47" t="s">
        <v>296</v>
      </c>
      <c r="W796" s="47" t="s">
        <v>296</v>
      </c>
      <c r="X796" s="47" t="s">
        <v>296</v>
      </c>
      <c r="Y796" s="47"/>
      <c r="Z796" s="47" t="s">
        <v>296</v>
      </c>
      <c r="AA796" s="47" t="s">
        <v>296</v>
      </c>
      <c r="AB796" s="47"/>
      <c r="AC796" s="47" t="s">
        <v>35</v>
      </c>
      <c r="AD796" s="75"/>
      <c r="AE796" s="49"/>
      <c r="AF796" s="51" t="s">
        <v>3045</v>
      </c>
      <c r="AG796" s="51" t="s">
        <v>3046</v>
      </c>
      <c r="AH796" s="49" t="str">
        <f t="shared" si="53"/>
        <v>仕入データ作成（買掛金）</v>
      </c>
      <c r="AI796" s="49"/>
      <c r="AJ796" s="49"/>
      <c r="AK796" s="49"/>
      <c r="AL796" s="49"/>
      <c r="AM796" s="49"/>
      <c r="AN796" s="49"/>
      <c r="AO796" s="51" t="str">
        <f t="shared" si="49"/>
        <v>支払／設備手形明細管理表</v>
      </c>
      <c r="AP796" s="51" t="str">
        <f t="shared" si="50"/>
        <v>AC9612</v>
      </c>
      <c r="AQ796" s="51" t="s">
        <v>3016</v>
      </c>
      <c r="AR796" s="51" t="s">
        <v>3017</v>
      </c>
      <c r="AS796" s="49" t="str">
        <f t="shared" si="51"/>
        <v/>
      </c>
      <c r="AT796" s="49" t="str">
        <f t="shared" si="52"/>
        <v/>
      </c>
      <c r="AU796" s="49"/>
      <c r="AV796" s="49"/>
    </row>
    <row r="797" spans="1:48" ht="18" customHeight="1">
      <c r="A797" s="44">
        <v>795</v>
      </c>
      <c r="B797" s="52" t="s">
        <v>2702</v>
      </c>
      <c r="C797" s="52" t="s">
        <v>3000</v>
      </c>
      <c r="D797" s="46" t="s">
        <v>72</v>
      </c>
      <c r="E797" s="44" t="s">
        <v>3017</v>
      </c>
      <c r="F797" s="44" t="s">
        <v>3047</v>
      </c>
      <c r="G797" s="44"/>
      <c r="H797" s="44"/>
      <c r="I797" s="44"/>
      <c r="J797" s="47" t="s">
        <v>35</v>
      </c>
      <c r="K797" s="47"/>
      <c r="L797" s="47"/>
      <c r="M797" s="47"/>
      <c r="N797" s="47"/>
      <c r="O797" s="44"/>
      <c r="P797" s="44"/>
      <c r="Q797" s="48">
        <f>VLOOKUP(E797,sheet1!$B$2:$D$3209,3,FALSE)</f>
        <v>708</v>
      </c>
      <c r="R797" s="47" t="s">
        <v>35</v>
      </c>
      <c r="S797" s="47" t="s">
        <v>35</v>
      </c>
      <c r="T797" s="47"/>
      <c r="U797" s="47" t="s">
        <v>296</v>
      </c>
      <c r="V797" s="47" t="s">
        <v>296</v>
      </c>
      <c r="W797" s="47" t="s">
        <v>296</v>
      </c>
      <c r="X797" s="47" t="s">
        <v>296</v>
      </c>
      <c r="Y797" s="47"/>
      <c r="Z797" s="47" t="s">
        <v>296</v>
      </c>
      <c r="AA797" s="47" t="s">
        <v>296</v>
      </c>
      <c r="AB797" s="47"/>
      <c r="AC797" s="47" t="s">
        <v>35</v>
      </c>
      <c r="AD797" s="75"/>
      <c r="AE797" s="49"/>
      <c r="AF797" s="51" t="s">
        <v>3048</v>
      </c>
      <c r="AG797" s="51" t="s">
        <v>3049</v>
      </c>
      <c r="AH797" s="49" t="str">
        <f t="shared" si="53"/>
        <v>支払データ作成（買掛金）</v>
      </c>
      <c r="AI797" s="49"/>
      <c r="AJ797" s="49"/>
      <c r="AK797" s="49"/>
      <c r="AL797" s="49"/>
      <c r="AM797" s="49"/>
      <c r="AN797" s="49"/>
      <c r="AO797" s="51" t="str">
        <f t="shared" si="49"/>
        <v>支払代行実行チェックリスト</v>
      </c>
      <c r="AP797" s="51" t="str">
        <f t="shared" si="50"/>
        <v>AC515L</v>
      </c>
      <c r="AQ797" s="51" t="s">
        <v>3019</v>
      </c>
      <c r="AR797" s="51" t="s">
        <v>2984</v>
      </c>
      <c r="AS797" s="49" t="str">
        <f t="shared" si="51"/>
        <v/>
      </c>
      <c r="AT797" s="49" t="str">
        <f t="shared" si="52"/>
        <v/>
      </c>
      <c r="AU797" s="49"/>
      <c r="AV797" s="49"/>
    </row>
    <row r="798" spans="1:48" ht="18" customHeight="1">
      <c r="A798" s="44">
        <v>796</v>
      </c>
      <c r="B798" s="52" t="s">
        <v>2702</v>
      </c>
      <c r="C798" s="52" t="s">
        <v>3000</v>
      </c>
      <c r="D798" s="46" t="s">
        <v>72</v>
      </c>
      <c r="E798" s="44" t="s">
        <v>2984</v>
      </c>
      <c r="F798" s="44" t="s">
        <v>3050</v>
      </c>
      <c r="G798" s="44"/>
      <c r="H798" s="44"/>
      <c r="I798" s="44"/>
      <c r="J798" s="47" t="s">
        <v>35</v>
      </c>
      <c r="K798" s="47"/>
      <c r="L798" s="47"/>
      <c r="M798" s="47"/>
      <c r="N798" s="47"/>
      <c r="O798" s="44"/>
      <c r="P798" s="44"/>
      <c r="Q798" s="48">
        <f>VLOOKUP(E798,sheet1!$B$2:$D$3209,3,FALSE)</f>
        <v>646</v>
      </c>
      <c r="R798" s="47" t="s">
        <v>35</v>
      </c>
      <c r="S798" s="47" t="s">
        <v>35</v>
      </c>
      <c r="T798" s="47"/>
      <c r="U798" s="47" t="s">
        <v>296</v>
      </c>
      <c r="V798" s="47" t="s">
        <v>296</v>
      </c>
      <c r="W798" s="47" t="s">
        <v>296</v>
      </c>
      <c r="X798" s="47" t="s">
        <v>296</v>
      </c>
      <c r="Y798" s="47"/>
      <c r="Z798" s="47" t="s">
        <v>296</v>
      </c>
      <c r="AA798" s="47" t="s">
        <v>296</v>
      </c>
      <c r="AB798" s="47"/>
      <c r="AC798" s="47" t="s">
        <v>35</v>
      </c>
      <c r="AD798" s="75"/>
      <c r="AE798" s="49"/>
      <c r="AF798" s="51" t="s">
        <v>3051</v>
      </c>
      <c r="AG798" s="51" t="s">
        <v>3052</v>
      </c>
      <c r="AH798" s="49" t="str">
        <f t="shared" si="53"/>
        <v>支払データ更新（買掛金）</v>
      </c>
      <c r="AI798" s="49"/>
      <c r="AJ798" s="49"/>
      <c r="AK798" s="49"/>
      <c r="AL798" s="49"/>
      <c r="AM798" s="49"/>
      <c r="AN798" s="49"/>
      <c r="AO798" s="51" t="str">
        <f t="shared" si="49"/>
        <v>支払代行実行一覧表</v>
      </c>
      <c r="AP798" s="51" t="str">
        <f t="shared" si="50"/>
        <v>AC512L</v>
      </c>
      <c r="AQ798" s="51" t="s">
        <v>3021</v>
      </c>
      <c r="AR798" s="51" t="s">
        <v>3022</v>
      </c>
      <c r="AS798" s="49" t="str">
        <f t="shared" si="51"/>
        <v/>
      </c>
      <c r="AT798" s="49" t="str">
        <f t="shared" si="52"/>
        <v/>
      </c>
      <c r="AU798" s="49"/>
      <c r="AV798" s="49"/>
    </row>
    <row r="799" spans="1:48" ht="18" customHeight="1">
      <c r="A799" s="44">
        <v>797</v>
      </c>
      <c r="B799" s="52" t="s">
        <v>2702</v>
      </c>
      <c r="C799" s="69" t="s">
        <v>3000</v>
      </c>
      <c r="D799" s="46" t="s">
        <v>72</v>
      </c>
      <c r="E799" s="44" t="s">
        <v>3022</v>
      </c>
      <c r="F799" s="44" t="s">
        <v>3053</v>
      </c>
      <c r="G799" s="44"/>
      <c r="H799" s="44"/>
      <c r="I799" s="44"/>
      <c r="J799" s="47" t="s">
        <v>35</v>
      </c>
      <c r="K799" s="47"/>
      <c r="L799" s="47"/>
      <c r="M799" s="47"/>
      <c r="N799" s="47"/>
      <c r="O799" s="44"/>
      <c r="P799" s="44"/>
      <c r="Q799" s="48">
        <f>VLOOKUP(E799,sheet1!$B$2:$D$3209,3,FALSE)</f>
        <v>541</v>
      </c>
      <c r="R799" s="47" t="s">
        <v>35</v>
      </c>
      <c r="S799" s="47" t="s">
        <v>35</v>
      </c>
      <c r="T799" s="47"/>
      <c r="U799" s="47" t="s">
        <v>296</v>
      </c>
      <c r="V799" s="47" t="s">
        <v>296</v>
      </c>
      <c r="W799" s="47" t="s">
        <v>296</v>
      </c>
      <c r="X799" s="47" t="s">
        <v>296</v>
      </c>
      <c r="Y799" s="47"/>
      <c r="Z799" s="47" t="s">
        <v>296</v>
      </c>
      <c r="AA799" s="47" t="s">
        <v>296</v>
      </c>
      <c r="AB799" s="47"/>
      <c r="AC799" s="47" t="s">
        <v>35</v>
      </c>
      <c r="AD799" s="75"/>
      <c r="AE799" s="49"/>
      <c r="AF799" s="51" t="s">
        <v>3054</v>
      </c>
      <c r="AG799" s="51" t="s">
        <v>3055</v>
      </c>
      <c r="AH799" s="49" t="str">
        <f t="shared" si="53"/>
        <v>相殺金額反映（買掛金）</v>
      </c>
      <c r="AI799" s="49"/>
      <c r="AJ799" s="49"/>
      <c r="AK799" s="49"/>
      <c r="AL799" s="49"/>
      <c r="AM799" s="49"/>
      <c r="AN799" s="49"/>
      <c r="AO799" s="51" t="str">
        <f t="shared" si="49"/>
        <v>外貨取引買掛金元帳</v>
      </c>
      <c r="AP799" s="51" t="str">
        <f t="shared" si="50"/>
        <v>AC2100</v>
      </c>
      <c r="AQ799" s="51" t="s">
        <v>3024</v>
      </c>
      <c r="AR799" s="51" t="s">
        <v>3025</v>
      </c>
      <c r="AS799" s="49" t="str">
        <f t="shared" si="51"/>
        <v/>
      </c>
      <c r="AT799" s="49" t="str">
        <f t="shared" si="52"/>
        <v/>
      </c>
      <c r="AU799" s="49"/>
      <c r="AV799" s="49"/>
    </row>
    <row r="800" spans="1:48" ht="18" customHeight="1">
      <c r="A800" s="44">
        <v>798</v>
      </c>
      <c r="B800" s="52" t="s">
        <v>2702</v>
      </c>
      <c r="C800" s="49" t="s">
        <v>3056</v>
      </c>
      <c r="D800" s="46" t="s">
        <v>72</v>
      </c>
      <c r="E800" s="44" t="s">
        <v>3025</v>
      </c>
      <c r="F800" s="44" t="s">
        <v>3057</v>
      </c>
      <c r="G800" s="44"/>
      <c r="H800" s="44"/>
      <c r="I800" s="44"/>
      <c r="J800" s="47" t="s">
        <v>35</v>
      </c>
      <c r="K800" s="47"/>
      <c r="L800" s="47"/>
      <c r="M800" s="47"/>
      <c r="N800" s="47"/>
      <c r="O800" s="44"/>
      <c r="P800" s="44"/>
      <c r="Q800" s="48">
        <f>VLOOKUP(E800,sheet1!$B$2:$D$3209,3,FALSE)</f>
        <v>384</v>
      </c>
      <c r="R800" s="47" t="s">
        <v>35</v>
      </c>
      <c r="S800" s="47" t="s">
        <v>35</v>
      </c>
      <c r="T800" s="47"/>
      <c r="U800" s="47" t="s">
        <v>296</v>
      </c>
      <c r="V800" s="47" t="s">
        <v>296</v>
      </c>
      <c r="W800" s="47" t="s">
        <v>296</v>
      </c>
      <c r="X800" s="47" t="s">
        <v>296</v>
      </c>
      <c r="Y800" s="47"/>
      <c r="Z800" s="47" t="s">
        <v>296</v>
      </c>
      <c r="AA800" s="47" t="s">
        <v>296</v>
      </c>
      <c r="AB800" s="47"/>
      <c r="AC800" s="47" t="s">
        <v>35</v>
      </c>
      <c r="AD800" s="75"/>
      <c r="AE800" s="49"/>
      <c r="AF800" s="51" t="s">
        <v>3058</v>
      </c>
      <c r="AG800" s="51" t="s">
        <v>3059</v>
      </c>
      <c r="AH800" s="49" t="str">
        <f t="shared" si="53"/>
        <v>支払ファイル</v>
      </c>
      <c r="AI800" s="49"/>
      <c r="AJ800" s="49"/>
      <c r="AK800" s="49"/>
      <c r="AL800" s="49"/>
      <c r="AM800" s="49"/>
      <c r="AN800" s="49"/>
      <c r="AO800" s="51" t="str">
        <f t="shared" si="49"/>
        <v>外貨建買掛金支払入力</v>
      </c>
      <c r="AP800" s="51" t="str">
        <f t="shared" si="50"/>
        <v>AC2200</v>
      </c>
      <c r="AQ800" s="51" t="s">
        <v>3027</v>
      </c>
      <c r="AR800" s="51" t="s">
        <v>3028</v>
      </c>
      <c r="AS800" s="49" t="str">
        <f t="shared" si="51"/>
        <v/>
      </c>
      <c r="AT800" s="49" t="str">
        <f t="shared" si="52"/>
        <v/>
      </c>
      <c r="AU800" s="49"/>
      <c r="AV800" s="49"/>
    </row>
    <row r="801" spans="1:48" ht="18" customHeight="1">
      <c r="A801" s="44">
        <v>799</v>
      </c>
      <c r="B801" s="52" t="s">
        <v>2702</v>
      </c>
      <c r="C801" s="71" t="s">
        <v>3000</v>
      </c>
      <c r="D801" s="46" t="s">
        <v>72</v>
      </c>
      <c r="E801" s="44" t="s">
        <v>3028</v>
      </c>
      <c r="F801" s="44" t="s">
        <v>3060</v>
      </c>
      <c r="G801" s="44"/>
      <c r="H801" s="44"/>
      <c r="I801" s="44"/>
      <c r="J801" s="47" t="s">
        <v>35</v>
      </c>
      <c r="K801" s="47"/>
      <c r="L801" s="47"/>
      <c r="M801" s="47"/>
      <c r="N801" s="47"/>
      <c r="O801" s="44"/>
      <c r="P801" s="44"/>
      <c r="Q801" s="48">
        <f>VLOOKUP(E801,sheet1!$B$2:$D$3209,3,FALSE)</f>
        <v>1059</v>
      </c>
      <c r="R801" s="47" t="s">
        <v>35</v>
      </c>
      <c r="S801" s="47" t="s">
        <v>35</v>
      </c>
      <c r="T801" s="47"/>
      <c r="U801" s="47" t="s">
        <v>296</v>
      </c>
      <c r="V801" s="47" t="s">
        <v>296</v>
      </c>
      <c r="W801" s="47" t="s">
        <v>296</v>
      </c>
      <c r="X801" s="47" t="s">
        <v>296</v>
      </c>
      <c r="Y801" s="47"/>
      <c r="Z801" s="47" t="s">
        <v>296</v>
      </c>
      <c r="AA801" s="47" t="s">
        <v>296</v>
      </c>
      <c r="AB801" s="47"/>
      <c r="AC801" s="47" t="s">
        <v>35</v>
      </c>
      <c r="AD801" s="75"/>
      <c r="AE801" s="49"/>
      <c r="AF801" s="51" t="s">
        <v>3061</v>
      </c>
      <c r="AG801" s="51" t="s">
        <v>3062</v>
      </c>
      <c r="AH801" s="49" t="str">
        <f t="shared" si="53"/>
        <v>買掛金ファイル</v>
      </c>
      <c r="AI801" s="49"/>
      <c r="AJ801" s="49"/>
      <c r="AK801" s="49"/>
      <c r="AL801" s="49"/>
      <c r="AM801" s="49"/>
      <c r="AN801" s="49"/>
      <c r="AO801" s="51" t="str">
        <f t="shared" si="49"/>
        <v>外貨建買掛金・月次更新</v>
      </c>
      <c r="AP801" s="51" t="str">
        <f t="shared" si="50"/>
        <v>AC2310</v>
      </c>
      <c r="AQ801" s="51" t="s">
        <v>3030</v>
      </c>
      <c r="AR801" s="51" t="s">
        <v>3031</v>
      </c>
      <c r="AS801" s="49" t="str">
        <f t="shared" si="51"/>
        <v/>
      </c>
      <c r="AT801" s="49" t="str">
        <f t="shared" si="52"/>
        <v/>
      </c>
      <c r="AU801" s="49"/>
      <c r="AV801" s="49"/>
    </row>
    <row r="802" spans="1:48" ht="18" customHeight="1">
      <c r="A802" s="44">
        <v>800</v>
      </c>
      <c r="B802" s="52" t="s">
        <v>2702</v>
      </c>
      <c r="C802" s="71" t="s">
        <v>3000</v>
      </c>
      <c r="D802" s="46" t="s">
        <v>72</v>
      </c>
      <c r="E802" s="44" t="s">
        <v>3031</v>
      </c>
      <c r="F802" s="44" t="s">
        <v>3063</v>
      </c>
      <c r="G802" s="44"/>
      <c r="H802" s="44"/>
      <c r="I802" s="44"/>
      <c r="J802" s="47" t="s">
        <v>35</v>
      </c>
      <c r="K802" s="47"/>
      <c r="L802" s="47"/>
      <c r="M802" s="47"/>
      <c r="N802" s="47"/>
      <c r="O802" s="44"/>
      <c r="P802" s="44"/>
      <c r="Q802" s="48">
        <f>VLOOKUP(E802,sheet1!$B$2:$D$3209,3,FALSE)</f>
        <v>351</v>
      </c>
      <c r="R802" s="47" t="s">
        <v>35</v>
      </c>
      <c r="S802" s="47" t="s">
        <v>35</v>
      </c>
      <c r="T802" s="47"/>
      <c r="U802" s="47" t="s">
        <v>296</v>
      </c>
      <c r="V802" s="47" t="s">
        <v>296</v>
      </c>
      <c r="W802" s="47" t="s">
        <v>296</v>
      </c>
      <c r="X802" s="47" t="s">
        <v>296</v>
      </c>
      <c r="Y802" s="47"/>
      <c r="Z802" s="47" t="s">
        <v>296</v>
      </c>
      <c r="AA802" s="47" t="s">
        <v>296</v>
      </c>
      <c r="AB802" s="47"/>
      <c r="AC802" s="47" t="s">
        <v>35</v>
      </c>
      <c r="AD802" s="75"/>
      <c r="AE802" s="49"/>
      <c r="AF802" s="51" t="s">
        <v>3064</v>
      </c>
      <c r="AG802" s="51" t="s">
        <v>3065</v>
      </c>
      <c r="AH802" s="49" t="str">
        <f t="shared" si="53"/>
        <v>外貨建買掛金ファイル</v>
      </c>
      <c r="AI802" s="49"/>
      <c r="AJ802" s="49"/>
      <c r="AK802" s="49"/>
      <c r="AL802" s="49"/>
      <c r="AM802" s="49"/>
      <c r="AN802" s="49"/>
      <c r="AO802" s="51" t="str">
        <f t="shared" si="49"/>
        <v>相殺金額入力（買掛金）</v>
      </c>
      <c r="AP802" s="51" t="str">
        <f t="shared" si="50"/>
        <v>AC9500</v>
      </c>
      <c r="AQ802" s="51" t="s">
        <v>3033</v>
      </c>
      <c r="AR802" s="51" t="s">
        <v>3034</v>
      </c>
      <c r="AS802" s="49" t="str">
        <f t="shared" si="51"/>
        <v/>
      </c>
      <c r="AT802" s="49" t="str">
        <f t="shared" si="52"/>
        <v/>
      </c>
      <c r="AU802" s="49"/>
      <c r="AV802" s="49"/>
    </row>
    <row r="803" spans="1:48" ht="18" customHeight="1">
      <c r="A803" s="44">
        <v>801</v>
      </c>
      <c r="B803" s="52" t="s">
        <v>2702</v>
      </c>
      <c r="C803" s="71" t="s">
        <v>3000</v>
      </c>
      <c r="D803" s="46" t="s">
        <v>72</v>
      </c>
      <c r="E803" s="44" t="s">
        <v>3034</v>
      </c>
      <c r="F803" s="44" t="s">
        <v>3066</v>
      </c>
      <c r="G803" s="44"/>
      <c r="H803" s="44"/>
      <c r="I803" s="44"/>
      <c r="J803" s="47" t="s">
        <v>35</v>
      </c>
      <c r="K803" s="47"/>
      <c r="L803" s="47"/>
      <c r="M803" s="47"/>
      <c r="N803" s="47"/>
      <c r="O803" s="44"/>
      <c r="P803" s="44"/>
      <c r="Q803" s="48">
        <f>VLOOKUP(E803,sheet1!$B$2:$D$3209,3,FALSE)</f>
        <v>901</v>
      </c>
      <c r="R803" s="47" t="s">
        <v>35</v>
      </c>
      <c r="S803" s="47" t="s">
        <v>35</v>
      </c>
      <c r="T803" s="47"/>
      <c r="U803" s="47" t="s">
        <v>296</v>
      </c>
      <c r="V803" s="47" t="s">
        <v>296</v>
      </c>
      <c r="W803" s="47" t="s">
        <v>296</v>
      </c>
      <c r="X803" s="47" t="s">
        <v>296</v>
      </c>
      <c r="Y803" s="47"/>
      <c r="Z803" s="47" t="s">
        <v>296</v>
      </c>
      <c r="AA803" s="47" t="s">
        <v>296</v>
      </c>
      <c r="AB803" s="47"/>
      <c r="AC803" s="47" t="s">
        <v>35</v>
      </c>
      <c r="AD803" s="75"/>
      <c r="AE803" s="49"/>
      <c r="AF803" s="51" t="s">
        <v>3067</v>
      </c>
      <c r="AG803" s="51" t="s">
        <v>3068</v>
      </c>
      <c r="AH803" s="49" t="str">
        <f t="shared" si="53"/>
        <v>外貨建支払データ作成</v>
      </c>
      <c r="AI803" s="49"/>
      <c r="AJ803" s="49"/>
      <c r="AK803" s="49"/>
      <c r="AL803" s="49"/>
      <c r="AM803" s="49"/>
      <c r="AN803" s="49"/>
      <c r="AO803" s="51" t="str">
        <f t="shared" si="49"/>
        <v>買掛金管理表</v>
      </c>
      <c r="AP803" s="51" t="str">
        <f t="shared" si="50"/>
        <v>AC4800</v>
      </c>
      <c r="AQ803" s="51" t="s">
        <v>3036</v>
      </c>
      <c r="AR803" s="51" t="s">
        <v>3037</v>
      </c>
      <c r="AS803" s="49" t="str">
        <f t="shared" si="51"/>
        <v/>
      </c>
      <c r="AT803" s="49" t="str">
        <f t="shared" si="52"/>
        <v/>
      </c>
      <c r="AU803" s="49"/>
      <c r="AV803" s="49"/>
    </row>
    <row r="804" spans="1:48" ht="18" customHeight="1">
      <c r="A804" s="44">
        <v>802</v>
      </c>
      <c r="B804" s="52" t="s">
        <v>2702</v>
      </c>
      <c r="C804" s="71" t="s">
        <v>3000</v>
      </c>
      <c r="D804" s="46" t="s">
        <v>72</v>
      </c>
      <c r="E804" s="44" t="s">
        <v>3037</v>
      </c>
      <c r="F804" s="44" t="s">
        <v>3069</v>
      </c>
      <c r="G804" s="44"/>
      <c r="H804" s="44"/>
      <c r="I804" s="44"/>
      <c r="J804" s="47" t="s">
        <v>35</v>
      </c>
      <c r="K804" s="47"/>
      <c r="L804" s="47"/>
      <c r="M804" s="47"/>
      <c r="N804" s="47"/>
      <c r="O804" s="44"/>
      <c r="P804" s="44"/>
      <c r="Q804" s="48">
        <f>VLOOKUP(E804,sheet1!$B$2:$D$3209,3,FALSE)</f>
        <v>590</v>
      </c>
      <c r="R804" s="47" t="s">
        <v>35</v>
      </c>
      <c r="S804" s="47" t="s">
        <v>35</v>
      </c>
      <c r="T804" s="47"/>
      <c r="U804" s="47" t="s">
        <v>296</v>
      </c>
      <c r="V804" s="47" t="s">
        <v>296</v>
      </c>
      <c r="W804" s="47" t="s">
        <v>296</v>
      </c>
      <c r="X804" s="47" t="s">
        <v>296</v>
      </c>
      <c r="Y804" s="47"/>
      <c r="Z804" s="47" t="s">
        <v>296</v>
      </c>
      <c r="AA804" s="47" t="s">
        <v>296</v>
      </c>
      <c r="AB804" s="47"/>
      <c r="AC804" s="47" t="s">
        <v>35</v>
      </c>
      <c r="AD804" s="75"/>
      <c r="AE804" s="49"/>
      <c r="AF804" s="51" t="s">
        <v>3070</v>
      </c>
      <c r="AG804" s="51" t="s">
        <v>3071</v>
      </c>
      <c r="AH804" s="49" t="str">
        <f t="shared" si="53"/>
        <v>買掛金総合振込データ作成</v>
      </c>
      <c r="AI804" s="49"/>
      <c r="AJ804" s="49"/>
      <c r="AK804" s="49"/>
      <c r="AL804" s="49"/>
      <c r="AM804" s="49"/>
      <c r="AN804" s="49"/>
      <c r="AO804" s="51" t="str">
        <f t="shared" si="49"/>
        <v>買掛金支払管理表</v>
      </c>
      <c r="AP804" s="51" t="str">
        <f t="shared" si="50"/>
        <v>AC4900A</v>
      </c>
      <c r="AQ804" s="51" t="s">
        <v>3039</v>
      </c>
      <c r="AR804" s="51" t="s">
        <v>3040</v>
      </c>
      <c r="AS804" s="49" t="str">
        <f t="shared" si="51"/>
        <v/>
      </c>
      <c r="AT804" s="49" t="str">
        <f t="shared" si="52"/>
        <v/>
      </c>
      <c r="AU804" s="49"/>
      <c r="AV804" s="49"/>
    </row>
    <row r="805" spans="1:48" ht="18" customHeight="1">
      <c r="A805" s="44">
        <v>803</v>
      </c>
      <c r="B805" s="52" t="s">
        <v>2702</v>
      </c>
      <c r="C805" s="71" t="s">
        <v>3000</v>
      </c>
      <c r="D805" s="46" t="s">
        <v>72</v>
      </c>
      <c r="E805" s="44" t="s">
        <v>3040</v>
      </c>
      <c r="F805" s="44" t="s">
        <v>3072</v>
      </c>
      <c r="G805" s="44"/>
      <c r="H805" s="44"/>
      <c r="I805" s="44"/>
      <c r="J805" s="47" t="s">
        <v>35</v>
      </c>
      <c r="K805" s="47"/>
      <c r="L805" s="47"/>
      <c r="M805" s="47"/>
      <c r="N805" s="47"/>
      <c r="O805" s="44"/>
      <c r="P805" s="44"/>
      <c r="Q805" s="48">
        <f>VLOOKUP(E805,sheet1!$B$2:$D$3209,3,FALSE)</f>
        <v>951</v>
      </c>
      <c r="R805" s="47" t="s">
        <v>35</v>
      </c>
      <c r="S805" s="47" t="s">
        <v>35</v>
      </c>
      <c r="T805" s="47"/>
      <c r="U805" s="47" t="s">
        <v>296</v>
      </c>
      <c r="V805" s="47" t="s">
        <v>296</v>
      </c>
      <c r="W805" s="47" t="s">
        <v>296</v>
      </c>
      <c r="X805" s="47" t="s">
        <v>296</v>
      </c>
      <c r="Y805" s="47"/>
      <c r="Z805" s="47" t="s">
        <v>296</v>
      </c>
      <c r="AA805" s="47" t="s">
        <v>296</v>
      </c>
      <c r="AB805" s="47"/>
      <c r="AC805" s="47" t="s">
        <v>35</v>
      </c>
      <c r="AD805" s="75"/>
      <c r="AE805" s="49"/>
      <c r="AF805" s="51" t="s">
        <v>3073</v>
      </c>
      <c r="AG805" s="51" t="s">
        <v>3074</v>
      </c>
      <c r="AH805" s="49" t="str">
        <f t="shared" si="53"/>
        <v>振込指定日の変更</v>
      </c>
      <c r="AI805" s="49"/>
      <c r="AJ805" s="49"/>
      <c r="AK805" s="49"/>
      <c r="AL805" s="49"/>
      <c r="AM805" s="49"/>
      <c r="AN805" s="49"/>
      <c r="AO805" s="51" t="str">
        <f t="shared" si="49"/>
        <v>買掛金元帳</v>
      </c>
      <c r="AP805" s="51" t="str">
        <f t="shared" si="50"/>
        <v>AC5000</v>
      </c>
      <c r="AQ805" s="51" t="s">
        <v>3042</v>
      </c>
      <c r="AR805" s="51" t="s">
        <v>3043</v>
      </c>
      <c r="AS805" s="49" t="str">
        <f t="shared" si="51"/>
        <v/>
      </c>
      <c r="AT805" s="49" t="str">
        <f t="shared" si="52"/>
        <v/>
      </c>
      <c r="AU805" s="49"/>
      <c r="AV805" s="49"/>
    </row>
    <row r="806" spans="1:48" ht="18" customHeight="1">
      <c r="A806" s="44">
        <v>804</v>
      </c>
      <c r="B806" s="52" t="s">
        <v>2702</v>
      </c>
      <c r="C806" s="71" t="s">
        <v>3000</v>
      </c>
      <c r="D806" s="46" t="s">
        <v>72</v>
      </c>
      <c r="E806" s="44" t="s">
        <v>3043</v>
      </c>
      <c r="F806" s="44" t="s">
        <v>3075</v>
      </c>
      <c r="G806" s="44"/>
      <c r="H806" s="44"/>
      <c r="I806" s="44"/>
      <c r="J806" s="47" t="s">
        <v>35</v>
      </c>
      <c r="K806" s="47"/>
      <c r="L806" s="47"/>
      <c r="M806" s="47"/>
      <c r="N806" s="47"/>
      <c r="O806" s="44"/>
      <c r="P806" s="44"/>
      <c r="Q806" s="48">
        <f>VLOOKUP(E806,sheet1!$B$2:$D$3209,3,FALSE)</f>
        <v>969</v>
      </c>
      <c r="R806" s="47" t="s">
        <v>35</v>
      </c>
      <c r="S806" s="47" t="s">
        <v>35</v>
      </c>
      <c r="T806" s="47"/>
      <c r="U806" s="47" t="s">
        <v>296</v>
      </c>
      <c r="V806" s="47" t="s">
        <v>296</v>
      </c>
      <c r="W806" s="47" t="s">
        <v>296</v>
      </c>
      <c r="X806" s="47" t="s">
        <v>296</v>
      </c>
      <c r="Y806" s="47"/>
      <c r="Z806" s="47" t="s">
        <v>296</v>
      </c>
      <c r="AA806" s="47" t="s">
        <v>296</v>
      </c>
      <c r="AB806" s="47"/>
      <c r="AC806" s="47" t="s">
        <v>35</v>
      </c>
      <c r="AD806" s="75"/>
      <c r="AE806" s="49"/>
      <c r="AF806" s="51" t="s">
        <v>3076</v>
      </c>
      <c r="AG806" s="51" t="s">
        <v>3077</v>
      </c>
      <c r="AH806" s="49" t="str">
        <f t="shared" si="53"/>
        <v>総合振込一覧表</v>
      </c>
      <c r="AI806" s="49"/>
      <c r="AJ806" s="49"/>
      <c r="AK806" s="49"/>
      <c r="AL806" s="49"/>
      <c r="AM806" s="49"/>
      <c r="AN806" s="49"/>
      <c r="AO806" s="51" t="str">
        <f t="shared" si="49"/>
        <v>仕入データ作成（買掛金）</v>
      </c>
      <c r="AP806" s="51" t="str">
        <f t="shared" si="50"/>
        <v>AC4220</v>
      </c>
      <c r="AQ806" s="51" t="s">
        <v>3045</v>
      </c>
      <c r="AR806" s="51" t="s">
        <v>3046</v>
      </c>
      <c r="AS806" s="49" t="str">
        <f t="shared" si="51"/>
        <v/>
      </c>
      <c r="AT806" s="49" t="str">
        <f t="shared" si="52"/>
        <v/>
      </c>
      <c r="AU806" s="49"/>
      <c r="AV806" s="49"/>
    </row>
    <row r="807" spans="1:48" ht="18" customHeight="1">
      <c r="A807" s="44">
        <v>805</v>
      </c>
      <c r="B807" s="52" t="s">
        <v>2702</v>
      </c>
      <c r="C807" s="71" t="s">
        <v>3000</v>
      </c>
      <c r="D807" s="46" t="s">
        <v>72</v>
      </c>
      <c r="E807" s="44" t="s">
        <v>3046</v>
      </c>
      <c r="F807" s="44" t="s">
        <v>3078</v>
      </c>
      <c r="G807" s="44"/>
      <c r="H807" s="44"/>
      <c r="I807" s="44"/>
      <c r="J807" s="47" t="s">
        <v>35</v>
      </c>
      <c r="K807" s="47"/>
      <c r="L807" s="47"/>
      <c r="M807" s="47"/>
      <c r="N807" s="47"/>
      <c r="O807" s="44"/>
      <c r="P807" s="44"/>
      <c r="Q807" s="48">
        <f>VLOOKUP(E807,sheet1!$B$2:$D$3209,3,FALSE)</f>
        <v>700</v>
      </c>
      <c r="R807" s="47" t="s">
        <v>35</v>
      </c>
      <c r="S807" s="47" t="s">
        <v>35</v>
      </c>
      <c r="T807" s="47"/>
      <c r="U807" s="47" t="s">
        <v>296</v>
      </c>
      <c r="V807" s="47" t="s">
        <v>296</v>
      </c>
      <c r="W807" s="47" t="s">
        <v>296</v>
      </c>
      <c r="X807" s="47" t="s">
        <v>296</v>
      </c>
      <c r="Y807" s="47"/>
      <c r="Z807" s="47" t="s">
        <v>296</v>
      </c>
      <c r="AA807" s="47" t="s">
        <v>296</v>
      </c>
      <c r="AB807" s="47"/>
      <c r="AC807" s="47" t="s">
        <v>35</v>
      </c>
      <c r="AD807" s="75"/>
      <c r="AE807" s="49"/>
      <c r="AF807" s="51" t="s">
        <v>3079</v>
      </c>
      <c r="AG807" s="51" t="s">
        <v>3080</v>
      </c>
      <c r="AH807" s="49" t="str">
        <f t="shared" si="53"/>
        <v>総合振込チェックリスト</v>
      </c>
      <c r="AI807" s="49"/>
      <c r="AJ807" s="49"/>
      <c r="AK807" s="49"/>
      <c r="AL807" s="49"/>
      <c r="AM807" s="49"/>
      <c r="AN807" s="49"/>
      <c r="AO807" s="51" t="str">
        <f t="shared" si="49"/>
        <v>支払データ作成（買掛金）</v>
      </c>
      <c r="AP807" s="51" t="str">
        <f t="shared" si="50"/>
        <v>AC4200</v>
      </c>
      <c r="AQ807" s="51" t="s">
        <v>3048</v>
      </c>
      <c r="AR807" s="51" t="s">
        <v>3049</v>
      </c>
      <c r="AS807" s="49" t="str">
        <f t="shared" si="51"/>
        <v/>
      </c>
      <c r="AT807" s="49" t="str">
        <f t="shared" si="52"/>
        <v/>
      </c>
      <c r="AU807" s="49"/>
      <c r="AV807" s="49"/>
    </row>
    <row r="808" spans="1:48" ht="18" customHeight="1">
      <c r="A808" s="44">
        <v>806</v>
      </c>
      <c r="B808" s="52" t="s">
        <v>2702</v>
      </c>
      <c r="C808" s="71" t="s">
        <v>3000</v>
      </c>
      <c r="D808" s="46" t="s">
        <v>72</v>
      </c>
      <c r="E808" s="44" t="s">
        <v>3049</v>
      </c>
      <c r="F808" s="44" t="s">
        <v>3081</v>
      </c>
      <c r="G808" s="44"/>
      <c r="H808" s="44"/>
      <c r="I808" s="44"/>
      <c r="J808" s="47" t="s">
        <v>35</v>
      </c>
      <c r="K808" s="47"/>
      <c r="L808" s="47"/>
      <c r="M808" s="47"/>
      <c r="N808" s="47"/>
      <c r="O808" s="44"/>
      <c r="P808" s="44"/>
      <c r="Q808" s="48" t="e">
        <f>VLOOKUP(E808,sheet1!$B$2:$D$3209,3,FALSE)</f>
        <v>#N/A</v>
      </c>
      <c r="R808" s="47" t="s">
        <v>35</v>
      </c>
      <c r="S808" s="47" t="s">
        <v>35</v>
      </c>
      <c r="T808" s="47"/>
      <c r="U808" s="47" t="s">
        <v>296</v>
      </c>
      <c r="V808" s="47" t="s">
        <v>296</v>
      </c>
      <c r="W808" s="47" t="s">
        <v>296</v>
      </c>
      <c r="X808" s="47" t="s">
        <v>296</v>
      </c>
      <c r="Y808" s="47"/>
      <c r="Z808" s="47" t="s">
        <v>296</v>
      </c>
      <c r="AA808" s="47" t="s">
        <v>296</v>
      </c>
      <c r="AB808" s="47"/>
      <c r="AC808" s="47" t="s">
        <v>35</v>
      </c>
      <c r="AD808" s="75"/>
      <c r="AE808" s="49"/>
      <c r="AF808" s="51" t="s">
        <v>3082</v>
      </c>
      <c r="AG808" s="51" t="s">
        <v>3083</v>
      </c>
      <c r="AH808" s="49" t="str">
        <f t="shared" si="53"/>
        <v>仕入先取引条件通知書</v>
      </c>
      <c r="AI808" s="49"/>
      <c r="AJ808" s="49"/>
      <c r="AK808" s="49"/>
      <c r="AL808" s="49"/>
      <c r="AM808" s="49"/>
      <c r="AN808" s="49"/>
      <c r="AO808" s="51" t="str">
        <f t="shared" si="49"/>
        <v>支払データ更新（買掛金）</v>
      </c>
      <c r="AP808" s="51" t="str">
        <f t="shared" si="50"/>
        <v>AC5100</v>
      </c>
      <c r="AQ808" s="51" t="s">
        <v>3051</v>
      </c>
      <c r="AR808" s="51" t="s">
        <v>3052</v>
      </c>
      <c r="AS808" s="49" t="str">
        <f t="shared" si="51"/>
        <v/>
      </c>
      <c r="AT808" s="49" t="str">
        <f t="shared" si="52"/>
        <v/>
      </c>
      <c r="AU808" s="49"/>
      <c r="AV808" s="49"/>
    </row>
    <row r="809" spans="1:48" ht="18" customHeight="1">
      <c r="A809" s="44">
        <v>807</v>
      </c>
      <c r="B809" s="52" t="s">
        <v>2702</v>
      </c>
      <c r="C809" s="71" t="s">
        <v>3000</v>
      </c>
      <c r="D809" s="46" t="s">
        <v>72</v>
      </c>
      <c r="E809" s="44" t="s">
        <v>3052</v>
      </c>
      <c r="F809" s="44" t="s">
        <v>3084</v>
      </c>
      <c r="G809" s="44"/>
      <c r="H809" s="44"/>
      <c r="I809" s="44"/>
      <c r="J809" s="47" t="s">
        <v>35</v>
      </c>
      <c r="K809" s="47"/>
      <c r="L809" s="47"/>
      <c r="M809" s="47"/>
      <c r="N809" s="47"/>
      <c r="O809" s="44"/>
      <c r="P809" s="44"/>
      <c r="Q809" s="48" t="e">
        <f>VLOOKUP(E809,sheet1!$B$2:$D$3209,3,FALSE)</f>
        <v>#N/A</v>
      </c>
      <c r="R809" s="47" t="s">
        <v>35</v>
      </c>
      <c r="S809" s="47" t="s">
        <v>35</v>
      </c>
      <c r="T809" s="47"/>
      <c r="U809" s="47" t="s">
        <v>296</v>
      </c>
      <c r="V809" s="47" t="s">
        <v>296</v>
      </c>
      <c r="W809" s="47" t="s">
        <v>296</v>
      </c>
      <c r="X809" s="47" t="s">
        <v>296</v>
      </c>
      <c r="Y809" s="47"/>
      <c r="Z809" s="47" t="s">
        <v>296</v>
      </c>
      <c r="AA809" s="47" t="s">
        <v>296</v>
      </c>
      <c r="AB809" s="47"/>
      <c r="AC809" s="47" t="s">
        <v>35</v>
      </c>
      <c r="AD809" s="75"/>
      <c r="AE809" s="49"/>
      <c r="AF809" s="51" t="s">
        <v>3085</v>
      </c>
      <c r="AG809" s="51" t="s">
        <v>3086</v>
      </c>
      <c r="AH809" s="49" t="str">
        <f t="shared" si="53"/>
        <v>買掛金照会</v>
      </c>
      <c r="AI809" s="49"/>
      <c r="AJ809" s="49"/>
      <c r="AK809" s="49"/>
      <c r="AL809" s="49"/>
      <c r="AM809" s="49"/>
      <c r="AN809" s="49"/>
      <c r="AO809" s="51" t="str">
        <f t="shared" si="49"/>
        <v>相殺金額反映（買掛金）</v>
      </c>
      <c r="AP809" s="51" t="str">
        <f t="shared" si="50"/>
        <v>AC5110</v>
      </c>
      <c r="AQ809" s="51" t="s">
        <v>3054</v>
      </c>
      <c r="AR809" s="51" t="s">
        <v>3055</v>
      </c>
      <c r="AS809" s="49" t="str">
        <f t="shared" si="51"/>
        <v/>
      </c>
      <c r="AT809" s="49" t="str">
        <f t="shared" si="52"/>
        <v/>
      </c>
      <c r="AU809" s="49"/>
      <c r="AV809" s="49"/>
    </row>
    <row r="810" spans="1:48" ht="18" customHeight="1">
      <c r="A810" s="44">
        <v>808</v>
      </c>
      <c r="B810" s="52" t="s">
        <v>2702</v>
      </c>
      <c r="C810" s="71" t="s">
        <v>3000</v>
      </c>
      <c r="D810" s="46" t="s">
        <v>72</v>
      </c>
      <c r="E810" s="44" t="s">
        <v>3055</v>
      </c>
      <c r="F810" s="44" t="s">
        <v>3087</v>
      </c>
      <c r="G810" s="44"/>
      <c r="H810" s="44"/>
      <c r="I810" s="44"/>
      <c r="J810" s="47" t="s">
        <v>35</v>
      </c>
      <c r="K810" s="47"/>
      <c r="L810" s="47"/>
      <c r="M810" s="47"/>
      <c r="N810" s="47"/>
      <c r="O810" s="44"/>
      <c r="P810" s="44"/>
      <c r="Q810" s="48">
        <f>VLOOKUP(E810,sheet1!$B$2:$D$3209,3,FALSE)</f>
        <v>425</v>
      </c>
      <c r="R810" s="47" t="s">
        <v>35</v>
      </c>
      <c r="S810" s="47" t="s">
        <v>35</v>
      </c>
      <c r="T810" s="47"/>
      <c r="U810" s="47" t="s">
        <v>296</v>
      </c>
      <c r="V810" s="47" t="s">
        <v>296</v>
      </c>
      <c r="W810" s="47" t="s">
        <v>296</v>
      </c>
      <c r="X810" s="47" t="s">
        <v>296</v>
      </c>
      <c r="Y810" s="47"/>
      <c r="Z810" s="47" t="s">
        <v>296</v>
      </c>
      <c r="AA810" s="47" t="s">
        <v>296</v>
      </c>
      <c r="AB810" s="47"/>
      <c r="AC810" s="47" t="s">
        <v>35</v>
      </c>
      <c r="AD810" s="75"/>
      <c r="AE810" s="49"/>
      <c r="AF810" s="56" t="s">
        <v>3088</v>
      </c>
      <c r="AG810" s="56" t="s">
        <v>2802</v>
      </c>
      <c r="AH810" s="49" t="str">
        <f t="shared" si="53"/>
        <v>INVOICEデータ取込</v>
      </c>
      <c r="AI810" s="49"/>
      <c r="AJ810" s="49"/>
      <c r="AK810" s="49"/>
      <c r="AL810" s="49"/>
      <c r="AM810" s="49"/>
      <c r="AN810" s="49"/>
      <c r="AO810" s="51" t="str">
        <f t="shared" si="49"/>
        <v>支払ファイル</v>
      </c>
      <c r="AP810" s="51" t="str">
        <f t="shared" si="50"/>
        <v>AC4500</v>
      </c>
      <c r="AQ810" s="51" t="s">
        <v>3058</v>
      </c>
      <c r="AR810" s="51" t="s">
        <v>3059</v>
      </c>
      <c r="AS810" s="49" t="str">
        <f t="shared" si="51"/>
        <v/>
      </c>
      <c r="AT810" s="49" t="str">
        <f t="shared" si="52"/>
        <v/>
      </c>
      <c r="AU810" s="49"/>
      <c r="AV810" s="49"/>
    </row>
    <row r="811" spans="1:48" ht="18" customHeight="1">
      <c r="A811" s="44">
        <v>809</v>
      </c>
      <c r="B811" s="52" t="s">
        <v>2702</v>
      </c>
      <c r="C811" s="71" t="s">
        <v>3000</v>
      </c>
      <c r="D811" s="46" t="s">
        <v>72</v>
      </c>
      <c r="E811" s="44" t="s">
        <v>3059</v>
      </c>
      <c r="F811" s="44" t="s">
        <v>3089</v>
      </c>
      <c r="G811" s="44"/>
      <c r="H811" s="44"/>
      <c r="I811" s="44"/>
      <c r="J811" s="47" t="s">
        <v>35</v>
      </c>
      <c r="K811" s="47"/>
      <c r="L811" s="47"/>
      <c r="M811" s="47"/>
      <c r="N811" s="47"/>
      <c r="O811" s="44"/>
      <c r="P811" s="44"/>
      <c r="Q811" s="48">
        <f>VLOOKUP(E811,sheet1!$B$2:$D$3209,3,FALSE)</f>
        <v>869</v>
      </c>
      <c r="R811" s="47" t="s">
        <v>35</v>
      </c>
      <c r="S811" s="47" t="s">
        <v>35</v>
      </c>
      <c r="T811" s="47"/>
      <c r="U811" s="47" t="s">
        <v>296</v>
      </c>
      <c r="V811" s="47" t="s">
        <v>296</v>
      </c>
      <c r="W811" s="47" t="s">
        <v>296</v>
      </c>
      <c r="X811" s="47" t="s">
        <v>296</v>
      </c>
      <c r="Y811" s="47"/>
      <c r="Z811" s="47" t="s">
        <v>296</v>
      </c>
      <c r="AA811" s="47" t="s">
        <v>296</v>
      </c>
      <c r="AB811" s="47"/>
      <c r="AC811" s="47" t="s">
        <v>35</v>
      </c>
      <c r="AD811" s="75"/>
      <c r="AE811" s="49"/>
      <c r="AF811" s="56" t="s">
        <v>3090</v>
      </c>
      <c r="AG811" s="56" t="s">
        <v>3091</v>
      </c>
      <c r="AH811" s="49" t="str">
        <f t="shared" si="53"/>
        <v>INVOICE変換データ確認・調整</v>
      </c>
      <c r="AI811" s="49"/>
      <c r="AJ811" s="49"/>
      <c r="AK811" s="49"/>
      <c r="AL811" s="49"/>
      <c r="AM811" s="49"/>
      <c r="AN811" s="49"/>
      <c r="AO811" s="51" t="str">
        <f t="shared" si="49"/>
        <v>買掛金ファイル</v>
      </c>
      <c r="AP811" s="51" t="str">
        <f t="shared" si="50"/>
        <v>AC4600</v>
      </c>
      <c r="AQ811" s="51" t="s">
        <v>3061</v>
      </c>
      <c r="AR811" s="51" t="s">
        <v>3062</v>
      </c>
      <c r="AS811" s="49" t="str">
        <f t="shared" si="51"/>
        <v/>
      </c>
      <c r="AT811" s="49" t="str">
        <f t="shared" si="52"/>
        <v/>
      </c>
      <c r="AU811" s="49"/>
      <c r="AV811" s="49"/>
    </row>
    <row r="812" spans="1:48" ht="18" customHeight="1">
      <c r="A812" s="44">
        <v>810</v>
      </c>
      <c r="B812" s="52" t="s">
        <v>2702</v>
      </c>
      <c r="C812" s="71" t="s">
        <v>3000</v>
      </c>
      <c r="D812" s="46" t="s">
        <v>72</v>
      </c>
      <c r="E812" s="44" t="s">
        <v>3062</v>
      </c>
      <c r="F812" s="44" t="s">
        <v>3092</v>
      </c>
      <c r="G812" s="44"/>
      <c r="H812" s="44"/>
      <c r="I812" s="44"/>
      <c r="J812" s="47" t="s">
        <v>35</v>
      </c>
      <c r="K812" s="47"/>
      <c r="L812" s="47"/>
      <c r="M812" s="47"/>
      <c r="N812" s="47"/>
      <c r="O812" s="44"/>
      <c r="P812" s="44"/>
      <c r="Q812" s="48">
        <f>VLOOKUP(E812,sheet1!$B$2:$D$3209,3,FALSE)</f>
        <v>1079</v>
      </c>
      <c r="R812" s="47" t="s">
        <v>35</v>
      </c>
      <c r="S812" s="47" t="s">
        <v>35</v>
      </c>
      <c r="T812" s="47"/>
      <c r="U812" s="47" t="s">
        <v>296</v>
      </c>
      <c r="V812" s="47" t="s">
        <v>296</v>
      </c>
      <c r="W812" s="47" t="s">
        <v>296</v>
      </c>
      <c r="X812" s="47" t="s">
        <v>296</v>
      </c>
      <c r="Y812" s="47"/>
      <c r="Z812" s="47" t="s">
        <v>296</v>
      </c>
      <c r="AA812" s="47" t="s">
        <v>296</v>
      </c>
      <c r="AB812" s="47"/>
      <c r="AC812" s="47" t="s">
        <v>35</v>
      </c>
      <c r="AD812" s="75"/>
      <c r="AE812" s="49"/>
      <c r="AF812" s="56" t="s">
        <v>3093</v>
      </c>
      <c r="AG812" s="56" t="s">
        <v>3094</v>
      </c>
      <c r="AH812" s="49" t="str">
        <f t="shared" si="53"/>
        <v>INVOICE自動照合処理</v>
      </c>
      <c r="AI812" s="49"/>
      <c r="AJ812" s="49"/>
      <c r="AK812" s="49"/>
      <c r="AL812" s="49"/>
      <c r="AM812" s="49"/>
      <c r="AN812" s="49"/>
      <c r="AO812" s="51" t="str">
        <f t="shared" si="49"/>
        <v>外貨建買掛金ファイル</v>
      </c>
      <c r="AP812" s="51" t="str">
        <f t="shared" si="50"/>
        <v>AC2400</v>
      </c>
      <c r="AQ812" s="51" t="s">
        <v>3064</v>
      </c>
      <c r="AR812" s="51" t="s">
        <v>3065</v>
      </c>
      <c r="AS812" s="49" t="str">
        <f t="shared" si="51"/>
        <v/>
      </c>
      <c r="AT812" s="49" t="str">
        <f t="shared" si="52"/>
        <v/>
      </c>
      <c r="AU812" s="49"/>
      <c r="AV812" s="49"/>
    </row>
    <row r="813" spans="1:48" ht="18" customHeight="1">
      <c r="A813" s="44">
        <v>811</v>
      </c>
      <c r="B813" s="52" t="s">
        <v>2702</v>
      </c>
      <c r="C813" s="71" t="s">
        <v>3000</v>
      </c>
      <c r="D813" s="46" t="s">
        <v>72</v>
      </c>
      <c r="E813" s="44" t="s">
        <v>3065</v>
      </c>
      <c r="F813" s="44" t="s">
        <v>3095</v>
      </c>
      <c r="G813" s="44"/>
      <c r="H813" s="44"/>
      <c r="I813" s="44"/>
      <c r="J813" s="47" t="s">
        <v>35</v>
      </c>
      <c r="K813" s="47"/>
      <c r="L813" s="47"/>
      <c r="M813" s="47"/>
      <c r="N813" s="47"/>
      <c r="O813" s="44"/>
      <c r="P813" s="44"/>
      <c r="Q813" s="48">
        <f>VLOOKUP(E813,sheet1!$B$2:$D$3209,3,FALSE)</f>
        <v>616</v>
      </c>
      <c r="R813" s="47" t="s">
        <v>35</v>
      </c>
      <c r="S813" s="47" t="s">
        <v>35</v>
      </c>
      <c r="T813" s="47"/>
      <c r="U813" s="47" t="s">
        <v>296</v>
      </c>
      <c r="V813" s="47" t="s">
        <v>296</v>
      </c>
      <c r="W813" s="47" t="s">
        <v>296</v>
      </c>
      <c r="X813" s="47" t="s">
        <v>296</v>
      </c>
      <c r="Y813" s="47"/>
      <c r="Z813" s="47" t="s">
        <v>296</v>
      </c>
      <c r="AA813" s="47" t="s">
        <v>296</v>
      </c>
      <c r="AB813" s="47"/>
      <c r="AC813" s="47" t="s">
        <v>35</v>
      </c>
      <c r="AD813" s="75"/>
      <c r="AE813" s="49"/>
      <c r="AF813" s="51" t="s">
        <v>3096</v>
      </c>
      <c r="AG813" s="51" t="s">
        <v>3097</v>
      </c>
      <c r="AH813" s="49" t="str">
        <f t="shared" si="53"/>
        <v>償却合計・明細（簿価あり）</v>
      </c>
      <c r="AI813" s="49"/>
      <c r="AJ813" s="49"/>
      <c r="AK813" s="49"/>
      <c r="AL813" s="49"/>
      <c r="AM813" s="49"/>
      <c r="AN813" s="49"/>
      <c r="AO813" s="51" t="str">
        <f t="shared" si="49"/>
        <v>外貨建支払データ作成</v>
      </c>
      <c r="AP813" s="51" t="str">
        <f t="shared" si="50"/>
        <v>AC2500</v>
      </c>
      <c r="AQ813" s="51" t="s">
        <v>3067</v>
      </c>
      <c r="AR813" s="51" t="s">
        <v>3068</v>
      </c>
      <c r="AS813" s="49" t="str">
        <f t="shared" si="51"/>
        <v/>
      </c>
      <c r="AT813" s="49" t="str">
        <f t="shared" si="52"/>
        <v/>
      </c>
      <c r="AU813" s="49"/>
      <c r="AV813" s="49"/>
    </row>
    <row r="814" spans="1:48" ht="18" customHeight="1">
      <c r="A814" s="44">
        <v>812</v>
      </c>
      <c r="B814" s="52" t="s">
        <v>2702</v>
      </c>
      <c r="C814" s="71" t="s">
        <v>3000</v>
      </c>
      <c r="D814" s="46" t="s">
        <v>72</v>
      </c>
      <c r="E814" s="44" t="s">
        <v>3068</v>
      </c>
      <c r="F814" s="44" t="s">
        <v>3098</v>
      </c>
      <c r="G814" s="44"/>
      <c r="H814" s="44"/>
      <c r="I814" s="44"/>
      <c r="J814" s="47" t="s">
        <v>35</v>
      </c>
      <c r="K814" s="47"/>
      <c r="L814" s="47"/>
      <c r="M814" s="47"/>
      <c r="N814" s="47"/>
      <c r="O814" s="44"/>
      <c r="P814" s="44"/>
      <c r="Q814" s="48">
        <f>VLOOKUP(E814,sheet1!$B$2:$D$3209,3,FALSE)</f>
        <v>358</v>
      </c>
      <c r="R814" s="47" t="s">
        <v>35</v>
      </c>
      <c r="S814" s="47" t="s">
        <v>35</v>
      </c>
      <c r="T814" s="47"/>
      <c r="U814" s="47" t="s">
        <v>296</v>
      </c>
      <c r="V814" s="47" t="s">
        <v>296</v>
      </c>
      <c r="W814" s="47" t="s">
        <v>296</v>
      </c>
      <c r="X814" s="47" t="s">
        <v>296</v>
      </c>
      <c r="Y814" s="47"/>
      <c r="Z814" s="47" t="s">
        <v>296</v>
      </c>
      <c r="AA814" s="47" t="s">
        <v>296</v>
      </c>
      <c r="AB814" s="47"/>
      <c r="AC814" s="47" t="s">
        <v>35</v>
      </c>
      <c r="AD814" s="75"/>
      <c r="AE814" s="49"/>
      <c r="AF814" s="51" t="s">
        <v>3099</v>
      </c>
      <c r="AG814" s="51" t="s">
        <v>3100</v>
      </c>
      <c r="AH814" s="49" t="str">
        <f t="shared" si="53"/>
        <v>工場財団明細書</v>
      </c>
      <c r="AI814" s="49"/>
      <c r="AJ814" s="49"/>
      <c r="AK814" s="49"/>
      <c r="AL814" s="49"/>
      <c r="AM814" s="49"/>
      <c r="AN814" s="49"/>
      <c r="AO814" s="51" t="str">
        <f t="shared" si="49"/>
        <v>買掛金総合振込データ作成</v>
      </c>
      <c r="AP814" s="51" t="str">
        <f t="shared" si="50"/>
        <v>AC520I-S1</v>
      </c>
      <c r="AQ814" s="51" t="s">
        <v>3070</v>
      </c>
      <c r="AR814" s="51" t="s">
        <v>3071</v>
      </c>
      <c r="AS814" s="49" t="str">
        <f t="shared" si="51"/>
        <v/>
      </c>
      <c r="AT814" s="49" t="str">
        <f t="shared" si="52"/>
        <v/>
      </c>
      <c r="AU814" s="49"/>
      <c r="AV814" s="49"/>
    </row>
    <row r="815" spans="1:48" ht="18" customHeight="1">
      <c r="A815" s="44">
        <v>813</v>
      </c>
      <c r="B815" s="52" t="s">
        <v>2702</v>
      </c>
      <c r="C815" s="71" t="s">
        <v>3000</v>
      </c>
      <c r="D815" s="46" t="s">
        <v>72</v>
      </c>
      <c r="E815" s="44" t="s">
        <v>3071</v>
      </c>
      <c r="F815" s="44" t="s">
        <v>3101</v>
      </c>
      <c r="G815" s="44"/>
      <c r="H815" s="44"/>
      <c r="I815" s="44"/>
      <c r="J815" s="47" t="s">
        <v>35</v>
      </c>
      <c r="K815" s="47"/>
      <c r="L815" s="47"/>
      <c r="M815" s="47"/>
      <c r="N815" s="47"/>
      <c r="O815" s="44"/>
      <c r="P815" s="44"/>
      <c r="Q815" s="48" t="e">
        <f>VLOOKUP(E815,sheet1!$B$2:$D$3209,3,FALSE)</f>
        <v>#N/A</v>
      </c>
      <c r="R815" s="47" t="s">
        <v>35</v>
      </c>
      <c r="S815" s="47" t="s">
        <v>35</v>
      </c>
      <c r="T815" s="47"/>
      <c r="U815" s="47" t="s">
        <v>296</v>
      </c>
      <c r="V815" s="47" t="s">
        <v>296</v>
      </c>
      <c r="W815" s="47" t="s">
        <v>296</v>
      </c>
      <c r="X815" s="47" t="s">
        <v>296</v>
      </c>
      <c r="Y815" s="47"/>
      <c r="Z815" s="47" t="s">
        <v>296</v>
      </c>
      <c r="AA815" s="47" t="s">
        <v>296</v>
      </c>
      <c r="AB815" s="47"/>
      <c r="AC815" s="47" t="s">
        <v>35</v>
      </c>
      <c r="AD815" s="75"/>
      <c r="AE815" s="49"/>
      <c r="AF815" s="51" t="s">
        <v>3102</v>
      </c>
      <c r="AG815" s="51" t="s">
        <v>3103</v>
      </c>
      <c r="AH815" s="49" t="str">
        <f t="shared" si="53"/>
        <v>固定資産増加明細書</v>
      </c>
      <c r="AI815" s="49"/>
      <c r="AJ815" s="49"/>
      <c r="AK815" s="49"/>
      <c r="AL815" s="49"/>
      <c r="AM815" s="49"/>
      <c r="AN815" s="49"/>
      <c r="AO815" s="51" t="str">
        <f t="shared" si="49"/>
        <v>振込指定日の変更</v>
      </c>
      <c r="AP815" s="51" t="str">
        <f t="shared" si="50"/>
        <v>AC9000</v>
      </c>
      <c r="AQ815" s="51" t="s">
        <v>3073</v>
      </c>
      <c r="AR815" s="51" t="s">
        <v>3074</v>
      </c>
      <c r="AS815" s="49" t="str">
        <f t="shared" si="51"/>
        <v/>
      </c>
      <c r="AT815" s="49" t="str">
        <f t="shared" si="52"/>
        <v/>
      </c>
      <c r="AU815" s="49"/>
      <c r="AV815" s="49"/>
    </row>
    <row r="816" spans="1:48" ht="18" customHeight="1">
      <c r="A816" s="44">
        <v>814</v>
      </c>
      <c r="B816" s="52" t="s">
        <v>2702</v>
      </c>
      <c r="C816" s="71" t="s">
        <v>3000</v>
      </c>
      <c r="D816" s="46" t="s">
        <v>72</v>
      </c>
      <c r="E816" s="44" t="s">
        <v>3074</v>
      </c>
      <c r="F816" s="44" t="s">
        <v>3104</v>
      </c>
      <c r="G816" s="44"/>
      <c r="H816" s="44"/>
      <c r="I816" s="44"/>
      <c r="J816" s="47" t="s">
        <v>35</v>
      </c>
      <c r="K816" s="47"/>
      <c r="L816" s="47"/>
      <c r="M816" s="47"/>
      <c r="N816" s="47"/>
      <c r="O816" s="44"/>
      <c r="P816" s="44"/>
      <c r="Q816" s="48">
        <f>VLOOKUP(E816,sheet1!$B$2:$D$3209,3,FALSE)</f>
        <v>105</v>
      </c>
      <c r="R816" s="47" t="s">
        <v>35</v>
      </c>
      <c r="S816" s="47" t="s">
        <v>35</v>
      </c>
      <c r="T816" s="47"/>
      <c r="U816" s="47" t="s">
        <v>296</v>
      </c>
      <c r="V816" s="47" t="s">
        <v>296</v>
      </c>
      <c r="W816" s="47" t="s">
        <v>296</v>
      </c>
      <c r="X816" s="47" t="s">
        <v>296</v>
      </c>
      <c r="Y816" s="47"/>
      <c r="Z816" s="47" t="s">
        <v>296</v>
      </c>
      <c r="AA816" s="47" t="s">
        <v>296</v>
      </c>
      <c r="AB816" s="47"/>
      <c r="AC816" s="47" t="s">
        <v>35</v>
      </c>
      <c r="AD816" s="75"/>
      <c r="AE816" s="49"/>
      <c r="AF816" s="51" t="s">
        <v>3105</v>
      </c>
      <c r="AG816" s="51" t="s">
        <v>3106</v>
      </c>
      <c r="AH816" s="49" t="str">
        <f t="shared" si="53"/>
        <v>固定資産減少明細書</v>
      </c>
      <c r="AI816" s="49"/>
      <c r="AJ816" s="49"/>
      <c r="AK816" s="49"/>
      <c r="AL816" s="49"/>
      <c r="AM816" s="49"/>
      <c r="AN816" s="49"/>
      <c r="AO816" s="51" t="str">
        <f t="shared" si="49"/>
        <v>総合振込一覧表</v>
      </c>
      <c r="AP816" s="51" t="str">
        <f t="shared" si="50"/>
        <v>AC5600</v>
      </c>
      <c r="AQ816" s="51" t="s">
        <v>3076</v>
      </c>
      <c r="AR816" s="51" t="s">
        <v>3077</v>
      </c>
      <c r="AS816" s="49" t="str">
        <f t="shared" si="51"/>
        <v/>
      </c>
      <c r="AT816" s="49" t="str">
        <f t="shared" si="52"/>
        <v/>
      </c>
      <c r="AU816" s="49"/>
      <c r="AV816" s="49"/>
    </row>
    <row r="817" spans="1:48" ht="18" customHeight="1">
      <c r="A817" s="44">
        <v>815</v>
      </c>
      <c r="B817" s="52" t="s">
        <v>2702</v>
      </c>
      <c r="C817" s="71" t="s">
        <v>3000</v>
      </c>
      <c r="D817" s="46" t="s">
        <v>72</v>
      </c>
      <c r="E817" s="44" t="s">
        <v>3077</v>
      </c>
      <c r="F817" s="44" t="s">
        <v>3107</v>
      </c>
      <c r="G817" s="44"/>
      <c r="H817" s="44"/>
      <c r="I817" s="44"/>
      <c r="J817" s="47" t="s">
        <v>35</v>
      </c>
      <c r="K817" s="47"/>
      <c r="L817" s="47"/>
      <c r="M817" s="47"/>
      <c r="N817" s="47"/>
      <c r="O817" s="44"/>
      <c r="P817" s="44"/>
      <c r="Q817" s="48">
        <f>VLOOKUP(E817,sheet1!$B$2:$D$3209,3,FALSE)</f>
        <v>614</v>
      </c>
      <c r="R817" s="47" t="s">
        <v>35</v>
      </c>
      <c r="S817" s="47" t="s">
        <v>35</v>
      </c>
      <c r="T817" s="47"/>
      <c r="U817" s="47" t="s">
        <v>296</v>
      </c>
      <c r="V817" s="47" t="s">
        <v>296</v>
      </c>
      <c r="W817" s="47" t="s">
        <v>296</v>
      </c>
      <c r="X817" s="47" t="s">
        <v>296</v>
      </c>
      <c r="Y817" s="47"/>
      <c r="Z817" s="47" t="s">
        <v>296</v>
      </c>
      <c r="AA817" s="47" t="s">
        <v>296</v>
      </c>
      <c r="AB817" s="47"/>
      <c r="AC817" s="47" t="s">
        <v>35</v>
      </c>
      <c r="AD817" s="75"/>
      <c r="AE817" s="49"/>
      <c r="AF817" s="51" t="s">
        <v>3108</v>
      </c>
      <c r="AG817" s="51" t="s">
        <v>3109</v>
      </c>
      <c r="AH817" s="49" t="str">
        <f t="shared" si="53"/>
        <v>固定資産移動一覧表</v>
      </c>
      <c r="AI817" s="49"/>
      <c r="AJ817" s="49"/>
      <c r="AK817" s="49"/>
      <c r="AL817" s="49"/>
      <c r="AM817" s="49"/>
      <c r="AN817" s="49"/>
      <c r="AO817" s="51" t="str">
        <f t="shared" si="49"/>
        <v>総合振込チェックリスト</v>
      </c>
      <c r="AP817" s="51" t="str">
        <f t="shared" si="50"/>
        <v>AC5650</v>
      </c>
      <c r="AQ817" s="51" t="s">
        <v>3079</v>
      </c>
      <c r="AR817" s="51" t="s">
        <v>3080</v>
      </c>
      <c r="AS817" s="49" t="str">
        <f t="shared" si="51"/>
        <v/>
      </c>
      <c r="AT817" s="49" t="str">
        <f t="shared" si="52"/>
        <v/>
      </c>
      <c r="AU817" s="49"/>
      <c r="AV817" s="49"/>
    </row>
    <row r="818" spans="1:48" ht="18" customHeight="1">
      <c r="A818" s="44">
        <v>816</v>
      </c>
      <c r="B818" s="52" t="s">
        <v>2702</v>
      </c>
      <c r="C818" s="71" t="s">
        <v>3000</v>
      </c>
      <c r="D818" s="46" t="s">
        <v>72</v>
      </c>
      <c r="E818" s="44" t="s">
        <v>3080</v>
      </c>
      <c r="F818" s="44" t="s">
        <v>3110</v>
      </c>
      <c r="G818" s="44"/>
      <c r="H818" s="44"/>
      <c r="I818" s="44"/>
      <c r="J818" s="47" t="s">
        <v>35</v>
      </c>
      <c r="K818" s="47"/>
      <c r="L818" s="47"/>
      <c r="M818" s="47"/>
      <c r="N818" s="47"/>
      <c r="O818" s="44"/>
      <c r="P818" s="44"/>
      <c r="Q818" s="48">
        <f>VLOOKUP(E818,sheet1!$B$2:$D$3209,3,FALSE)</f>
        <v>688</v>
      </c>
      <c r="R818" s="47" t="s">
        <v>35</v>
      </c>
      <c r="S818" s="47" t="s">
        <v>35</v>
      </c>
      <c r="T818" s="47"/>
      <c r="U818" s="47" t="s">
        <v>296</v>
      </c>
      <c r="V818" s="47" t="s">
        <v>296</v>
      </c>
      <c r="W818" s="47" t="s">
        <v>296</v>
      </c>
      <c r="X818" s="47" t="s">
        <v>296</v>
      </c>
      <c r="Y818" s="47"/>
      <c r="Z818" s="47" t="s">
        <v>296</v>
      </c>
      <c r="AA818" s="47" t="s">
        <v>296</v>
      </c>
      <c r="AB818" s="47"/>
      <c r="AC818" s="47" t="s">
        <v>35</v>
      </c>
      <c r="AD818" s="75"/>
      <c r="AE818" s="49"/>
      <c r="AF818" s="51" t="s">
        <v>3111</v>
      </c>
      <c r="AG818" s="51" t="s">
        <v>3112</v>
      </c>
      <c r="AH818" s="49" t="str">
        <f t="shared" si="53"/>
        <v>固定資産償却予定一覧</v>
      </c>
      <c r="AI818" s="49"/>
      <c r="AJ818" s="49"/>
      <c r="AK818" s="49"/>
      <c r="AL818" s="49"/>
      <c r="AM818" s="49"/>
      <c r="AN818" s="49"/>
      <c r="AO818" s="51" t="str">
        <f t="shared" si="49"/>
        <v>仕入先取引条件通知書</v>
      </c>
      <c r="AP818" s="51" t="str">
        <f t="shared" si="50"/>
        <v>AC2031</v>
      </c>
      <c r="AQ818" s="51" t="s">
        <v>3082</v>
      </c>
      <c r="AR818" s="51" t="s">
        <v>3083</v>
      </c>
      <c r="AS818" s="49" t="str">
        <f t="shared" si="51"/>
        <v/>
      </c>
      <c r="AT818" s="49" t="str">
        <f t="shared" si="52"/>
        <v/>
      </c>
      <c r="AU818" s="49"/>
      <c r="AV818" s="49"/>
    </row>
    <row r="819" spans="1:48" ht="18" customHeight="1">
      <c r="A819" s="44">
        <v>817</v>
      </c>
      <c r="B819" s="52" t="s">
        <v>2702</v>
      </c>
      <c r="C819" s="71" t="s">
        <v>3000</v>
      </c>
      <c r="D819" s="46" t="s">
        <v>72</v>
      </c>
      <c r="E819" s="44" t="s">
        <v>3083</v>
      </c>
      <c r="F819" s="44" t="s">
        <v>3113</v>
      </c>
      <c r="G819" s="44"/>
      <c r="H819" s="44"/>
      <c r="I819" s="44"/>
      <c r="J819" s="47" t="s">
        <v>35</v>
      </c>
      <c r="K819" s="47"/>
      <c r="L819" s="47"/>
      <c r="M819" s="47"/>
      <c r="N819" s="47"/>
      <c r="O819" s="44"/>
      <c r="P819" s="44"/>
      <c r="Q819" s="48">
        <f>VLOOKUP(E819,sheet1!$B$2:$D$3209,3,FALSE)</f>
        <v>302</v>
      </c>
      <c r="R819" s="47" t="s">
        <v>35</v>
      </c>
      <c r="S819" s="47" t="s">
        <v>35</v>
      </c>
      <c r="T819" s="47"/>
      <c r="U819" s="47" t="s">
        <v>296</v>
      </c>
      <c r="V819" s="47" t="s">
        <v>296</v>
      </c>
      <c r="W819" s="47" t="s">
        <v>296</v>
      </c>
      <c r="X819" s="47" t="s">
        <v>296</v>
      </c>
      <c r="Y819" s="47"/>
      <c r="Z819" s="47" t="s">
        <v>296</v>
      </c>
      <c r="AA819" s="47" t="s">
        <v>296</v>
      </c>
      <c r="AB819" s="47"/>
      <c r="AC819" s="47" t="s">
        <v>35</v>
      </c>
      <c r="AD819" s="75"/>
      <c r="AE819" s="49"/>
      <c r="AF819" s="51" t="s">
        <v>3114</v>
      </c>
      <c r="AG819" s="51" t="s">
        <v>3115</v>
      </c>
      <c r="AH819" s="49" t="str">
        <f t="shared" si="53"/>
        <v>固定資産台帳</v>
      </c>
      <c r="AI819" s="49"/>
      <c r="AJ819" s="49"/>
      <c r="AK819" s="49"/>
      <c r="AL819" s="49"/>
      <c r="AM819" s="49"/>
      <c r="AN819" s="49"/>
      <c r="AO819" s="51" t="str">
        <f t="shared" si="49"/>
        <v>買掛金照会</v>
      </c>
      <c r="AP819" s="51" t="str">
        <f t="shared" si="50"/>
        <v>AC6300</v>
      </c>
      <c r="AQ819" s="51" t="s">
        <v>3085</v>
      </c>
      <c r="AR819" s="51" t="s">
        <v>3086</v>
      </c>
      <c r="AS819" s="49" t="str">
        <f t="shared" si="51"/>
        <v/>
      </c>
      <c r="AT819" s="49" t="str">
        <f t="shared" si="52"/>
        <v/>
      </c>
      <c r="AU819" s="49"/>
      <c r="AV819" s="49"/>
    </row>
    <row r="820" spans="1:48" ht="18" customHeight="1">
      <c r="A820" s="44">
        <v>818</v>
      </c>
      <c r="B820" s="52" t="s">
        <v>2702</v>
      </c>
      <c r="C820" s="71" t="s">
        <v>3000</v>
      </c>
      <c r="D820" s="46" t="s">
        <v>72</v>
      </c>
      <c r="E820" s="44" t="s">
        <v>3086</v>
      </c>
      <c r="F820" s="44" t="s">
        <v>3116</v>
      </c>
      <c r="G820" s="44"/>
      <c r="H820" s="44"/>
      <c r="I820" s="44"/>
      <c r="J820" s="47" t="s">
        <v>35</v>
      </c>
      <c r="K820" s="47"/>
      <c r="L820" s="47"/>
      <c r="M820" s="47"/>
      <c r="N820" s="47"/>
      <c r="O820" s="44"/>
      <c r="P820" s="44"/>
      <c r="Q820" s="48">
        <f>VLOOKUP(E820,sheet1!$B$2:$D$3209,3,FALSE)</f>
        <v>801</v>
      </c>
      <c r="R820" s="47" t="s">
        <v>35</v>
      </c>
      <c r="S820" s="47" t="s">
        <v>35</v>
      </c>
      <c r="T820" s="47"/>
      <c r="U820" s="47" t="s">
        <v>296</v>
      </c>
      <c r="V820" s="47" t="s">
        <v>296</v>
      </c>
      <c r="W820" s="47" t="s">
        <v>296</v>
      </c>
      <c r="X820" s="47" t="s">
        <v>296</v>
      </c>
      <c r="Y820" s="47"/>
      <c r="Z820" s="47" t="s">
        <v>296</v>
      </c>
      <c r="AA820" s="47" t="s">
        <v>296</v>
      </c>
      <c r="AB820" s="47"/>
      <c r="AC820" s="47" t="s">
        <v>35</v>
      </c>
      <c r="AD820" s="75"/>
      <c r="AE820" s="49"/>
      <c r="AF820" s="51" t="s">
        <v>3117</v>
      </c>
      <c r="AG820" s="51" t="s">
        <v>3118</v>
      </c>
      <c r="AH820" s="49" t="str">
        <f t="shared" si="53"/>
        <v>固定資産棚卸表</v>
      </c>
      <c r="AI820" s="49"/>
      <c r="AJ820" s="49"/>
      <c r="AK820" s="49"/>
      <c r="AL820" s="49"/>
      <c r="AM820" s="49"/>
      <c r="AN820" s="49"/>
      <c r="AO820" s="51" t="str">
        <f t="shared" si="49"/>
        <v>INVOICEデータ取込</v>
      </c>
      <c r="AP820" s="51" t="str">
        <f t="shared" si="50"/>
        <v>PD9220</v>
      </c>
      <c r="AQ820" s="51" t="s">
        <v>3088</v>
      </c>
      <c r="AR820" s="51" t="s">
        <v>2802</v>
      </c>
      <c r="AS820" s="49" t="str">
        <f t="shared" si="51"/>
        <v/>
      </c>
      <c r="AT820" s="49" t="str">
        <f t="shared" si="52"/>
        <v/>
      </c>
      <c r="AU820" s="49"/>
      <c r="AV820" s="49"/>
    </row>
    <row r="821" spans="1:48" ht="18" customHeight="1">
      <c r="A821" s="44">
        <v>819</v>
      </c>
      <c r="B821" s="52" t="s">
        <v>2702</v>
      </c>
      <c r="C821" s="71" t="s">
        <v>3000</v>
      </c>
      <c r="D821" s="53" t="s">
        <v>3119</v>
      </c>
      <c r="E821" s="44" t="s">
        <v>2802</v>
      </c>
      <c r="F821" s="44" t="s">
        <v>3120</v>
      </c>
      <c r="G821" s="44"/>
      <c r="H821" s="44"/>
      <c r="I821" s="44"/>
      <c r="J821" s="47" t="s">
        <v>35</v>
      </c>
      <c r="K821" s="47"/>
      <c r="L821" s="47"/>
      <c r="M821" s="47"/>
      <c r="N821" s="47"/>
      <c r="O821" s="44"/>
      <c r="P821" s="44"/>
      <c r="Q821" s="48">
        <f>VLOOKUP(E821,sheet1!$B$2:$D$3209,3,FALSE)</f>
        <v>203</v>
      </c>
      <c r="R821" s="47" t="s">
        <v>35</v>
      </c>
      <c r="S821" s="47" t="s">
        <v>35</v>
      </c>
      <c r="T821" s="47"/>
      <c r="U821" s="47" t="s">
        <v>296</v>
      </c>
      <c r="V821" s="47" t="s">
        <v>296</v>
      </c>
      <c r="W821" s="47" t="s">
        <v>296</v>
      </c>
      <c r="X821" s="47" t="s">
        <v>296</v>
      </c>
      <c r="Y821" s="47"/>
      <c r="Z821" s="47" t="s">
        <v>296</v>
      </c>
      <c r="AA821" s="47" t="s">
        <v>296</v>
      </c>
      <c r="AB821" s="47"/>
      <c r="AC821" s="47" t="s">
        <v>35</v>
      </c>
      <c r="AD821" s="75"/>
      <c r="AE821" s="49"/>
      <c r="AF821" s="51" t="s">
        <v>3121</v>
      </c>
      <c r="AG821" s="51" t="s">
        <v>3122</v>
      </c>
      <c r="AH821" s="49" t="str">
        <f t="shared" si="53"/>
        <v>棚卸用タックシール</v>
      </c>
      <c r="AI821" s="49"/>
      <c r="AJ821" s="49"/>
      <c r="AK821" s="49"/>
      <c r="AL821" s="49"/>
      <c r="AM821" s="49"/>
      <c r="AN821" s="49"/>
      <c r="AO821" s="51" t="str">
        <f t="shared" si="49"/>
        <v>INVOICE変換データ確認・調整</v>
      </c>
      <c r="AP821" s="51" t="str">
        <f t="shared" si="50"/>
        <v>AC2630</v>
      </c>
      <c r="AQ821" s="51" t="s">
        <v>3090</v>
      </c>
      <c r="AR821" s="51" t="s">
        <v>3091</v>
      </c>
      <c r="AS821" s="49" t="str">
        <f t="shared" si="51"/>
        <v/>
      </c>
      <c r="AT821" s="49" t="str">
        <f t="shared" si="52"/>
        <v/>
      </c>
      <c r="AU821" s="49"/>
      <c r="AV821" s="49"/>
    </row>
    <row r="822" spans="1:48" ht="18" customHeight="1">
      <c r="A822" s="44">
        <v>820</v>
      </c>
      <c r="B822" s="52" t="s">
        <v>2702</v>
      </c>
      <c r="C822" s="71" t="s">
        <v>3000</v>
      </c>
      <c r="D822" s="54" t="s">
        <v>3119</v>
      </c>
      <c r="E822" s="44" t="s">
        <v>3091</v>
      </c>
      <c r="F822" s="44" t="s">
        <v>3123</v>
      </c>
      <c r="G822" s="44"/>
      <c r="H822" s="44"/>
      <c r="I822" s="44"/>
      <c r="J822" s="47" t="s">
        <v>35</v>
      </c>
      <c r="K822" s="47"/>
      <c r="L822" s="47"/>
      <c r="M822" s="47"/>
      <c r="N822" s="47"/>
      <c r="O822" s="44"/>
      <c r="P822" s="44"/>
      <c r="Q822" s="48">
        <f>VLOOKUP(E822,sheet1!$B$2:$D$3209,3,FALSE)</f>
        <v>255</v>
      </c>
      <c r="R822" s="47" t="s">
        <v>35</v>
      </c>
      <c r="S822" s="47" t="s">
        <v>35</v>
      </c>
      <c r="T822" s="47"/>
      <c r="U822" s="47" t="s">
        <v>296</v>
      </c>
      <c r="V822" s="47" t="s">
        <v>296</v>
      </c>
      <c r="W822" s="47" t="s">
        <v>296</v>
      </c>
      <c r="X822" s="47" t="s">
        <v>296</v>
      </c>
      <c r="Y822" s="47"/>
      <c r="Z822" s="47" t="s">
        <v>296</v>
      </c>
      <c r="AA822" s="47" t="s">
        <v>296</v>
      </c>
      <c r="AB822" s="47"/>
      <c r="AC822" s="47" t="s">
        <v>35</v>
      </c>
      <c r="AD822" s="75"/>
      <c r="AE822" s="49"/>
      <c r="AF822" s="51" t="s">
        <v>3124</v>
      </c>
      <c r="AG822" s="51" t="s">
        <v>3125</v>
      </c>
      <c r="AH822" s="49" t="str">
        <f t="shared" si="53"/>
        <v>固定資産棚卸表〜科目・場所別</v>
      </c>
      <c r="AI822" s="49"/>
      <c r="AJ822" s="49"/>
      <c r="AK822" s="49"/>
      <c r="AL822" s="49"/>
      <c r="AM822" s="49"/>
      <c r="AN822" s="49"/>
      <c r="AO822" s="51" t="str">
        <f t="shared" si="49"/>
        <v>INVOICE自動照合処理</v>
      </c>
      <c r="AP822" s="51" t="str">
        <f t="shared" si="50"/>
        <v>AC2600</v>
      </c>
      <c r="AQ822" s="51" t="s">
        <v>3093</v>
      </c>
      <c r="AR822" s="51" t="s">
        <v>3094</v>
      </c>
      <c r="AS822" s="49" t="str">
        <f t="shared" si="51"/>
        <v/>
      </c>
      <c r="AT822" s="49" t="str">
        <f t="shared" si="52"/>
        <v/>
      </c>
      <c r="AU822" s="49"/>
      <c r="AV822" s="49"/>
    </row>
    <row r="823" spans="1:48" ht="18" customHeight="1">
      <c r="A823" s="44">
        <v>821</v>
      </c>
      <c r="B823" s="52" t="s">
        <v>2702</v>
      </c>
      <c r="C823" s="71" t="s">
        <v>3000</v>
      </c>
      <c r="D823" s="54" t="s">
        <v>3119</v>
      </c>
      <c r="E823" s="44" t="s">
        <v>3094</v>
      </c>
      <c r="F823" s="44" t="s">
        <v>3126</v>
      </c>
      <c r="G823" s="44"/>
      <c r="H823" s="44"/>
      <c r="I823" s="44"/>
      <c r="J823" s="47" t="s">
        <v>35</v>
      </c>
      <c r="K823" s="47"/>
      <c r="L823" s="47"/>
      <c r="M823" s="47"/>
      <c r="N823" s="47"/>
      <c r="O823" s="44"/>
      <c r="P823" s="44"/>
      <c r="Q823" s="48" t="e">
        <f>VLOOKUP(E823,sheet1!$B$2:$D$3209,3,FALSE)</f>
        <v>#N/A</v>
      </c>
      <c r="R823" s="47" t="s">
        <v>35</v>
      </c>
      <c r="S823" s="47" t="s">
        <v>35</v>
      </c>
      <c r="T823" s="47"/>
      <c r="U823" s="47" t="s">
        <v>296</v>
      </c>
      <c r="V823" s="47" t="s">
        <v>296</v>
      </c>
      <c r="W823" s="47" t="s">
        <v>296</v>
      </c>
      <c r="X823" s="47" t="s">
        <v>296</v>
      </c>
      <c r="Y823" s="47"/>
      <c r="Z823" s="47" t="s">
        <v>296</v>
      </c>
      <c r="AA823" s="47" t="s">
        <v>296</v>
      </c>
      <c r="AB823" s="47"/>
      <c r="AC823" s="47" t="s">
        <v>35</v>
      </c>
      <c r="AD823" s="75"/>
      <c r="AE823" s="49"/>
      <c r="AF823" s="51" t="s">
        <v>3127</v>
      </c>
      <c r="AG823" s="51" t="s">
        <v>3128</v>
      </c>
      <c r="AH823" s="49" t="str">
        <f t="shared" si="53"/>
        <v>償却資産申告明細書</v>
      </c>
      <c r="AI823" s="49"/>
      <c r="AJ823" s="49"/>
      <c r="AK823" s="49"/>
      <c r="AL823" s="49"/>
      <c r="AM823" s="49"/>
      <c r="AN823" s="49"/>
      <c r="AO823" s="51" t="str">
        <f t="shared" si="49"/>
        <v>償却合計・明細（簿価あり）</v>
      </c>
      <c r="AP823" s="51" t="str">
        <f t="shared" si="50"/>
        <v>AC9400</v>
      </c>
      <c r="AQ823" s="51" t="s">
        <v>3096</v>
      </c>
      <c r="AR823" s="51" t="s">
        <v>3097</v>
      </c>
      <c r="AS823" s="49" t="str">
        <f t="shared" si="51"/>
        <v/>
      </c>
      <c r="AT823" s="49" t="str">
        <f t="shared" si="52"/>
        <v/>
      </c>
      <c r="AU823" s="49"/>
      <c r="AV823" s="49"/>
    </row>
    <row r="824" spans="1:48" ht="18" customHeight="1">
      <c r="A824" s="44">
        <v>822</v>
      </c>
      <c r="B824" s="52" t="s">
        <v>2702</v>
      </c>
      <c r="C824" s="81" t="s">
        <v>3129</v>
      </c>
      <c r="D824" s="46" t="s">
        <v>72</v>
      </c>
      <c r="E824" s="44" t="s">
        <v>3097</v>
      </c>
      <c r="F824" s="44" t="s">
        <v>3130</v>
      </c>
      <c r="G824" s="44"/>
      <c r="H824" s="44"/>
      <c r="I824" s="44"/>
      <c r="J824" s="47" t="s">
        <v>35</v>
      </c>
      <c r="K824" s="47"/>
      <c r="L824" s="47"/>
      <c r="M824" s="47"/>
      <c r="N824" s="47"/>
      <c r="O824" s="44"/>
      <c r="P824" s="44"/>
      <c r="Q824" s="48" t="e">
        <f>VLOOKUP(E824,sheet1!$B$2:$D$3209,3,FALSE)</f>
        <v>#N/A</v>
      </c>
      <c r="R824" s="47" t="s">
        <v>35</v>
      </c>
      <c r="S824" s="47" t="s">
        <v>35</v>
      </c>
      <c r="T824" s="47"/>
      <c r="U824" s="47" t="s">
        <v>296</v>
      </c>
      <c r="V824" s="47" t="s">
        <v>296</v>
      </c>
      <c r="W824" s="47" t="s">
        <v>296</v>
      </c>
      <c r="X824" s="47" t="s">
        <v>296</v>
      </c>
      <c r="Y824" s="47"/>
      <c r="Z824" s="47" t="s">
        <v>296</v>
      </c>
      <c r="AA824" s="47" t="s">
        <v>296</v>
      </c>
      <c r="AB824" s="47"/>
      <c r="AC824" s="47" t="s">
        <v>35</v>
      </c>
      <c r="AD824" s="75"/>
      <c r="AE824" s="49"/>
      <c r="AF824" s="51" t="s">
        <v>3131</v>
      </c>
      <c r="AG824" s="51" t="s">
        <v>3132</v>
      </c>
      <c r="AH824" s="49" t="str">
        <f t="shared" si="53"/>
        <v>償却合計・明細（予定一覧）</v>
      </c>
      <c r="AI824" s="49"/>
      <c r="AJ824" s="49"/>
      <c r="AK824" s="49"/>
      <c r="AL824" s="49"/>
      <c r="AM824" s="49"/>
      <c r="AN824" s="49"/>
      <c r="AO824" s="51" t="str">
        <f t="shared" si="49"/>
        <v>工場財団明細書</v>
      </c>
      <c r="AP824" s="51" t="str">
        <f t="shared" si="50"/>
        <v>AC9480</v>
      </c>
      <c r="AQ824" s="51" t="s">
        <v>3099</v>
      </c>
      <c r="AR824" s="51" t="s">
        <v>3100</v>
      </c>
      <c r="AS824" s="49" t="str">
        <f t="shared" si="51"/>
        <v/>
      </c>
      <c r="AT824" s="49" t="str">
        <f t="shared" si="52"/>
        <v/>
      </c>
      <c r="AU824" s="49"/>
      <c r="AV824" s="49"/>
    </row>
    <row r="825" spans="1:48" ht="18" customHeight="1">
      <c r="A825" s="44">
        <v>823</v>
      </c>
      <c r="B825" s="52" t="s">
        <v>2702</v>
      </c>
      <c r="C825" s="71" t="s">
        <v>3129</v>
      </c>
      <c r="D825" s="46" t="s">
        <v>72</v>
      </c>
      <c r="E825" s="44" t="s">
        <v>3100</v>
      </c>
      <c r="F825" s="44" t="s">
        <v>3133</v>
      </c>
      <c r="G825" s="44"/>
      <c r="H825" s="44"/>
      <c r="I825" s="44"/>
      <c r="J825" s="47" t="s">
        <v>35</v>
      </c>
      <c r="K825" s="47"/>
      <c r="L825" s="47"/>
      <c r="M825" s="47"/>
      <c r="N825" s="47"/>
      <c r="O825" s="44"/>
      <c r="P825" s="44"/>
      <c r="Q825" s="48">
        <f>VLOOKUP(E825,sheet1!$B$2:$D$3209,3,FALSE)</f>
        <v>370</v>
      </c>
      <c r="R825" s="47" t="s">
        <v>35</v>
      </c>
      <c r="S825" s="47" t="s">
        <v>35</v>
      </c>
      <c r="T825" s="47"/>
      <c r="U825" s="47" t="s">
        <v>296</v>
      </c>
      <c r="V825" s="47" t="s">
        <v>296</v>
      </c>
      <c r="W825" s="47" t="s">
        <v>296</v>
      </c>
      <c r="X825" s="47" t="s">
        <v>296</v>
      </c>
      <c r="Y825" s="47"/>
      <c r="Z825" s="47" t="s">
        <v>296</v>
      </c>
      <c r="AA825" s="47" t="s">
        <v>296</v>
      </c>
      <c r="AB825" s="47"/>
      <c r="AC825" s="47" t="s">
        <v>35</v>
      </c>
      <c r="AD825" s="75"/>
      <c r="AE825" s="49"/>
      <c r="AF825" s="51" t="s">
        <v>3134</v>
      </c>
      <c r="AG825" s="51" t="s">
        <v>3135</v>
      </c>
      <c r="AH825" s="49" t="str">
        <f t="shared" si="53"/>
        <v>固定資産データ保守</v>
      </c>
      <c r="AI825" s="49"/>
      <c r="AJ825" s="49"/>
      <c r="AK825" s="49"/>
      <c r="AL825" s="49"/>
      <c r="AM825" s="49"/>
      <c r="AN825" s="49"/>
      <c r="AO825" s="51" t="str">
        <f t="shared" si="49"/>
        <v>固定資産増加明細書</v>
      </c>
      <c r="AP825" s="51" t="str">
        <f t="shared" si="50"/>
        <v>AC9420</v>
      </c>
      <c r="AQ825" s="51" t="s">
        <v>3102</v>
      </c>
      <c r="AR825" s="51" t="s">
        <v>3103</v>
      </c>
      <c r="AS825" s="49" t="str">
        <f t="shared" si="51"/>
        <v/>
      </c>
      <c r="AT825" s="49" t="str">
        <f t="shared" si="52"/>
        <v/>
      </c>
      <c r="AU825" s="49"/>
      <c r="AV825" s="49"/>
    </row>
    <row r="826" spans="1:48" ht="18" customHeight="1">
      <c r="A826" s="44">
        <v>824</v>
      </c>
      <c r="B826" s="52" t="s">
        <v>2702</v>
      </c>
      <c r="C826" s="71" t="s">
        <v>3129</v>
      </c>
      <c r="D826" s="46" t="s">
        <v>72</v>
      </c>
      <c r="E826" s="44" t="s">
        <v>3103</v>
      </c>
      <c r="F826" s="44" t="s">
        <v>3136</v>
      </c>
      <c r="G826" s="44"/>
      <c r="H826" s="44"/>
      <c r="I826" s="44"/>
      <c r="J826" s="47" t="s">
        <v>35</v>
      </c>
      <c r="K826" s="47"/>
      <c r="L826" s="47"/>
      <c r="M826" s="47"/>
      <c r="N826" s="47"/>
      <c r="O826" s="44"/>
      <c r="P826" s="44"/>
      <c r="Q826" s="48">
        <f>VLOOKUP(E826,sheet1!$B$2:$D$3209,3,FALSE)</f>
        <v>494</v>
      </c>
      <c r="R826" s="47" t="s">
        <v>35</v>
      </c>
      <c r="S826" s="47" t="s">
        <v>35</v>
      </c>
      <c r="T826" s="47"/>
      <c r="U826" s="47" t="s">
        <v>296</v>
      </c>
      <c r="V826" s="47" t="s">
        <v>296</v>
      </c>
      <c r="W826" s="47" t="s">
        <v>296</v>
      </c>
      <c r="X826" s="47" t="s">
        <v>296</v>
      </c>
      <c r="Y826" s="47"/>
      <c r="Z826" s="47" t="s">
        <v>296</v>
      </c>
      <c r="AA826" s="47" t="s">
        <v>296</v>
      </c>
      <c r="AB826" s="47"/>
      <c r="AC826" s="47" t="s">
        <v>35</v>
      </c>
      <c r="AD826" s="75"/>
      <c r="AE826" s="49"/>
      <c r="AF826" s="51" t="s">
        <v>3137</v>
      </c>
      <c r="AG826" s="51" t="s">
        <v>3138</v>
      </c>
      <c r="AH826" s="49" t="str">
        <f t="shared" si="53"/>
        <v>固定資産特別保守</v>
      </c>
      <c r="AI826" s="49"/>
      <c r="AJ826" s="49"/>
      <c r="AK826" s="49"/>
      <c r="AL826" s="49"/>
      <c r="AM826" s="49"/>
      <c r="AN826" s="49"/>
      <c r="AO826" s="51" t="str">
        <f t="shared" si="49"/>
        <v>固定資産減少明細書</v>
      </c>
      <c r="AP826" s="51" t="str">
        <f t="shared" si="50"/>
        <v>AC9425</v>
      </c>
      <c r="AQ826" s="51" t="s">
        <v>3105</v>
      </c>
      <c r="AR826" s="51" t="s">
        <v>3106</v>
      </c>
      <c r="AS826" s="49" t="str">
        <f t="shared" si="51"/>
        <v/>
      </c>
      <c r="AT826" s="49" t="str">
        <f t="shared" si="52"/>
        <v/>
      </c>
      <c r="AU826" s="49"/>
      <c r="AV826" s="49"/>
    </row>
    <row r="827" spans="1:48" ht="18" customHeight="1">
      <c r="A827" s="44">
        <v>825</v>
      </c>
      <c r="B827" s="52" t="s">
        <v>2702</v>
      </c>
      <c r="C827" s="71" t="s">
        <v>3129</v>
      </c>
      <c r="D827" s="46" t="s">
        <v>72</v>
      </c>
      <c r="E827" s="44" t="s">
        <v>3106</v>
      </c>
      <c r="F827" s="44" t="s">
        <v>3139</v>
      </c>
      <c r="G827" s="44"/>
      <c r="H827" s="44"/>
      <c r="I827" s="44"/>
      <c r="J827" s="47" t="s">
        <v>35</v>
      </c>
      <c r="K827" s="47"/>
      <c r="L827" s="47"/>
      <c r="M827" s="47"/>
      <c r="N827" s="47"/>
      <c r="O827" s="44"/>
      <c r="P827" s="44"/>
      <c r="Q827" s="48">
        <f>VLOOKUP(E827,sheet1!$B$2:$D$3209,3,FALSE)</f>
        <v>595</v>
      </c>
      <c r="R827" s="47" t="s">
        <v>35</v>
      </c>
      <c r="S827" s="47" t="s">
        <v>35</v>
      </c>
      <c r="T827" s="47"/>
      <c r="U827" s="47" t="s">
        <v>296</v>
      </c>
      <c r="V827" s="47" t="s">
        <v>296</v>
      </c>
      <c r="W827" s="47" t="s">
        <v>296</v>
      </c>
      <c r="X827" s="47" t="s">
        <v>296</v>
      </c>
      <c r="Y827" s="47"/>
      <c r="Z827" s="47" t="s">
        <v>296</v>
      </c>
      <c r="AA827" s="47" t="s">
        <v>296</v>
      </c>
      <c r="AB827" s="47"/>
      <c r="AC827" s="47" t="s">
        <v>35</v>
      </c>
      <c r="AD827" s="75"/>
      <c r="AE827" s="49"/>
      <c r="AF827" s="51" t="s">
        <v>3140</v>
      </c>
      <c r="AG827" s="51" t="s">
        <v>3141</v>
      </c>
      <c r="AH827" s="49" t="str">
        <f t="shared" si="53"/>
        <v>固定資産日次更新</v>
      </c>
      <c r="AI827" s="49"/>
      <c r="AJ827" s="49"/>
      <c r="AK827" s="49"/>
      <c r="AL827" s="49"/>
      <c r="AM827" s="49"/>
      <c r="AN827" s="49"/>
      <c r="AO827" s="51" t="str">
        <f t="shared" si="49"/>
        <v>固定資産移動一覧表</v>
      </c>
      <c r="AP827" s="51" t="str">
        <f t="shared" si="50"/>
        <v>AC9430</v>
      </c>
      <c r="AQ827" s="51" t="s">
        <v>3108</v>
      </c>
      <c r="AR827" s="51" t="s">
        <v>3109</v>
      </c>
      <c r="AS827" s="49" t="str">
        <f t="shared" si="51"/>
        <v/>
      </c>
      <c r="AT827" s="49" t="str">
        <f t="shared" si="52"/>
        <v/>
      </c>
      <c r="AU827" s="49"/>
      <c r="AV827" s="49"/>
    </row>
    <row r="828" spans="1:48" ht="18" customHeight="1">
      <c r="A828" s="44">
        <v>826</v>
      </c>
      <c r="B828" s="52" t="s">
        <v>2702</v>
      </c>
      <c r="C828" s="71" t="s">
        <v>3129</v>
      </c>
      <c r="D828" s="46" t="s">
        <v>72</v>
      </c>
      <c r="E828" s="44" t="s">
        <v>3109</v>
      </c>
      <c r="F828" s="44" t="s">
        <v>3142</v>
      </c>
      <c r="G828" s="44"/>
      <c r="H828" s="44"/>
      <c r="I828" s="44"/>
      <c r="J828" s="47" t="s">
        <v>35</v>
      </c>
      <c r="K828" s="47"/>
      <c r="L828" s="47"/>
      <c r="M828" s="47"/>
      <c r="N828" s="47"/>
      <c r="O828" s="44"/>
      <c r="P828" s="44"/>
      <c r="Q828" s="48">
        <f>VLOOKUP(E828,sheet1!$B$2:$D$3209,3,FALSE)</f>
        <v>399</v>
      </c>
      <c r="R828" s="47" t="s">
        <v>35</v>
      </c>
      <c r="S828" s="47" t="s">
        <v>35</v>
      </c>
      <c r="T828" s="47"/>
      <c r="U828" s="47" t="s">
        <v>296</v>
      </c>
      <c r="V828" s="47" t="s">
        <v>296</v>
      </c>
      <c r="W828" s="47" t="s">
        <v>296</v>
      </c>
      <c r="X828" s="47" t="s">
        <v>296</v>
      </c>
      <c r="Y828" s="47"/>
      <c r="Z828" s="47" t="s">
        <v>296</v>
      </c>
      <c r="AA828" s="47" t="s">
        <v>296</v>
      </c>
      <c r="AB828" s="47"/>
      <c r="AC828" s="47" t="s">
        <v>35</v>
      </c>
      <c r="AD828" s="75"/>
      <c r="AE828" s="49"/>
      <c r="AF828" s="51" t="s">
        <v>3143</v>
      </c>
      <c r="AG828" s="51" t="s">
        <v>3144</v>
      </c>
      <c r="AH828" s="49" t="str">
        <f t="shared" si="53"/>
        <v>固定資産月次更新</v>
      </c>
      <c r="AI828" s="49"/>
      <c r="AJ828" s="49"/>
      <c r="AK828" s="49"/>
      <c r="AL828" s="49"/>
      <c r="AM828" s="49"/>
      <c r="AN828" s="49"/>
      <c r="AO828" s="51" t="str">
        <f t="shared" si="49"/>
        <v>固定資産償却予定一覧</v>
      </c>
      <c r="AP828" s="51" t="str">
        <f t="shared" si="50"/>
        <v>AC9460</v>
      </c>
      <c r="AQ828" s="51" t="s">
        <v>3111</v>
      </c>
      <c r="AR828" s="51" t="s">
        <v>3112</v>
      </c>
      <c r="AS828" s="49" t="str">
        <f t="shared" si="51"/>
        <v/>
      </c>
      <c r="AT828" s="49" t="str">
        <f t="shared" si="52"/>
        <v/>
      </c>
      <c r="AU828" s="49"/>
      <c r="AV828" s="49"/>
    </row>
    <row r="829" spans="1:48" ht="18" customHeight="1">
      <c r="A829" s="44">
        <v>827</v>
      </c>
      <c r="B829" s="52" t="s">
        <v>2702</v>
      </c>
      <c r="C829" s="71" t="s">
        <v>3129</v>
      </c>
      <c r="D829" s="46" t="s">
        <v>72</v>
      </c>
      <c r="E829" s="44" t="s">
        <v>3112</v>
      </c>
      <c r="F829" s="44" t="s">
        <v>3145</v>
      </c>
      <c r="G829" s="44"/>
      <c r="H829" s="44"/>
      <c r="I829" s="44"/>
      <c r="J829" s="47" t="s">
        <v>35</v>
      </c>
      <c r="K829" s="47"/>
      <c r="L829" s="47"/>
      <c r="M829" s="47"/>
      <c r="N829" s="47"/>
      <c r="O829" s="44"/>
      <c r="P829" s="44"/>
      <c r="Q829" s="48">
        <f>VLOOKUP(E829,sheet1!$B$2:$D$3209,3,FALSE)</f>
        <v>155</v>
      </c>
      <c r="R829" s="47" t="s">
        <v>35</v>
      </c>
      <c r="S829" s="47" t="s">
        <v>35</v>
      </c>
      <c r="T829" s="47"/>
      <c r="U829" s="47" t="s">
        <v>296</v>
      </c>
      <c r="V829" s="47" t="s">
        <v>296</v>
      </c>
      <c r="W829" s="47" t="s">
        <v>296</v>
      </c>
      <c r="X829" s="47" t="s">
        <v>296</v>
      </c>
      <c r="Y829" s="47"/>
      <c r="Z829" s="47" t="s">
        <v>296</v>
      </c>
      <c r="AA829" s="47" t="s">
        <v>296</v>
      </c>
      <c r="AB829" s="47"/>
      <c r="AC829" s="47" t="s">
        <v>35</v>
      </c>
      <c r="AD829" s="75"/>
      <c r="AE829" s="49"/>
      <c r="AF829" s="51" t="s">
        <v>3146</v>
      </c>
      <c r="AG829" s="51" t="s">
        <v>3147</v>
      </c>
      <c r="AH829" s="49" t="str">
        <f t="shared" si="53"/>
        <v>固定資産年次更新</v>
      </c>
      <c r="AI829" s="49"/>
      <c r="AJ829" s="49"/>
      <c r="AK829" s="49"/>
      <c r="AL829" s="49"/>
      <c r="AM829" s="49"/>
      <c r="AN829" s="49"/>
      <c r="AO829" s="51" t="str">
        <f t="shared" si="49"/>
        <v>固定資産台帳</v>
      </c>
      <c r="AP829" s="51" t="str">
        <f t="shared" si="50"/>
        <v>AC9470</v>
      </c>
      <c r="AQ829" s="51" t="s">
        <v>3114</v>
      </c>
      <c r="AR829" s="51" t="s">
        <v>3115</v>
      </c>
      <c r="AS829" s="49" t="str">
        <f t="shared" si="51"/>
        <v/>
      </c>
      <c r="AT829" s="49" t="str">
        <f t="shared" si="52"/>
        <v/>
      </c>
      <c r="AU829" s="49"/>
      <c r="AV829" s="49"/>
    </row>
    <row r="830" spans="1:48" ht="18" customHeight="1">
      <c r="A830" s="44">
        <v>828</v>
      </c>
      <c r="B830" s="52" t="s">
        <v>2702</v>
      </c>
      <c r="C830" s="71" t="s">
        <v>3129</v>
      </c>
      <c r="D830" s="46" t="s">
        <v>72</v>
      </c>
      <c r="E830" s="44" t="s">
        <v>3115</v>
      </c>
      <c r="F830" s="44" t="s">
        <v>3148</v>
      </c>
      <c r="G830" s="44"/>
      <c r="H830" s="44"/>
      <c r="I830" s="44"/>
      <c r="J830" s="47" t="s">
        <v>35</v>
      </c>
      <c r="K830" s="47"/>
      <c r="L830" s="47"/>
      <c r="M830" s="47"/>
      <c r="N830" s="47"/>
      <c r="O830" s="44"/>
      <c r="P830" s="44"/>
      <c r="Q830" s="48">
        <f>VLOOKUP(E830,sheet1!$B$2:$D$3209,3,FALSE)</f>
        <v>233</v>
      </c>
      <c r="R830" s="47" t="s">
        <v>35</v>
      </c>
      <c r="S830" s="47" t="s">
        <v>35</v>
      </c>
      <c r="T830" s="47"/>
      <c r="U830" s="47" t="s">
        <v>296</v>
      </c>
      <c r="V830" s="47" t="s">
        <v>296</v>
      </c>
      <c r="W830" s="47" t="s">
        <v>296</v>
      </c>
      <c r="X830" s="47" t="s">
        <v>296</v>
      </c>
      <c r="Y830" s="47"/>
      <c r="Z830" s="47" t="s">
        <v>296</v>
      </c>
      <c r="AA830" s="47" t="s">
        <v>296</v>
      </c>
      <c r="AB830" s="47"/>
      <c r="AC830" s="47" t="s">
        <v>35</v>
      </c>
      <c r="AD830" s="75"/>
      <c r="AE830" s="49"/>
      <c r="AF830" s="51" t="s">
        <v>3149</v>
      </c>
      <c r="AG830" s="51" t="s">
        <v>2802</v>
      </c>
      <c r="AH830" s="49" t="str">
        <f t="shared" si="53"/>
        <v>外部自動仕訳元データ取込</v>
      </c>
      <c r="AI830" s="49"/>
      <c r="AJ830" s="49"/>
      <c r="AK830" s="49"/>
      <c r="AL830" s="49"/>
      <c r="AM830" s="49"/>
      <c r="AN830" s="49"/>
      <c r="AO830" s="51" t="str">
        <f t="shared" si="49"/>
        <v>固定資産棚卸表</v>
      </c>
      <c r="AP830" s="51" t="str">
        <f t="shared" si="50"/>
        <v>AC9440</v>
      </c>
      <c r="AQ830" s="51" t="s">
        <v>3117</v>
      </c>
      <c r="AR830" s="51" t="s">
        <v>3118</v>
      </c>
      <c r="AS830" s="49" t="str">
        <f t="shared" si="51"/>
        <v/>
      </c>
      <c r="AT830" s="49" t="str">
        <f t="shared" si="52"/>
        <v/>
      </c>
      <c r="AU830" s="49"/>
      <c r="AV830" s="49"/>
    </row>
    <row r="831" spans="1:48" ht="18" customHeight="1">
      <c r="A831" s="44">
        <v>829</v>
      </c>
      <c r="B831" s="52" t="s">
        <v>2702</v>
      </c>
      <c r="C831" s="71" t="s">
        <v>3129</v>
      </c>
      <c r="D831" s="46" t="s">
        <v>72</v>
      </c>
      <c r="E831" s="44" t="s">
        <v>3118</v>
      </c>
      <c r="F831" s="44" t="s">
        <v>3150</v>
      </c>
      <c r="G831" s="44"/>
      <c r="H831" s="44"/>
      <c r="I831" s="44"/>
      <c r="J831" s="47" t="s">
        <v>35</v>
      </c>
      <c r="K831" s="47"/>
      <c r="L831" s="47"/>
      <c r="M831" s="47"/>
      <c r="N831" s="47"/>
      <c r="O831" s="44"/>
      <c r="P831" s="44"/>
      <c r="Q831" s="48">
        <f>VLOOKUP(E831,sheet1!$B$2:$D$3209,3,FALSE)</f>
        <v>223</v>
      </c>
      <c r="R831" s="47" t="s">
        <v>35</v>
      </c>
      <c r="S831" s="47" t="s">
        <v>35</v>
      </c>
      <c r="T831" s="47"/>
      <c r="U831" s="47" t="s">
        <v>296</v>
      </c>
      <c r="V831" s="47" t="s">
        <v>296</v>
      </c>
      <c r="W831" s="47" t="s">
        <v>296</v>
      </c>
      <c r="X831" s="47" t="s">
        <v>296</v>
      </c>
      <c r="Y831" s="47"/>
      <c r="Z831" s="47" t="s">
        <v>296</v>
      </c>
      <c r="AA831" s="47" t="s">
        <v>296</v>
      </c>
      <c r="AB831" s="47"/>
      <c r="AC831" s="47" t="s">
        <v>35</v>
      </c>
      <c r="AD831" s="75"/>
      <c r="AE831" s="49"/>
      <c r="AF831" s="51" t="s">
        <v>3151</v>
      </c>
      <c r="AG831" s="51" t="s">
        <v>3152</v>
      </c>
      <c r="AH831" s="49" t="str">
        <f t="shared" si="53"/>
        <v>外部自動仕訳データ作成</v>
      </c>
      <c r="AI831" s="49"/>
      <c r="AJ831" s="49"/>
      <c r="AK831" s="49"/>
      <c r="AL831" s="49"/>
      <c r="AM831" s="49"/>
      <c r="AN831" s="49"/>
      <c r="AO831" s="51" t="str">
        <f t="shared" si="49"/>
        <v>棚卸用タックシール</v>
      </c>
      <c r="AP831" s="51" t="str">
        <f t="shared" si="50"/>
        <v>AC9450</v>
      </c>
      <c r="AQ831" s="51" t="s">
        <v>3121</v>
      </c>
      <c r="AR831" s="51" t="s">
        <v>3122</v>
      </c>
      <c r="AS831" s="49" t="str">
        <f t="shared" si="51"/>
        <v/>
      </c>
      <c r="AT831" s="49" t="str">
        <f t="shared" si="52"/>
        <v/>
      </c>
      <c r="AU831" s="49"/>
      <c r="AV831" s="49"/>
    </row>
    <row r="832" spans="1:48" ht="18" customHeight="1">
      <c r="A832" s="44">
        <v>830</v>
      </c>
      <c r="B832" s="52" t="s">
        <v>2702</v>
      </c>
      <c r="C832" s="71" t="s">
        <v>3129</v>
      </c>
      <c r="D832" s="46" t="s">
        <v>72</v>
      </c>
      <c r="E832" s="44" t="s">
        <v>3122</v>
      </c>
      <c r="F832" s="44" t="s">
        <v>3153</v>
      </c>
      <c r="G832" s="44"/>
      <c r="H832" s="44"/>
      <c r="I832" s="44"/>
      <c r="J832" s="47" t="s">
        <v>35</v>
      </c>
      <c r="K832" s="47"/>
      <c r="L832" s="47"/>
      <c r="M832" s="47"/>
      <c r="N832" s="47"/>
      <c r="O832" s="44"/>
      <c r="P832" s="44"/>
      <c r="Q832" s="48">
        <f>VLOOKUP(E832,sheet1!$B$2:$D$3209,3,FALSE)</f>
        <v>274</v>
      </c>
      <c r="R832" s="47" t="s">
        <v>35</v>
      </c>
      <c r="S832" s="47" t="s">
        <v>35</v>
      </c>
      <c r="T832" s="47"/>
      <c r="U832" s="47" t="s">
        <v>296</v>
      </c>
      <c r="V832" s="47" t="s">
        <v>296</v>
      </c>
      <c r="W832" s="47" t="s">
        <v>296</v>
      </c>
      <c r="X832" s="47" t="s">
        <v>296</v>
      </c>
      <c r="Y832" s="47"/>
      <c r="Z832" s="47" t="s">
        <v>296</v>
      </c>
      <c r="AA832" s="47" t="s">
        <v>296</v>
      </c>
      <c r="AB832" s="47"/>
      <c r="AC832" s="47" t="s">
        <v>35</v>
      </c>
      <c r="AD832" s="75"/>
      <c r="AE832" s="49"/>
      <c r="AF832" s="51" t="s">
        <v>3154</v>
      </c>
      <c r="AG832" s="51" t="s">
        <v>3155</v>
      </c>
      <c r="AH832" s="49" t="str">
        <f t="shared" si="53"/>
        <v>外部自動仕訳データ取込</v>
      </c>
      <c r="AI832" s="49"/>
      <c r="AJ832" s="49"/>
      <c r="AK832" s="49"/>
      <c r="AL832" s="49"/>
      <c r="AM832" s="49"/>
      <c r="AN832" s="49"/>
      <c r="AO832" s="51" t="str">
        <f t="shared" si="49"/>
        <v>固定資産棚卸表〜科目・場所別</v>
      </c>
      <c r="AP832" s="51" t="str">
        <f t="shared" si="50"/>
        <v>AC9445</v>
      </c>
      <c r="AQ832" s="51" t="s">
        <v>3124</v>
      </c>
      <c r="AR832" s="51" t="s">
        <v>3125</v>
      </c>
      <c r="AS832" s="49" t="str">
        <f t="shared" si="51"/>
        <v/>
      </c>
      <c r="AT832" s="49" t="str">
        <f t="shared" si="52"/>
        <v/>
      </c>
      <c r="AU832" s="49"/>
      <c r="AV832" s="49"/>
    </row>
    <row r="833" spans="1:48" ht="18" customHeight="1">
      <c r="A833" s="44">
        <v>831</v>
      </c>
      <c r="B833" s="52" t="s">
        <v>2702</v>
      </c>
      <c r="C833" s="71" t="s">
        <v>3129</v>
      </c>
      <c r="D833" s="46" t="s">
        <v>72</v>
      </c>
      <c r="E833" s="44" t="s">
        <v>3125</v>
      </c>
      <c r="F833" s="44" t="s">
        <v>3156</v>
      </c>
      <c r="G833" s="44"/>
      <c r="H833" s="44"/>
      <c r="I833" s="44"/>
      <c r="J833" s="47" t="s">
        <v>35</v>
      </c>
      <c r="K833" s="47"/>
      <c r="L833" s="47"/>
      <c r="M833" s="47"/>
      <c r="N833" s="47"/>
      <c r="O833" s="44"/>
      <c r="P833" s="44"/>
      <c r="Q833" s="48">
        <f>VLOOKUP(E833,sheet1!$B$2:$D$3209,3,FALSE)</f>
        <v>320</v>
      </c>
      <c r="R833" s="47" t="s">
        <v>35</v>
      </c>
      <c r="S833" s="47" t="s">
        <v>35</v>
      </c>
      <c r="T833" s="47"/>
      <c r="U833" s="47" t="s">
        <v>296</v>
      </c>
      <c r="V833" s="47" t="s">
        <v>296</v>
      </c>
      <c r="W833" s="47" t="s">
        <v>296</v>
      </c>
      <c r="X833" s="47" t="s">
        <v>296</v>
      </c>
      <c r="Y833" s="47"/>
      <c r="Z833" s="47" t="s">
        <v>296</v>
      </c>
      <c r="AA833" s="47" t="s">
        <v>296</v>
      </c>
      <c r="AB833" s="47"/>
      <c r="AC833" s="47" t="s">
        <v>35</v>
      </c>
      <c r="AD833" s="75"/>
      <c r="AE833" s="49"/>
      <c r="AF833" s="51" t="s">
        <v>3157</v>
      </c>
      <c r="AG833" s="51" t="s">
        <v>3158</v>
      </c>
      <c r="AH833" s="49" t="str">
        <f t="shared" si="53"/>
        <v>外部自動仕訳データ修正</v>
      </c>
      <c r="AI833" s="49"/>
      <c r="AJ833" s="49"/>
      <c r="AK833" s="49"/>
      <c r="AL833" s="49"/>
      <c r="AM833" s="49"/>
      <c r="AN833" s="49"/>
      <c r="AO833" s="51" t="str">
        <f t="shared" si="49"/>
        <v>償却資産申告明細書</v>
      </c>
      <c r="AP833" s="51" t="str">
        <f t="shared" si="50"/>
        <v>AC9350</v>
      </c>
      <c r="AQ833" s="51" t="s">
        <v>3127</v>
      </c>
      <c r="AR833" s="51" t="s">
        <v>3128</v>
      </c>
      <c r="AS833" s="49" t="str">
        <f t="shared" si="51"/>
        <v/>
      </c>
      <c r="AT833" s="49" t="str">
        <f t="shared" si="52"/>
        <v/>
      </c>
      <c r="AU833" s="49"/>
      <c r="AV833" s="49"/>
    </row>
    <row r="834" spans="1:48" ht="18" customHeight="1">
      <c r="A834" s="44">
        <v>832</v>
      </c>
      <c r="B834" s="52" t="s">
        <v>2702</v>
      </c>
      <c r="C834" s="71" t="s">
        <v>3129</v>
      </c>
      <c r="D834" s="46" t="s">
        <v>72</v>
      </c>
      <c r="E834" s="44" t="s">
        <v>3128</v>
      </c>
      <c r="F834" s="44" t="s">
        <v>3159</v>
      </c>
      <c r="G834" s="44"/>
      <c r="H834" s="44"/>
      <c r="I834" s="44"/>
      <c r="J834" s="47" t="s">
        <v>35</v>
      </c>
      <c r="K834" s="47"/>
      <c r="L834" s="47"/>
      <c r="M834" s="47"/>
      <c r="N834" s="47"/>
      <c r="O834" s="44"/>
      <c r="P834" s="44"/>
      <c r="Q834" s="48">
        <f>VLOOKUP(E834,sheet1!$B$2:$D$3209,3,FALSE)</f>
        <v>851</v>
      </c>
      <c r="R834" s="47" t="s">
        <v>35</v>
      </c>
      <c r="S834" s="47" t="s">
        <v>35</v>
      </c>
      <c r="T834" s="47"/>
      <c r="U834" s="47" t="s">
        <v>296</v>
      </c>
      <c r="V834" s="47" t="s">
        <v>296</v>
      </c>
      <c r="W834" s="47" t="s">
        <v>296</v>
      </c>
      <c r="X834" s="47" t="s">
        <v>296</v>
      </c>
      <c r="Y834" s="47"/>
      <c r="Z834" s="47" t="s">
        <v>296</v>
      </c>
      <c r="AA834" s="47" t="s">
        <v>296</v>
      </c>
      <c r="AB834" s="47"/>
      <c r="AC834" s="47" t="s">
        <v>35</v>
      </c>
      <c r="AD834" s="75"/>
      <c r="AE834" s="49"/>
      <c r="AF834" s="51" t="s">
        <v>3160</v>
      </c>
      <c r="AG834" s="51" t="s">
        <v>3161</v>
      </c>
      <c r="AH834" s="49" t="str">
        <f t="shared" si="53"/>
        <v>固定資産データ抽出</v>
      </c>
      <c r="AI834" s="49"/>
      <c r="AJ834" s="49"/>
      <c r="AK834" s="49"/>
      <c r="AL834" s="49"/>
      <c r="AM834" s="49"/>
      <c r="AN834" s="49"/>
      <c r="AO834" s="51" t="str">
        <f t="shared" si="49"/>
        <v>償却合計・明細（予定一覧）</v>
      </c>
      <c r="AP834" s="51" t="str">
        <f t="shared" si="50"/>
        <v>AC9390</v>
      </c>
      <c r="AQ834" s="51" t="s">
        <v>3131</v>
      </c>
      <c r="AR834" s="51" t="s">
        <v>3132</v>
      </c>
      <c r="AS834" s="49" t="str">
        <f t="shared" si="51"/>
        <v/>
      </c>
      <c r="AT834" s="49" t="str">
        <f t="shared" si="52"/>
        <v/>
      </c>
      <c r="AU834" s="49"/>
      <c r="AV834" s="49"/>
    </row>
    <row r="835" spans="1:48" ht="18" customHeight="1">
      <c r="A835" s="44">
        <v>833</v>
      </c>
      <c r="B835" s="52" t="s">
        <v>2702</v>
      </c>
      <c r="C835" s="71" t="s">
        <v>3129</v>
      </c>
      <c r="D835" s="46" t="s">
        <v>72</v>
      </c>
      <c r="E835" s="44" t="s">
        <v>3132</v>
      </c>
      <c r="F835" s="44" t="s">
        <v>3162</v>
      </c>
      <c r="G835" s="44"/>
      <c r="H835" s="44"/>
      <c r="I835" s="44"/>
      <c r="J835" s="47" t="s">
        <v>35</v>
      </c>
      <c r="K835" s="47"/>
      <c r="L835" s="47"/>
      <c r="M835" s="47"/>
      <c r="N835" s="47"/>
      <c r="O835" s="44"/>
      <c r="P835" s="44"/>
      <c r="Q835" s="48">
        <f>VLOOKUP(E835,sheet1!$B$2:$D$3209,3,FALSE)</f>
        <v>351</v>
      </c>
      <c r="R835" s="47" t="s">
        <v>35</v>
      </c>
      <c r="S835" s="47" t="s">
        <v>35</v>
      </c>
      <c r="T835" s="47"/>
      <c r="U835" s="47" t="s">
        <v>296</v>
      </c>
      <c r="V835" s="47" t="s">
        <v>296</v>
      </c>
      <c r="W835" s="47" t="s">
        <v>296</v>
      </c>
      <c r="X835" s="47" t="s">
        <v>296</v>
      </c>
      <c r="Y835" s="47"/>
      <c r="Z835" s="47" t="s">
        <v>296</v>
      </c>
      <c r="AA835" s="47" t="s">
        <v>296</v>
      </c>
      <c r="AB835" s="47"/>
      <c r="AC835" s="47" t="s">
        <v>35</v>
      </c>
      <c r="AD835" s="75"/>
      <c r="AE835" s="49"/>
      <c r="AF835" s="56" t="s">
        <v>3163</v>
      </c>
      <c r="AG835" s="56"/>
      <c r="AH835" s="49" t="str">
        <f t="shared" si="53"/>
        <v>経費予算枠入力</v>
      </c>
      <c r="AI835" s="49"/>
      <c r="AJ835" s="49"/>
      <c r="AK835" s="49"/>
      <c r="AL835" s="49"/>
      <c r="AM835" s="49"/>
      <c r="AN835" s="49"/>
      <c r="AO835" s="51" t="str">
        <f t="shared" si="49"/>
        <v>固定資産データ保守</v>
      </c>
      <c r="AP835" s="51" t="str">
        <f t="shared" si="50"/>
        <v>AC9200</v>
      </c>
      <c r="AQ835" s="51" t="s">
        <v>3134</v>
      </c>
      <c r="AR835" s="51" t="s">
        <v>3135</v>
      </c>
      <c r="AS835" s="49" t="str">
        <f t="shared" si="51"/>
        <v/>
      </c>
      <c r="AT835" s="49" t="str">
        <f t="shared" si="52"/>
        <v/>
      </c>
      <c r="AU835" s="49"/>
      <c r="AV835" s="49"/>
    </row>
    <row r="836" spans="1:48" ht="18" customHeight="1">
      <c r="A836" s="44">
        <v>834</v>
      </c>
      <c r="B836" s="52" t="s">
        <v>2702</v>
      </c>
      <c r="C836" s="71" t="s">
        <v>3129</v>
      </c>
      <c r="D836" s="46" t="s">
        <v>72</v>
      </c>
      <c r="E836" s="44" t="s">
        <v>3135</v>
      </c>
      <c r="F836" s="44" t="s">
        <v>3164</v>
      </c>
      <c r="G836" s="44"/>
      <c r="H836" s="44"/>
      <c r="I836" s="44"/>
      <c r="J836" s="47" t="s">
        <v>35</v>
      </c>
      <c r="K836" s="47"/>
      <c r="L836" s="47"/>
      <c r="M836" s="47"/>
      <c r="N836" s="47"/>
      <c r="O836" s="44"/>
      <c r="P836" s="44"/>
      <c r="Q836" s="48">
        <f>VLOOKUP(E836,sheet1!$B$2:$D$3209,3,FALSE)</f>
        <v>1581</v>
      </c>
      <c r="R836" s="47" t="s">
        <v>35</v>
      </c>
      <c r="S836" s="47" t="s">
        <v>35</v>
      </c>
      <c r="T836" s="47"/>
      <c r="U836" s="47" t="s">
        <v>296</v>
      </c>
      <c r="V836" s="47" t="s">
        <v>296</v>
      </c>
      <c r="W836" s="47" t="s">
        <v>296</v>
      </c>
      <c r="X836" s="47" t="s">
        <v>296</v>
      </c>
      <c r="Y836" s="47"/>
      <c r="Z836" s="47" t="s">
        <v>296</v>
      </c>
      <c r="AA836" s="47" t="s">
        <v>296</v>
      </c>
      <c r="AB836" s="47"/>
      <c r="AC836" s="47" t="s">
        <v>35</v>
      </c>
      <c r="AD836" s="75"/>
      <c r="AE836" s="49"/>
      <c r="AF836" s="56" t="s">
        <v>3165</v>
      </c>
      <c r="AG836" s="56" t="s">
        <v>3166</v>
      </c>
      <c r="AH836" s="49" t="str">
        <f t="shared" si="53"/>
        <v>経費予算申請入力</v>
      </c>
      <c r="AI836" s="49"/>
      <c r="AJ836" s="49"/>
      <c r="AK836" s="49"/>
      <c r="AL836" s="49"/>
      <c r="AM836" s="49"/>
      <c r="AN836" s="49"/>
      <c r="AO836" s="51" t="str">
        <f t="shared" si="49"/>
        <v>固定資産特別保守</v>
      </c>
      <c r="AP836" s="51" t="str">
        <f t="shared" si="50"/>
        <v>DF#SSNTRL1</v>
      </c>
      <c r="AQ836" s="51" t="s">
        <v>3137</v>
      </c>
      <c r="AR836" s="51" t="s">
        <v>3138</v>
      </c>
      <c r="AS836" s="49" t="str">
        <f t="shared" si="51"/>
        <v/>
      </c>
      <c r="AT836" s="49" t="str">
        <f t="shared" si="52"/>
        <v/>
      </c>
      <c r="AU836" s="49"/>
      <c r="AV836" s="49"/>
    </row>
    <row r="837" spans="1:48" ht="18" customHeight="1">
      <c r="A837" s="44">
        <v>835</v>
      </c>
      <c r="B837" s="52" t="s">
        <v>2702</v>
      </c>
      <c r="C837" s="71" t="s">
        <v>3129</v>
      </c>
      <c r="D837" s="46" t="s">
        <v>72</v>
      </c>
      <c r="E837" s="44" t="s">
        <v>3138</v>
      </c>
      <c r="F837" s="44" t="s">
        <v>3167</v>
      </c>
      <c r="G837" s="44"/>
      <c r="H837" s="44"/>
      <c r="I837" s="44"/>
      <c r="J837" s="47" t="s">
        <v>35</v>
      </c>
      <c r="K837" s="47"/>
      <c r="L837" s="47"/>
      <c r="M837" s="47"/>
      <c r="N837" s="47"/>
      <c r="O837" s="44"/>
      <c r="P837" s="44"/>
      <c r="Q837" s="48" t="e">
        <f>VLOOKUP(E837,sheet1!$B$2:$D$3209,3,FALSE)</f>
        <v>#N/A</v>
      </c>
      <c r="R837" s="47" t="s">
        <v>35</v>
      </c>
      <c r="S837" s="47" t="s">
        <v>35</v>
      </c>
      <c r="T837" s="47"/>
      <c r="U837" s="47" t="s">
        <v>296</v>
      </c>
      <c r="V837" s="47" t="s">
        <v>296</v>
      </c>
      <c r="W837" s="47" t="s">
        <v>296</v>
      </c>
      <c r="X837" s="47" t="s">
        <v>296</v>
      </c>
      <c r="Y837" s="47"/>
      <c r="Z837" s="47" t="s">
        <v>296</v>
      </c>
      <c r="AA837" s="47" t="s">
        <v>296</v>
      </c>
      <c r="AB837" s="47"/>
      <c r="AC837" s="47" t="s">
        <v>35</v>
      </c>
      <c r="AD837" s="75"/>
      <c r="AE837" s="49"/>
      <c r="AF837" s="56" t="s">
        <v>3168</v>
      </c>
      <c r="AG837" s="56" t="s">
        <v>3169</v>
      </c>
      <c r="AH837" s="49" t="str">
        <f t="shared" si="53"/>
        <v>経費予算決定入力</v>
      </c>
      <c r="AI837" s="49"/>
      <c r="AJ837" s="49"/>
      <c r="AK837" s="49"/>
      <c r="AL837" s="49"/>
      <c r="AM837" s="49"/>
      <c r="AN837" s="49"/>
      <c r="AO837" s="51" t="str">
        <f t="shared" si="49"/>
        <v>固定資産日次更新</v>
      </c>
      <c r="AP837" s="51" t="str">
        <f t="shared" si="50"/>
        <v>AC9300</v>
      </c>
      <c r="AQ837" s="51" t="s">
        <v>3140</v>
      </c>
      <c r="AR837" s="51" t="s">
        <v>3141</v>
      </c>
      <c r="AS837" s="49" t="str">
        <f t="shared" si="51"/>
        <v/>
      </c>
      <c r="AT837" s="49" t="str">
        <f t="shared" si="52"/>
        <v/>
      </c>
      <c r="AU837" s="49"/>
      <c r="AV837" s="49"/>
    </row>
    <row r="838" spans="1:48" ht="18" customHeight="1">
      <c r="A838" s="44">
        <v>836</v>
      </c>
      <c r="B838" s="52" t="s">
        <v>2702</v>
      </c>
      <c r="C838" s="71" t="s">
        <v>3129</v>
      </c>
      <c r="D838" s="46" t="s">
        <v>72</v>
      </c>
      <c r="E838" s="44" t="s">
        <v>3141</v>
      </c>
      <c r="F838" s="44" t="s">
        <v>3170</v>
      </c>
      <c r="G838" s="44"/>
      <c r="H838" s="44"/>
      <c r="I838" s="44"/>
      <c r="J838" s="47" t="s">
        <v>35</v>
      </c>
      <c r="K838" s="47"/>
      <c r="L838" s="47"/>
      <c r="M838" s="47"/>
      <c r="N838" s="47"/>
      <c r="O838" s="44"/>
      <c r="P838" s="44"/>
      <c r="Q838" s="48">
        <f>VLOOKUP(E838,sheet1!$B$2:$D$3209,3,FALSE)</f>
        <v>135</v>
      </c>
      <c r="R838" s="47" t="s">
        <v>35</v>
      </c>
      <c r="S838" s="47" t="s">
        <v>35</v>
      </c>
      <c r="T838" s="47"/>
      <c r="U838" s="47" t="s">
        <v>296</v>
      </c>
      <c r="V838" s="47" t="s">
        <v>296</v>
      </c>
      <c r="W838" s="47" t="s">
        <v>296</v>
      </c>
      <c r="X838" s="47" t="s">
        <v>296</v>
      </c>
      <c r="Y838" s="47"/>
      <c r="Z838" s="47" t="s">
        <v>296</v>
      </c>
      <c r="AA838" s="47" t="s">
        <v>296</v>
      </c>
      <c r="AB838" s="47"/>
      <c r="AC838" s="47" t="s">
        <v>35</v>
      </c>
      <c r="AD838" s="75"/>
      <c r="AE838" s="49"/>
      <c r="AF838" s="56" t="s">
        <v>3171</v>
      </c>
      <c r="AG838" s="56" t="s">
        <v>3172</v>
      </c>
      <c r="AH838" s="49" t="str">
        <f t="shared" si="53"/>
        <v>経費予算決定額データ集計</v>
      </c>
      <c r="AI838" s="49"/>
      <c r="AJ838" s="49"/>
      <c r="AK838" s="49"/>
      <c r="AL838" s="49"/>
      <c r="AM838" s="49"/>
      <c r="AN838" s="49"/>
      <c r="AO838" s="51" t="str">
        <f t="shared" si="49"/>
        <v>固定資産月次更新</v>
      </c>
      <c r="AP838" s="51" t="str">
        <f t="shared" si="50"/>
        <v>AC9310</v>
      </c>
      <c r="AQ838" s="51" t="s">
        <v>3143</v>
      </c>
      <c r="AR838" s="51" t="s">
        <v>3144</v>
      </c>
      <c r="AS838" s="49" t="str">
        <f t="shared" si="51"/>
        <v/>
      </c>
      <c r="AT838" s="49" t="str">
        <f t="shared" si="52"/>
        <v/>
      </c>
      <c r="AU838" s="49"/>
      <c r="AV838" s="49"/>
    </row>
    <row r="839" spans="1:48" ht="18" customHeight="1">
      <c r="A839" s="44">
        <v>837</v>
      </c>
      <c r="B839" s="52" t="s">
        <v>2702</v>
      </c>
      <c r="C839" s="71" t="s">
        <v>3129</v>
      </c>
      <c r="D839" s="46" t="s">
        <v>72</v>
      </c>
      <c r="E839" s="44" t="s">
        <v>3144</v>
      </c>
      <c r="F839" s="44" t="s">
        <v>3173</v>
      </c>
      <c r="G839" s="44"/>
      <c r="H839" s="44"/>
      <c r="I839" s="44"/>
      <c r="J839" s="47" t="s">
        <v>35</v>
      </c>
      <c r="K839" s="47"/>
      <c r="L839" s="47"/>
      <c r="M839" s="47"/>
      <c r="N839" s="47"/>
      <c r="O839" s="44"/>
      <c r="P839" s="44"/>
      <c r="Q839" s="48">
        <f>VLOOKUP(E839,sheet1!$B$2:$D$3209,3,FALSE)</f>
        <v>696</v>
      </c>
      <c r="R839" s="47" t="s">
        <v>35</v>
      </c>
      <c r="S839" s="47" t="s">
        <v>35</v>
      </c>
      <c r="T839" s="47"/>
      <c r="U839" s="47" t="s">
        <v>296</v>
      </c>
      <c r="V839" s="47" t="s">
        <v>296</v>
      </c>
      <c r="W839" s="47" t="s">
        <v>296</v>
      </c>
      <c r="X839" s="47" t="s">
        <v>296</v>
      </c>
      <c r="Y839" s="47"/>
      <c r="Z839" s="47" t="s">
        <v>296</v>
      </c>
      <c r="AA839" s="47" t="s">
        <v>296</v>
      </c>
      <c r="AB839" s="47"/>
      <c r="AC839" s="47" t="s">
        <v>35</v>
      </c>
      <c r="AD839" s="75"/>
      <c r="AE839" s="49"/>
      <c r="AF839" s="56" t="s">
        <v>3174</v>
      </c>
      <c r="AG839" s="56" t="s">
        <v>3175</v>
      </c>
      <c r="AH839" s="49" t="str">
        <f t="shared" si="53"/>
        <v>経費予算部課別入力</v>
      </c>
      <c r="AI839" s="49"/>
      <c r="AJ839" s="49"/>
      <c r="AK839" s="49"/>
      <c r="AL839" s="49"/>
      <c r="AM839" s="49"/>
      <c r="AN839" s="49"/>
      <c r="AO839" s="51" t="str">
        <f t="shared" si="49"/>
        <v>固定資産年次更新</v>
      </c>
      <c r="AP839" s="51" t="str">
        <f t="shared" si="50"/>
        <v>AC9320C</v>
      </c>
      <c r="AQ839" s="51" t="s">
        <v>3146</v>
      </c>
      <c r="AR839" s="51" t="s">
        <v>3147</v>
      </c>
      <c r="AS839" s="49" t="str">
        <f t="shared" si="51"/>
        <v/>
      </c>
      <c r="AT839" s="49" t="str">
        <f t="shared" si="52"/>
        <v/>
      </c>
      <c r="AU839" s="49"/>
      <c r="AV839" s="49"/>
    </row>
    <row r="840" spans="1:48" ht="18" customHeight="1">
      <c r="A840" s="44">
        <v>838</v>
      </c>
      <c r="B840" s="52" t="s">
        <v>2702</v>
      </c>
      <c r="C840" s="71" t="s">
        <v>3129</v>
      </c>
      <c r="D840" s="46" t="s">
        <v>72</v>
      </c>
      <c r="E840" s="44" t="s">
        <v>3147</v>
      </c>
      <c r="F840" s="44" t="s">
        <v>3176</v>
      </c>
      <c r="G840" s="44"/>
      <c r="H840" s="44"/>
      <c r="I840" s="44"/>
      <c r="J840" s="47" t="s">
        <v>35</v>
      </c>
      <c r="K840" s="47"/>
      <c r="L840" s="47"/>
      <c r="M840" s="47"/>
      <c r="N840" s="47"/>
      <c r="O840" s="44"/>
      <c r="P840" s="44"/>
      <c r="Q840" s="48">
        <f>VLOOKUP(E840,sheet1!$B$2:$D$3209,3,FALSE)</f>
        <v>26</v>
      </c>
      <c r="R840" s="47" t="s">
        <v>35</v>
      </c>
      <c r="S840" s="47" t="s">
        <v>35</v>
      </c>
      <c r="T840" s="47"/>
      <c r="U840" s="47" t="s">
        <v>296</v>
      </c>
      <c r="V840" s="47" t="s">
        <v>296</v>
      </c>
      <c r="W840" s="47" t="s">
        <v>296</v>
      </c>
      <c r="X840" s="47" t="s">
        <v>296</v>
      </c>
      <c r="Y840" s="47"/>
      <c r="Z840" s="47" t="s">
        <v>296</v>
      </c>
      <c r="AA840" s="47" t="s">
        <v>296</v>
      </c>
      <c r="AB840" s="47"/>
      <c r="AC840" s="47" t="s">
        <v>35</v>
      </c>
      <c r="AD840" s="75"/>
      <c r="AE840" s="49"/>
      <c r="AF840" s="56" t="s">
        <v>3177</v>
      </c>
      <c r="AG840" s="56" t="s">
        <v>3178</v>
      </c>
      <c r="AH840" s="49" t="str">
        <f t="shared" si="53"/>
        <v>損益区分別経費区分別経費集計</v>
      </c>
      <c r="AI840" s="49"/>
      <c r="AJ840" s="49"/>
      <c r="AK840" s="49"/>
      <c r="AL840" s="49"/>
      <c r="AM840" s="49"/>
      <c r="AN840" s="49"/>
      <c r="AO840" s="51" t="str">
        <f t="shared" si="49"/>
        <v>外部自動仕訳元データ取込</v>
      </c>
      <c r="AP840" s="51" t="str">
        <f t="shared" si="50"/>
        <v>PD9220</v>
      </c>
      <c r="AQ840" s="51" t="s">
        <v>3149</v>
      </c>
      <c r="AR840" s="51" t="s">
        <v>2802</v>
      </c>
      <c r="AS840" s="49" t="str">
        <f t="shared" si="51"/>
        <v/>
      </c>
      <c r="AT840" s="49" t="str">
        <f t="shared" si="52"/>
        <v/>
      </c>
      <c r="AU840" s="49"/>
      <c r="AV840" s="49"/>
    </row>
    <row r="841" spans="1:48" ht="18" customHeight="1">
      <c r="A841" s="44">
        <v>839</v>
      </c>
      <c r="B841" s="52" t="s">
        <v>2702</v>
      </c>
      <c r="C841" s="71" t="s">
        <v>3129</v>
      </c>
      <c r="D841" s="46" t="s">
        <v>72</v>
      </c>
      <c r="E841" s="44" t="s">
        <v>2802</v>
      </c>
      <c r="F841" s="44" t="s">
        <v>3179</v>
      </c>
      <c r="G841" s="44"/>
      <c r="H841" s="44"/>
      <c r="I841" s="44"/>
      <c r="J841" s="47" t="s">
        <v>35</v>
      </c>
      <c r="K841" s="47"/>
      <c r="L841" s="47"/>
      <c r="M841" s="47"/>
      <c r="N841" s="47"/>
      <c r="O841" s="44"/>
      <c r="P841" s="44"/>
      <c r="Q841" s="48">
        <f>VLOOKUP(E841,sheet1!$B$2:$D$3209,3,FALSE)</f>
        <v>203</v>
      </c>
      <c r="R841" s="47" t="s">
        <v>35</v>
      </c>
      <c r="S841" s="47" t="s">
        <v>35</v>
      </c>
      <c r="T841" s="47"/>
      <c r="U841" s="47" t="s">
        <v>296</v>
      </c>
      <c r="V841" s="47" t="s">
        <v>296</v>
      </c>
      <c r="W841" s="47" t="s">
        <v>296</v>
      </c>
      <c r="X841" s="47" t="s">
        <v>296</v>
      </c>
      <c r="Y841" s="47"/>
      <c r="Z841" s="47" t="s">
        <v>296</v>
      </c>
      <c r="AA841" s="47" t="s">
        <v>296</v>
      </c>
      <c r="AB841" s="47"/>
      <c r="AC841" s="47" t="s">
        <v>35</v>
      </c>
      <c r="AD841" s="75"/>
      <c r="AE841" s="49"/>
      <c r="AF841" s="56" t="s">
        <v>3180</v>
      </c>
      <c r="AG841" s="56" t="s">
        <v>3181</v>
      </c>
      <c r="AH841" s="49" t="str">
        <f t="shared" si="53"/>
        <v>経費予算申請・決定額一覧</v>
      </c>
      <c r="AI841" s="49"/>
      <c r="AJ841" s="49"/>
      <c r="AK841" s="49"/>
      <c r="AL841" s="49"/>
      <c r="AM841" s="49"/>
      <c r="AN841" s="49"/>
      <c r="AO841" s="51" t="str">
        <f t="shared" si="49"/>
        <v>外部自動仕訳データ作成</v>
      </c>
      <c r="AP841" s="51" t="str">
        <f t="shared" si="50"/>
        <v>AC9141</v>
      </c>
      <c r="AQ841" s="51" t="s">
        <v>3151</v>
      </c>
      <c r="AR841" s="51" t="s">
        <v>3152</v>
      </c>
      <c r="AS841" s="49" t="str">
        <f t="shared" si="51"/>
        <v/>
      </c>
      <c r="AT841" s="49" t="str">
        <f t="shared" si="52"/>
        <v/>
      </c>
      <c r="AU841" s="49"/>
      <c r="AV841" s="49"/>
    </row>
    <row r="842" spans="1:48" ht="18" customHeight="1">
      <c r="A842" s="44">
        <v>840</v>
      </c>
      <c r="B842" s="52" t="s">
        <v>2702</v>
      </c>
      <c r="C842" s="71" t="s">
        <v>3129</v>
      </c>
      <c r="D842" s="46" t="s">
        <v>72</v>
      </c>
      <c r="E842" s="44" t="s">
        <v>3152</v>
      </c>
      <c r="F842" s="44" t="s">
        <v>3182</v>
      </c>
      <c r="G842" s="44"/>
      <c r="H842" s="44"/>
      <c r="I842" s="44"/>
      <c r="J842" s="47" t="s">
        <v>35</v>
      </c>
      <c r="K842" s="47"/>
      <c r="L842" s="47"/>
      <c r="M842" s="47"/>
      <c r="N842" s="47"/>
      <c r="O842" s="44"/>
      <c r="P842" s="44"/>
      <c r="Q842" s="48">
        <f>VLOOKUP(E842,sheet1!$B$2:$D$3209,3,FALSE)</f>
        <v>943</v>
      </c>
      <c r="R842" s="47" t="s">
        <v>35</v>
      </c>
      <c r="S842" s="47" t="s">
        <v>35</v>
      </c>
      <c r="T842" s="47"/>
      <c r="U842" s="47" t="s">
        <v>296</v>
      </c>
      <c r="V842" s="47" t="s">
        <v>296</v>
      </c>
      <c r="W842" s="47" t="s">
        <v>296</v>
      </c>
      <c r="X842" s="47" t="s">
        <v>296</v>
      </c>
      <c r="Y842" s="47"/>
      <c r="Z842" s="47" t="s">
        <v>296</v>
      </c>
      <c r="AA842" s="47" t="s">
        <v>296</v>
      </c>
      <c r="AB842" s="47"/>
      <c r="AC842" s="47" t="s">
        <v>35</v>
      </c>
      <c r="AD842" s="75"/>
      <c r="AE842" s="49"/>
      <c r="AF842" s="56" t="s">
        <v>3183</v>
      </c>
      <c r="AG842" s="56"/>
      <c r="AH842" s="49" t="str">
        <f t="shared" si="53"/>
        <v>経費予算データ集計</v>
      </c>
      <c r="AI842" s="49"/>
      <c r="AJ842" s="49"/>
      <c r="AK842" s="49"/>
      <c r="AL842" s="49"/>
      <c r="AM842" s="49"/>
      <c r="AN842" s="49"/>
      <c r="AO842" s="51" t="str">
        <f t="shared" si="49"/>
        <v>外部自動仕訳データ取込</v>
      </c>
      <c r="AP842" s="51" t="str">
        <f t="shared" si="50"/>
        <v>AC9100</v>
      </c>
      <c r="AQ842" s="51" t="s">
        <v>3154</v>
      </c>
      <c r="AR842" s="51" t="s">
        <v>3155</v>
      </c>
      <c r="AS842" s="49" t="str">
        <f t="shared" si="51"/>
        <v/>
      </c>
      <c r="AT842" s="49" t="str">
        <f t="shared" si="52"/>
        <v/>
      </c>
      <c r="AU842" s="49"/>
      <c r="AV842" s="49"/>
    </row>
    <row r="843" spans="1:48" ht="18" customHeight="1">
      <c r="A843" s="44">
        <v>841</v>
      </c>
      <c r="B843" s="52" t="s">
        <v>2702</v>
      </c>
      <c r="C843" s="71" t="s">
        <v>3129</v>
      </c>
      <c r="D843" s="46" t="s">
        <v>72</v>
      </c>
      <c r="E843" s="44" t="s">
        <v>3155</v>
      </c>
      <c r="F843" s="44" t="s">
        <v>3184</v>
      </c>
      <c r="G843" s="44"/>
      <c r="H843" s="44"/>
      <c r="I843" s="44"/>
      <c r="J843" s="47" t="s">
        <v>35</v>
      </c>
      <c r="K843" s="47"/>
      <c r="L843" s="47"/>
      <c r="M843" s="47"/>
      <c r="N843" s="47"/>
      <c r="O843" s="44"/>
      <c r="P843" s="44"/>
      <c r="Q843" s="48">
        <f>VLOOKUP(E843,sheet1!$B$2:$D$3209,3,FALSE)</f>
        <v>1283</v>
      </c>
      <c r="R843" s="47" t="s">
        <v>35</v>
      </c>
      <c r="S843" s="47" t="s">
        <v>35</v>
      </c>
      <c r="T843" s="47"/>
      <c r="U843" s="47" t="s">
        <v>296</v>
      </c>
      <c r="V843" s="47" t="s">
        <v>296</v>
      </c>
      <c r="W843" s="47" t="s">
        <v>296</v>
      </c>
      <c r="X843" s="47" t="s">
        <v>296</v>
      </c>
      <c r="Y843" s="47"/>
      <c r="Z843" s="47" t="s">
        <v>296</v>
      </c>
      <c r="AA843" s="47" t="s">
        <v>296</v>
      </c>
      <c r="AB843" s="47"/>
      <c r="AC843" s="47" t="s">
        <v>35</v>
      </c>
      <c r="AD843" s="75"/>
      <c r="AE843" s="49"/>
      <c r="AF843" s="56" t="s">
        <v>3185</v>
      </c>
      <c r="AG843" s="56" t="s">
        <v>3186</v>
      </c>
      <c r="AH843" s="49" t="str">
        <f t="shared" si="53"/>
        <v>経費予算ﾌｧｲﾙ ｱｯﾌﾟﾛｰﾄﾞ</v>
      </c>
      <c r="AI843" s="49"/>
      <c r="AJ843" s="49"/>
      <c r="AK843" s="49"/>
      <c r="AL843" s="49"/>
      <c r="AM843" s="49"/>
      <c r="AN843" s="49"/>
      <c r="AO843" s="51" t="str">
        <f t="shared" si="49"/>
        <v>外部自動仕訳データ修正</v>
      </c>
      <c r="AP843" s="51" t="str">
        <f t="shared" si="50"/>
        <v>AC9120</v>
      </c>
      <c r="AQ843" s="51" t="s">
        <v>3157</v>
      </c>
      <c r="AR843" s="51" t="s">
        <v>3158</v>
      </c>
      <c r="AS843" s="49" t="str">
        <f t="shared" si="51"/>
        <v/>
      </c>
      <c r="AT843" s="49" t="str">
        <f t="shared" si="52"/>
        <v/>
      </c>
      <c r="AU843" s="49"/>
      <c r="AV843" s="49"/>
    </row>
    <row r="844" spans="1:48" ht="18" customHeight="1">
      <c r="A844" s="44">
        <v>842</v>
      </c>
      <c r="B844" s="52" t="s">
        <v>2702</v>
      </c>
      <c r="C844" s="71" t="s">
        <v>3129</v>
      </c>
      <c r="D844" s="46" t="s">
        <v>72</v>
      </c>
      <c r="E844" s="44" t="s">
        <v>3158</v>
      </c>
      <c r="F844" s="44" t="s">
        <v>3187</v>
      </c>
      <c r="G844" s="44"/>
      <c r="H844" s="44"/>
      <c r="I844" s="44"/>
      <c r="J844" s="47" t="s">
        <v>35</v>
      </c>
      <c r="K844" s="47"/>
      <c r="L844" s="47"/>
      <c r="M844" s="47"/>
      <c r="N844" s="47"/>
      <c r="O844" s="44"/>
      <c r="P844" s="44"/>
      <c r="Q844" s="48">
        <f>VLOOKUP(E844,sheet1!$B$2:$D$3209,3,FALSE)</f>
        <v>1385</v>
      </c>
      <c r="R844" s="47" t="s">
        <v>35</v>
      </c>
      <c r="S844" s="47" t="s">
        <v>35</v>
      </c>
      <c r="T844" s="47"/>
      <c r="U844" s="47" t="s">
        <v>296</v>
      </c>
      <c r="V844" s="47" t="s">
        <v>296</v>
      </c>
      <c r="W844" s="47" t="s">
        <v>296</v>
      </c>
      <c r="X844" s="47" t="s">
        <v>296</v>
      </c>
      <c r="Y844" s="47"/>
      <c r="Z844" s="47" t="s">
        <v>296</v>
      </c>
      <c r="AA844" s="47" t="s">
        <v>296</v>
      </c>
      <c r="AB844" s="47"/>
      <c r="AC844" s="47" t="s">
        <v>35</v>
      </c>
      <c r="AD844" s="75"/>
      <c r="AE844" s="49"/>
      <c r="AF844" s="56" t="s">
        <v>3188</v>
      </c>
      <c r="AG844" s="56"/>
      <c r="AH844" s="49" t="str">
        <f t="shared" si="53"/>
        <v>経費予算明細書</v>
      </c>
      <c r="AI844" s="49"/>
      <c r="AJ844" s="49"/>
      <c r="AK844" s="49"/>
      <c r="AL844" s="49"/>
      <c r="AM844" s="49"/>
      <c r="AN844" s="49"/>
      <c r="AO844" s="51" t="str">
        <f t="shared" si="49"/>
        <v/>
      </c>
      <c r="AP844" s="51" t="str">
        <f t="shared" si="50"/>
        <v/>
      </c>
      <c r="AQ844" s="51"/>
      <c r="AR844" s="51"/>
      <c r="AS844" s="49" t="str">
        <f t="shared" si="51"/>
        <v/>
      </c>
      <c r="AT844" s="49" t="str">
        <f t="shared" si="52"/>
        <v/>
      </c>
      <c r="AU844" s="49"/>
      <c r="AV844" s="49"/>
    </row>
    <row r="845" spans="1:48" ht="18" customHeight="1">
      <c r="A845" s="44">
        <v>843</v>
      </c>
      <c r="B845" s="52" t="s">
        <v>2702</v>
      </c>
      <c r="C845" s="71" t="s">
        <v>3129</v>
      </c>
      <c r="D845" s="46" t="s">
        <v>72</v>
      </c>
      <c r="E845" s="44" t="s">
        <v>3161</v>
      </c>
      <c r="F845" s="44" t="s">
        <v>3189</v>
      </c>
      <c r="G845" s="44"/>
      <c r="H845" s="44"/>
      <c r="I845" s="44"/>
      <c r="J845" s="47" t="s">
        <v>35</v>
      </c>
      <c r="K845" s="47"/>
      <c r="L845" s="47"/>
      <c r="M845" s="47"/>
      <c r="N845" s="47"/>
      <c r="O845" s="44"/>
      <c r="P845" s="44"/>
      <c r="Q845" s="48">
        <f>VLOOKUP(E845,sheet1!$B$2:$D$3209,3,FALSE)</f>
        <v>712</v>
      </c>
      <c r="R845" s="47" t="s">
        <v>35</v>
      </c>
      <c r="S845" s="47" t="s">
        <v>296</v>
      </c>
      <c r="T845" s="47"/>
      <c r="U845" s="47" t="s">
        <v>296</v>
      </c>
      <c r="V845" s="47" t="s">
        <v>296</v>
      </c>
      <c r="W845" s="47" t="s">
        <v>296</v>
      </c>
      <c r="X845" s="47" t="s">
        <v>296</v>
      </c>
      <c r="Y845" s="47"/>
      <c r="Z845" s="47" t="s">
        <v>296</v>
      </c>
      <c r="AA845" s="47" t="s">
        <v>296</v>
      </c>
      <c r="AB845" s="47"/>
      <c r="AC845" s="47" t="s">
        <v>35</v>
      </c>
      <c r="AD845" s="75"/>
      <c r="AE845" s="49"/>
      <c r="AF845" s="56" t="s">
        <v>3190</v>
      </c>
      <c r="AG845" s="56" t="s">
        <v>3191</v>
      </c>
      <c r="AH845" s="49" t="str">
        <f t="shared" si="53"/>
        <v>経費予算集計（１）</v>
      </c>
      <c r="AI845" s="49"/>
      <c r="AJ845" s="49"/>
      <c r="AK845" s="49"/>
      <c r="AL845" s="49"/>
      <c r="AM845" s="49"/>
      <c r="AN845" s="49"/>
      <c r="AO845" s="51" t="str">
        <f t="shared" si="49"/>
        <v>経費予算枠入力</v>
      </c>
      <c r="AP845" s="51" t="str">
        <f t="shared" si="50"/>
        <v/>
      </c>
      <c r="AQ845" s="51" t="s">
        <v>3163</v>
      </c>
      <c r="AR845" s="51"/>
      <c r="AS845" s="49" t="str">
        <f t="shared" si="51"/>
        <v/>
      </c>
      <c r="AT845" s="49" t="str">
        <f t="shared" si="52"/>
        <v/>
      </c>
      <c r="AU845" s="49"/>
      <c r="AV845" s="49"/>
    </row>
    <row r="846" spans="1:48" ht="18" customHeight="1">
      <c r="A846" s="44">
        <v>844</v>
      </c>
      <c r="B846" s="52" t="s">
        <v>2702</v>
      </c>
      <c r="C846" s="75" t="s">
        <v>3192</v>
      </c>
      <c r="D846" s="46" t="s">
        <v>72</v>
      </c>
      <c r="E846" s="44"/>
      <c r="F846" s="44" t="s">
        <v>3193</v>
      </c>
      <c r="G846" s="44"/>
      <c r="H846" s="44"/>
      <c r="I846" s="44"/>
      <c r="J846" s="47" t="s">
        <v>35</v>
      </c>
      <c r="K846" s="47"/>
      <c r="L846" s="47"/>
      <c r="M846" s="47"/>
      <c r="N846" s="47"/>
      <c r="O846" s="44"/>
      <c r="P846" s="44"/>
      <c r="Q846" s="48" t="e">
        <f>VLOOKUP(E846,sheet1!$B$2:$D$3209,3,FALSE)</f>
        <v>#N/A</v>
      </c>
      <c r="R846" s="47" t="s">
        <v>35</v>
      </c>
      <c r="S846" s="47" t="s">
        <v>35</v>
      </c>
      <c r="T846" s="47"/>
      <c r="U846" s="47" t="s">
        <v>296</v>
      </c>
      <c r="V846" s="47" t="s">
        <v>296</v>
      </c>
      <c r="W846" s="47" t="s">
        <v>296</v>
      </c>
      <c r="X846" s="47" t="s">
        <v>296</v>
      </c>
      <c r="Y846" s="47"/>
      <c r="Z846" s="47" t="s">
        <v>296</v>
      </c>
      <c r="AA846" s="47" t="s">
        <v>296</v>
      </c>
      <c r="AB846" s="47"/>
      <c r="AC846" s="47" t="s">
        <v>35</v>
      </c>
      <c r="AD846" s="75"/>
      <c r="AE846" s="49"/>
      <c r="AF846" s="56" t="s">
        <v>3194</v>
      </c>
      <c r="AG846" s="56" t="s">
        <v>3195</v>
      </c>
      <c r="AH846" s="49" t="str">
        <f t="shared" si="53"/>
        <v>経費予算集計（２）</v>
      </c>
      <c r="AI846" s="49"/>
      <c r="AJ846" s="49"/>
      <c r="AK846" s="49"/>
      <c r="AL846" s="49"/>
      <c r="AM846" s="49"/>
      <c r="AN846" s="49"/>
      <c r="AO846" s="51" t="str">
        <f t="shared" si="49"/>
        <v>経費予算申請入力</v>
      </c>
      <c r="AP846" s="51" t="str">
        <f t="shared" si="50"/>
        <v>AC0105</v>
      </c>
      <c r="AQ846" s="51" t="s">
        <v>3165</v>
      </c>
      <c r="AR846" s="51" t="s">
        <v>3166</v>
      </c>
      <c r="AS846" s="49" t="str">
        <f t="shared" si="51"/>
        <v/>
      </c>
      <c r="AT846" s="49" t="str">
        <f t="shared" si="52"/>
        <v/>
      </c>
      <c r="AU846" s="49"/>
      <c r="AV846" s="49"/>
    </row>
    <row r="847" spans="1:48" ht="18" customHeight="1">
      <c r="A847" s="44">
        <v>845</v>
      </c>
      <c r="B847" s="52" t="s">
        <v>2702</v>
      </c>
      <c r="C847" s="80" t="s">
        <v>3192</v>
      </c>
      <c r="D847" s="46" t="s">
        <v>72</v>
      </c>
      <c r="E847" s="44" t="s">
        <v>3166</v>
      </c>
      <c r="F847" s="44" t="s">
        <v>3196</v>
      </c>
      <c r="G847" s="44"/>
      <c r="H847" s="44"/>
      <c r="I847" s="44"/>
      <c r="J847" s="47" t="s">
        <v>35</v>
      </c>
      <c r="K847" s="47"/>
      <c r="L847" s="47"/>
      <c r="M847" s="47"/>
      <c r="N847" s="47"/>
      <c r="O847" s="44"/>
      <c r="P847" s="44"/>
      <c r="Q847" s="48">
        <f>VLOOKUP(E847,sheet1!$B$2:$D$3209,3,FALSE)</f>
        <v>558</v>
      </c>
      <c r="R847" s="47" t="s">
        <v>35</v>
      </c>
      <c r="S847" s="47" t="s">
        <v>35</v>
      </c>
      <c r="T847" s="47"/>
      <c r="U847" s="47" t="s">
        <v>35</v>
      </c>
      <c r="V847" s="47" t="s">
        <v>296</v>
      </c>
      <c r="W847" s="47" t="s">
        <v>35</v>
      </c>
      <c r="X847" s="47" t="s">
        <v>35</v>
      </c>
      <c r="Y847" s="47" t="s">
        <v>35</v>
      </c>
      <c r="Z847" s="47" t="s">
        <v>296</v>
      </c>
      <c r="AA847" s="47" t="s">
        <v>296</v>
      </c>
      <c r="AB847" s="47"/>
      <c r="AC847" s="47" t="s">
        <v>35</v>
      </c>
      <c r="AD847" s="75"/>
      <c r="AE847" s="49"/>
      <c r="AF847" s="56" t="s">
        <v>3197</v>
      </c>
      <c r="AG847" s="56" t="s">
        <v>3198</v>
      </c>
      <c r="AH847" s="49" t="str">
        <f t="shared" si="53"/>
        <v>経費予算集計（３）</v>
      </c>
      <c r="AI847" s="49"/>
      <c r="AJ847" s="49"/>
      <c r="AK847" s="49"/>
      <c r="AL847" s="49"/>
      <c r="AM847" s="49"/>
      <c r="AN847" s="49"/>
      <c r="AO847" s="51" t="str">
        <f t="shared" si="49"/>
        <v>経費予算決定入力</v>
      </c>
      <c r="AP847" s="51" t="str">
        <f t="shared" si="50"/>
        <v>AC0106</v>
      </c>
      <c r="AQ847" s="51" t="s">
        <v>3168</v>
      </c>
      <c r="AR847" s="51" t="s">
        <v>3169</v>
      </c>
      <c r="AS847" s="49" t="str">
        <f t="shared" si="51"/>
        <v/>
      </c>
      <c r="AT847" s="49" t="str">
        <f t="shared" si="52"/>
        <v/>
      </c>
      <c r="AU847" s="49"/>
      <c r="AV847" s="49"/>
    </row>
    <row r="848" spans="1:48" ht="18" customHeight="1">
      <c r="A848" s="44">
        <v>846</v>
      </c>
      <c r="B848" s="52" t="s">
        <v>2702</v>
      </c>
      <c r="C848" s="80" t="s">
        <v>3192</v>
      </c>
      <c r="D848" s="46" t="s">
        <v>72</v>
      </c>
      <c r="E848" s="44" t="s">
        <v>3169</v>
      </c>
      <c r="F848" s="44" t="s">
        <v>3199</v>
      </c>
      <c r="G848" s="44"/>
      <c r="H848" s="44"/>
      <c r="I848" s="44"/>
      <c r="J848" s="47" t="s">
        <v>35</v>
      </c>
      <c r="K848" s="47"/>
      <c r="L848" s="47"/>
      <c r="M848" s="47"/>
      <c r="N848" s="47"/>
      <c r="O848" s="44"/>
      <c r="P848" s="44"/>
      <c r="Q848" s="48">
        <f>VLOOKUP(E848,sheet1!$B$2:$D$3209,3,FALSE)</f>
        <v>520</v>
      </c>
      <c r="R848" s="47" t="s">
        <v>35</v>
      </c>
      <c r="S848" s="47" t="s">
        <v>35</v>
      </c>
      <c r="T848" s="47"/>
      <c r="U848" s="47" t="s">
        <v>296</v>
      </c>
      <c r="V848" s="47" t="s">
        <v>296</v>
      </c>
      <c r="W848" s="47" t="s">
        <v>296</v>
      </c>
      <c r="X848" s="47" t="s">
        <v>296</v>
      </c>
      <c r="Y848" s="47"/>
      <c r="Z848" s="47" t="s">
        <v>296</v>
      </c>
      <c r="AA848" s="47" t="s">
        <v>296</v>
      </c>
      <c r="AB848" s="47"/>
      <c r="AC848" s="47" t="s">
        <v>35</v>
      </c>
      <c r="AD848" s="75"/>
      <c r="AE848" s="49"/>
      <c r="AF848" s="56" t="s">
        <v>3200</v>
      </c>
      <c r="AG848" s="56" t="s">
        <v>3201</v>
      </c>
      <c r="AH848" s="49" t="str">
        <f t="shared" si="53"/>
        <v>経費予算・実績対比/予算枠</v>
      </c>
      <c r="AI848" s="49"/>
      <c r="AJ848" s="49"/>
      <c r="AK848" s="49"/>
      <c r="AL848" s="49"/>
      <c r="AM848" s="49"/>
      <c r="AN848" s="49"/>
      <c r="AO848" s="51" t="str">
        <f t="shared" si="49"/>
        <v>経費予算決定額データ集計</v>
      </c>
      <c r="AP848" s="51" t="str">
        <f t="shared" si="50"/>
        <v>AC0107</v>
      </c>
      <c r="AQ848" s="51" t="s">
        <v>3171</v>
      </c>
      <c r="AR848" s="51" t="s">
        <v>3172</v>
      </c>
      <c r="AS848" s="49" t="str">
        <f t="shared" si="51"/>
        <v/>
      </c>
      <c r="AT848" s="49" t="str">
        <f t="shared" si="52"/>
        <v/>
      </c>
      <c r="AU848" s="49"/>
      <c r="AV848" s="49"/>
    </row>
    <row r="849" spans="1:48" ht="18" customHeight="1">
      <c r="A849" s="44">
        <v>847</v>
      </c>
      <c r="B849" s="52" t="s">
        <v>2702</v>
      </c>
      <c r="C849" s="80" t="s">
        <v>3192</v>
      </c>
      <c r="D849" s="46" t="s">
        <v>72</v>
      </c>
      <c r="E849" s="44" t="s">
        <v>3172</v>
      </c>
      <c r="F849" s="44" t="s">
        <v>3202</v>
      </c>
      <c r="G849" s="44"/>
      <c r="H849" s="44"/>
      <c r="I849" s="44"/>
      <c r="J849" s="47" t="s">
        <v>35</v>
      </c>
      <c r="K849" s="47"/>
      <c r="L849" s="47"/>
      <c r="M849" s="47"/>
      <c r="N849" s="47"/>
      <c r="O849" s="44"/>
      <c r="P849" s="44"/>
      <c r="Q849" s="48">
        <f>VLOOKUP(E849,sheet1!$B$2:$D$3209,3,FALSE)</f>
        <v>186</v>
      </c>
      <c r="R849" s="47" t="s">
        <v>35</v>
      </c>
      <c r="S849" s="47" t="s">
        <v>35</v>
      </c>
      <c r="T849" s="47"/>
      <c r="U849" s="47" t="s">
        <v>296</v>
      </c>
      <c r="V849" s="47" t="s">
        <v>296</v>
      </c>
      <c r="W849" s="47" t="s">
        <v>296</v>
      </c>
      <c r="X849" s="47" t="s">
        <v>296</v>
      </c>
      <c r="Y849" s="47"/>
      <c r="Z849" s="47" t="s">
        <v>296</v>
      </c>
      <c r="AA849" s="47" t="s">
        <v>296</v>
      </c>
      <c r="AB849" s="47"/>
      <c r="AC849" s="47" t="s">
        <v>35</v>
      </c>
      <c r="AD849" s="75"/>
      <c r="AE849" s="49"/>
      <c r="AF849" s="56" t="s">
        <v>3203</v>
      </c>
      <c r="AG849" s="56" t="s">
        <v>3204</v>
      </c>
      <c r="AH849" s="49" t="str">
        <f t="shared" si="53"/>
        <v>経費予算・実績対比/計画ｼｰﾄ</v>
      </c>
      <c r="AI849" s="49"/>
      <c r="AJ849" s="49"/>
      <c r="AK849" s="49"/>
      <c r="AL849" s="49"/>
      <c r="AM849" s="49"/>
      <c r="AN849" s="49"/>
      <c r="AO849" s="51" t="str">
        <f t="shared" si="49"/>
        <v>経費予算部課別入力</v>
      </c>
      <c r="AP849" s="51" t="str">
        <f t="shared" si="50"/>
        <v>AC0110A</v>
      </c>
      <c r="AQ849" s="51" t="s">
        <v>3174</v>
      </c>
      <c r="AR849" s="51" t="s">
        <v>3175</v>
      </c>
      <c r="AS849" s="49" t="str">
        <f t="shared" si="51"/>
        <v/>
      </c>
      <c r="AT849" s="49" t="str">
        <f t="shared" si="52"/>
        <v/>
      </c>
      <c r="AU849" s="49"/>
      <c r="AV849" s="49"/>
    </row>
    <row r="850" spans="1:48" ht="18" customHeight="1">
      <c r="A850" s="44">
        <v>848</v>
      </c>
      <c r="B850" s="52" t="s">
        <v>2702</v>
      </c>
      <c r="C850" s="80" t="s">
        <v>3192</v>
      </c>
      <c r="D850" s="46" t="s">
        <v>72</v>
      </c>
      <c r="E850" s="44" t="s">
        <v>3175</v>
      </c>
      <c r="F850" s="44" t="s">
        <v>3205</v>
      </c>
      <c r="G850" s="44"/>
      <c r="H850" s="44"/>
      <c r="I850" s="44"/>
      <c r="J850" s="47" t="s">
        <v>35</v>
      </c>
      <c r="K850" s="47"/>
      <c r="L850" s="47"/>
      <c r="M850" s="47"/>
      <c r="N850" s="47"/>
      <c r="O850" s="44"/>
      <c r="P850" s="44"/>
      <c r="Q850" s="48">
        <f>VLOOKUP(E850,sheet1!$B$2:$D$3209,3,FALSE)</f>
        <v>843</v>
      </c>
      <c r="R850" s="47" t="s">
        <v>35</v>
      </c>
      <c r="S850" s="47" t="s">
        <v>35</v>
      </c>
      <c r="T850" s="47"/>
      <c r="U850" s="47" t="s">
        <v>296</v>
      </c>
      <c r="V850" s="47" t="s">
        <v>296</v>
      </c>
      <c r="W850" s="47" t="s">
        <v>296</v>
      </c>
      <c r="X850" s="47" t="s">
        <v>296</v>
      </c>
      <c r="Y850" s="47"/>
      <c r="Z850" s="47" t="s">
        <v>296</v>
      </c>
      <c r="AA850" s="47" t="s">
        <v>296</v>
      </c>
      <c r="AB850" s="47"/>
      <c r="AC850" s="47" t="s">
        <v>35</v>
      </c>
      <c r="AD850" s="75"/>
      <c r="AE850" s="49"/>
      <c r="AF850" s="56" t="s">
        <v>3206</v>
      </c>
      <c r="AG850" s="56" t="s">
        <v>3207</v>
      </c>
      <c r="AH850" s="49" t="str">
        <f t="shared" si="53"/>
        <v>経費予算申請・決定年度保守</v>
      </c>
      <c r="AI850" s="49"/>
      <c r="AJ850" s="49"/>
      <c r="AK850" s="49"/>
      <c r="AL850" s="49"/>
      <c r="AM850" s="49"/>
      <c r="AN850" s="49"/>
      <c r="AO850" s="51" t="str">
        <f t="shared" si="49"/>
        <v>損益区分別経費区分別経費集計</v>
      </c>
      <c r="AP850" s="51" t="str">
        <f t="shared" si="50"/>
        <v>AC0112</v>
      </c>
      <c r="AQ850" s="51" t="s">
        <v>3177</v>
      </c>
      <c r="AR850" s="51" t="s">
        <v>3178</v>
      </c>
      <c r="AS850" s="49" t="str">
        <f t="shared" si="51"/>
        <v/>
      </c>
      <c r="AT850" s="49" t="str">
        <f t="shared" si="52"/>
        <v/>
      </c>
      <c r="AU850" s="49"/>
      <c r="AV850" s="49"/>
    </row>
    <row r="851" spans="1:48" ht="18" customHeight="1">
      <c r="A851" s="44">
        <v>849</v>
      </c>
      <c r="B851" s="52" t="s">
        <v>2702</v>
      </c>
      <c r="C851" s="80" t="s">
        <v>3192</v>
      </c>
      <c r="D851" s="46" t="s">
        <v>72</v>
      </c>
      <c r="E851" s="44" t="s">
        <v>3178</v>
      </c>
      <c r="F851" s="44" t="s">
        <v>3208</v>
      </c>
      <c r="G851" s="44"/>
      <c r="H851" s="44"/>
      <c r="I851" s="44"/>
      <c r="J851" s="47" t="s">
        <v>35</v>
      </c>
      <c r="K851" s="47"/>
      <c r="L851" s="47"/>
      <c r="M851" s="47"/>
      <c r="N851" s="47"/>
      <c r="O851" s="44"/>
      <c r="P851" s="44"/>
      <c r="Q851" s="48">
        <f>VLOOKUP(E851,sheet1!$B$2:$D$3209,3,FALSE)</f>
        <v>122</v>
      </c>
      <c r="R851" s="47" t="s">
        <v>35</v>
      </c>
      <c r="S851" s="47" t="s">
        <v>35</v>
      </c>
      <c r="T851" s="47"/>
      <c r="U851" s="47" t="s">
        <v>296</v>
      </c>
      <c r="V851" s="47" t="s">
        <v>296</v>
      </c>
      <c r="W851" s="47" t="s">
        <v>296</v>
      </c>
      <c r="X851" s="47" t="s">
        <v>296</v>
      </c>
      <c r="Y851" s="47"/>
      <c r="Z851" s="47" t="s">
        <v>296</v>
      </c>
      <c r="AA851" s="47" t="s">
        <v>296</v>
      </c>
      <c r="AB851" s="47"/>
      <c r="AC851" s="47" t="s">
        <v>35</v>
      </c>
      <c r="AD851" s="75"/>
      <c r="AE851" s="49"/>
      <c r="AF851" s="56" t="s">
        <v>3209</v>
      </c>
      <c r="AG851" s="56" t="s">
        <v>3210</v>
      </c>
      <c r="AH851" s="49" t="str">
        <f t="shared" si="53"/>
        <v>経費予算申請額・申請枠</v>
      </c>
      <c r="AI851" s="49"/>
      <c r="AJ851" s="49"/>
      <c r="AK851" s="49"/>
      <c r="AL851" s="49"/>
      <c r="AM851" s="49"/>
      <c r="AN851" s="49"/>
      <c r="AO851" s="51" t="str">
        <f t="shared" si="49"/>
        <v>経費予算申請・決定額一覧</v>
      </c>
      <c r="AP851" s="51" t="str">
        <f t="shared" si="50"/>
        <v>AC0136</v>
      </c>
      <c r="AQ851" s="51" t="s">
        <v>3180</v>
      </c>
      <c r="AR851" s="51" t="s">
        <v>3181</v>
      </c>
      <c r="AS851" s="49" t="str">
        <f t="shared" si="51"/>
        <v/>
      </c>
      <c r="AT851" s="49" t="str">
        <f t="shared" si="52"/>
        <v/>
      </c>
      <c r="AU851" s="49"/>
      <c r="AV851" s="49"/>
    </row>
    <row r="852" spans="1:48" ht="18" customHeight="1">
      <c r="A852" s="44">
        <v>850</v>
      </c>
      <c r="B852" s="52" t="s">
        <v>2702</v>
      </c>
      <c r="C852" s="80" t="s">
        <v>3192</v>
      </c>
      <c r="D852" s="46" t="s">
        <v>72</v>
      </c>
      <c r="E852" s="44" t="s">
        <v>3181</v>
      </c>
      <c r="F852" s="44" t="s">
        <v>3211</v>
      </c>
      <c r="G852" s="44"/>
      <c r="H852" s="44"/>
      <c r="I852" s="44"/>
      <c r="J852" s="47" t="s">
        <v>35</v>
      </c>
      <c r="K852" s="47"/>
      <c r="L852" s="47"/>
      <c r="M852" s="47"/>
      <c r="N852" s="47"/>
      <c r="O852" s="44"/>
      <c r="P852" s="44"/>
      <c r="Q852" s="48">
        <f>VLOOKUP(E852,sheet1!$B$2:$D$3209,3,FALSE)</f>
        <v>146</v>
      </c>
      <c r="R852" s="47" t="s">
        <v>35</v>
      </c>
      <c r="S852" s="47" t="s">
        <v>35</v>
      </c>
      <c r="T852" s="47"/>
      <c r="U852" s="47" t="s">
        <v>296</v>
      </c>
      <c r="V852" s="47" t="s">
        <v>296</v>
      </c>
      <c r="W852" s="47" t="s">
        <v>296</v>
      </c>
      <c r="X852" s="47" t="s">
        <v>296</v>
      </c>
      <c r="Y852" s="47"/>
      <c r="Z852" s="47" t="s">
        <v>296</v>
      </c>
      <c r="AA852" s="47" t="s">
        <v>296</v>
      </c>
      <c r="AB852" s="47"/>
      <c r="AC852" s="47" t="s">
        <v>35</v>
      </c>
      <c r="AD852" s="75"/>
      <c r="AE852" s="49"/>
      <c r="AF852" s="56" t="s">
        <v>3212</v>
      </c>
      <c r="AG852" s="56" t="s">
        <v>3213</v>
      </c>
      <c r="AH852" s="49" t="str">
        <f t="shared" si="53"/>
        <v>予算申請一覧</v>
      </c>
      <c r="AI852" s="49"/>
      <c r="AJ852" s="49"/>
      <c r="AK852" s="49"/>
      <c r="AL852" s="49"/>
      <c r="AM852" s="49"/>
      <c r="AN852" s="49"/>
      <c r="AO852" s="51" t="str">
        <f t="shared" si="49"/>
        <v>経費予算データ集計</v>
      </c>
      <c r="AP852" s="51" t="str">
        <f t="shared" si="50"/>
        <v/>
      </c>
      <c r="AQ852" s="51" t="s">
        <v>3183</v>
      </c>
      <c r="AR852" s="51"/>
      <c r="AS852" s="49" t="str">
        <f t="shared" si="51"/>
        <v/>
      </c>
      <c r="AT852" s="49" t="str">
        <f t="shared" si="52"/>
        <v/>
      </c>
      <c r="AU852" s="49"/>
      <c r="AV852" s="49"/>
    </row>
    <row r="853" spans="1:48" ht="18" customHeight="1">
      <c r="A853" s="44">
        <v>851</v>
      </c>
      <c r="B853" s="52" t="s">
        <v>2702</v>
      </c>
      <c r="C853" s="80" t="s">
        <v>3192</v>
      </c>
      <c r="D853" s="46" t="s">
        <v>72</v>
      </c>
      <c r="E853" s="44"/>
      <c r="F853" s="44" t="s">
        <v>3214</v>
      </c>
      <c r="G853" s="44"/>
      <c r="H853" s="44"/>
      <c r="I853" s="44"/>
      <c r="J853" s="47" t="s">
        <v>35</v>
      </c>
      <c r="K853" s="47"/>
      <c r="L853" s="47"/>
      <c r="M853" s="47"/>
      <c r="N853" s="47"/>
      <c r="O853" s="44"/>
      <c r="P853" s="44"/>
      <c r="Q853" s="48" t="e">
        <f>VLOOKUP(E853,sheet1!$B$2:$D$3209,3,FALSE)</f>
        <v>#N/A</v>
      </c>
      <c r="R853" s="47" t="s">
        <v>35</v>
      </c>
      <c r="S853" s="47" t="s">
        <v>35</v>
      </c>
      <c r="T853" s="47"/>
      <c r="U853" s="47" t="s">
        <v>296</v>
      </c>
      <c r="V853" s="47" t="s">
        <v>296</v>
      </c>
      <c r="W853" s="47" t="s">
        <v>296</v>
      </c>
      <c r="X853" s="47" t="s">
        <v>296</v>
      </c>
      <c r="Y853" s="47"/>
      <c r="Z853" s="47" t="s">
        <v>296</v>
      </c>
      <c r="AA853" s="47" t="s">
        <v>296</v>
      </c>
      <c r="AB853" s="47"/>
      <c r="AC853" s="47" t="s">
        <v>35</v>
      </c>
      <c r="AD853" s="75"/>
      <c r="AE853" s="49"/>
      <c r="AF853" s="56" t="s">
        <v>3215</v>
      </c>
      <c r="AG853" s="56" t="s">
        <v>3216</v>
      </c>
      <c r="AH853" s="49" t="str">
        <f t="shared" si="53"/>
        <v>経費差異分析表計算</v>
      </c>
      <c r="AI853" s="49"/>
      <c r="AJ853" s="49"/>
      <c r="AK853" s="49"/>
      <c r="AL853" s="49"/>
      <c r="AM853" s="49"/>
      <c r="AN853" s="49"/>
      <c r="AO853" s="51" t="str">
        <f t="shared" si="49"/>
        <v>経費予算ﾌｧｲﾙ ｱｯﾌﾟﾛｰﾄﾞ</v>
      </c>
      <c r="AP853" s="51" t="str">
        <f t="shared" si="50"/>
        <v>AC0100</v>
      </c>
      <c r="AQ853" s="51" t="s">
        <v>3185</v>
      </c>
      <c r="AR853" s="51" t="s">
        <v>3186</v>
      </c>
      <c r="AS853" s="49" t="str">
        <f t="shared" si="51"/>
        <v/>
      </c>
      <c r="AT853" s="49" t="str">
        <f t="shared" si="52"/>
        <v/>
      </c>
      <c r="AU853" s="49"/>
      <c r="AV853" s="49"/>
    </row>
    <row r="854" spans="1:48" ht="18" customHeight="1">
      <c r="A854" s="44">
        <v>852</v>
      </c>
      <c r="B854" s="52" t="s">
        <v>2702</v>
      </c>
      <c r="C854" s="80" t="s">
        <v>3192</v>
      </c>
      <c r="D854" s="46" t="s">
        <v>72</v>
      </c>
      <c r="E854" s="44" t="s">
        <v>3186</v>
      </c>
      <c r="F854" s="44" t="s">
        <v>3217</v>
      </c>
      <c r="G854" s="44"/>
      <c r="H854" s="44"/>
      <c r="I854" s="44"/>
      <c r="J854" s="47" t="s">
        <v>35</v>
      </c>
      <c r="K854" s="47"/>
      <c r="L854" s="47"/>
      <c r="M854" s="47"/>
      <c r="N854" s="47"/>
      <c r="O854" s="44"/>
      <c r="P854" s="44"/>
      <c r="Q854" s="48">
        <f>VLOOKUP(E854,sheet1!$B$2:$D$3209,3,FALSE)</f>
        <v>105</v>
      </c>
      <c r="R854" s="47" t="s">
        <v>35</v>
      </c>
      <c r="S854" s="47" t="s">
        <v>35</v>
      </c>
      <c r="T854" s="47"/>
      <c r="U854" s="47" t="s">
        <v>296</v>
      </c>
      <c r="V854" s="47" t="s">
        <v>296</v>
      </c>
      <c r="W854" s="47" t="s">
        <v>296</v>
      </c>
      <c r="X854" s="47" t="s">
        <v>296</v>
      </c>
      <c r="Y854" s="47"/>
      <c r="Z854" s="47" t="s">
        <v>296</v>
      </c>
      <c r="AA854" s="47" t="s">
        <v>296</v>
      </c>
      <c r="AB854" s="47"/>
      <c r="AC854" s="47" t="s">
        <v>35</v>
      </c>
      <c r="AD854" s="75"/>
      <c r="AE854" s="49"/>
      <c r="AF854" s="56" t="s">
        <v>3218</v>
      </c>
      <c r="AG854" s="56" t="s">
        <v>3219</v>
      </c>
      <c r="AH854" s="49" t="str">
        <f t="shared" si="53"/>
        <v>経費差異分析表印刷（単月）</v>
      </c>
      <c r="AI854" s="49"/>
      <c r="AJ854" s="49"/>
      <c r="AK854" s="49"/>
      <c r="AL854" s="49"/>
      <c r="AM854" s="49"/>
      <c r="AN854" s="49"/>
      <c r="AO854" s="51" t="str">
        <f t="shared" si="49"/>
        <v>経費予算明細書</v>
      </c>
      <c r="AP854" s="51" t="str">
        <f t="shared" si="50"/>
        <v/>
      </c>
      <c r="AQ854" s="51" t="s">
        <v>3188</v>
      </c>
      <c r="AR854" s="51"/>
      <c r="AS854" s="49" t="str">
        <f t="shared" si="51"/>
        <v/>
      </c>
      <c r="AT854" s="49" t="str">
        <f t="shared" si="52"/>
        <v/>
      </c>
      <c r="AU854" s="49"/>
      <c r="AV854" s="49"/>
    </row>
    <row r="855" spans="1:48" ht="18" customHeight="1">
      <c r="A855" s="44">
        <v>853</v>
      </c>
      <c r="B855" s="52" t="s">
        <v>2702</v>
      </c>
      <c r="C855" s="80" t="s">
        <v>3192</v>
      </c>
      <c r="D855" s="46" t="s">
        <v>72</v>
      </c>
      <c r="E855" s="44"/>
      <c r="F855" s="44" t="s">
        <v>3220</v>
      </c>
      <c r="G855" s="44"/>
      <c r="H855" s="44"/>
      <c r="I855" s="44"/>
      <c r="J855" s="47" t="s">
        <v>35</v>
      </c>
      <c r="K855" s="47"/>
      <c r="L855" s="47"/>
      <c r="M855" s="47"/>
      <c r="N855" s="47"/>
      <c r="O855" s="44"/>
      <c r="P855" s="44"/>
      <c r="Q855" s="48" t="e">
        <f>VLOOKUP(E855,sheet1!$B$2:$D$3209,3,FALSE)</f>
        <v>#N/A</v>
      </c>
      <c r="R855" s="47" t="s">
        <v>35</v>
      </c>
      <c r="S855" s="47" t="s">
        <v>35</v>
      </c>
      <c r="T855" s="47"/>
      <c r="U855" s="47" t="s">
        <v>296</v>
      </c>
      <c r="V855" s="47" t="s">
        <v>296</v>
      </c>
      <c r="W855" s="47" t="s">
        <v>296</v>
      </c>
      <c r="X855" s="47" t="s">
        <v>296</v>
      </c>
      <c r="Y855" s="47"/>
      <c r="Z855" s="47" t="s">
        <v>296</v>
      </c>
      <c r="AA855" s="47" t="s">
        <v>296</v>
      </c>
      <c r="AB855" s="47"/>
      <c r="AC855" s="47" t="s">
        <v>35</v>
      </c>
      <c r="AD855" s="75"/>
      <c r="AE855" s="49"/>
      <c r="AF855" s="56" t="s">
        <v>3221</v>
      </c>
      <c r="AG855" s="56" t="s">
        <v>3222</v>
      </c>
      <c r="AH855" s="49" t="str">
        <f t="shared" si="53"/>
        <v>経費差異分析表印刷（累計）</v>
      </c>
      <c r="AI855" s="49"/>
      <c r="AJ855" s="49"/>
      <c r="AK855" s="49"/>
      <c r="AL855" s="49"/>
      <c r="AM855" s="49"/>
      <c r="AN855" s="49"/>
      <c r="AO855" s="51" t="str">
        <f t="shared" si="49"/>
        <v>経費予算集計（１）</v>
      </c>
      <c r="AP855" s="51" t="str">
        <f t="shared" si="50"/>
        <v>AC0109</v>
      </c>
      <c r="AQ855" s="51" t="s">
        <v>3190</v>
      </c>
      <c r="AR855" s="51" t="s">
        <v>3191</v>
      </c>
      <c r="AS855" s="49" t="str">
        <f t="shared" si="51"/>
        <v/>
      </c>
      <c r="AT855" s="49" t="str">
        <f t="shared" si="52"/>
        <v/>
      </c>
      <c r="AU855" s="49"/>
      <c r="AV855" s="49"/>
    </row>
    <row r="856" spans="1:48" ht="18" customHeight="1">
      <c r="A856" s="44">
        <v>854</v>
      </c>
      <c r="B856" s="52" t="s">
        <v>2702</v>
      </c>
      <c r="C856" s="80" t="s">
        <v>3192</v>
      </c>
      <c r="D856" s="46" t="s">
        <v>72</v>
      </c>
      <c r="E856" s="44" t="s">
        <v>3191</v>
      </c>
      <c r="F856" s="44" t="s">
        <v>3223</v>
      </c>
      <c r="G856" s="44"/>
      <c r="H856" s="44"/>
      <c r="I856" s="44"/>
      <c r="J856" s="47" t="s">
        <v>35</v>
      </c>
      <c r="K856" s="47"/>
      <c r="L856" s="47"/>
      <c r="M856" s="47"/>
      <c r="N856" s="47"/>
      <c r="O856" s="44"/>
      <c r="P856" s="44"/>
      <c r="Q856" s="48">
        <f>VLOOKUP(E856,sheet1!$B$2:$D$3209,3,FALSE)</f>
        <v>188</v>
      </c>
      <c r="R856" s="47" t="s">
        <v>35</v>
      </c>
      <c r="S856" s="47" t="s">
        <v>35</v>
      </c>
      <c r="T856" s="47"/>
      <c r="U856" s="47" t="s">
        <v>296</v>
      </c>
      <c r="V856" s="47" t="s">
        <v>296</v>
      </c>
      <c r="W856" s="47" t="s">
        <v>296</v>
      </c>
      <c r="X856" s="47" t="s">
        <v>296</v>
      </c>
      <c r="Y856" s="47"/>
      <c r="Z856" s="47" t="s">
        <v>296</v>
      </c>
      <c r="AA856" s="47" t="s">
        <v>296</v>
      </c>
      <c r="AB856" s="47"/>
      <c r="AC856" s="47" t="s">
        <v>35</v>
      </c>
      <c r="AD856" s="75"/>
      <c r="AE856" s="49"/>
      <c r="AF856" s="56" t="s">
        <v>3224</v>
      </c>
      <c r="AG856" s="56" t="s">
        <v>3225</v>
      </c>
      <c r="AH856" s="49" t="str">
        <f t="shared" si="53"/>
        <v>経費明細表作成システム</v>
      </c>
      <c r="AI856" s="49"/>
      <c r="AJ856" s="49"/>
      <c r="AK856" s="49"/>
      <c r="AL856" s="49"/>
      <c r="AM856" s="49"/>
      <c r="AN856" s="49"/>
      <c r="AO856" s="51" t="str">
        <f t="shared" si="49"/>
        <v>経費予算集計（２）</v>
      </c>
      <c r="AP856" s="51" t="str">
        <f t="shared" si="50"/>
        <v>AT0229</v>
      </c>
      <c r="AQ856" s="51" t="s">
        <v>3194</v>
      </c>
      <c r="AR856" s="51" t="s">
        <v>3195</v>
      </c>
      <c r="AS856" s="49" t="str">
        <f t="shared" si="51"/>
        <v/>
      </c>
      <c r="AT856" s="49" t="str">
        <f t="shared" si="52"/>
        <v/>
      </c>
      <c r="AU856" s="49"/>
      <c r="AV856" s="49"/>
    </row>
    <row r="857" spans="1:48" ht="18" customHeight="1">
      <c r="A857" s="44">
        <v>855</v>
      </c>
      <c r="B857" s="52" t="s">
        <v>2702</v>
      </c>
      <c r="C857" s="80" t="s">
        <v>3192</v>
      </c>
      <c r="D857" s="46" t="s">
        <v>72</v>
      </c>
      <c r="E857" s="44" t="s">
        <v>3195</v>
      </c>
      <c r="F857" s="44" t="s">
        <v>3226</v>
      </c>
      <c r="G857" s="44"/>
      <c r="H857" s="44"/>
      <c r="I857" s="44"/>
      <c r="J857" s="47" t="s">
        <v>35</v>
      </c>
      <c r="K857" s="47"/>
      <c r="L857" s="47"/>
      <c r="M857" s="47"/>
      <c r="N857" s="47"/>
      <c r="O857" s="44"/>
      <c r="P857" s="44"/>
      <c r="Q857" s="48">
        <f>VLOOKUP(E857,sheet1!$B$2:$D$3209,3,FALSE)</f>
        <v>254</v>
      </c>
      <c r="R857" s="47" t="s">
        <v>35</v>
      </c>
      <c r="S857" s="47" t="s">
        <v>35</v>
      </c>
      <c r="T857" s="47"/>
      <c r="U857" s="47" t="s">
        <v>296</v>
      </c>
      <c r="V857" s="47" t="s">
        <v>296</v>
      </c>
      <c r="W857" s="47" t="s">
        <v>35</v>
      </c>
      <c r="X857" s="47" t="s">
        <v>35</v>
      </c>
      <c r="Y857" s="47" t="s">
        <v>35</v>
      </c>
      <c r="Z857" s="47" t="s">
        <v>296</v>
      </c>
      <c r="AA857" s="47" t="s">
        <v>296</v>
      </c>
      <c r="AB857" s="47"/>
      <c r="AC857" s="47" t="s">
        <v>35</v>
      </c>
      <c r="AD857" s="75"/>
      <c r="AE857" s="49"/>
      <c r="AF857" s="56" t="s">
        <v>3227</v>
      </c>
      <c r="AG857" s="56" t="s">
        <v>3228</v>
      </c>
      <c r="AH857" s="49" t="str">
        <f t="shared" si="53"/>
        <v>経費実績推移表</v>
      </c>
      <c r="AI857" s="49"/>
      <c r="AJ857" s="49"/>
      <c r="AK857" s="49"/>
      <c r="AL857" s="49"/>
      <c r="AM857" s="49"/>
      <c r="AN857" s="49"/>
      <c r="AO857" s="51" t="str">
        <f t="shared" si="49"/>
        <v>経費予算集計（３）</v>
      </c>
      <c r="AP857" s="51" t="str">
        <f t="shared" si="50"/>
        <v>AC0111</v>
      </c>
      <c r="AQ857" s="51" t="s">
        <v>3197</v>
      </c>
      <c r="AR857" s="51" t="s">
        <v>3198</v>
      </c>
      <c r="AS857" s="49" t="str">
        <f t="shared" si="51"/>
        <v/>
      </c>
      <c r="AT857" s="49" t="str">
        <f t="shared" si="52"/>
        <v/>
      </c>
      <c r="AU857" s="49"/>
      <c r="AV857" s="49"/>
    </row>
    <row r="858" spans="1:48" ht="18" customHeight="1">
      <c r="A858" s="44">
        <v>856</v>
      </c>
      <c r="B858" s="52" t="s">
        <v>2702</v>
      </c>
      <c r="C858" s="80" t="s">
        <v>3192</v>
      </c>
      <c r="D858" s="46" t="s">
        <v>72</v>
      </c>
      <c r="E858" s="44" t="s">
        <v>3198</v>
      </c>
      <c r="F858" s="44" t="s">
        <v>3229</v>
      </c>
      <c r="G858" s="44"/>
      <c r="H858" s="44"/>
      <c r="I858" s="44"/>
      <c r="J858" s="47" t="s">
        <v>35</v>
      </c>
      <c r="K858" s="47"/>
      <c r="L858" s="47"/>
      <c r="M858" s="47"/>
      <c r="N858" s="47"/>
      <c r="O858" s="44"/>
      <c r="P858" s="44"/>
      <c r="Q858" s="48">
        <f>VLOOKUP(E858,sheet1!$B$2:$D$3209,3,FALSE)</f>
        <v>149</v>
      </c>
      <c r="R858" s="47" t="s">
        <v>35</v>
      </c>
      <c r="S858" s="47" t="s">
        <v>35</v>
      </c>
      <c r="T858" s="47"/>
      <c r="U858" s="47" t="s">
        <v>296</v>
      </c>
      <c r="V858" s="47" t="s">
        <v>296</v>
      </c>
      <c r="W858" s="47" t="s">
        <v>296</v>
      </c>
      <c r="X858" s="47" t="s">
        <v>296</v>
      </c>
      <c r="Y858" s="47"/>
      <c r="Z858" s="47" t="s">
        <v>296</v>
      </c>
      <c r="AA858" s="47" t="s">
        <v>296</v>
      </c>
      <c r="AB858" s="47"/>
      <c r="AC858" s="47" t="s">
        <v>35</v>
      </c>
      <c r="AD858" s="75"/>
      <c r="AE858" s="49"/>
      <c r="AF858" s="56" t="s">
        <v>3230</v>
      </c>
      <c r="AG858" s="56" t="s">
        <v>3231</v>
      </c>
      <c r="AH858" s="49" t="str">
        <f t="shared" si="53"/>
        <v>経費明細書（部門長別）</v>
      </c>
      <c r="AI858" s="49"/>
      <c r="AJ858" s="49"/>
      <c r="AK858" s="49"/>
      <c r="AL858" s="49"/>
      <c r="AM858" s="49"/>
      <c r="AN858" s="49"/>
      <c r="AO858" s="51" t="str">
        <f t="shared" si="49"/>
        <v>経費予算・実績対比/予算枠</v>
      </c>
      <c r="AP858" s="51" t="str">
        <f t="shared" si="50"/>
        <v>AC8680</v>
      </c>
      <c r="AQ858" s="51" t="s">
        <v>3200</v>
      </c>
      <c r="AR858" s="51" t="s">
        <v>3201</v>
      </c>
      <c r="AS858" s="49" t="str">
        <f t="shared" si="51"/>
        <v/>
      </c>
      <c r="AT858" s="49" t="str">
        <f t="shared" si="52"/>
        <v/>
      </c>
      <c r="AU858" s="49"/>
      <c r="AV858" s="49"/>
    </row>
    <row r="859" spans="1:48" ht="18" customHeight="1">
      <c r="A859" s="44">
        <v>857</v>
      </c>
      <c r="B859" s="52" t="s">
        <v>2702</v>
      </c>
      <c r="C859" s="80" t="s">
        <v>3192</v>
      </c>
      <c r="D859" s="46" t="s">
        <v>72</v>
      </c>
      <c r="E859" s="44" t="s">
        <v>3201</v>
      </c>
      <c r="F859" s="44" t="s">
        <v>3232</v>
      </c>
      <c r="G859" s="44"/>
      <c r="H859" s="44"/>
      <c r="I859" s="44"/>
      <c r="J859" s="47" t="s">
        <v>35</v>
      </c>
      <c r="K859" s="47"/>
      <c r="L859" s="47"/>
      <c r="M859" s="47"/>
      <c r="N859" s="47"/>
      <c r="O859" s="44"/>
      <c r="P859" s="44"/>
      <c r="Q859" s="48">
        <f>VLOOKUP(E859,sheet1!$B$2:$D$3209,3,FALSE)</f>
        <v>203</v>
      </c>
      <c r="R859" s="47" t="s">
        <v>35</v>
      </c>
      <c r="S859" s="47" t="s">
        <v>35</v>
      </c>
      <c r="T859" s="47"/>
      <c r="U859" s="47" t="s">
        <v>296</v>
      </c>
      <c r="V859" s="47" t="s">
        <v>296</v>
      </c>
      <c r="W859" s="47" t="s">
        <v>296</v>
      </c>
      <c r="X859" s="47" t="s">
        <v>296</v>
      </c>
      <c r="Y859" s="47"/>
      <c r="Z859" s="47" t="s">
        <v>296</v>
      </c>
      <c r="AA859" s="47" t="s">
        <v>296</v>
      </c>
      <c r="AB859" s="47"/>
      <c r="AC859" s="47" t="s">
        <v>35</v>
      </c>
      <c r="AD859" s="75"/>
      <c r="AE859" s="49"/>
      <c r="AF859" s="56" t="s">
        <v>3233</v>
      </c>
      <c r="AG859" s="56" t="s">
        <v>3234</v>
      </c>
      <c r="AH859" s="49" t="str">
        <f t="shared" si="53"/>
        <v>経費明細書部門長配布ﾃﾞｰﾀﾏｽﾀｰﾒﾝﾃﾅﾝｽ</v>
      </c>
      <c r="AI859" s="49"/>
      <c r="AJ859" s="49"/>
      <c r="AK859" s="49"/>
      <c r="AL859" s="49"/>
      <c r="AM859" s="49"/>
      <c r="AN859" s="49"/>
      <c r="AO859" s="51" t="str">
        <f t="shared" si="49"/>
        <v>経費予算・実績対比/計画ｼｰﾄ</v>
      </c>
      <c r="AP859" s="51" t="str">
        <f t="shared" si="50"/>
        <v>AC8665</v>
      </c>
      <c r="AQ859" s="51" t="s">
        <v>3203</v>
      </c>
      <c r="AR859" s="51" t="s">
        <v>3204</v>
      </c>
      <c r="AS859" s="49" t="str">
        <f t="shared" si="51"/>
        <v/>
      </c>
      <c r="AT859" s="49" t="str">
        <f t="shared" si="52"/>
        <v/>
      </c>
      <c r="AU859" s="49"/>
      <c r="AV859" s="49"/>
    </row>
    <row r="860" spans="1:48" ht="18" customHeight="1">
      <c r="A860" s="44">
        <v>858</v>
      </c>
      <c r="B860" s="52" t="s">
        <v>2702</v>
      </c>
      <c r="C860" s="80" t="s">
        <v>3192</v>
      </c>
      <c r="D860" s="46" t="s">
        <v>72</v>
      </c>
      <c r="E860" s="44" t="s">
        <v>3204</v>
      </c>
      <c r="F860" s="44" t="s">
        <v>3235</v>
      </c>
      <c r="G860" s="44"/>
      <c r="H860" s="44"/>
      <c r="I860" s="44"/>
      <c r="J860" s="47" t="s">
        <v>35</v>
      </c>
      <c r="K860" s="47"/>
      <c r="L860" s="47"/>
      <c r="M860" s="47"/>
      <c r="N860" s="47"/>
      <c r="O860" s="44"/>
      <c r="P860" s="44"/>
      <c r="Q860" s="48">
        <f>VLOOKUP(E860,sheet1!$B$2:$D$3209,3,FALSE)</f>
        <v>176</v>
      </c>
      <c r="R860" s="47" t="s">
        <v>35</v>
      </c>
      <c r="S860" s="47" t="s">
        <v>35</v>
      </c>
      <c r="T860" s="47"/>
      <c r="U860" s="47" t="s">
        <v>296</v>
      </c>
      <c r="V860" s="47" t="s">
        <v>296</v>
      </c>
      <c r="W860" s="47" t="s">
        <v>296</v>
      </c>
      <c r="X860" s="47" t="s">
        <v>296</v>
      </c>
      <c r="Y860" s="47"/>
      <c r="Z860" s="47" t="s">
        <v>296</v>
      </c>
      <c r="AA860" s="47" t="s">
        <v>296</v>
      </c>
      <c r="AB860" s="47"/>
      <c r="AC860" s="47" t="s">
        <v>35</v>
      </c>
      <c r="AD860" s="75"/>
      <c r="AE860" s="49"/>
      <c r="AF860" s="56" t="s">
        <v>3236</v>
      </c>
      <c r="AG860" s="56" t="s">
        <v>3237</v>
      </c>
      <c r="AH860" s="49" t="str">
        <f t="shared" si="53"/>
        <v>経費予算・実績対比／分析ｼｰﾄ</v>
      </c>
      <c r="AI860" s="49"/>
      <c r="AJ860" s="49"/>
      <c r="AK860" s="49"/>
      <c r="AL860" s="49"/>
      <c r="AM860" s="49"/>
      <c r="AN860" s="49"/>
      <c r="AO860" s="51" t="str">
        <f t="shared" si="49"/>
        <v>経費予算申請・決定年度保守</v>
      </c>
      <c r="AP860" s="51" t="str">
        <f t="shared" si="50"/>
        <v>DF¥USRCTL1</v>
      </c>
      <c r="AQ860" s="51" t="s">
        <v>3206</v>
      </c>
      <c r="AR860" s="51" t="s">
        <v>3207</v>
      </c>
      <c r="AS860" s="49" t="str">
        <f t="shared" si="51"/>
        <v/>
      </c>
      <c r="AT860" s="49" t="str">
        <f t="shared" si="52"/>
        <v/>
      </c>
      <c r="AU860" s="49"/>
      <c r="AV860" s="49"/>
    </row>
    <row r="861" spans="1:48" ht="18" customHeight="1">
      <c r="A861" s="44">
        <v>859</v>
      </c>
      <c r="B861" s="52" t="s">
        <v>2702</v>
      </c>
      <c r="C861" s="80" t="s">
        <v>3192</v>
      </c>
      <c r="D861" s="46" t="s">
        <v>72</v>
      </c>
      <c r="E861" s="44" t="s">
        <v>3207</v>
      </c>
      <c r="F861" s="44" t="s">
        <v>3238</v>
      </c>
      <c r="G861" s="44"/>
      <c r="H861" s="44"/>
      <c r="I861" s="44"/>
      <c r="J861" s="47" t="s">
        <v>35</v>
      </c>
      <c r="K861" s="47"/>
      <c r="L861" s="47"/>
      <c r="M861" s="47"/>
      <c r="N861" s="47"/>
      <c r="O861" s="44"/>
      <c r="P861" s="44"/>
      <c r="Q861" s="48" t="e">
        <f>VLOOKUP(E861,sheet1!$B$2:$D$3209,3,FALSE)</f>
        <v>#N/A</v>
      </c>
      <c r="R861" s="47" t="s">
        <v>35</v>
      </c>
      <c r="S861" s="47" t="s">
        <v>35</v>
      </c>
      <c r="T861" s="47"/>
      <c r="U861" s="47" t="s">
        <v>296</v>
      </c>
      <c r="V861" s="47" t="s">
        <v>296</v>
      </c>
      <c r="W861" s="47" t="s">
        <v>296</v>
      </c>
      <c r="X861" s="47" t="s">
        <v>296</v>
      </c>
      <c r="Y861" s="47"/>
      <c r="Z861" s="47" t="s">
        <v>296</v>
      </c>
      <c r="AA861" s="47" t="s">
        <v>296</v>
      </c>
      <c r="AB861" s="47"/>
      <c r="AC861" s="47" t="s">
        <v>35</v>
      </c>
      <c r="AD861" s="75"/>
      <c r="AE861" s="49"/>
      <c r="AF861" s="56" t="s">
        <v>3239</v>
      </c>
      <c r="AG861" s="56"/>
      <c r="AH861" s="49" t="str">
        <f t="shared" si="53"/>
        <v>部門別損益部門ﾏｽﾀｰﾒﾝﾃ</v>
      </c>
      <c r="AI861" s="49"/>
      <c r="AJ861" s="49"/>
      <c r="AK861" s="49"/>
      <c r="AL861" s="49"/>
      <c r="AM861" s="49"/>
      <c r="AN861" s="49"/>
      <c r="AO861" s="51" t="str">
        <f t="shared" si="49"/>
        <v>経費予算申請額・申請枠</v>
      </c>
      <c r="AP861" s="51" t="str">
        <f t="shared" si="50"/>
        <v>AC8690</v>
      </c>
      <c r="AQ861" s="51" t="s">
        <v>3209</v>
      </c>
      <c r="AR861" s="51" t="s">
        <v>3210</v>
      </c>
      <c r="AS861" s="49" t="str">
        <f t="shared" si="51"/>
        <v/>
      </c>
      <c r="AT861" s="49" t="str">
        <f t="shared" si="52"/>
        <v/>
      </c>
      <c r="AU861" s="49"/>
      <c r="AV861" s="49"/>
    </row>
    <row r="862" spans="1:48" ht="18" customHeight="1">
      <c r="A862" s="44">
        <v>860</v>
      </c>
      <c r="B862" s="52" t="s">
        <v>2702</v>
      </c>
      <c r="C862" s="80" t="s">
        <v>3192</v>
      </c>
      <c r="D862" s="46" t="s">
        <v>72</v>
      </c>
      <c r="E862" s="44" t="s">
        <v>3210</v>
      </c>
      <c r="F862" s="44" t="s">
        <v>3240</v>
      </c>
      <c r="G862" s="44"/>
      <c r="H862" s="44"/>
      <c r="I862" s="44"/>
      <c r="J862" s="47" t="s">
        <v>35</v>
      </c>
      <c r="K862" s="47"/>
      <c r="L862" s="47"/>
      <c r="M862" s="47"/>
      <c r="N862" s="47"/>
      <c r="O862" s="44"/>
      <c r="P862" s="44"/>
      <c r="Q862" s="48">
        <f>VLOOKUP(E862,sheet1!$B$2:$D$3209,3,FALSE)</f>
        <v>162</v>
      </c>
      <c r="R862" s="47" t="s">
        <v>35</v>
      </c>
      <c r="S862" s="47" t="s">
        <v>35</v>
      </c>
      <c r="T862" s="47"/>
      <c r="U862" s="47" t="s">
        <v>296</v>
      </c>
      <c r="V862" s="47" t="s">
        <v>296</v>
      </c>
      <c r="W862" s="47" t="s">
        <v>296</v>
      </c>
      <c r="X862" s="47" t="s">
        <v>296</v>
      </c>
      <c r="Y862" s="47"/>
      <c r="Z862" s="47" t="s">
        <v>296</v>
      </c>
      <c r="AA862" s="47" t="s">
        <v>296</v>
      </c>
      <c r="AB862" s="47"/>
      <c r="AC862" s="47" t="s">
        <v>35</v>
      </c>
      <c r="AD862" s="75"/>
      <c r="AE862" s="49"/>
      <c r="AF862" s="56" t="s">
        <v>3241</v>
      </c>
      <c r="AG862" s="56"/>
      <c r="AH862" s="49" t="str">
        <f t="shared" si="53"/>
        <v>部門別損益部門ﾏｽﾀｰﾘｽﾄ</v>
      </c>
      <c r="AI862" s="49"/>
      <c r="AJ862" s="49"/>
      <c r="AK862" s="49"/>
      <c r="AL862" s="49"/>
      <c r="AM862" s="49"/>
      <c r="AN862" s="49"/>
      <c r="AO862" s="51" t="str">
        <f t="shared" si="49"/>
        <v>予算申請一覧</v>
      </c>
      <c r="AP862" s="51" t="str">
        <f t="shared" si="50"/>
        <v>AC8675</v>
      </c>
      <c r="AQ862" s="51" t="s">
        <v>3212</v>
      </c>
      <c r="AR862" s="51" t="s">
        <v>3213</v>
      </c>
      <c r="AS862" s="49" t="str">
        <f t="shared" si="51"/>
        <v/>
      </c>
      <c r="AT862" s="49" t="str">
        <f t="shared" si="52"/>
        <v/>
      </c>
      <c r="AU862" s="49"/>
      <c r="AV862" s="49"/>
    </row>
    <row r="863" spans="1:48" ht="18" customHeight="1">
      <c r="A863" s="44">
        <v>861</v>
      </c>
      <c r="B863" s="52" t="s">
        <v>2702</v>
      </c>
      <c r="C863" s="80" t="s">
        <v>3192</v>
      </c>
      <c r="D863" s="46" t="s">
        <v>72</v>
      </c>
      <c r="E863" s="44" t="s">
        <v>3213</v>
      </c>
      <c r="F863" s="44" t="s">
        <v>3242</v>
      </c>
      <c r="G863" s="44"/>
      <c r="H863" s="44"/>
      <c r="I863" s="44"/>
      <c r="J863" s="47" t="s">
        <v>35</v>
      </c>
      <c r="K863" s="47"/>
      <c r="L863" s="47"/>
      <c r="M863" s="47"/>
      <c r="N863" s="47"/>
      <c r="O863" s="44"/>
      <c r="P863" s="44"/>
      <c r="Q863" s="48">
        <f>VLOOKUP(E863,sheet1!$B$2:$D$3209,3,FALSE)</f>
        <v>174</v>
      </c>
      <c r="R863" s="47" t="s">
        <v>35</v>
      </c>
      <c r="S863" s="47" t="s">
        <v>35</v>
      </c>
      <c r="T863" s="47"/>
      <c r="U863" s="47" t="s">
        <v>35</v>
      </c>
      <c r="V863" s="47" t="s">
        <v>296</v>
      </c>
      <c r="W863" s="47" t="s">
        <v>35</v>
      </c>
      <c r="X863" s="47" t="s">
        <v>35</v>
      </c>
      <c r="Y863" s="47" t="s">
        <v>35</v>
      </c>
      <c r="Z863" s="47" t="s">
        <v>296</v>
      </c>
      <c r="AA863" s="47" t="s">
        <v>296</v>
      </c>
      <c r="AB863" s="47"/>
      <c r="AC863" s="47" t="s">
        <v>35</v>
      </c>
      <c r="AD863" s="75"/>
      <c r="AE863" s="49"/>
      <c r="AF863" s="56" t="s">
        <v>3243</v>
      </c>
      <c r="AG863" s="56"/>
      <c r="AH863" s="49" t="str">
        <f t="shared" si="53"/>
        <v>部門別損益帳票ﾏｽﾀｰﾒﾝﾃ</v>
      </c>
      <c r="AI863" s="49"/>
      <c r="AJ863" s="49"/>
      <c r="AK863" s="49"/>
      <c r="AL863" s="49"/>
      <c r="AM863" s="49"/>
      <c r="AN863" s="49"/>
      <c r="AO863" s="51" t="str">
        <f t="shared" si="49"/>
        <v>経費差異分析表計算</v>
      </c>
      <c r="AP863" s="51" t="str">
        <f t="shared" si="50"/>
        <v>AC8510I</v>
      </c>
      <c r="AQ863" s="51" t="s">
        <v>3215</v>
      </c>
      <c r="AR863" s="51" t="s">
        <v>3216</v>
      </c>
      <c r="AS863" s="49" t="str">
        <f t="shared" si="51"/>
        <v/>
      </c>
      <c r="AT863" s="49" t="str">
        <f t="shared" si="52"/>
        <v/>
      </c>
      <c r="AU863" s="49"/>
      <c r="AV863" s="49"/>
    </row>
    <row r="864" spans="1:48" ht="18" customHeight="1">
      <c r="A864" s="44">
        <v>862</v>
      </c>
      <c r="B864" s="52" t="s">
        <v>2702</v>
      </c>
      <c r="C864" s="75" t="s">
        <v>3244</v>
      </c>
      <c r="D864" s="46" t="s">
        <v>72</v>
      </c>
      <c r="E864" s="44" t="s">
        <v>3216</v>
      </c>
      <c r="F864" s="44" t="s">
        <v>3245</v>
      </c>
      <c r="G864" s="44"/>
      <c r="H864" s="44"/>
      <c r="I864" s="44"/>
      <c r="J864" s="47" t="s">
        <v>35</v>
      </c>
      <c r="K864" s="47"/>
      <c r="L864" s="47"/>
      <c r="M864" s="47"/>
      <c r="N864" s="47"/>
      <c r="O864" s="44"/>
      <c r="P864" s="44"/>
      <c r="Q864" s="48">
        <f>VLOOKUP(E864,sheet1!$B$2:$D$3209,3,FALSE)</f>
        <v>76</v>
      </c>
      <c r="R864" s="47" t="s">
        <v>35</v>
      </c>
      <c r="S864" s="47" t="s">
        <v>35</v>
      </c>
      <c r="T864" s="47"/>
      <c r="U864" s="47" t="s">
        <v>296</v>
      </c>
      <c r="V864" s="47" t="s">
        <v>296</v>
      </c>
      <c r="W864" s="47" t="s">
        <v>296</v>
      </c>
      <c r="X864" s="47" t="s">
        <v>296</v>
      </c>
      <c r="Y864" s="47"/>
      <c r="Z864" s="47" t="s">
        <v>296</v>
      </c>
      <c r="AA864" s="47" t="s">
        <v>296</v>
      </c>
      <c r="AB864" s="47"/>
      <c r="AC864" s="47" t="s">
        <v>35</v>
      </c>
      <c r="AD864" s="75"/>
      <c r="AE864" s="49"/>
      <c r="AF864" s="56" t="s">
        <v>3246</v>
      </c>
      <c r="AG864" s="56"/>
      <c r="AH864" s="49" t="str">
        <f t="shared" si="53"/>
        <v>部門別損益帳票ﾏｽﾀｰﾘｽﾄ</v>
      </c>
      <c r="AI864" s="49"/>
      <c r="AJ864" s="49"/>
      <c r="AK864" s="49"/>
      <c r="AL864" s="49"/>
      <c r="AM864" s="49"/>
      <c r="AN864" s="49"/>
      <c r="AO864" s="51" t="str">
        <f t="shared" si="49"/>
        <v>経費差異分析表印刷（単月）</v>
      </c>
      <c r="AP864" s="51" t="str">
        <f t="shared" si="50"/>
        <v>AC8515</v>
      </c>
      <c r="AQ864" s="51" t="s">
        <v>3218</v>
      </c>
      <c r="AR864" s="51" t="s">
        <v>3219</v>
      </c>
      <c r="AS864" s="49" t="str">
        <f t="shared" si="51"/>
        <v/>
      </c>
      <c r="AT864" s="49" t="str">
        <f t="shared" si="52"/>
        <v/>
      </c>
      <c r="AU864" s="49"/>
      <c r="AV864" s="49"/>
    </row>
    <row r="865" spans="1:48" ht="18" customHeight="1">
      <c r="A865" s="44">
        <v>863</v>
      </c>
      <c r="B865" s="52" t="s">
        <v>2702</v>
      </c>
      <c r="C865" s="80" t="s">
        <v>3244</v>
      </c>
      <c r="D865" s="46" t="s">
        <v>72</v>
      </c>
      <c r="E865" s="44" t="s">
        <v>3219</v>
      </c>
      <c r="F865" s="44" t="s">
        <v>3247</v>
      </c>
      <c r="G865" s="44"/>
      <c r="H865" s="44"/>
      <c r="I865" s="44"/>
      <c r="J865" s="47" t="s">
        <v>35</v>
      </c>
      <c r="K865" s="47"/>
      <c r="L865" s="47"/>
      <c r="M865" s="47"/>
      <c r="N865" s="47"/>
      <c r="O865" s="44"/>
      <c r="P865" s="44"/>
      <c r="Q865" s="48">
        <f>VLOOKUP(E865,sheet1!$B$2:$D$3209,3,FALSE)</f>
        <v>425</v>
      </c>
      <c r="R865" s="47" t="s">
        <v>35</v>
      </c>
      <c r="S865" s="47" t="s">
        <v>35</v>
      </c>
      <c r="T865" s="47"/>
      <c r="U865" s="47" t="s">
        <v>296</v>
      </c>
      <c r="V865" s="47" t="s">
        <v>296</v>
      </c>
      <c r="W865" s="47" t="s">
        <v>296</v>
      </c>
      <c r="X865" s="47" t="s">
        <v>296</v>
      </c>
      <c r="Y865" s="47"/>
      <c r="Z865" s="47" t="s">
        <v>296</v>
      </c>
      <c r="AA865" s="47" t="s">
        <v>296</v>
      </c>
      <c r="AB865" s="47"/>
      <c r="AC865" s="47" t="s">
        <v>35</v>
      </c>
      <c r="AD865" s="75"/>
      <c r="AE865" s="49"/>
      <c r="AF865" s="56" t="s">
        <v>3248</v>
      </c>
      <c r="AG865" s="56"/>
      <c r="AH865" s="49" t="str">
        <f t="shared" si="53"/>
        <v>部門別損益部門別部課ﾏｽﾀｰﾒﾝﾃ</v>
      </c>
      <c r="AI865" s="49"/>
      <c r="AJ865" s="49"/>
      <c r="AK865" s="49"/>
      <c r="AL865" s="49"/>
      <c r="AM865" s="49"/>
      <c r="AN865" s="49"/>
      <c r="AO865" s="51" t="str">
        <f t="shared" si="49"/>
        <v>経費差異分析表印刷（累計）</v>
      </c>
      <c r="AP865" s="51" t="str">
        <f t="shared" si="50"/>
        <v>AC8517</v>
      </c>
      <c r="AQ865" s="51" t="s">
        <v>3221</v>
      </c>
      <c r="AR865" s="51" t="s">
        <v>3222</v>
      </c>
      <c r="AS865" s="49" t="str">
        <f t="shared" si="51"/>
        <v/>
      </c>
      <c r="AT865" s="49" t="str">
        <f t="shared" si="52"/>
        <v/>
      </c>
      <c r="AU865" s="49"/>
      <c r="AV865" s="49"/>
    </row>
    <row r="866" spans="1:48" ht="18" customHeight="1">
      <c r="A866" s="44">
        <v>864</v>
      </c>
      <c r="B866" s="52" t="s">
        <v>2702</v>
      </c>
      <c r="C866" s="80" t="s">
        <v>3244</v>
      </c>
      <c r="D866" s="46" t="s">
        <v>72</v>
      </c>
      <c r="E866" s="44" t="s">
        <v>3222</v>
      </c>
      <c r="F866" s="44" t="s">
        <v>3249</v>
      </c>
      <c r="G866" s="44"/>
      <c r="H866" s="44"/>
      <c r="I866" s="44"/>
      <c r="J866" s="47" t="s">
        <v>35</v>
      </c>
      <c r="K866" s="47"/>
      <c r="L866" s="47"/>
      <c r="M866" s="47"/>
      <c r="N866" s="47"/>
      <c r="O866" s="44"/>
      <c r="P866" s="44"/>
      <c r="Q866" s="48">
        <f>VLOOKUP(E866,sheet1!$B$2:$D$3209,3,FALSE)</f>
        <v>420</v>
      </c>
      <c r="R866" s="47" t="s">
        <v>35</v>
      </c>
      <c r="S866" s="47" t="s">
        <v>35</v>
      </c>
      <c r="T866" s="47"/>
      <c r="U866" s="47" t="s">
        <v>296</v>
      </c>
      <c r="V866" s="47" t="s">
        <v>296</v>
      </c>
      <c r="W866" s="47" t="s">
        <v>296</v>
      </c>
      <c r="X866" s="47" t="s">
        <v>296</v>
      </c>
      <c r="Y866" s="47"/>
      <c r="Z866" s="47" t="s">
        <v>296</v>
      </c>
      <c r="AA866" s="47" t="s">
        <v>296</v>
      </c>
      <c r="AB866" s="47"/>
      <c r="AC866" s="47" t="s">
        <v>35</v>
      </c>
      <c r="AD866" s="75"/>
      <c r="AE866" s="49"/>
      <c r="AF866" s="56" t="s">
        <v>3250</v>
      </c>
      <c r="AG866" s="56"/>
      <c r="AH866" s="49" t="str">
        <f t="shared" si="53"/>
        <v>部門別損益部門別部課ﾏｽﾀｰﾘｽﾄ</v>
      </c>
      <c r="AI866" s="49"/>
      <c r="AJ866" s="49"/>
      <c r="AK866" s="49"/>
      <c r="AL866" s="49"/>
      <c r="AM866" s="49"/>
      <c r="AN866" s="49"/>
      <c r="AO866" s="51" t="str">
        <f t="shared" si="49"/>
        <v>経費明細表作成システム</v>
      </c>
      <c r="AP866" s="51" t="str">
        <f t="shared" si="50"/>
        <v>AC1410C</v>
      </c>
      <c r="AQ866" s="51" t="s">
        <v>3224</v>
      </c>
      <c r="AR866" s="51" t="s">
        <v>3225</v>
      </c>
      <c r="AS866" s="49" t="str">
        <f t="shared" si="51"/>
        <v/>
      </c>
      <c r="AT866" s="49" t="str">
        <f t="shared" si="52"/>
        <v/>
      </c>
      <c r="AU866" s="49"/>
      <c r="AV866" s="49"/>
    </row>
    <row r="867" spans="1:48" ht="18" customHeight="1">
      <c r="A867" s="44">
        <v>865</v>
      </c>
      <c r="B867" s="52" t="s">
        <v>2702</v>
      </c>
      <c r="C867" s="80" t="s">
        <v>3244</v>
      </c>
      <c r="D867" s="46" t="s">
        <v>72</v>
      </c>
      <c r="E867" s="44" t="s">
        <v>3225</v>
      </c>
      <c r="F867" s="44" t="s">
        <v>3251</v>
      </c>
      <c r="G867" s="44"/>
      <c r="H867" s="44"/>
      <c r="I867" s="44"/>
      <c r="J867" s="47" t="s">
        <v>35</v>
      </c>
      <c r="K867" s="47"/>
      <c r="L867" s="47"/>
      <c r="M867" s="47"/>
      <c r="N867" s="47"/>
      <c r="O867" s="44"/>
      <c r="P867" s="44"/>
      <c r="Q867" s="48">
        <f>VLOOKUP(E867,sheet1!$B$2:$D$3209,3,FALSE)</f>
        <v>38</v>
      </c>
      <c r="R867" s="47" t="s">
        <v>35</v>
      </c>
      <c r="S867" s="47" t="s">
        <v>35</v>
      </c>
      <c r="T867" s="47"/>
      <c r="U867" s="47" t="s">
        <v>296</v>
      </c>
      <c r="V867" s="47" t="s">
        <v>296</v>
      </c>
      <c r="W867" s="47" t="s">
        <v>296</v>
      </c>
      <c r="X867" s="47" t="s">
        <v>296</v>
      </c>
      <c r="Y867" s="47"/>
      <c r="Z867" s="47" t="s">
        <v>296</v>
      </c>
      <c r="AA867" s="47" t="s">
        <v>296</v>
      </c>
      <c r="AB867" s="47"/>
      <c r="AC867" s="47" t="s">
        <v>35</v>
      </c>
      <c r="AD867" s="75"/>
      <c r="AE867" s="49"/>
      <c r="AF867" s="56" t="s">
        <v>3252</v>
      </c>
      <c r="AG867" s="56" t="s">
        <v>3253</v>
      </c>
      <c r="AH867" s="49" t="str">
        <f t="shared" si="53"/>
        <v>部門別損益計算書データ入力</v>
      </c>
      <c r="AI867" s="49"/>
      <c r="AJ867" s="49"/>
      <c r="AK867" s="49"/>
      <c r="AL867" s="49"/>
      <c r="AM867" s="49"/>
      <c r="AN867" s="49"/>
      <c r="AO867" s="51" t="str">
        <f t="shared" si="49"/>
        <v>経費実績推移表</v>
      </c>
      <c r="AP867" s="51" t="str">
        <f t="shared" si="50"/>
        <v>AC1439</v>
      </c>
      <c r="AQ867" s="51" t="s">
        <v>3227</v>
      </c>
      <c r="AR867" s="51" t="s">
        <v>3228</v>
      </c>
      <c r="AS867" s="49" t="str">
        <f t="shared" si="51"/>
        <v/>
      </c>
      <c r="AT867" s="49" t="str">
        <f t="shared" si="52"/>
        <v/>
      </c>
      <c r="AU867" s="49"/>
      <c r="AV867" s="49"/>
    </row>
    <row r="868" spans="1:48" ht="18" customHeight="1">
      <c r="A868" s="44">
        <v>866</v>
      </c>
      <c r="B868" s="52" t="s">
        <v>2702</v>
      </c>
      <c r="C868" s="80" t="s">
        <v>3244</v>
      </c>
      <c r="D868" s="46" t="s">
        <v>72</v>
      </c>
      <c r="E868" s="44" t="s">
        <v>3228</v>
      </c>
      <c r="F868" s="44" t="s">
        <v>3254</v>
      </c>
      <c r="G868" s="44"/>
      <c r="H868" s="44"/>
      <c r="I868" s="44"/>
      <c r="J868" s="47" t="s">
        <v>35</v>
      </c>
      <c r="K868" s="47"/>
      <c r="L868" s="47"/>
      <c r="M868" s="47"/>
      <c r="N868" s="47"/>
      <c r="O868" s="44"/>
      <c r="P868" s="44"/>
      <c r="Q868" s="48" t="e">
        <f>VLOOKUP(E868,sheet1!$B$2:$D$3209,3,FALSE)</f>
        <v>#N/A</v>
      </c>
      <c r="R868" s="47" t="s">
        <v>35</v>
      </c>
      <c r="S868" s="47" t="s">
        <v>35</v>
      </c>
      <c r="T868" s="47"/>
      <c r="U868" s="47" t="s">
        <v>296</v>
      </c>
      <c r="V868" s="47" t="s">
        <v>296</v>
      </c>
      <c r="W868" s="47" t="s">
        <v>296</v>
      </c>
      <c r="X868" s="47" t="s">
        <v>296</v>
      </c>
      <c r="Y868" s="47"/>
      <c r="Z868" s="47" t="s">
        <v>296</v>
      </c>
      <c r="AA868" s="47" t="s">
        <v>296</v>
      </c>
      <c r="AB868" s="47"/>
      <c r="AC868" s="47" t="s">
        <v>35</v>
      </c>
      <c r="AD868" s="75"/>
      <c r="AE868" s="49"/>
      <c r="AF868" s="56" t="s">
        <v>3255</v>
      </c>
      <c r="AG868" s="56"/>
      <c r="AH868" s="49" t="str">
        <f t="shared" si="53"/>
        <v>部門別損益計算書データ作成</v>
      </c>
      <c r="AI868" s="49"/>
      <c r="AJ868" s="49"/>
      <c r="AK868" s="49"/>
      <c r="AL868" s="49"/>
      <c r="AM868" s="49"/>
      <c r="AN868" s="49"/>
      <c r="AO868" s="51" t="str">
        <f t="shared" si="49"/>
        <v>経費明細書（部門長別）</v>
      </c>
      <c r="AP868" s="51" t="str">
        <f t="shared" si="50"/>
        <v>AC1417A</v>
      </c>
      <c r="AQ868" s="51" t="s">
        <v>3230</v>
      </c>
      <c r="AR868" s="51" t="s">
        <v>3231</v>
      </c>
      <c r="AS868" s="49" t="str">
        <f t="shared" si="51"/>
        <v/>
      </c>
      <c r="AT868" s="49" t="str">
        <f t="shared" si="52"/>
        <v/>
      </c>
      <c r="AU868" s="49"/>
      <c r="AV868" s="49"/>
    </row>
    <row r="869" spans="1:48" ht="18" customHeight="1">
      <c r="A869" s="44">
        <v>867</v>
      </c>
      <c r="B869" s="52" t="s">
        <v>2702</v>
      </c>
      <c r="C869" s="80" t="s">
        <v>3244</v>
      </c>
      <c r="D869" s="46" t="s">
        <v>72</v>
      </c>
      <c r="E869" s="44" t="s">
        <v>3231</v>
      </c>
      <c r="F869" s="44" t="s">
        <v>3256</v>
      </c>
      <c r="G869" s="44"/>
      <c r="H869" s="44"/>
      <c r="I869" s="44"/>
      <c r="J869" s="47" t="s">
        <v>35</v>
      </c>
      <c r="K869" s="47"/>
      <c r="L869" s="47"/>
      <c r="M869" s="47"/>
      <c r="N869" s="47"/>
      <c r="O869" s="44"/>
      <c r="P869" s="44"/>
      <c r="Q869" s="48">
        <f>VLOOKUP(E869,sheet1!$B$2:$D$3209,3,FALSE)</f>
        <v>247</v>
      </c>
      <c r="R869" s="47" t="s">
        <v>35</v>
      </c>
      <c r="S869" s="47" t="s">
        <v>35</v>
      </c>
      <c r="T869" s="47"/>
      <c r="U869" s="47" t="s">
        <v>35</v>
      </c>
      <c r="V869" s="47" t="s">
        <v>35</v>
      </c>
      <c r="W869" s="47" t="s">
        <v>35</v>
      </c>
      <c r="X869" s="47" t="s">
        <v>35</v>
      </c>
      <c r="Y869" s="47" t="s">
        <v>35</v>
      </c>
      <c r="Z869" s="47" t="s">
        <v>35</v>
      </c>
      <c r="AA869" s="47" t="s">
        <v>296</v>
      </c>
      <c r="AB869" s="47"/>
      <c r="AC869" s="47" t="s">
        <v>35</v>
      </c>
      <c r="AD869" s="75"/>
      <c r="AE869" s="49"/>
      <c r="AF869" s="56" t="s">
        <v>3257</v>
      </c>
      <c r="AG869" s="56" t="s">
        <v>3258</v>
      </c>
      <c r="AH869" s="49" t="str">
        <f t="shared" si="53"/>
        <v>部門別損益計算書データ出力</v>
      </c>
      <c r="AI869" s="49"/>
      <c r="AJ869" s="49"/>
      <c r="AK869" s="49"/>
      <c r="AL869" s="49"/>
      <c r="AM869" s="49"/>
      <c r="AN869" s="49"/>
      <c r="AO869" s="51" t="str">
        <f t="shared" si="49"/>
        <v>経費明細書部門長配布ﾃﾞｰﾀﾏｽﾀｰﾒﾝﾃﾅﾝｽ</v>
      </c>
      <c r="AP869" s="51" t="str">
        <f t="shared" si="50"/>
        <v>AC1416</v>
      </c>
      <c r="AQ869" s="51" t="s">
        <v>3233</v>
      </c>
      <c r="AR869" s="51" t="s">
        <v>3234</v>
      </c>
      <c r="AS869" s="49" t="str">
        <f t="shared" si="51"/>
        <v/>
      </c>
      <c r="AT869" s="49" t="str">
        <f t="shared" si="52"/>
        <v/>
      </c>
      <c r="AU869" s="49"/>
      <c r="AV869" s="49"/>
    </row>
    <row r="870" spans="1:48" ht="18" customHeight="1">
      <c r="A870" s="44">
        <v>868</v>
      </c>
      <c r="B870" s="52" t="s">
        <v>2702</v>
      </c>
      <c r="C870" s="80" t="s">
        <v>3244</v>
      </c>
      <c r="D870" s="46" t="s">
        <v>72</v>
      </c>
      <c r="E870" s="44" t="s">
        <v>3234</v>
      </c>
      <c r="F870" s="44" t="s">
        <v>3259</v>
      </c>
      <c r="G870" s="44"/>
      <c r="H870" s="44"/>
      <c r="I870" s="44"/>
      <c r="J870" s="47" t="s">
        <v>35</v>
      </c>
      <c r="K870" s="47"/>
      <c r="L870" s="47"/>
      <c r="M870" s="47"/>
      <c r="N870" s="47"/>
      <c r="O870" s="44"/>
      <c r="P870" s="44"/>
      <c r="Q870" s="48">
        <f>VLOOKUP(E870,sheet1!$B$2:$D$3209,3,FALSE)</f>
        <v>488</v>
      </c>
      <c r="R870" s="47" t="s">
        <v>35</v>
      </c>
      <c r="S870" s="47" t="s">
        <v>35</v>
      </c>
      <c r="T870" s="47"/>
      <c r="U870" s="47" t="s">
        <v>296</v>
      </c>
      <c r="V870" s="47" t="s">
        <v>296</v>
      </c>
      <c r="W870" s="47" t="s">
        <v>296</v>
      </c>
      <c r="X870" s="47" t="s">
        <v>296</v>
      </c>
      <c r="Y870" s="47"/>
      <c r="Z870" s="47" t="s">
        <v>296</v>
      </c>
      <c r="AA870" s="47" t="s">
        <v>296</v>
      </c>
      <c r="AB870" s="47"/>
      <c r="AC870" s="47" t="s">
        <v>35</v>
      </c>
      <c r="AD870" s="75"/>
      <c r="AE870" s="49"/>
      <c r="AF870" s="56" t="s">
        <v>3260</v>
      </c>
      <c r="AG870" s="56"/>
      <c r="AH870" s="49" t="str">
        <f t="shared" si="53"/>
        <v>部門別損益　棚卸廃却リスト</v>
      </c>
      <c r="AI870" s="49"/>
      <c r="AJ870" s="49"/>
      <c r="AK870" s="49"/>
      <c r="AL870" s="49"/>
      <c r="AM870" s="49"/>
      <c r="AN870" s="49"/>
      <c r="AO870" s="51" t="str">
        <f t="shared" si="49"/>
        <v>経費予算・実績対比／分析ｼｰﾄ</v>
      </c>
      <c r="AP870" s="51" t="str">
        <f t="shared" si="50"/>
        <v>AC8685</v>
      </c>
      <c r="AQ870" s="51" t="s">
        <v>3236</v>
      </c>
      <c r="AR870" s="51" t="s">
        <v>3237</v>
      </c>
      <c r="AS870" s="49" t="str">
        <f t="shared" si="51"/>
        <v/>
      </c>
      <c r="AT870" s="49" t="str">
        <f t="shared" si="52"/>
        <v/>
      </c>
      <c r="AU870" s="49"/>
      <c r="AV870" s="49"/>
    </row>
    <row r="871" spans="1:48" ht="18" customHeight="1">
      <c r="A871" s="44">
        <v>869</v>
      </c>
      <c r="B871" s="52" t="s">
        <v>2702</v>
      </c>
      <c r="C871" s="80" t="s">
        <v>3244</v>
      </c>
      <c r="D871" s="46" t="s">
        <v>72</v>
      </c>
      <c r="E871" s="44" t="s">
        <v>3237</v>
      </c>
      <c r="F871" s="44" t="s">
        <v>3261</v>
      </c>
      <c r="G871" s="44"/>
      <c r="H871" s="44"/>
      <c r="I871" s="44"/>
      <c r="J871" s="47" t="s">
        <v>35</v>
      </c>
      <c r="K871" s="47"/>
      <c r="L871" s="47"/>
      <c r="M871" s="47"/>
      <c r="N871" s="47"/>
      <c r="O871" s="44"/>
      <c r="P871" s="44"/>
      <c r="Q871" s="48">
        <f>VLOOKUP(E871,sheet1!$B$2:$D$3209,3,FALSE)</f>
        <v>207</v>
      </c>
      <c r="R871" s="47" t="s">
        <v>35</v>
      </c>
      <c r="S871" s="47" t="s">
        <v>35</v>
      </c>
      <c r="T871" s="47"/>
      <c r="U871" s="47" t="s">
        <v>296</v>
      </c>
      <c r="V871" s="47" t="s">
        <v>296</v>
      </c>
      <c r="W871" s="47" t="s">
        <v>296</v>
      </c>
      <c r="X871" s="47" t="s">
        <v>296</v>
      </c>
      <c r="Y871" s="47"/>
      <c r="Z871" s="47" t="s">
        <v>296</v>
      </c>
      <c r="AA871" s="47" t="s">
        <v>296</v>
      </c>
      <c r="AB871" s="47"/>
      <c r="AC871" s="47" t="s">
        <v>35</v>
      </c>
      <c r="AD871" s="75"/>
      <c r="AE871" s="49"/>
      <c r="AF871" s="56" t="s">
        <v>3262</v>
      </c>
      <c r="AG871" s="37"/>
      <c r="AH871" s="49" t="str">
        <f t="shared" si="53"/>
        <v>ＪＴＳ売上原価集計表</v>
      </c>
      <c r="AI871" s="49"/>
      <c r="AJ871" s="49"/>
      <c r="AK871" s="49"/>
      <c r="AL871" s="49"/>
      <c r="AM871" s="49"/>
      <c r="AN871" s="49"/>
      <c r="AO871" s="51" t="str">
        <f t="shared" si="49"/>
        <v>部門別損益部門ﾏｽﾀｰﾒﾝﾃ</v>
      </c>
      <c r="AP871" s="51" t="str">
        <f t="shared" si="50"/>
        <v/>
      </c>
      <c r="AQ871" s="49" t="s">
        <v>3239</v>
      </c>
      <c r="AR871" s="49"/>
      <c r="AS871" s="49" t="str">
        <f t="shared" si="51"/>
        <v/>
      </c>
      <c r="AT871" s="49" t="str">
        <f t="shared" si="52"/>
        <v/>
      </c>
      <c r="AU871" s="49"/>
      <c r="AV871" s="49"/>
    </row>
    <row r="872" spans="1:48" ht="18" customHeight="1">
      <c r="A872" s="44">
        <v>870</v>
      </c>
      <c r="B872" s="52" t="s">
        <v>2702</v>
      </c>
      <c r="C872" s="75" t="s">
        <v>3263</v>
      </c>
      <c r="D872" s="46" t="s">
        <v>72</v>
      </c>
      <c r="E872" s="44"/>
      <c r="F872" s="44" t="s">
        <v>3264</v>
      </c>
      <c r="G872" s="44"/>
      <c r="H872" s="44"/>
      <c r="I872" s="44"/>
      <c r="J872" s="47" t="s">
        <v>35</v>
      </c>
      <c r="K872" s="47"/>
      <c r="L872" s="47"/>
      <c r="M872" s="47"/>
      <c r="N872" s="47"/>
      <c r="O872" s="44"/>
      <c r="P872" s="44"/>
      <c r="Q872" s="48" t="e">
        <f>VLOOKUP(E872,sheet1!$B$2:$D$3209,3,FALSE)</f>
        <v>#N/A</v>
      </c>
      <c r="R872" s="47" t="s">
        <v>35</v>
      </c>
      <c r="S872" s="47" t="s">
        <v>35</v>
      </c>
      <c r="T872" s="47"/>
      <c r="U872" s="47" t="s">
        <v>296</v>
      </c>
      <c r="V872" s="47" t="s">
        <v>296</v>
      </c>
      <c r="W872" s="47" t="s">
        <v>296</v>
      </c>
      <c r="X872" s="47" t="s">
        <v>296</v>
      </c>
      <c r="Y872" s="47"/>
      <c r="Z872" s="47" t="s">
        <v>296</v>
      </c>
      <c r="AA872" s="47" t="s">
        <v>296</v>
      </c>
      <c r="AB872" s="47"/>
      <c r="AC872" s="47" t="s">
        <v>35</v>
      </c>
      <c r="AD872" s="75"/>
      <c r="AE872" s="49"/>
      <c r="AF872" s="56" t="s">
        <v>3265</v>
      </c>
      <c r="AG872" s="56" t="s">
        <v>3266</v>
      </c>
      <c r="AH872" s="49" t="str">
        <f t="shared" si="53"/>
        <v>２０日締め未払データ作成</v>
      </c>
      <c r="AI872" s="49"/>
      <c r="AJ872" s="49"/>
      <c r="AK872" s="49"/>
      <c r="AL872" s="49"/>
      <c r="AM872" s="49"/>
      <c r="AN872" s="49"/>
      <c r="AO872" s="51" t="str">
        <f t="shared" si="49"/>
        <v>部門別損益部門ﾏｽﾀｰﾘｽﾄ</v>
      </c>
      <c r="AP872" s="51" t="str">
        <f t="shared" si="50"/>
        <v/>
      </c>
      <c r="AQ872" s="49" t="s">
        <v>3241</v>
      </c>
      <c r="AR872" s="49"/>
      <c r="AS872" s="49" t="str">
        <f t="shared" si="51"/>
        <v/>
      </c>
      <c r="AT872" s="49" t="str">
        <f t="shared" si="52"/>
        <v/>
      </c>
      <c r="AU872" s="49"/>
      <c r="AV872" s="49"/>
    </row>
    <row r="873" spans="1:48" ht="18" customHeight="1">
      <c r="A873" s="44">
        <v>871</v>
      </c>
      <c r="B873" s="52" t="s">
        <v>2702</v>
      </c>
      <c r="C873" s="80" t="s">
        <v>3263</v>
      </c>
      <c r="D873" s="46" t="s">
        <v>72</v>
      </c>
      <c r="E873" s="44"/>
      <c r="F873" s="44" t="s">
        <v>3267</v>
      </c>
      <c r="G873" s="44"/>
      <c r="H873" s="44"/>
      <c r="I873" s="44"/>
      <c r="J873" s="47" t="s">
        <v>35</v>
      </c>
      <c r="K873" s="47"/>
      <c r="L873" s="47"/>
      <c r="M873" s="47"/>
      <c r="N873" s="47"/>
      <c r="O873" s="44"/>
      <c r="P873" s="44"/>
      <c r="Q873" s="48" t="e">
        <f>VLOOKUP(E873,sheet1!$B$2:$D$3209,3,FALSE)</f>
        <v>#N/A</v>
      </c>
      <c r="R873" s="47" t="s">
        <v>35</v>
      </c>
      <c r="S873" s="47" t="s">
        <v>35</v>
      </c>
      <c r="T873" s="47"/>
      <c r="U873" s="47" t="s">
        <v>296</v>
      </c>
      <c r="V873" s="47" t="s">
        <v>296</v>
      </c>
      <c r="W873" s="47" t="s">
        <v>296</v>
      </c>
      <c r="X873" s="47" t="s">
        <v>296</v>
      </c>
      <c r="Y873" s="47"/>
      <c r="Z873" s="47" t="s">
        <v>296</v>
      </c>
      <c r="AA873" s="47" t="s">
        <v>296</v>
      </c>
      <c r="AB873" s="47"/>
      <c r="AC873" s="47" t="s">
        <v>35</v>
      </c>
      <c r="AD873" s="75"/>
      <c r="AE873" s="49"/>
      <c r="AF873" s="56" t="s">
        <v>3268</v>
      </c>
      <c r="AG873" s="56" t="s">
        <v>3269</v>
      </c>
      <c r="AH873" s="49" t="str">
        <f t="shared" si="53"/>
        <v>未払費用（振替伝票）入力</v>
      </c>
      <c r="AI873" s="49"/>
      <c r="AJ873" s="49"/>
      <c r="AK873" s="49"/>
      <c r="AL873" s="49"/>
      <c r="AM873" s="49"/>
      <c r="AN873" s="49"/>
      <c r="AO873" s="51" t="str">
        <f t="shared" si="49"/>
        <v>部門別損益帳票ﾏｽﾀｰﾒﾝﾃ</v>
      </c>
      <c r="AP873" s="51" t="str">
        <f t="shared" si="50"/>
        <v/>
      </c>
      <c r="AQ873" s="49" t="s">
        <v>3243</v>
      </c>
      <c r="AR873" s="49"/>
      <c r="AS873" s="49" t="str">
        <f t="shared" si="51"/>
        <v/>
      </c>
      <c r="AT873" s="49" t="str">
        <f t="shared" si="52"/>
        <v/>
      </c>
      <c r="AU873" s="49"/>
      <c r="AV873" s="49"/>
    </row>
    <row r="874" spans="1:48" ht="18" customHeight="1">
      <c r="A874" s="44">
        <v>872</v>
      </c>
      <c r="B874" s="52" t="s">
        <v>2702</v>
      </c>
      <c r="C874" s="80" t="s">
        <v>3263</v>
      </c>
      <c r="D874" s="46" t="s">
        <v>72</v>
      </c>
      <c r="E874" s="44"/>
      <c r="F874" s="44" t="s">
        <v>3270</v>
      </c>
      <c r="G874" s="44"/>
      <c r="H874" s="44"/>
      <c r="I874" s="44"/>
      <c r="J874" s="47" t="s">
        <v>35</v>
      </c>
      <c r="K874" s="47"/>
      <c r="L874" s="47"/>
      <c r="M874" s="47"/>
      <c r="N874" s="47"/>
      <c r="O874" s="44"/>
      <c r="P874" s="44"/>
      <c r="Q874" s="48" t="e">
        <f>VLOOKUP(E874,sheet1!$B$2:$D$3209,3,FALSE)</f>
        <v>#N/A</v>
      </c>
      <c r="R874" s="47" t="s">
        <v>35</v>
      </c>
      <c r="S874" s="47" t="s">
        <v>35</v>
      </c>
      <c r="T874" s="47"/>
      <c r="U874" s="47" t="s">
        <v>296</v>
      </c>
      <c r="V874" s="47" t="s">
        <v>296</v>
      </c>
      <c r="W874" s="47" t="s">
        <v>296</v>
      </c>
      <c r="X874" s="47" t="s">
        <v>296</v>
      </c>
      <c r="Y874" s="47"/>
      <c r="Z874" s="47" t="s">
        <v>296</v>
      </c>
      <c r="AA874" s="47" t="s">
        <v>296</v>
      </c>
      <c r="AB874" s="47"/>
      <c r="AC874" s="47" t="s">
        <v>35</v>
      </c>
      <c r="AD874" s="75"/>
      <c r="AE874" s="49"/>
      <c r="AF874" s="56" t="s">
        <v>3271</v>
      </c>
      <c r="AG874" s="56" t="s">
        <v>3272</v>
      </c>
      <c r="AH874" s="49" t="str">
        <f t="shared" si="53"/>
        <v>未払費用支払管理表</v>
      </c>
      <c r="AI874" s="49"/>
      <c r="AJ874" s="49"/>
      <c r="AK874" s="49"/>
      <c r="AL874" s="49"/>
      <c r="AM874" s="49"/>
      <c r="AN874" s="49"/>
      <c r="AO874" s="51" t="str">
        <f t="shared" si="49"/>
        <v>部門別損益帳票ﾏｽﾀｰﾘｽﾄ</v>
      </c>
      <c r="AP874" s="51" t="str">
        <f t="shared" si="50"/>
        <v/>
      </c>
      <c r="AQ874" s="49" t="s">
        <v>3246</v>
      </c>
      <c r="AR874" s="49"/>
      <c r="AS874" s="49" t="str">
        <f t="shared" si="51"/>
        <v/>
      </c>
      <c r="AT874" s="49" t="str">
        <f t="shared" si="52"/>
        <v/>
      </c>
      <c r="AU874" s="49"/>
      <c r="AV874" s="49"/>
    </row>
    <row r="875" spans="1:48" ht="18" customHeight="1">
      <c r="A875" s="44">
        <v>873</v>
      </c>
      <c r="B875" s="52" t="s">
        <v>2702</v>
      </c>
      <c r="C875" s="80" t="s">
        <v>3263</v>
      </c>
      <c r="D875" s="46" t="s">
        <v>72</v>
      </c>
      <c r="E875" s="44"/>
      <c r="F875" s="44" t="s">
        <v>3273</v>
      </c>
      <c r="G875" s="44"/>
      <c r="H875" s="44"/>
      <c r="I875" s="44"/>
      <c r="J875" s="47" t="s">
        <v>35</v>
      </c>
      <c r="K875" s="47"/>
      <c r="L875" s="47"/>
      <c r="M875" s="47"/>
      <c r="N875" s="47"/>
      <c r="O875" s="44"/>
      <c r="P875" s="44"/>
      <c r="Q875" s="48" t="e">
        <f>VLOOKUP(E875,sheet1!$B$2:$D$3209,3,FALSE)</f>
        <v>#N/A</v>
      </c>
      <c r="R875" s="47" t="s">
        <v>35</v>
      </c>
      <c r="S875" s="47" t="s">
        <v>35</v>
      </c>
      <c r="T875" s="47"/>
      <c r="U875" s="47" t="s">
        <v>296</v>
      </c>
      <c r="V875" s="47" t="s">
        <v>296</v>
      </c>
      <c r="W875" s="47" t="s">
        <v>296</v>
      </c>
      <c r="X875" s="47" t="s">
        <v>296</v>
      </c>
      <c r="Y875" s="47"/>
      <c r="Z875" s="47" t="s">
        <v>296</v>
      </c>
      <c r="AA875" s="47" t="s">
        <v>296</v>
      </c>
      <c r="AB875" s="47"/>
      <c r="AC875" s="47" t="s">
        <v>35</v>
      </c>
      <c r="AD875" s="75"/>
      <c r="AE875" s="49"/>
      <c r="AF875" s="56" t="s">
        <v>3274</v>
      </c>
      <c r="AG875" s="56" t="s">
        <v>3275</v>
      </c>
      <c r="AH875" s="49" t="str">
        <f t="shared" si="53"/>
        <v>部課別未払費用経費一覧表</v>
      </c>
      <c r="AI875" s="49"/>
      <c r="AJ875" s="49"/>
      <c r="AK875" s="49"/>
      <c r="AL875" s="49"/>
      <c r="AM875" s="49"/>
      <c r="AN875" s="49"/>
      <c r="AO875" s="51" t="str">
        <f t="shared" si="49"/>
        <v>部門別損益部門別部課ﾏｽﾀｰﾒﾝﾃ</v>
      </c>
      <c r="AP875" s="51" t="str">
        <f t="shared" si="50"/>
        <v/>
      </c>
      <c r="AQ875" s="49" t="s">
        <v>3248</v>
      </c>
      <c r="AR875" s="49"/>
      <c r="AS875" s="49" t="str">
        <f t="shared" si="51"/>
        <v/>
      </c>
      <c r="AT875" s="49" t="str">
        <f t="shared" si="52"/>
        <v/>
      </c>
      <c r="AU875" s="49"/>
      <c r="AV875" s="49"/>
    </row>
    <row r="876" spans="1:48" ht="18" customHeight="1">
      <c r="A876" s="44">
        <v>874</v>
      </c>
      <c r="B876" s="52" t="s">
        <v>2702</v>
      </c>
      <c r="C876" s="80" t="s">
        <v>3263</v>
      </c>
      <c r="D876" s="46" t="s">
        <v>72</v>
      </c>
      <c r="E876" s="44"/>
      <c r="F876" s="44" t="s">
        <v>3276</v>
      </c>
      <c r="G876" s="44"/>
      <c r="H876" s="44"/>
      <c r="I876" s="44"/>
      <c r="J876" s="47" t="s">
        <v>35</v>
      </c>
      <c r="K876" s="47"/>
      <c r="L876" s="47"/>
      <c r="M876" s="47"/>
      <c r="N876" s="47"/>
      <c r="O876" s="44"/>
      <c r="P876" s="44"/>
      <c r="Q876" s="48" t="e">
        <f>VLOOKUP(E876,sheet1!$B$2:$D$3209,3,FALSE)</f>
        <v>#N/A</v>
      </c>
      <c r="R876" s="47" t="s">
        <v>35</v>
      </c>
      <c r="S876" s="47" t="s">
        <v>35</v>
      </c>
      <c r="T876" s="47"/>
      <c r="U876" s="47" t="s">
        <v>296</v>
      </c>
      <c r="V876" s="47" t="s">
        <v>296</v>
      </c>
      <c r="W876" s="47" t="s">
        <v>296</v>
      </c>
      <c r="X876" s="47" t="s">
        <v>296</v>
      </c>
      <c r="Y876" s="47"/>
      <c r="Z876" s="47" t="s">
        <v>296</v>
      </c>
      <c r="AA876" s="47" t="s">
        <v>296</v>
      </c>
      <c r="AB876" s="47"/>
      <c r="AC876" s="47" t="s">
        <v>35</v>
      </c>
      <c r="AD876" s="75"/>
      <c r="AE876" s="49"/>
      <c r="AF876" s="56" t="s">
        <v>3277</v>
      </c>
      <c r="AG876" s="56" t="s">
        <v>3278</v>
      </c>
      <c r="AH876" s="49" t="str">
        <f t="shared" si="53"/>
        <v>経費データ作成（未払費用）</v>
      </c>
      <c r="AI876" s="49"/>
      <c r="AJ876" s="49"/>
      <c r="AK876" s="49"/>
      <c r="AL876" s="49"/>
      <c r="AM876" s="49"/>
      <c r="AN876" s="49"/>
      <c r="AO876" s="51" t="str">
        <f t="shared" si="49"/>
        <v>部門別損益部門別部課ﾏｽﾀｰﾘｽﾄ</v>
      </c>
      <c r="AP876" s="51" t="str">
        <f t="shared" si="50"/>
        <v/>
      </c>
      <c r="AQ876" s="49" t="s">
        <v>3250</v>
      </c>
      <c r="AR876" s="49"/>
      <c r="AS876" s="49" t="str">
        <f t="shared" si="51"/>
        <v/>
      </c>
      <c r="AT876" s="49" t="str">
        <f t="shared" si="52"/>
        <v/>
      </c>
      <c r="AU876" s="49"/>
      <c r="AV876" s="49"/>
    </row>
    <row r="877" spans="1:48" ht="18" customHeight="1">
      <c r="A877" s="44">
        <v>875</v>
      </c>
      <c r="B877" s="52" t="s">
        <v>2702</v>
      </c>
      <c r="C877" s="80" t="s">
        <v>3263</v>
      </c>
      <c r="D877" s="46" t="s">
        <v>72</v>
      </c>
      <c r="E877" s="44"/>
      <c r="F877" s="44" t="s">
        <v>3279</v>
      </c>
      <c r="G877" s="44"/>
      <c r="H877" s="44"/>
      <c r="I877" s="44"/>
      <c r="J877" s="47" t="s">
        <v>35</v>
      </c>
      <c r="K877" s="47"/>
      <c r="L877" s="47"/>
      <c r="M877" s="47"/>
      <c r="N877" s="47"/>
      <c r="O877" s="44"/>
      <c r="P877" s="44"/>
      <c r="Q877" s="48" t="e">
        <f>VLOOKUP(E877,sheet1!$B$2:$D$3209,3,FALSE)</f>
        <v>#N/A</v>
      </c>
      <c r="R877" s="47" t="s">
        <v>35</v>
      </c>
      <c r="S877" s="47" t="s">
        <v>35</v>
      </c>
      <c r="T877" s="47"/>
      <c r="U877" s="47" t="s">
        <v>296</v>
      </c>
      <c r="V877" s="47" t="s">
        <v>296</v>
      </c>
      <c r="W877" s="47" t="s">
        <v>296</v>
      </c>
      <c r="X877" s="47" t="s">
        <v>296</v>
      </c>
      <c r="Y877" s="47"/>
      <c r="Z877" s="47" t="s">
        <v>296</v>
      </c>
      <c r="AA877" s="47" t="s">
        <v>296</v>
      </c>
      <c r="AB877" s="47"/>
      <c r="AC877" s="47" t="s">
        <v>35</v>
      </c>
      <c r="AD877" s="75"/>
      <c r="AE877" s="49"/>
      <c r="AF877" s="56" t="s">
        <v>3280</v>
      </c>
      <c r="AG877" s="56" t="s">
        <v>3281</v>
      </c>
      <c r="AH877" s="49" t="str">
        <f t="shared" si="53"/>
        <v>支払データ作成（未払費用）</v>
      </c>
      <c r="AI877" s="49"/>
      <c r="AJ877" s="49"/>
      <c r="AK877" s="49"/>
      <c r="AL877" s="49"/>
      <c r="AM877" s="49"/>
      <c r="AN877" s="49"/>
      <c r="AO877" s="51" t="str">
        <f t="shared" si="49"/>
        <v>部門別損益計算書データ入力</v>
      </c>
      <c r="AP877" s="51" t="str">
        <f t="shared" si="50"/>
        <v>ZM3020</v>
      </c>
      <c r="AQ877" s="49" t="s">
        <v>3252</v>
      </c>
      <c r="AR877" s="49" t="s">
        <v>3253</v>
      </c>
      <c r="AS877" s="49" t="str">
        <f t="shared" si="51"/>
        <v/>
      </c>
      <c r="AT877" s="49" t="str">
        <f t="shared" si="52"/>
        <v/>
      </c>
      <c r="AU877" s="49"/>
      <c r="AV877" s="49"/>
    </row>
    <row r="878" spans="1:48" ht="18" customHeight="1">
      <c r="A878" s="44">
        <v>876</v>
      </c>
      <c r="B878" s="52" t="s">
        <v>2702</v>
      </c>
      <c r="C878" s="80" t="s">
        <v>3263</v>
      </c>
      <c r="D878" s="46" t="s">
        <v>72</v>
      </c>
      <c r="E878" s="44" t="s">
        <v>3253</v>
      </c>
      <c r="F878" s="44" t="s">
        <v>3282</v>
      </c>
      <c r="G878" s="44"/>
      <c r="H878" s="44"/>
      <c r="I878" s="44"/>
      <c r="J878" s="47" t="s">
        <v>35</v>
      </c>
      <c r="K878" s="47"/>
      <c r="L878" s="47"/>
      <c r="M878" s="47"/>
      <c r="N878" s="47"/>
      <c r="O878" s="44"/>
      <c r="P878" s="44"/>
      <c r="Q878" s="48">
        <f>VLOOKUP(E878,sheet1!$B$2:$D$3209,3,FALSE)</f>
        <v>1118</v>
      </c>
      <c r="R878" s="47" t="s">
        <v>35</v>
      </c>
      <c r="S878" s="47" t="s">
        <v>35</v>
      </c>
      <c r="T878" s="47"/>
      <c r="U878" s="47" t="s">
        <v>296</v>
      </c>
      <c r="V878" s="47" t="s">
        <v>296</v>
      </c>
      <c r="W878" s="47" t="s">
        <v>296</v>
      </c>
      <c r="X878" s="47" t="s">
        <v>296</v>
      </c>
      <c r="Y878" s="47"/>
      <c r="Z878" s="47" t="s">
        <v>296</v>
      </c>
      <c r="AA878" s="47" t="s">
        <v>296</v>
      </c>
      <c r="AB878" s="47"/>
      <c r="AC878" s="47" t="s">
        <v>35</v>
      </c>
      <c r="AD878" s="75"/>
      <c r="AE878" s="49"/>
      <c r="AF878" s="56" t="s">
        <v>3283</v>
      </c>
      <c r="AG878" s="56" t="s">
        <v>3284</v>
      </c>
      <c r="AH878" s="49" t="str">
        <f t="shared" si="53"/>
        <v>支払データ更新（未払費用）</v>
      </c>
      <c r="AI878" s="49"/>
      <c r="AJ878" s="49"/>
      <c r="AK878" s="49"/>
      <c r="AL878" s="49"/>
      <c r="AM878" s="49"/>
      <c r="AN878" s="49"/>
      <c r="AO878" s="51" t="str">
        <f t="shared" si="49"/>
        <v>部門別損益計算書データ作成</v>
      </c>
      <c r="AP878" s="51" t="str">
        <f t="shared" si="50"/>
        <v/>
      </c>
      <c r="AQ878" s="49" t="s">
        <v>3255</v>
      </c>
      <c r="AR878" s="49"/>
      <c r="AS878" s="49" t="str">
        <f t="shared" si="51"/>
        <v/>
      </c>
      <c r="AT878" s="49" t="str">
        <f t="shared" si="52"/>
        <v/>
      </c>
      <c r="AU878" s="49"/>
      <c r="AV878" s="49"/>
    </row>
    <row r="879" spans="1:48" ht="18" customHeight="1">
      <c r="A879" s="44">
        <v>877</v>
      </c>
      <c r="B879" s="52" t="s">
        <v>2702</v>
      </c>
      <c r="C879" s="80" t="s">
        <v>3263</v>
      </c>
      <c r="D879" s="46" t="s">
        <v>72</v>
      </c>
      <c r="E879" s="44"/>
      <c r="F879" s="44" t="s">
        <v>3285</v>
      </c>
      <c r="G879" s="44"/>
      <c r="H879" s="44"/>
      <c r="I879" s="44"/>
      <c r="J879" s="47" t="s">
        <v>35</v>
      </c>
      <c r="K879" s="47"/>
      <c r="L879" s="47"/>
      <c r="M879" s="47"/>
      <c r="N879" s="47"/>
      <c r="O879" s="44"/>
      <c r="P879" s="44"/>
      <c r="Q879" s="48" t="e">
        <f>VLOOKUP(E879,sheet1!$B$2:$D$3209,3,FALSE)</f>
        <v>#N/A</v>
      </c>
      <c r="R879" s="47" t="s">
        <v>35</v>
      </c>
      <c r="S879" s="47" t="s">
        <v>35</v>
      </c>
      <c r="T879" s="47"/>
      <c r="U879" s="47" t="s">
        <v>296</v>
      </c>
      <c r="V879" s="47" t="s">
        <v>296</v>
      </c>
      <c r="W879" s="47" t="s">
        <v>296</v>
      </c>
      <c r="X879" s="47" t="s">
        <v>296</v>
      </c>
      <c r="Y879" s="47"/>
      <c r="Z879" s="47" t="s">
        <v>296</v>
      </c>
      <c r="AA879" s="47" t="s">
        <v>296</v>
      </c>
      <c r="AB879" s="47"/>
      <c r="AC879" s="47" t="s">
        <v>35</v>
      </c>
      <c r="AD879" s="75"/>
      <c r="AE879" s="49"/>
      <c r="AF879" s="56" t="s">
        <v>3286</v>
      </c>
      <c r="AG879" s="56" t="s">
        <v>3287</v>
      </c>
      <c r="AH879" s="49" t="str">
        <f t="shared" si="53"/>
        <v>振替伝票　自動仕訳作成</v>
      </c>
      <c r="AI879" s="49"/>
      <c r="AJ879" s="49"/>
      <c r="AK879" s="49"/>
      <c r="AL879" s="49"/>
      <c r="AM879" s="49"/>
      <c r="AN879" s="49"/>
      <c r="AO879" s="51" t="str">
        <f t="shared" si="49"/>
        <v>部門別損益計算書データ出力</v>
      </c>
      <c r="AP879" s="51" t="str">
        <f t="shared" si="50"/>
        <v>ZM5040</v>
      </c>
      <c r="AQ879" s="49" t="s">
        <v>3257</v>
      </c>
      <c r="AR879" s="49" t="s">
        <v>3258</v>
      </c>
      <c r="AS879" s="49" t="str">
        <f t="shared" si="51"/>
        <v/>
      </c>
      <c r="AT879" s="49" t="str">
        <f t="shared" si="52"/>
        <v/>
      </c>
      <c r="AU879" s="49"/>
      <c r="AV879" s="49"/>
    </row>
    <row r="880" spans="1:48" ht="18" customHeight="1">
      <c r="A880" s="44">
        <v>878</v>
      </c>
      <c r="B880" s="52" t="s">
        <v>2702</v>
      </c>
      <c r="C880" s="80" t="s">
        <v>3263</v>
      </c>
      <c r="D880" s="46" t="s">
        <v>72</v>
      </c>
      <c r="E880" s="44" t="s">
        <v>3258</v>
      </c>
      <c r="F880" s="44" t="s">
        <v>3288</v>
      </c>
      <c r="G880" s="44"/>
      <c r="H880" s="44"/>
      <c r="I880" s="44"/>
      <c r="J880" s="47" t="s">
        <v>35</v>
      </c>
      <c r="K880" s="47"/>
      <c r="L880" s="47"/>
      <c r="M880" s="47"/>
      <c r="N880" s="47"/>
      <c r="O880" s="44"/>
      <c r="P880" s="44"/>
      <c r="Q880" s="48">
        <f>VLOOKUP(E880,sheet1!$B$2:$D$3209,3,FALSE)</f>
        <v>153</v>
      </c>
      <c r="R880" s="47" t="s">
        <v>35</v>
      </c>
      <c r="S880" s="47" t="s">
        <v>35</v>
      </c>
      <c r="T880" s="47"/>
      <c r="U880" s="47" t="s">
        <v>296</v>
      </c>
      <c r="V880" s="47" t="s">
        <v>296</v>
      </c>
      <c r="W880" s="47" t="s">
        <v>296</v>
      </c>
      <c r="X880" s="47" t="s">
        <v>296</v>
      </c>
      <c r="Y880" s="47"/>
      <c r="Z880" s="47" t="s">
        <v>296</v>
      </c>
      <c r="AA880" s="47" t="s">
        <v>296</v>
      </c>
      <c r="AB880" s="47"/>
      <c r="AC880" s="47" t="s">
        <v>35</v>
      </c>
      <c r="AD880" s="75"/>
      <c r="AE880" s="49"/>
      <c r="AF880" s="56" t="s">
        <v>3289</v>
      </c>
      <c r="AG880" s="56" t="s">
        <v>3290</v>
      </c>
      <c r="AH880" s="49" t="str">
        <f t="shared" si="53"/>
        <v>未払費用総合振込データ作成</v>
      </c>
      <c r="AI880" s="49"/>
      <c r="AJ880" s="49"/>
      <c r="AK880" s="49"/>
      <c r="AL880" s="49"/>
      <c r="AM880" s="49"/>
      <c r="AN880" s="49"/>
      <c r="AO880" s="51" t="str">
        <f t="shared" si="49"/>
        <v>部門別損益　棚卸廃却リスト</v>
      </c>
      <c r="AP880" s="51" t="str">
        <f t="shared" si="50"/>
        <v/>
      </c>
      <c r="AQ880" s="49" t="s">
        <v>3260</v>
      </c>
      <c r="AR880" s="49"/>
      <c r="AS880" s="49" t="str">
        <f t="shared" si="51"/>
        <v/>
      </c>
      <c r="AT880" s="49" t="str">
        <f t="shared" si="52"/>
        <v/>
      </c>
      <c r="AU880" s="49"/>
      <c r="AV880" s="49"/>
    </row>
    <row r="881" spans="1:48" ht="18" customHeight="1">
      <c r="A881" s="44">
        <v>879</v>
      </c>
      <c r="B881" s="52" t="s">
        <v>2702</v>
      </c>
      <c r="C881" s="80" t="s">
        <v>3263</v>
      </c>
      <c r="D881" s="46" t="s">
        <v>72</v>
      </c>
      <c r="E881" s="44"/>
      <c r="F881" s="44" t="s">
        <v>3291</v>
      </c>
      <c r="G881" s="44"/>
      <c r="H881" s="44"/>
      <c r="I881" s="44"/>
      <c r="J881" s="47" t="s">
        <v>35</v>
      </c>
      <c r="K881" s="47"/>
      <c r="L881" s="47"/>
      <c r="M881" s="47"/>
      <c r="N881" s="47"/>
      <c r="O881" s="44"/>
      <c r="P881" s="44"/>
      <c r="Q881" s="48" t="e">
        <f>VLOOKUP(E881,sheet1!$B$2:$D$3209,3,FALSE)</f>
        <v>#N/A</v>
      </c>
      <c r="R881" s="47" t="s">
        <v>35</v>
      </c>
      <c r="S881" s="47" t="s">
        <v>35</v>
      </c>
      <c r="T881" s="47"/>
      <c r="U881" s="47" t="s">
        <v>296</v>
      </c>
      <c r="V881" s="47" t="s">
        <v>296</v>
      </c>
      <c r="W881" s="47" t="s">
        <v>296</v>
      </c>
      <c r="X881" s="47" t="s">
        <v>296</v>
      </c>
      <c r="Y881" s="47"/>
      <c r="Z881" s="47" t="s">
        <v>296</v>
      </c>
      <c r="AA881" s="47" t="s">
        <v>296</v>
      </c>
      <c r="AB881" s="47"/>
      <c r="AC881" s="47" t="s">
        <v>35</v>
      </c>
      <c r="AD881" s="75"/>
      <c r="AE881" s="49"/>
      <c r="AF881" s="56" t="s">
        <v>3292</v>
      </c>
      <c r="AG881" s="56" t="s">
        <v>3074</v>
      </c>
      <c r="AH881" s="49" t="str">
        <f t="shared" si="53"/>
        <v>振込指定日の変更</v>
      </c>
      <c r="AI881" s="49"/>
      <c r="AJ881" s="49"/>
      <c r="AK881" s="49"/>
      <c r="AL881" s="49"/>
      <c r="AM881" s="49"/>
      <c r="AN881" s="49"/>
      <c r="AO881" s="51" t="str">
        <f t="shared" si="49"/>
        <v>ＪＴＳ売上原価集計表</v>
      </c>
      <c r="AP881" s="51" t="str">
        <f t="shared" si="50"/>
        <v/>
      </c>
      <c r="AQ881" s="49" t="s">
        <v>3262</v>
      </c>
      <c r="AR881" s="49"/>
      <c r="AS881" s="49" t="str">
        <f t="shared" si="51"/>
        <v/>
      </c>
      <c r="AT881" s="49" t="str">
        <f t="shared" si="52"/>
        <v/>
      </c>
      <c r="AU881" s="49"/>
      <c r="AV881" s="49"/>
    </row>
    <row r="882" spans="1:48" ht="18" customHeight="1">
      <c r="A882" s="44">
        <v>880</v>
      </c>
      <c r="B882" s="52" t="s">
        <v>2702</v>
      </c>
      <c r="C882" s="80" t="s">
        <v>3263</v>
      </c>
      <c r="D882" s="46" t="s">
        <v>72</v>
      </c>
      <c r="E882" s="44"/>
      <c r="F882" s="44" t="s">
        <v>3293</v>
      </c>
      <c r="G882" s="44"/>
      <c r="H882" s="44"/>
      <c r="I882" s="44"/>
      <c r="J882" s="47" t="s">
        <v>35</v>
      </c>
      <c r="K882" s="47"/>
      <c r="L882" s="47"/>
      <c r="M882" s="47"/>
      <c r="N882" s="47"/>
      <c r="O882" s="44"/>
      <c r="P882" s="44"/>
      <c r="Q882" s="48" t="e">
        <f>VLOOKUP(E882,sheet1!$B$2:$D$3209,3,FALSE)</f>
        <v>#N/A</v>
      </c>
      <c r="R882" s="47" t="s">
        <v>35</v>
      </c>
      <c r="S882" s="47" t="s">
        <v>35</v>
      </c>
      <c r="T882" s="47"/>
      <c r="U882" s="47" t="s">
        <v>296</v>
      </c>
      <c r="V882" s="47" t="s">
        <v>296</v>
      </c>
      <c r="W882" s="47" t="s">
        <v>296</v>
      </c>
      <c r="X882" s="47" t="s">
        <v>296</v>
      </c>
      <c r="Y882" s="47"/>
      <c r="Z882" s="47" t="s">
        <v>296</v>
      </c>
      <c r="AA882" s="47" t="s">
        <v>296</v>
      </c>
      <c r="AB882" s="47"/>
      <c r="AC882" s="47" t="s">
        <v>35</v>
      </c>
      <c r="AD882" s="75"/>
      <c r="AE882" s="49"/>
      <c r="AF882" s="56" t="s">
        <v>3294</v>
      </c>
      <c r="AG882" s="56" t="s">
        <v>3077</v>
      </c>
      <c r="AH882" s="49" t="str">
        <f t="shared" si="53"/>
        <v>総合振込一覧表</v>
      </c>
      <c r="AI882" s="49"/>
      <c r="AJ882" s="49"/>
      <c r="AK882" s="49"/>
      <c r="AL882" s="49"/>
      <c r="AM882" s="49"/>
      <c r="AN882" s="49"/>
      <c r="AO882" s="51" t="str">
        <f t="shared" si="49"/>
        <v>２０日締め未払データ作成</v>
      </c>
      <c r="AP882" s="51" t="str">
        <f t="shared" si="50"/>
        <v>AC4001</v>
      </c>
      <c r="AQ882" s="51" t="s">
        <v>3265</v>
      </c>
      <c r="AR882" s="51" t="s">
        <v>3266</v>
      </c>
      <c r="AS882" s="49" t="str">
        <f t="shared" si="51"/>
        <v/>
      </c>
      <c r="AT882" s="49" t="str">
        <f t="shared" si="52"/>
        <v/>
      </c>
      <c r="AU882" s="49"/>
      <c r="AV882" s="49"/>
    </row>
    <row r="883" spans="1:48" ht="18" customHeight="1">
      <c r="A883" s="44">
        <v>881</v>
      </c>
      <c r="B883" s="52" t="s">
        <v>2702</v>
      </c>
      <c r="C883" s="75" t="s">
        <v>3295</v>
      </c>
      <c r="D883" s="46" t="s">
        <v>72</v>
      </c>
      <c r="E883" s="44" t="s">
        <v>3266</v>
      </c>
      <c r="F883" s="44" t="s">
        <v>3296</v>
      </c>
      <c r="G883" s="44"/>
      <c r="H883" s="44"/>
      <c r="I883" s="44"/>
      <c r="J883" s="47" t="s">
        <v>35</v>
      </c>
      <c r="K883" s="47"/>
      <c r="L883" s="47"/>
      <c r="M883" s="47"/>
      <c r="N883" s="47"/>
      <c r="O883" s="44"/>
      <c r="P883" s="44"/>
      <c r="Q883" s="48">
        <f>VLOOKUP(E883,sheet1!$B$2:$D$3209,3,FALSE)</f>
        <v>2025</v>
      </c>
      <c r="R883" s="47" t="s">
        <v>35</v>
      </c>
      <c r="S883" s="47" t="s">
        <v>35</v>
      </c>
      <c r="T883" s="47"/>
      <c r="U883" s="47" t="s">
        <v>296</v>
      </c>
      <c r="V883" s="47" t="s">
        <v>35</v>
      </c>
      <c r="W883" s="47" t="s">
        <v>296</v>
      </c>
      <c r="X883" s="47" t="s">
        <v>296</v>
      </c>
      <c r="Y883" s="47"/>
      <c r="Z883" s="47" t="s">
        <v>296</v>
      </c>
      <c r="AA883" s="47" t="s">
        <v>296</v>
      </c>
      <c r="AB883" s="47"/>
      <c r="AC883" s="47" t="s">
        <v>35</v>
      </c>
      <c r="AD883" s="75"/>
      <c r="AE883" s="49"/>
      <c r="AF883" s="56" t="s">
        <v>3297</v>
      </c>
      <c r="AG883" s="56" t="s">
        <v>3080</v>
      </c>
      <c r="AH883" s="49" t="str">
        <f t="shared" si="53"/>
        <v>総合振込チェックリスト</v>
      </c>
      <c r="AI883" s="49"/>
      <c r="AJ883" s="49"/>
      <c r="AK883" s="49"/>
      <c r="AL883" s="49"/>
      <c r="AM883" s="49"/>
      <c r="AN883" s="49"/>
      <c r="AO883" s="51" t="str">
        <f t="shared" si="49"/>
        <v>未払費用（振替伝票）入力</v>
      </c>
      <c r="AP883" s="51" t="str">
        <f t="shared" si="50"/>
        <v>AC4000</v>
      </c>
      <c r="AQ883" s="51" t="s">
        <v>3268</v>
      </c>
      <c r="AR883" s="51" t="s">
        <v>3269</v>
      </c>
      <c r="AS883" s="49" t="str">
        <f t="shared" si="51"/>
        <v/>
      </c>
      <c r="AT883" s="49" t="str">
        <f t="shared" si="52"/>
        <v/>
      </c>
      <c r="AU883" s="49"/>
      <c r="AV883" s="49"/>
    </row>
    <row r="884" spans="1:48" ht="18" customHeight="1">
      <c r="A884" s="44">
        <v>882</v>
      </c>
      <c r="B884" s="52" t="s">
        <v>2702</v>
      </c>
      <c r="C884" s="80" t="s">
        <v>3295</v>
      </c>
      <c r="D884" s="46" t="s">
        <v>72</v>
      </c>
      <c r="E884" s="44" t="s">
        <v>3269</v>
      </c>
      <c r="F884" s="44" t="s">
        <v>3298</v>
      </c>
      <c r="G884" s="44"/>
      <c r="H884" s="44"/>
      <c r="I884" s="44"/>
      <c r="J884" s="47" t="s">
        <v>35</v>
      </c>
      <c r="K884" s="47"/>
      <c r="L884" s="47"/>
      <c r="M884" s="47"/>
      <c r="N884" s="47"/>
      <c r="O884" s="44"/>
      <c r="P884" s="44"/>
      <c r="Q884" s="48">
        <f>VLOOKUP(E884,sheet1!$B$2:$D$3209,3,FALSE)</f>
        <v>1280</v>
      </c>
      <c r="R884" s="47" t="s">
        <v>35</v>
      </c>
      <c r="S884" s="47" t="s">
        <v>35</v>
      </c>
      <c r="T884" s="47"/>
      <c r="U884" s="47" t="s">
        <v>296</v>
      </c>
      <c r="V884" s="47" t="s">
        <v>35</v>
      </c>
      <c r="W884" s="47" t="s">
        <v>296</v>
      </c>
      <c r="X884" s="47" t="s">
        <v>296</v>
      </c>
      <c r="Y884" s="47"/>
      <c r="Z884" s="47" t="s">
        <v>296</v>
      </c>
      <c r="AA884" s="47" t="s">
        <v>296</v>
      </c>
      <c r="AB884" s="47"/>
      <c r="AC884" s="47" t="s">
        <v>35</v>
      </c>
      <c r="AD884" s="75"/>
      <c r="AE884" s="49"/>
      <c r="AF884" s="56" t="s">
        <v>3299</v>
      </c>
      <c r="AG884" s="56" t="s">
        <v>2802</v>
      </c>
      <c r="AH884" s="49" t="str">
        <f t="shared" si="53"/>
        <v>CONCUR仕訳元データ取込</v>
      </c>
      <c r="AI884" s="49"/>
      <c r="AJ884" s="49"/>
      <c r="AK884" s="49"/>
      <c r="AL884" s="49"/>
      <c r="AM884" s="49"/>
      <c r="AN884" s="49"/>
      <c r="AO884" s="51" t="str">
        <f t="shared" si="49"/>
        <v>未払費用支払管理表</v>
      </c>
      <c r="AP884" s="51" t="str">
        <f t="shared" si="50"/>
        <v>AC4300</v>
      </c>
      <c r="AQ884" s="51" t="s">
        <v>3271</v>
      </c>
      <c r="AR884" s="51" t="s">
        <v>3272</v>
      </c>
      <c r="AS884" s="49" t="str">
        <f t="shared" si="51"/>
        <v/>
      </c>
      <c r="AT884" s="49" t="str">
        <f t="shared" si="52"/>
        <v/>
      </c>
      <c r="AU884" s="49"/>
      <c r="AV884" s="49"/>
    </row>
    <row r="885" spans="1:48" ht="18" customHeight="1">
      <c r="A885" s="44">
        <v>883</v>
      </c>
      <c r="B885" s="52" t="s">
        <v>2702</v>
      </c>
      <c r="C885" s="80" t="s">
        <v>3295</v>
      </c>
      <c r="D885" s="46" t="s">
        <v>72</v>
      </c>
      <c r="E885" s="44" t="s">
        <v>3272</v>
      </c>
      <c r="F885" s="44" t="s">
        <v>3300</v>
      </c>
      <c r="G885" s="44"/>
      <c r="H885" s="44"/>
      <c r="I885" s="44"/>
      <c r="J885" s="47" t="s">
        <v>35</v>
      </c>
      <c r="K885" s="47"/>
      <c r="L885" s="47"/>
      <c r="M885" s="47"/>
      <c r="N885" s="47"/>
      <c r="O885" s="44"/>
      <c r="P885" s="44"/>
      <c r="Q885" s="48">
        <f>VLOOKUP(E885,sheet1!$B$2:$D$3209,3,FALSE)</f>
        <v>941</v>
      </c>
      <c r="R885" s="47" t="s">
        <v>35</v>
      </c>
      <c r="S885" s="47" t="s">
        <v>35</v>
      </c>
      <c r="T885" s="47"/>
      <c r="U885" s="47" t="s">
        <v>296</v>
      </c>
      <c r="V885" s="47" t="s">
        <v>35</v>
      </c>
      <c r="W885" s="47" t="s">
        <v>296</v>
      </c>
      <c r="X885" s="47" t="s">
        <v>296</v>
      </c>
      <c r="Y885" s="47"/>
      <c r="Z885" s="47" t="s">
        <v>296</v>
      </c>
      <c r="AA885" s="47" t="s">
        <v>296</v>
      </c>
      <c r="AB885" s="47"/>
      <c r="AC885" s="47" t="s">
        <v>35</v>
      </c>
      <c r="AD885" s="75"/>
      <c r="AE885" s="49"/>
      <c r="AF885" s="56" t="s">
        <v>3301</v>
      </c>
      <c r="AG885" s="56" t="s">
        <v>3302</v>
      </c>
      <c r="AH885" s="49" t="str">
        <f t="shared" si="53"/>
        <v>CONCUR仕訳データ作成</v>
      </c>
      <c r="AI885" s="49"/>
      <c r="AJ885" s="49"/>
      <c r="AK885" s="49"/>
      <c r="AL885" s="49"/>
      <c r="AM885" s="49"/>
      <c r="AN885" s="49"/>
      <c r="AO885" s="51" t="str">
        <f t="shared" si="49"/>
        <v>部課別未払費用経費一覧表</v>
      </c>
      <c r="AP885" s="51" t="str">
        <f t="shared" si="50"/>
        <v>AC4350</v>
      </c>
      <c r="AQ885" s="51" t="s">
        <v>3274</v>
      </c>
      <c r="AR885" s="51" t="s">
        <v>3275</v>
      </c>
      <c r="AS885" s="49" t="str">
        <f t="shared" si="51"/>
        <v/>
      </c>
      <c r="AT885" s="49" t="str">
        <f t="shared" si="52"/>
        <v/>
      </c>
      <c r="AU885" s="49"/>
      <c r="AV885" s="49"/>
    </row>
    <row r="886" spans="1:48" ht="18" customHeight="1">
      <c r="A886" s="44">
        <v>884</v>
      </c>
      <c r="B886" s="52" t="s">
        <v>2702</v>
      </c>
      <c r="C886" s="80" t="s">
        <v>3295</v>
      </c>
      <c r="D886" s="46" t="s">
        <v>72</v>
      </c>
      <c r="E886" s="44" t="s">
        <v>3275</v>
      </c>
      <c r="F886" s="44" t="s">
        <v>3303</v>
      </c>
      <c r="G886" s="44"/>
      <c r="H886" s="44"/>
      <c r="I886" s="44"/>
      <c r="J886" s="47" t="s">
        <v>35</v>
      </c>
      <c r="K886" s="47"/>
      <c r="L886" s="47"/>
      <c r="M886" s="47"/>
      <c r="N886" s="47"/>
      <c r="O886" s="44"/>
      <c r="P886" s="44"/>
      <c r="Q886" s="48">
        <f>VLOOKUP(E886,sheet1!$B$2:$D$3209,3,FALSE)</f>
        <v>391</v>
      </c>
      <c r="R886" s="47" t="s">
        <v>35</v>
      </c>
      <c r="S886" s="47" t="s">
        <v>35</v>
      </c>
      <c r="T886" s="47"/>
      <c r="U886" s="47" t="s">
        <v>296</v>
      </c>
      <c r="V886" s="47" t="s">
        <v>35</v>
      </c>
      <c r="W886" s="47" t="s">
        <v>296</v>
      </c>
      <c r="X886" s="47" t="s">
        <v>296</v>
      </c>
      <c r="Y886" s="47"/>
      <c r="Z886" s="47" t="s">
        <v>296</v>
      </c>
      <c r="AA886" s="47" t="s">
        <v>296</v>
      </c>
      <c r="AB886" s="47"/>
      <c r="AC886" s="47" t="s">
        <v>35</v>
      </c>
      <c r="AD886" s="75"/>
      <c r="AE886" s="49"/>
      <c r="AF886" s="56" t="s">
        <v>3304</v>
      </c>
      <c r="AG886" s="56" t="s">
        <v>3155</v>
      </c>
      <c r="AH886" s="49" t="str">
        <f t="shared" si="53"/>
        <v>CONCUR仕訳データ振伝取込</v>
      </c>
      <c r="AI886" s="49"/>
      <c r="AJ886" s="49"/>
      <c r="AK886" s="49"/>
      <c r="AL886" s="49"/>
      <c r="AM886" s="49"/>
      <c r="AN886" s="49"/>
      <c r="AO886" s="51" t="str">
        <f t="shared" si="49"/>
        <v>経費データ作成（未払費用）</v>
      </c>
      <c r="AP886" s="51" t="str">
        <f t="shared" si="50"/>
        <v>AC4230</v>
      </c>
      <c r="AQ886" s="51" t="s">
        <v>3277</v>
      </c>
      <c r="AR886" s="51" t="s">
        <v>3278</v>
      </c>
      <c r="AS886" s="49" t="str">
        <f t="shared" si="51"/>
        <v/>
      </c>
      <c r="AT886" s="49" t="str">
        <f t="shared" si="52"/>
        <v/>
      </c>
      <c r="AU886" s="49"/>
      <c r="AV886" s="49"/>
    </row>
    <row r="887" spans="1:48" ht="18" customHeight="1">
      <c r="A887" s="44">
        <v>885</v>
      </c>
      <c r="B887" s="52" t="s">
        <v>2702</v>
      </c>
      <c r="C887" s="80" t="s">
        <v>3295</v>
      </c>
      <c r="D887" s="46" t="s">
        <v>72</v>
      </c>
      <c r="E887" s="44" t="s">
        <v>3278</v>
      </c>
      <c r="F887" s="44" t="s">
        <v>3305</v>
      </c>
      <c r="G887" s="44"/>
      <c r="H887" s="44"/>
      <c r="I887" s="44"/>
      <c r="J887" s="47" t="s">
        <v>35</v>
      </c>
      <c r="K887" s="47"/>
      <c r="L887" s="47"/>
      <c r="M887" s="47"/>
      <c r="N887" s="47"/>
      <c r="O887" s="44"/>
      <c r="P887" s="44"/>
      <c r="Q887" s="48">
        <f>VLOOKUP(E887,sheet1!$B$2:$D$3209,3,FALSE)</f>
        <v>399</v>
      </c>
      <c r="R887" s="47" t="s">
        <v>35</v>
      </c>
      <c r="S887" s="47" t="s">
        <v>35</v>
      </c>
      <c r="T887" s="47"/>
      <c r="U887" s="47" t="s">
        <v>296</v>
      </c>
      <c r="V887" s="47" t="s">
        <v>35</v>
      </c>
      <c r="W887" s="47" t="s">
        <v>296</v>
      </c>
      <c r="X887" s="47" t="s">
        <v>296</v>
      </c>
      <c r="Y887" s="47"/>
      <c r="Z887" s="47" t="s">
        <v>296</v>
      </c>
      <c r="AA887" s="47" t="s">
        <v>296</v>
      </c>
      <c r="AB887" s="47"/>
      <c r="AC887" s="47" t="s">
        <v>35</v>
      </c>
      <c r="AD887" s="75"/>
      <c r="AE887" s="49"/>
      <c r="AF887" s="56" t="s">
        <v>3306</v>
      </c>
      <c r="AG887" s="56" t="s">
        <v>3158</v>
      </c>
      <c r="AH887" s="49" t="str">
        <f t="shared" si="53"/>
        <v>CONCUR仕訳データ振伝修正</v>
      </c>
      <c r="AI887" s="49"/>
      <c r="AJ887" s="49"/>
      <c r="AK887" s="49"/>
      <c r="AL887" s="49"/>
      <c r="AM887" s="49"/>
      <c r="AN887" s="49"/>
      <c r="AO887" s="51" t="str">
        <f t="shared" si="49"/>
        <v>支払データ作成（未払費用）</v>
      </c>
      <c r="AP887" s="51" t="str">
        <f t="shared" si="50"/>
        <v>AC4211</v>
      </c>
      <c r="AQ887" s="51" t="s">
        <v>3280</v>
      </c>
      <c r="AR887" s="51" t="s">
        <v>3281</v>
      </c>
      <c r="AS887" s="49" t="str">
        <f t="shared" si="51"/>
        <v/>
      </c>
      <c r="AT887" s="49" t="str">
        <f t="shared" si="52"/>
        <v/>
      </c>
      <c r="AU887" s="49"/>
      <c r="AV887" s="49"/>
    </row>
    <row r="888" spans="1:48" ht="18" customHeight="1">
      <c r="A888" s="44">
        <v>886</v>
      </c>
      <c r="B888" s="52" t="s">
        <v>2702</v>
      </c>
      <c r="C888" s="80" t="s">
        <v>3295</v>
      </c>
      <c r="D888" s="46" t="s">
        <v>72</v>
      </c>
      <c r="E888" s="44" t="s">
        <v>3281</v>
      </c>
      <c r="F888" s="44" t="s">
        <v>3307</v>
      </c>
      <c r="G888" s="44"/>
      <c r="H888" s="44"/>
      <c r="I888" s="44"/>
      <c r="J888" s="47" t="s">
        <v>35</v>
      </c>
      <c r="K888" s="47"/>
      <c r="L888" s="47"/>
      <c r="M888" s="47"/>
      <c r="N888" s="47"/>
      <c r="O888" s="44"/>
      <c r="P888" s="44"/>
      <c r="Q888" s="48">
        <f>VLOOKUP(E888,sheet1!$B$2:$D$3209,3,FALSE)</f>
        <v>176</v>
      </c>
      <c r="R888" s="47" t="s">
        <v>35</v>
      </c>
      <c r="S888" s="47" t="s">
        <v>35</v>
      </c>
      <c r="T888" s="47"/>
      <c r="U888" s="47" t="s">
        <v>296</v>
      </c>
      <c r="V888" s="47" t="s">
        <v>35</v>
      </c>
      <c r="W888" s="47" t="s">
        <v>296</v>
      </c>
      <c r="X888" s="47" t="s">
        <v>296</v>
      </c>
      <c r="Y888" s="47"/>
      <c r="Z888" s="47" t="s">
        <v>296</v>
      </c>
      <c r="AA888" s="47" t="s">
        <v>296</v>
      </c>
      <c r="AB888" s="47"/>
      <c r="AC888" s="47" t="s">
        <v>35</v>
      </c>
      <c r="AD888" s="75"/>
      <c r="AE888" s="49"/>
      <c r="AF888" s="56" t="s">
        <v>3308</v>
      </c>
      <c r="AG888" s="56" t="s">
        <v>3309</v>
      </c>
      <c r="AH888" s="49" t="str">
        <f t="shared" si="53"/>
        <v>社員振込口座マスタメンテ</v>
      </c>
      <c r="AI888" s="49"/>
      <c r="AJ888" s="49"/>
      <c r="AK888" s="49"/>
      <c r="AL888" s="49"/>
      <c r="AM888" s="49"/>
      <c r="AN888" s="49"/>
      <c r="AO888" s="51" t="str">
        <f t="shared" si="49"/>
        <v>支払データ更新（未払費用）</v>
      </c>
      <c r="AP888" s="51" t="str">
        <f t="shared" si="50"/>
        <v>AC5120</v>
      </c>
      <c r="AQ888" s="51" t="s">
        <v>3283</v>
      </c>
      <c r="AR888" s="51" t="s">
        <v>3284</v>
      </c>
      <c r="AS888" s="49" t="str">
        <f t="shared" si="51"/>
        <v/>
      </c>
      <c r="AT888" s="49" t="str">
        <f t="shared" si="52"/>
        <v/>
      </c>
      <c r="AU888" s="49"/>
      <c r="AV888" s="49"/>
    </row>
    <row r="889" spans="1:48" ht="18" customHeight="1">
      <c r="A889" s="44">
        <v>887</v>
      </c>
      <c r="B889" s="52" t="s">
        <v>2702</v>
      </c>
      <c r="C889" s="80" t="s">
        <v>3295</v>
      </c>
      <c r="D889" s="46" t="s">
        <v>72</v>
      </c>
      <c r="E889" s="44" t="s">
        <v>3284</v>
      </c>
      <c r="F889" s="44" t="s">
        <v>3310</v>
      </c>
      <c r="G889" s="44"/>
      <c r="H889" s="44"/>
      <c r="I889" s="44"/>
      <c r="J889" s="47" t="s">
        <v>35</v>
      </c>
      <c r="K889" s="47"/>
      <c r="L889" s="47"/>
      <c r="M889" s="47"/>
      <c r="N889" s="47"/>
      <c r="O889" s="44"/>
      <c r="P889" s="44"/>
      <c r="Q889" s="48" t="e">
        <f>VLOOKUP(E889,sheet1!$B$2:$D$3209,3,FALSE)</f>
        <v>#N/A</v>
      </c>
      <c r="R889" s="47" t="s">
        <v>35</v>
      </c>
      <c r="S889" s="47" t="s">
        <v>35</v>
      </c>
      <c r="T889" s="47"/>
      <c r="U889" s="47" t="s">
        <v>296</v>
      </c>
      <c r="V889" s="47" t="s">
        <v>35</v>
      </c>
      <c r="W889" s="47" t="s">
        <v>296</v>
      </c>
      <c r="X889" s="47" t="s">
        <v>296</v>
      </c>
      <c r="Y889" s="47"/>
      <c r="Z889" s="47" t="s">
        <v>296</v>
      </c>
      <c r="AA889" s="47" t="s">
        <v>296</v>
      </c>
      <c r="AB889" s="47"/>
      <c r="AC889" s="47" t="s">
        <v>35</v>
      </c>
      <c r="AD889" s="75"/>
      <c r="AE889" s="49"/>
      <c r="AF889" s="56" t="s">
        <v>3311</v>
      </c>
      <c r="AG889" s="56" t="s">
        <v>3312</v>
      </c>
      <c r="AH889" s="49" t="str">
        <f t="shared" si="53"/>
        <v>試験仮払データ入力</v>
      </c>
      <c r="AI889" s="49"/>
      <c r="AJ889" s="49"/>
      <c r="AK889" s="49"/>
      <c r="AL889" s="49"/>
      <c r="AM889" s="49"/>
      <c r="AN889" s="49"/>
      <c r="AO889" s="51" t="str">
        <f t="shared" si="49"/>
        <v>振替伝票　自動仕訳作成</v>
      </c>
      <c r="AP889" s="51" t="str">
        <f t="shared" si="50"/>
        <v>AC9155</v>
      </c>
      <c r="AQ889" s="51" t="s">
        <v>3286</v>
      </c>
      <c r="AR889" s="51" t="s">
        <v>3287</v>
      </c>
      <c r="AS889" s="49" t="str">
        <f t="shared" si="51"/>
        <v/>
      </c>
      <c r="AT889" s="49" t="str">
        <f t="shared" si="52"/>
        <v/>
      </c>
      <c r="AU889" s="49"/>
      <c r="AV889" s="49"/>
    </row>
    <row r="890" spans="1:48" ht="18" customHeight="1">
      <c r="A890" s="44">
        <v>888</v>
      </c>
      <c r="B890" s="52" t="s">
        <v>2702</v>
      </c>
      <c r="C890" s="80" t="s">
        <v>3295</v>
      </c>
      <c r="D890" s="46" t="s">
        <v>72</v>
      </c>
      <c r="E890" s="44" t="s">
        <v>3287</v>
      </c>
      <c r="F890" s="44" t="s">
        <v>3313</v>
      </c>
      <c r="G890" s="44"/>
      <c r="H890" s="44"/>
      <c r="I890" s="44"/>
      <c r="J890" s="47" t="s">
        <v>35</v>
      </c>
      <c r="K890" s="47"/>
      <c r="L890" s="47"/>
      <c r="M890" s="47"/>
      <c r="N890" s="47"/>
      <c r="O890" s="44"/>
      <c r="P890" s="44"/>
      <c r="Q890" s="48">
        <f>VLOOKUP(E890,sheet1!$B$2:$D$3209,3,FALSE)</f>
        <v>282</v>
      </c>
      <c r="R890" s="47" t="s">
        <v>35</v>
      </c>
      <c r="S890" s="47" t="s">
        <v>35</v>
      </c>
      <c r="T890" s="47"/>
      <c r="U890" s="47" t="s">
        <v>296</v>
      </c>
      <c r="V890" s="47" t="s">
        <v>35</v>
      </c>
      <c r="W890" s="47" t="s">
        <v>296</v>
      </c>
      <c r="X890" s="47" t="s">
        <v>296</v>
      </c>
      <c r="Y890" s="47"/>
      <c r="Z890" s="47" t="s">
        <v>296</v>
      </c>
      <c r="AA890" s="47" t="s">
        <v>296</v>
      </c>
      <c r="AB890" s="47"/>
      <c r="AC890" s="47" t="s">
        <v>35</v>
      </c>
      <c r="AD890" s="75"/>
      <c r="AE890" s="49"/>
      <c r="AF890" s="56" t="s">
        <v>3314</v>
      </c>
      <c r="AG890" s="56" t="s">
        <v>3315</v>
      </c>
      <c r="AH890" s="49" t="str">
        <f t="shared" si="53"/>
        <v>試験仮払データ更新</v>
      </c>
      <c r="AI890" s="49"/>
      <c r="AJ890" s="49"/>
      <c r="AK890" s="49"/>
      <c r="AL890" s="49"/>
      <c r="AM890" s="49"/>
      <c r="AN890" s="49"/>
      <c r="AO890" s="51" t="str">
        <f t="shared" si="49"/>
        <v>未払費用総合振込データ作成</v>
      </c>
      <c r="AP890" s="51" t="str">
        <f t="shared" si="50"/>
        <v>AC525I-S1</v>
      </c>
      <c r="AQ890" s="51" t="s">
        <v>3289</v>
      </c>
      <c r="AR890" s="51" t="s">
        <v>3290</v>
      </c>
      <c r="AS890" s="49" t="str">
        <f t="shared" si="51"/>
        <v/>
      </c>
      <c r="AT890" s="49" t="str">
        <f t="shared" si="52"/>
        <v/>
      </c>
      <c r="AU890" s="49"/>
      <c r="AV890" s="49"/>
    </row>
    <row r="891" spans="1:48" ht="18" customHeight="1">
      <c r="A891" s="44">
        <v>889</v>
      </c>
      <c r="B891" s="52" t="s">
        <v>2702</v>
      </c>
      <c r="C891" s="80" t="s">
        <v>3295</v>
      </c>
      <c r="D891" s="46" t="s">
        <v>72</v>
      </c>
      <c r="E891" s="44" t="s">
        <v>3290</v>
      </c>
      <c r="F891" s="44" t="s">
        <v>3316</v>
      </c>
      <c r="G891" s="44"/>
      <c r="H891" s="44"/>
      <c r="I891" s="44"/>
      <c r="J891" s="47" t="s">
        <v>35</v>
      </c>
      <c r="K891" s="47"/>
      <c r="L891" s="47"/>
      <c r="M891" s="47"/>
      <c r="N891" s="47"/>
      <c r="O891" s="44"/>
      <c r="P891" s="44"/>
      <c r="Q891" s="48" t="e">
        <f>VLOOKUP(E891,sheet1!$B$2:$D$3209,3,FALSE)</f>
        <v>#N/A</v>
      </c>
      <c r="R891" s="47" t="s">
        <v>35</v>
      </c>
      <c r="S891" s="47" t="s">
        <v>35</v>
      </c>
      <c r="T891" s="47"/>
      <c r="U891" s="47" t="s">
        <v>296</v>
      </c>
      <c r="V891" s="47" t="s">
        <v>35</v>
      </c>
      <c r="W891" s="47" t="s">
        <v>296</v>
      </c>
      <c r="X891" s="47" t="s">
        <v>296</v>
      </c>
      <c r="Y891" s="47"/>
      <c r="Z891" s="47" t="s">
        <v>296</v>
      </c>
      <c r="AA891" s="47" t="s">
        <v>296</v>
      </c>
      <c r="AB891" s="47"/>
      <c r="AC891" s="47" t="s">
        <v>35</v>
      </c>
      <c r="AD891" s="75"/>
      <c r="AE891" s="49"/>
      <c r="AF891" s="56" t="s">
        <v>3317</v>
      </c>
      <c r="AG891" s="56" t="s">
        <v>3318</v>
      </c>
      <c r="AH891" s="49" t="str">
        <f t="shared" si="53"/>
        <v>試験用仮払現金換算表</v>
      </c>
      <c r="AI891" s="49"/>
      <c r="AJ891" s="49"/>
      <c r="AK891" s="49"/>
      <c r="AL891" s="49"/>
      <c r="AM891" s="49"/>
      <c r="AN891" s="49"/>
      <c r="AO891" s="51" t="str">
        <f t="shared" si="49"/>
        <v>振込指定日の変更</v>
      </c>
      <c r="AP891" s="51" t="str">
        <f t="shared" si="50"/>
        <v>AC9000</v>
      </c>
      <c r="AQ891" s="51" t="s">
        <v>3292</v>
      </c>
      <c r="AR891" s="51" t="s">
        <v>3074</v>
      </c>
      <c r="AS891" s="49" t="str">
        <f t="shared" si="51"/>
        <v/>
      </c>
      <c r="AT891" s="49" t="str">
        <f t="shared" si="52"/>
        <v/>
      </c>
      <c r="AU891" s="49"/>
      <c r="AV891" s="49"/>
    </row>
    <row r="892" spans="1:48" ht="18" customHeight="1">
      <c r="A892" s="44">
        <v>890</v>
      </c>
      <c r="B892" s="52" t="s">
        <v>2702</v>
      </c>
      <c r="C892" s="80" t="s">
        <v>3295</v>
      </c>
      <c r="D892" s="46" t="s">
        <v>72</v>
      </c>
      <c r="E892" s="44" t="s">
        <v>3074</v>
      </c>
      <c r="F892" s="44" t="s">
        <v>3104</v>
      </c>
      <c r="G892" s="44"/>
      <c r="H892" s="44"/>
      <c r="I892" s="44"/>
      <c r="J892" s="47" t="s">
        <v>35</v>
      </c>
      <c r="K892" s="47"/>
      <c r="L892" s="47"/>
      <c r="M892" s="47"/>
      <c r="N892" s="47"/>
      <c r="O892" s="44"/>
      <c r="P892" s="44"/>
      <c r="Q892" s="48">
        <f>VLOOKUP(E892,sheet1!$B$2:$D$3209,3,FALSE)</f>
        <v>105</v>
      </c>
      <c r="R892" s="47" t="s">
        <v>35</v>
      </c>
      <c r="S892" s="47" t="s">
        <v>35</v>
      </c>
      <c r="T892" s="47"/>
      <c r="U892" s="47" t="s">
        <v>296</v>
      </c>
      <c r="V892" s="47" t="s">
        <v>35</v>
      </c>
      <c r="W892" s="47" t="s">
        <v>296</v>
      </c>
      <c r="X892" s="47" t="s">
        <v>296</v>
      </c>
      <c r="Y892" s="47"/>
      <c r="Z892" s="47" t="s">
        <v>296</v>
      </c>
      <c r="AA892" s="47" t="s">
        <v>296</v>
      </c>
      <c r="AB892" s="47"/>
      <c r="AC892" s="47" t="s">
        <v>35</v>
      </c>
      <c r="AD892" s="75"/>
      <c r="AE892" s="49"/>
      <c r="AF892" s="56" t="s">
        <v>3319</v>
      </c>
      <c r="AG892" s="56" t="s">
        <v>3320</v>
      </c>
      <c r="AH892" s="49" t="str">
        <f t="shared" si="53"/>
        <v>主要外貨試験用現金一覧表</v>
      </c>
      <c r="AI892" s="49"/>
      <c r="AJ892" s="49"/>
      <c r="AK892" s="49"/>
      <c r="AL892" s="49"/>
      <c r="AM892" s="49"/>
      <c r="AN892" s="49"/>
      <c r="AO892" s="51" t="str">
        <f t="shared" si="49"/>
        <v>総合振込一覧表</v>
      </c>
      <c r="AP892" s="51" t="str">
        <f t="shared" si="50"/>
        <v>AC5600</v>
      </c>
      <c r="AQ892" s="51" t="s">
        <v>3294</v>
      </c>
      <c r="AR892" s="51" t="s">
        <v>3077</v>
      </c>
      <c r="AS892" s="49" t="str">
        <f t="shared" si="51"/>
        <v/>
      </c>
      <c r="AT892" s="49" t="str">
        <f t="shared" si="52"/>
        <v/>
      </c>
      <c r="AU892" s="49"/>
      <c r="AV892" s="49"/>
    </row>
    <row r="893" spans="1:48" ht="18" customHeight="1">
      <c r="A893" s="44">
        <v>891</v>
      </c>
      <c r="B893" s="52" t="s">
        <v>2702</v>
      </c>
      <c r="C893" s="80" t="s">
        <v>3295</v>
      </c>
      <c r="D893" s="46" t="s">
        <v>72</v>
      </c>
      <c r="E893" s="44" t="s">
        <v>3077</v>
      </c>
      <c r="F893" s="44" t="s">
        <v>3107</v>
      </c>
      <c r="G893" s="44"/>
      <c r="H893" s="44"/>
      <c r="I893" s="44"/>
      <c r="J893" s="47" t="s">
        <v>35</v>
      </c>
      <c r="K893" s="47"/>
      <c r="L893" s="47"/>
      <c r="M893" s="47"/>
      <c r="N893" s="47"/>
      <c r="O893" s="44"/>
      <c r="P893" s="44"/>
      <c r="Q893" s="48">
        <f>VLOOKUP(E893,sheet1!$B$2:$D$3209,3,FALSE)</f>
        <v>614</v>
      </c>
      <c r="R893" s="47" t="s">
        <v>35</v>
      </c>
      <c r="S893" s="47" t="s">
        <v>35</v>
      </c>
      <c r="T893" s="47"/>
      <c r="U893" s="47" t="s">
        <v>296</v>
      </c>
      <c r="V893" s="47" t="s">
        <v>35</v>
      </c>
      <c r="W893" s="47" t="s">
        <v>296</v>
      </c>
      <c r="X893" s="47" t="s">
        <v>296</v>
      </c>
      <c r="Y893" s="47"/>
      <c r="Z893" s="47" t="s">
        <v>296</v>
      </c>
      <c r="AA893" s="47" t="s">
        <v>296</v>
      </c>
      <c r="AB893" s="47"/>
      <c r="AC893" s="47" t="s">
        <v>35</v>
      </c>
      <c r="AD893" s="75"/>
      <c r="AE893" s="49"/>
      <c r="AF893" s="56" t="s">
        <v>3321</v>
      </c>
      <c r="AG893" s="56" t="s">
        <v>3322</v>
      </c>
      <c r="AH893" s="49" t="str">
        <f t="shared" si="53"/>
        <v>試験用現金一覧表</v>
      </c>
      <c r="AI893" s="49"/>
      <c r="AJ893" s="49"/>
      <c r="AK893" s="49"/>
      <c r="AL893" s="49"/>
      <c r="AM893" s="49"/>
      <c r="AN893" s="49"/>
      <c r="AO893" s="51" t="str">
        <f t="shared" si="49"/>
        <v>総合振込チェックリスト</v>
      </c>
      <c r="AP893" s="51" t="str">
        <f t="shared" si="50"/>
        <v>AC5650</v>
      </c>
      <c r="AQ893" s="51" t="s">
        <v>3297</v>
      </c>
      <c r="AR893" s="51" t="s">
        <v>3080</v>
      </c>
      <c r="AS893" s="49" t="str">
        <f t="shared" si="51"/>
        <v/>
      </c>
      <c r="AT893" s="49" t="str">
        <f t="shared" si="52"/>
        <v/>
      </c>
      <c r="AU893" s="49"/>
      <c r="AV893" s="49"/>
    </row>
    <row r="894" spans="1:48" ht="18" customHeight="1">
      <c r="A894" s="44">
        <v>892</v>
      </c>
      <c r="B894" s="52" t="s">
        <v>2702</v>
      </c>
      <c r="C894" s="80" t="s">
        <v>3295</v>
      </c>
      <c r="D894" s="46" t="s">
        <v>72</v>
      </c>
      <c r="E894" s="44" t="s">
        <v>3080</v>
      </c>
      <c r="F894" s="44" t="s">
        <v>3110</v>
      </c>
      <c r="G894" s="44"/>
      <c r="H894" s="44"/>
      <c r="I894" s="44"/>
      <c r="J894" s="47" t="s">
        <v>35</v>
      </c>
      <c r="K894" s="47"/>
      <c r="L894" s="47"/>
      <c r="M894" s="47"/>
      <c r="N894" s="47"/>
      <c r="O894" s="44"/>
      <c r="P894" s="44"/>
      <c r="Q894" s="48">
        <f>VLOOKUP(E894,sheet1!$B$2:$D$3209,3,FALSE)</f>
        <v>688</v>
      </c>
      <c r="R894" s="47" t="s">
        <v>35</v>
      </c>
      <c r="S894" s="47" t="s">
        <v>35</v>
      </c>
      <c r="T894" s="47"/>
      <c r="U894" s="47" t="s">
        <v>296</v>
      </c>
      <c r="V894" s="47" t="s">
        <v>35</v>
      </c>
      <c r="W894" s="47" t="s">
        <v>296</v>
      </c>
      <c r="X894" s="47" t="s">
        <v>296</v>
      </c>
      <c r="Y894" s="47"/>
      <c r="Z894" s="47" t="s">
        <v>296</v>
      </c>
      <c r="AA894" s="47" t="s">
        <v>296</v>
      </c>
      <c r="AB894" s="47"/>
      <c r="AC894" s="47" t="s">
        <v>35</v>
      </c>
      <c r="AD894" s="75"/>
      <c r="AE894" s="49"/>
      <c r="AF894" s="56" t="s">
        <v>3323</v>
      </c>
      <c r="AG894" s="56" t="s">
        <v>3324</v>
      </c>
      <c r="AH894" s="49" t="str">
        <f t="shared" si="53"/>
        <v>通貨レート一覧表</v>
      </c>
      <c r="AI894" s="49"/>
      <c r="AJ894" s="49"/>
      <c r="AK894" s="49"/>
      <c r="AL894" s="49"/>
      <c r="AM894" s="49"/>
      <c r="AN894" s="49"/>
      <c r="AO894" s="51" t="str">
        <f t="shared" si="49"/>
        <v>CONCUR仕訳元データ取込</v>
      </c>
      <c r="AP894" s="51" t="str">
        <f t="shared" si="50"/>
        <v>PD9220</v>
      </c>
      <c r="AQ894" s="51" t="s">
        <v>3299</v>
      </c>
      <c r="AR894" s="51" t="s">
        <v>2802</v>
      </c>
      <c r="AS894" s="49" t="str">
        <f t="shared" si="51"/>
        <v/>
      </c>
      <c r="AT894" s="49" t="str">
        <f t="shared" si="52"/>
        <v/>
      </c>
      <c r="AU894" s="49"/>
      <c r="AV894" s="49"/>
    </row>
    <row r="895" spans="1:48" ht="18" customHeight="1">
      <c r="A895" s="44">
        <v>893</v>
      </c>
      <c r="B895" s="52" t="s">
        <v>2702</v>
      </c>
      <c r="C895" s="80" t="s">
        <v>3295</v>
      </c>
      <c r="D895" s="46" t="s">
        <v>72</v>
      </c>
      <c r="E895" s="44" t="s">
        <v>2802</v>
      </c>
      <c r="F895" s="44" t="s">
        <v>3325</v>
      </c>
      <c r="G895" s="44"/>
      <c r="H895" s="44"/>
      <c r="I895" s="44"/>
      <c r="J895" s="47" t="s">
        <v>35</v>
      </c>
      <c r="K895" s="47"/>
      <c r="L895" s="47"/>
      <c r="M895" s="47"/>
      <c r="N895" s="47"/>
      <c r="O895" s="44"/>
      <c r="P895" s="44"/>
      <c r="Q895" s="48">
        <f>VLOOKUP(E895,sheet1!$B$2:$D$3209,3,FALSE)</f>
        <v>203</v>
      </c>
      <c r="R895" s="47" t="s">
        <v>35</v>
      </c>
      <c r="S895" s="47" t="s">
        <v>35</v>
      </c>
      <c r="T895" s="47"/>
      <c r="U895" s="47" t="s">
        <v>296</v>
      </c>
      <c r="V895" s="47" t="s">
        <v>35</v>
      </c>
      <c r="W895" s="47" t="s">
        <v>296</v>
      </c>
      <c r="X895" s="47" t="s">
        <v>296</v>
      </c>
      <c r="Y895" s="47"/>
      <c r="Z895" s="47" t="s">
        <v>296</v>
      </c>
      <c r="AA895" s="47" t="s">
        <v>296</v>
      </c>
      <c r="AB895" s="47"/>
      <c r="AC895" s="47" t="s">
        <v>35</v>
      </c>
      <c r="AD895" s="75"/>
      <c r="AE895" s="49"/>
      <c r="AF895" s="56" t="s">
        <v>3326</v>
      </c>
      <c r="AG895" s="56" t="s">
        <v>3327</v>
      </c>
      <c r="AH895" s="49" t="str">
        <f t="shared" si="53"/>
        <v>仮払金元帳</v>
      </c>
      <c r="AI895" s="49"/>
      <c r="AJ895" s="49"/>
      <c r="AK895" s="49"/>
      <c r="AL895" s="49"/>
      <c r="AM895" s="49"/>
      <c r="AN895" s="49"/>
      <c r="AO895" s="51" t="str">
        <f t="shared" si="49"/>
        <v>CONCUR仕訳データ作成</v>
      </c>
      <c r="AP895" s="51" t="str">
        <f t="shared" si="50"/>
        <v>AC9151</v>
      </c>
      <c r="AQ895" s="51" t="s">
        <v>3301</v>
      </c>
      <c r="AR895" s="51" t="s">
        <v>3302</v>
      </c>
      <c r="AS895" s="49" t="str">
        <f t="shared" si="51"/>
        <v/>
      </c>
      <c r="AT895" s="49" t="str">
        <f t="shared" si="52"/>
        <v/>
      </c>
      <c r="AU895" s="49"/>
      <c r="AV895" s="49"/>
    </row>
    <row r="896" spans="1:48" ht="18" customHeight="1">
      <c r="A896" s="44">
        <v>894</v>
      </c>
      <c r="B896" s="52" t="s">
        <v>2702</v>
      </c>
      <c r="C896" s="80" t="s">
        <v>3295</v>
      </c>
      <c r="D896" s="46" t="s">
        <v>72</v>
      </c>
      <c r="E896" s="44" t="s">
        <v>3302</v>
      </c>
      <c r="F896" s="44" t="s">
        <v>3328</v>
      </c>
      <c r="G896" s="44"/>
      <c r="H896" s="44"/>
      <c r="I896" s="44"/>
      <c r="J896" s="47" t="s">
        <v>35</v>
      </c>
      <c r="K896" s="47"/>
      <c r="L896" s="47"/>
      <c r="M896" s="47"/>
      <c r="N896" s="47"/>
      <c r="O896" s="44"/>
      <c r="P896" s="44"/>
      <c r="Q896" s="48">
        <f>VLOOKUP(E896,sheet1!$B$2:$D$3209,3,FALSE)</f>
        <v>437</v>
      </c>
      <c r="R896" s="47" t="s">
        <v>35</v>
      </c>
      <c r="S896" s="47" t="s">
        <v>35</v>
      </c>
      <c r="T896" s="47"/>
      <c r="U896" s="47" t="s">
        <v>296</v>
      </c>
      <c r="V896" s="47" t="s">
        <v>35</v>
      </c>
      <c r="W896" s="47" t="s">
        <v>296</v>
      </c>
      <c r="X896" s="47" t="s">
        <v>296</v>
      </c>
      <c r="Y896" s="47"/>
      <c r="Z896" s="47" t="s">
        <v>296</v>
      </c>
      <c r="AA896" s="47" t="s">
        <v>296</v>
      </c>
      <c r="AB896" s="47"/>
      <c r="AC896" s="47" t="s">
        <v>35</v>
      </c>
      <c r="AD896" s="75"/>
      <c r="AE896" s="49"/>
      <c r="AF896" s="56" t="s">
        <v>3329</v>
      </c>
      <c r="AG896" s="56" t="s">
        <v>3330</v>
      </c>
      <c r="AH896" s="49" t="str">
        <f t="shared" si="53"/>
        <v>試験用仮払現金実査表</v>
      </c>
      <c r="AI896" s="49"/>
      <c r="AJ896" s="49"/>
      <c r="AK896" s="49"/>
      <c r="AL896" s="49"/>
      <c r="AM896" s="49"/>
      <c r="AN896" s="49"/>
      <c r="AO896" s="51" t="str">
        <f t="shared" si="49"/>
        <v>CONCUR仕訳データ振伝取込</v>
      </c>
      <c r="AP896" s="51" t="str">
        <f t="shared" si="50"/>
        <v>AC9100</v>
      </c>
      <c r="AQ896" s="51" t="s">
        <v>3304</v>
      </c>
      <c r="AR896" s="51" t="s">
        <v>3155</v>
      </c>
      <c r="AS896" s="49" t="str">
        <f t="shared" si="51"/>
        <v/>
      </c>
      <c r="AT896" s="49" t="str">
        <f t="shared" si="52"/>
        <v/>
      </c>
      <c r="AU896" s="49"/>
      <c r="AV896" s="49"/>
    </row>
    <row r="897" spans="1:48" ht="18" customHeight="1">
      <c r="A897" s="44">
        <v>895</v>
      </c>
      <c r="B897" s="52" t="s">
        <v>2702</v>
      </c>
      <c r="C897" s="80" t="s">
        <v>3295</v>
      </c>
      <c r="D897" s="46" t="s">
        <v>72</v>
      </c>
      <c r="E897" s="44" t="s">
        <v>3155</v>
      </c>
      <c r="F897" s="44" t="s">
        <v>3331</v>
      </c>
      <c r="G897" s="44"/>
      <c r="H897" s="44"/>
      <c r="I897" s="44"/>
      <c r="J897" s="47" t="s">
        <v>35</v>
      </c>
      <c r="K897" s="47"/>
      <c r="L897" s="47"/>
      <c r="M897" s="47"/>
      <c r="N897" s="47"/>
      <c r="O897" s="44"/>
      <c r="P897" s="44"/>
      <c r="Q897" s="48">
        <f>VLOOKUP(E897,sheet1!$B$2:$D$3209,3,FALSE)</f>
        <v>1283</v>
      </c>
      <c r="R897" s="47" t="s">
        <v>35</v>
      </c>
      <c r="S897" s="47" t="s">
        <v>35</v>
      </c>
      <c r="T897" s="47"/>
      <c r="U897" s="47" t="s">
        <v>296</v>
      </c>
      <c r="V897" s="47" t="s">
        <v>35</v>
      </c>
      <c r="W897" s="47" t="s">
        <v>296</v>
      </c>
      <c r="X897" s="47" t="s">
        <v>296</v>
      </c>
      <c r="Y897" s="47"/>
      <c r="Z897" s="47" t="s">
        <v>296</v>
      </c>
      <c r="AA897" s="47" t="s">
        <v>296</v>
      </c>
      <c r="AB897" s="47"/>
      <c r="AC897" s="47" t="s">
        <v>35</v>
      </c>
      <c r="AD897" s="75"/>
      <c r="AE897" s="49"/>
      <c r="AF897" s="56" t="s">
        <v>3332</v>
      </c>
      <c r="AG897" s="56" t="s">
        <v>3333</v>
      </c>
      <c r="AH897" s="49" t="str">
        <f t="shared" si="53"/>
        <v>試験仮払残高ﾏｽﾀｰ年次更新</v>
      </c>
      <c r="AI897" s="49"/>
      <c r="AJ897" s="49"/>
      <c r="AK897" s="49"/>
      <c r="AL897" s="49"/>
      <c r="AM897" s="49"/>
      <c r="AN897" s="49"/>
      <c r="AO897" s="51" t="str">
        <f t="shared" si="49"/>
        <v>CONCUR仕訳データ振伝修正</v>
      </c>
      <c r="AP897" s="51" t="str">
        <f t="shared" si="50"/>
        <v>AC9120</v>
      </c>
      <c r="AQ897" s="51" t="s">
        <v>3306</v>
      </c>
      <c r="AR897" s="51" t="s">
        <v>3158</v>
      </c>
      <c r="AS897" s="49" t="str">
        <f t="shared" si="51"/>
        <v/>
      </c>
      <c r="AT897" s="49" t="str">
        <f t="shared" si="52"/>
        <v/>
      </c>
      <c r="AU897" s="49"/>
      <c r="AV897" s="49"/>
    </row>
    <row r="898" spans="1:48" ht="18" customHeight="1">
      <c r="A898" s="44">
        <v>896</v>
      </c>
      <c r="B898" s="52" t="s">
        <v>2702</v>
      </c>
      <c r="C898" s="80" t="s">
        <v>3295</v>
      </c>
      <c r="D898" s="46" t="s">
        <v>72</v>
      </c>
      <c r="E898" s="44" t="s">
        <v>3158</v>
      </c>
      <c r="F898" s="44" t="s">
        <v>3334</v>
      </c>
      <c r="G898" s="44"/>
      <c r="H898" s="44"/>
      <c r="I898" s="44"/>
      <c r="J898" s="47" t="s">
        <v>35</v>
      </c>
      <c r="K898" s="47"/>
      <c r="L898" s="47"/>
      <c r="M898" s="47"/>
      <c r="N898" s="47"/>
      <c r="O898" s="44"/>
      <c r="P898" s="44"/>
      <c r="Q898" s="48">
        <f>VLOOKUP(E898,sheet1!$B$2:$D$3209,3,FALSE)</f>
        <v>1385</v>
      </c>
      <c r="R898" s="47" t="s">
        <v>35</v>
      </c>
      <c r="S898" s="47" t="s">
        <v>35</v>
      </c>
      <c r="T898" s="47"/>
      <c r="U898" s="47" t="s">
        <v>296</v>
      </c>
      <c r="V898" s="47" t="s">
        <v>35</v>
      </c>
      <c r="W898" s="47" t="s">
        <v>296</v>
      </c>
      <c r="X898" s="47" t="s">
        <v>296</v>
      </c>
      <c r="Y898" s="47"/>
      <c r="Z898" s="47" t="s">
        <v>296</v>
      </c>
      <c r="AA898" s="47" t="s">
        <v>296</v>
      </c>
      <c r="AB898" s="47"/>
      <c r="AC898" s="47" t="s">
        <v>35</v>
      </c>
      <c r="AD898" s="75"/>
      <c r="AE898" s="49"/>
      <c r="AF898" s="56" t="s">
        <v>3335</v>
      </c>
      <c r="AG898" s="56" t="s">
        <v>3336</v>
      </c>
      <c r="AH898" s="49" t="str">
        <f t="shared" si="53"/>
        <v>関連会社別売掛金入金状況表</v>
      </c>
      <c r="AI898" s="49"/>
      <c r="AJ898" s="49"/>
      <c r="AK898" s="49"/>
      <c r="AL898" s="49"/>
      <c r="AM898" s="49"/>
      <c r="AN898" s="49"/>
      <c r="AO898" s="51" t="str">
        <f t="shared" si="49"/>
        <v>社員振込口座マスタメンテ</v>
      </c>
      <c r="AP898" s="51" t="str">
        <f t="shared" si="50"/>
        <v>PD0610</v>
      </c>
      <c r="AQ898" s="51" t="s">
        <v>3308</v>
      </c>
      <c r="AR898" s="51" t="s">
        <v>3309</v>
      </c>
      <c r="AS898" s="49" t="str">
        <f t="shared" si="51"/>
        <v/>
      </c>
      <c r="AT898" s="49" t="str">
        <f t="shared" si="52"/>
        <v/>
      </c>
      <c r="AU898" s="49"/>
      <c r="AV898" s="49"/>
    </row>
    <row r="899" spans="1:48" ht="18" customHeight="1">
      <c r="A899" s="44">
        <v>897</v>
      </c>
      <c r="B899" s="52" t="s">
        <v>2702</v>
      </c>
      <c r="C899" s="80" t="s">
        <v>3295</v>
      </c>
      <c r="D899" s="46" t="s">
        <v>72</v>
      </c>
      <c r="E899" s="44" t="s">
        <v>3309</v>
      </c>
      <c r="F899" s="44" t="s">
        <v>3337</v>
      </c>
      <c r="G899" s="44"/>
      <c r="H899" s="44"/>
      <c r="I899" s="44"/>
      <c r="J899" s="47" t="s">
        <v>35</v>
      </c>
      <c r="K899" s="47"/>
      <c r="L899" s="47"/>
      <c r="M899" s="47"/>
      <c r="N899" s="47"/>
      <c r="O899" s="44"/>
      <c r="P899" s="44"/>
      <c r="Q899" s="48">
        <f>VLOOKUP(E899,sheet1!$B$2:$D$3209,3,FALSE)</f>
        <v>449</v>
      </c>
      <c r="R899" s="47" t="s">
        <v>35</v>
      </c>
      <c r="S899" s="47" t="s">
        <v>35</v>
      </c>
      <c r="T899" s="47"/>
      <c r="U899" s="47" t="s">
        <v>296</v>
      </c>
      <c r="V899" s="47" t="s">
        <v>35</v>
      </c>
      <c r="W899" s="47" t="s">
        <v>296</v>
      </c>
      <c r="X899" s="47" t="s">
        <v>296</v>
      </c>
      <c r="Y899" s="47"/>
      <c r="Z899" s="47" t="s">
        <v>296</v>
      </c>
      <c r="AA899" s="47" t="s">
        <v>296</v>
      </c>
      <c r="AB899" s="47"/>
      <c r="AC899" s="47" t="s">
        <v>296</v>
      </c>
      <c r="AD899" s="75"/>
      <c r="AE899" s="49"/>
      <c r="AF899" s="56" t="s">
        <v>3338</v>
      </c>
      <c r="AG899" s="56" t="s">
        <v>3339</v>
      </c>
      <c r="AH899" s="49" t="str">
        <f t="shared" si="53"/>
        <v>売掛金管理表</v>
      </c>
      <c r="AI899" s="49"/>
      <c r="AJ899" s="49"/>
      <c r="AK899" s="49"/>
      <c r="AL899" s="49"/>
      <c r="AM899" s="49"/>
      <c r="AN899" s="49"/>
      <c r="AO899" s="51" t="str">
        <f t="shared" si="49"/>
        <v>試験仮払データ入力</v>
      </c>
      <c r="AP899" s="51" t="str">
        <f t="shared" si="50"/>
        <v>AC1810</v>
      </c>
      <c r="AQ899" s="51" t="s">
        <v>3311</v>
      </c>
      <c r="AR899" s="51" t="s">
        <v>3312</v>
      </c>
      <c r="AS899" s="49" t="str">
        <f t="shared" si="51"/>
        <v/>
      </c>
      <c r="AT899" s="49" t="str">
        <f t="shared" si="52"/>
        <v/>
      </c>
      <c r="AU899" s="49"/>
      <c r="AV899" s="49"/>
    </row>
    <row r="900" spans="1:48" ht="18" customHeight="1">
      <c r="A900" s="44">
        <v>898</v>
      </c>
      <c r="B900" s="52" t="s">
        <v>2702</v>
      </c>
      <c r="C900" s="45" t="s">
        <v>3340</v>
      </c>
      <c r="D900" s="46" t="s">
        <v>72</v>
      </c>
      <c r="E900" s="44" t="s">
        <v>3312</v>
      </c>
      <c r="F900" s="44" t="s">
        <v>3341</v>
      </c>
      <c r="G900" s="44"/>
      <c r="H900" s="44"/>
      <c r="I900" s="44"/>
      <c r="J900" s="47" t="s">
        <v>35</v>
      </c>
      <c r="K900" s="47"/>
      <c r="L900" s="47"/>
      <c r="M900" s="47"/>
      <c r="N900" s="47"/>
      <c r="O900" s="44"/>
      <c r="P900" s="44"/>
      <c r="Q900" s="48">
        <f>VLOOKUP(E900,sheet1!$B$2:$D$3209,3,FALSE)</f>
        <v>959</v>
      </c>
      <c r="R900" s="47" t="s">
        <v>35</v>
      </c>
      <c r="S900" s="47" t="s">
        <v>35</v>
      </c>
      <c r="T900" s="47"/>
      <c r="U900" s="47" t="s">
        <v>296</v>
      </c>
      <c r="V900" s="47" t="s">
        <v>296</v>
      </c>
      <c r="W900" s="47" t="s">
        <v>296</v>
      </c>
      <c r="X900" s="47" t="s">
        <v>296</v>
      </c>
      <c r="Y900" s="47"/>
      <c r="Z900" s="47" t="s">
        <v>296</v>
      </c>
      <c r="AA900" s="47" t="s">
        <v>296</v>
      </c>
      <c r="AB900" s="47"/>
      <c r="AC900" s="47" t="s">
        <v>35</v>
      </c>
      <c r="AD900" s="75"/>
      <c r="AE900" s="49"/>
      <c r="AF900" s="56" t="s">
        <v>3342</v>
      </c>
      <c r="AG900" s="56" t="s">
        <v>3343</v>
      </c>
      <c r="AH900" s="49" t="str">
        <f t="shared" si="53"/>
        <v>売掛金入金状況表</v>
      </c>
      <c r="AI900" s="49"/>
      <c r="AJ900" s="49"/>
      <c r="AK900" s="49"/>
      <c r="AL900" s="49"/>
      <c r="AM900" s="49"/>
      <c r="AN900" s="49"/>
      <c r="AO900" s="51" t="str">
        <f t="shared" si="49"/>
        <v>試験仮払データ更新</v>
      </c>
      <c r="AP900" s="51" t="str">
        <f t="shared" si="50"/>
        <v>AC1820</v>
      </c>
      <c r="AQ900" s="51" t="s">
        <v>3314</v>
      </c>
      <c r="AR900" s="51" t="s">
        <v>3315</v>
      </c>
      <c r="AS900" s="49" t="str">
        <f t="shared" si="51"/>
        <v/>
      </c>
      <c r="AT900" s="49" t="str">
        <f t="shared" si="52"/>
        <v/>
      </c>
      <c r="AU900" s="49"/>
      <c r="AV900" s="49"/>
    </row>
    <row r="901" spans="1:48" ht="18" customHeight="1">
      <c r="A901" s="44">
        <v>899</v>
      </c>
      <c r="B901" s="52" t="s">
        <v>2702</v>
      </c>
      <c r="C901" s="52" t="s">
        <v>3340</v>
      </c>
      <c r="D901" s="46" t="s">
        <v>72</v>
      </c>
      <c r="E901" s="44" t="s">
        <v>3315</v>
      </c>
      <c r="F901" s="44" t="s">
        <v>3344</v>
      </c>
      <c r="G901" s="44"/>
      <c r="H901" s="44"/>
      <c r="I901" s="44"/>
      <c r="J901" s="47" t="s">
        <v>35</v>
      </c>
      <c r="K901" s="47"/>
      <c r="L901" s="47"/>
      <c r="M901" s="47"/>
      <c r="N901" s="47"/>
      <c r="O901" s="44"/>
      <c r="P901" s="44"/>
      <c r="Q901" s="48">
        <f>VLOOKUP(E901,sheet1!$B$2:$D$3209,3,FALSE)</f>
        <v>564</v>
      </c>
      <c r="R901" s="47" t="s">
        <v>35</v>
      </c>
      <c r="S901" s="47" t="s">
        <v>35</v>
      </c>
      <c r="T901" s="47"/>
      <c r="U901" s="47" t="s">
        <v>296</v>
      </c>
      <c r="V901" s="47" t="s">
        <v>296</v>
      </c>
      <c r="W901" s="47" t="s">
        <v>296</v>
      </c>
      <c r="X901" s="47" t="s">
        <v>296</v>
      </c>
      <c r="Y901" s="47"/>
      <c r="Z901" s="47" t="s">
        <v>296</v>
      </c>
      <c r="AA901" s="47" t="s">
        <v>296</v>
      </c>
      <c r="AB901" s="47"/>
      <c r="AC901" s="47" t="s">
        <v>35</v>
      </c>
      <c r="AD901" s="75"/>
      <c r="AE901" s="49"/>
      <c r="AF901" s="56" t="s">
        <v>3345</v>
      </c>
      <c r="AG901" s="56" t="s">
        <v>3346</v>
      </c>
      <c r="AH901" s="49" t="str">
        <f t="shared" si="53"/>
        <v>売掛金ファイル作成</v>
      </c>
      <c r="AI901" s="49"/>
      <c r="AJ901" s="49"/>
      <c r="AK901" s="49"/>
      <c r="AL901" s="49"/>
      <c r="AM901" s="49"/>
      <c r="AN901" s="49"/>
      <c r="AO901" s="51" t="str">
        <f t="shared" si="49"/>
        <v>試験用仮払現金換算表</v>
      </c>
      <c r="AP901" s="51" t="str">
        <f t="shared" si="50"/>
        <v>AC1850I</v>
      </c>
      <c r="AQ901" s="51" t="s">
        <v>3317</v>
      </c>
      <c r="AR901" s="51" t="s">
        <v>3318</v>
      </c>
      <c r="AS901" s="49" t="str">
        <f t="shared" si="51"/>
        <v/>
      </c>
      <c r="AT901" s="49" t="str">
        <f t="shared" si="52"/>
        <v/>
      </c>
      <c r="AU901" s="49"/>
      <c r="AV901" s="49"/>
    </row>
    <row r="902" spans="1:48" ht="18" customHeight="1">
      <c r="A902" s="44">
        <v>900</v>
      </c>
      <c r="B902" s="52" t="s">
        <v>2702</v>
      </c>
      <c r="C902" s="52" t="s">
        <v>3340</v>
      </c>
      <c r="D902" s="46" t="s">
        <v>72</v>
      </c>
      <c r="E902" s="44" t="s">
        <v>3318</v>
      </c>
      <c r="F902" s="44" t="s">
        <v>3347</v>
      </c>
      <c r="G902" s="44"/>
      <c r="H902" s="44"/>
      <c r="I902" s="44"/>
      <c r="J902" s="47" t="s">
        <v>35</v>
      </c>
      <c r="K902" s="47"/>
      <c r="L902" s="47"/>
      <c r="M902" s="47"/>
      <c r="N902" s="47"/>
      <c r="O902" s="44"/>
      <c r="P902" s="44"/>
      <c r="Q902" s="48">
        <f>VLOOKUP(E902,sheet1!$B$2:$D$3209,3,FALSE)</f>
        <v>156</v>
      </c>
      <c r="R902" s="47" t="s">
        <v>35</v>
      </c>
      <c r="S902" s="47" t="s">
        <v>35</v>
      </c>
      <c r="T902" s="47"/>
      <c r="U902" s="47" t="s">
        <v>296</v>
      </c>
      <c r="V902" s="47" t="s">
        <v>296</v>
      </c>
      <c r="W902" s="47" t="s">
        <v>296</v>
      </c>
      <c r="X902" s="47" t="s">
        <v>296</v>
      </c>
      <c r="Y902" s="47"/>
      <c r="Z902" s="47" t="s">
        <v>296</v>
      </c>
      <c r="AA902" s="47" t="s">
        <v>296</v>
      </c>
      <c r="AB902" s="47"/>
      <c r="AC902" s="47" t="s">
        <v>35</v>
      </c>
      <c r="AD902" s="75"/>
      <c r="AE902" s="49"/>
      <c r="AF902" s="56" t="s">
        <v>3348</v>
      </c>
      <c r="AG902" s="56" t="s">
        <v>3349</v>
      </c>
      <c r="AH902" s="49" t="str">
        <f t="shared" si="53"/>
        <v>受取手形振出人訂正（入金管理番号）</v>
      </c>
      <c r="AI902" s="49"/>
      <c r="AJ902" s="49"/>
      <c r="AK902" s="49"/>
      <c r="AL902" s="49"/>
      <c r="AM902" s="49"/>
      <c r="AN902" s="49"/>
      <c r="AO902" s="51" t="str">
        <f t="shared" si="49"/>
        <v>主要外貨試験用現金一覧表</v>
      </c>
      <c r="AP902" s="51" t="str">
        <f t="shared" si="50"/>
        <v>AC1860I</v>
      </c>
      <c r="AQ902" s="51" t="s">
        <v>3319</v>
      </c>
      <c r="AR902" s="51" t="s">
        <v>3320</v>
      </c>
      <c r="AS902" s="49" t="str">
        <f t="shared" si="51"/>
        <v/>
      </c>
      <c r="AT902" s="49" t="str">
        <f t="shared" si="52"/>
        <v/>
      </c>
      <c r="AU902" s="49"/>
      <c r="AV902" s="49"/>
    </row>
    <row r="903" spans="1:48" ht="18" customHeight="1">
      <c r="A903" s="44">
        <v>901</v>
      </c>
      <c r="B903" s="52" t="s">
        <v>2702</v>
      </c>
      <c r="C903" s="52" t="s">
        <v>3340</v>
      </c>
      <c r="D903" s="46" t="s">
        <v>72</v>
      </c>
      <c r="E903" s="44" t="s">
        <v>3320</v>
      </c>
      <c r="F903" s="44" t="s">
        <v>3350</v>
      </c>
      <c r="G903" s="44"/>
      <c r="H903" s="44"/>
      <c r="I903" s="44"/>
      <c r="J903" s="47" t="s">
        <v>35</v>
      </c>
      <c r="K903" s="47"/>
      <c r="L903" s="47"/>
      <c r="M903" s="47"/>
      <c r="N903" s="47"/>
      <c r="O903" s="44"/>
      <c r="P903" s="44"/>
      <c r="Q903" s="48">
        <f>VLOOKUP(E903,sheet1!$B$2:$D$3209,3,FALSE)</f>
        <v>104</v>
      </c>
      <c r="R903" s="47" t="s">
        <v>35</v>
      </c>
      <c r="S903" s="47" t="s">
        <v>35</v>
      </c>
      <c r="T903" s="47"/>
      <c r="U903" s="47" t="s">
        <v>296</v>
      </c>
      <c r="V903" s="47" t="s">
        <v>296</v>
      </c>
      <c r="W903" s="47" t="s">
        <v>296</v>
      </c>
      <c r="X903" s="47" t="s">
        <v>296</v>
      </c>
      <c r="Y903" s="47"/>
      <c r="Z903" s="47" t="s">
        <v>296</v>
      </c>
      <c r="AA903" s="47" t="s">
        <v>296</v>
      </c>
      <c r="AB903" s="47"/>
      <c r="AC903" s="47" t="s">
        <v>35</v>
      </c>
      <c r="AD903" s="75"/>
      <c r="AE903" s="49"/>
      <c r="AF903" s="56" t="s">
        <v>3351</v>
      </c>
      <c r="AG903" s="56" t="s">
        <v>3352</v>
      </c>
      <c r="AH903" s="49" t="str">
        <f t="shared" si="53"/>
        <v>受取手形振出人訂正（手形管理NO）</v>
      </c>
      <c r="AI903" s="49"/>
      <c r="AJ903" s="49"/>
      <c r="AK903" s="49"/>
      <c r="AL903" s="49"/>
      <c r="AM903" s="49"/>
      <c r="AN903" s="49"/>
      <c r="AO903" s="51" t="str">
        <f t="shared" si="49"/>
        <v>試験用現金一覧表</v>
      </c>
      <c r="AP903" s="51" t="str">
        <f t="shared" si="50"/>
        <v>AC1870I</v>
      </c>
      <c r="AQ903" s="51" t="s">
        <v>3321</v>
      </c>
      <c r="AR903" s="51" t="s">
        <v>3322</v>
      </c>
      <c r="AS903" s="49" t="str">
        <f t="shared" si="51"/>
        <v/>
      </c>
      <c r="AT903" s="49" t="str">
        <f t="shared" si="52"/>
        <v/>
      </c>
      <c r="AU903" s="49"/>
      <c r="AV903" s="49"/>
    </row>
    <row r="904" spans="1:48" ht="18" customHeight="1">
      <c r="A904" s="44">
        <v>902</v>
      </c>
      <c r="B904" s="52" t="s">
        <v>2702</v>
      </c>
      <c r="C904" s="52" t="s">
        <v>3340</v>
      </c>
      <c r="D904" s="46" t="s">
        <v>72</v>
      </c>
      <c r="E904" s="44" t="s">
        <v>3322</v>
      </c>
      <c r="F904" s="44" t="s">
        <v>3353</v>
      </c>
      <c r="G904" s="44"/>
      <c r="H904" s="44"/>
      <c r="I904" s="44"/>
      <c r="J904" s="47" t="s">
        <v>35</v>
      </c>
      <c r="K904" s="47"/>
      <c r="L904" s="47"/>
      <c r="M904" s="47"/>
      <c r="N904" s="47"/>
      <c r="O904" s="44"/>
      <c r="P904" s="44"/>
      <c r="Q904" s="48">
        <f>VLOOKUP(E904,sheet1!$B$2:$D$3209,3,FALSE)</f>
        <v>125</v>
      </c>
      <c r="R904" s="47" t="s">
        <v>35</v>
      </c>
      <c r="S904" s="47" t="s">
        <v>35</v>
      </c>
      <c r="T904" s="47"/>
      <c r="U904" s="47" t="s">
        <v>296</v>
      </c>
      <c r="V904" s="47" t="s">
        <v>296</v>
      </c>
      <c r="W904" s="47" t="s">
        <v>296</v>
      </c>
      <c r="X904" s="47" t="s">
        <v>296</v>
      </c>
      <c r="Y904" s="47"/>
      <c r="Z904" s="47" t="s">
        <v>296</v>
      </c>
      <c r="AA904" s="47" t="s">
        <v>296</v>
      </c>
      <c r="AB904" s="47"/>
      <c r="AC904" s="47" t="s">
        <v>35</v>
      </c>
      <c r="AD904" s="75"/>
      <c r="AE904" s="49"/>
      <c r="AF904" s="56" t="s">
        <v>3354</v>
      </c>
      <c r="AG904" s="56" t="s">
        <v>3355</v>
      </c>
      <c r="AH904" s="49" t="str">
        <f t="shared" si="53"/>
        <v>売掛金ファイル</v>
      </c>
      <c r="AI904" s="49"/>
      <c r="AJ904" s="49"/>
      <c r="AK904" s="49"/>
      <c r="AL904" s="49"/>
      <c r="AM904" s="49"/>
      <c r="AN904" s="49"/>
      <c r="AO904" s="51" t="str">
        <f t="shared" si="49"/>
        <v>通貨レート一覧表</v>
      </c>
      <c r="AP904" s="51" t="str">
        <f t="shared" si="50"/>
        <v>AC1880L</v>
      </c>
      <c r="AQ904" s="51" t="s">
        <v>3323</v>
      </c>
      <c r="AR904" s="51" t="s">
        <v>3324</v>
      </c>
      <c r="AS904" s="49" t="str">
        <f t="shared" si="51"/>
        <v/>
      </c>
      <c r="AT904" s="49" t="str">
        <f t="shared" si="52"/>
        <v/>
      </c>
      <c r="AU904" s="49"/>
      <c r="AV904" s="49"/>
    </row>
    <row r="905" spans="1:48" ht="18" customHeight="1">
      <c r="A905" s="44">
        <v>903</v>
      </c>
      <c r="B905" s="52" t="s">
        <v>2702</v>
      </c>
      <c r="C905" s="52" t="s">
        <v>3340</v>
      </c>
      <c r="D905" s="46" t="s">
        <v>72</v>
      </c>
      <c r="E905" s="44" t="s">
        <v>3324</v>
      </c>
      <c r="F905" s="44" t="s">
        <v>3356</v>
      </c>
      <c r="G905" s="44"/>
      <c r="H905" s="44"/>
      <c r="I905" s="44"/>
      <c r="J905" s="47" t="s">
        <v>35</v>
      </c>
      <c r="K905" s="47"/>
      <c r="L905" s="47"/>
      <c r="M905" s="47"/>
      <c r="N905" s="47"/>
      <c r="O905" s="44"/>
      <c r="P905" s="44"/>
      <c r="Q905" s="48">
        <f>VLOOKUP(E905,sheet1!$B$2:$D$3209,3,FALSE)</f>
        <v>313</v>
      </c>
      <c r="R905" s="47" t="s">
        <v>35</v>
      </c>
      <c r="S905" s="47" t="s">
        <v>35</v>
      </c>
      <c r="T905" s="47"/>
      <c r="U905" s="47" t="s">
        <v>296</v>
      </c>
      <c r="V905" s="47" t="s">
        <v>296</v>
      </c>
      <c r="W905" s="47" t="s">
        <v>296</v>
      </c>
      <c r="X905" s="47" t="s">
        <v>296</v>
      </c>
      <c r="Y905" s="47"/>
      <c r="Z905" s="47" t="s">
        <v>296</v>
      </c>
      <c r="AA905" s="47" t="s">
        <v>296</v>
      </c>
      <c r="AB905" s="47"/>
      <c r="AC905" s="47" t="s">
        <v>35</v>
      </c>
      <c r="AD905" s="75"/>
      <c r="AE905" s="49"/>
      <c r="AF905" s="56" t="s">
        <v>3357</v>
      </c>
      <c r="AG905" s="56" t="s">
        <v>3358</v>
      </c>
      <c r="AH905" s="49" t="str">
        <f t="shared" si="53"/>
        <v>部門別インボイスＮｏ明細表</v>
      </c>
      <c r="AI905" s="49"/>
      <c r="AJ905" s="49"/>
      <c r="AK905" s="49"/>
      <c r="AL905" s="49"/>
      <c r="AM905" s="49"/>
      <c r="AN905" s="49"/>
      <c r="AO905" s="51" t="str">
        <f t="shared" si="49"/>
        <v>仮払金元帳</v>
      </c>
      <c r="AP905" s="51" t="str">
        <f t="shared" si="50"/>
        <v>AC1890I</v>
      </c>
      <c r="AQ905" s="51" t="s">
        <v>3326</v>
      </c>
      <c r="AR905" s="51" t="s">
        <v>3327</v>
      </c>
      <c r="AS905" s="49" t="str">
        <f t="shared" si="51"/>
        <v/>
      </c>
      <c r="AT905" s="49" t="str">
        <f t="shared" si="52"/>
        <v/>
      </c>
      <c r="AU905" s="49"/>
      <c r="AV905" s="49"/>
    </row>
    <row r="906" spans="1:48" ht="18" customHeight="1">
      <c r="A906" s="44">
        <v>904</v>
      </c>
      <c r="B906" s="52" t="s">
        <v>2702</v>
      </c>
      <c r="C906" s="52" t="s">
        <v>3340</v>
      </c>
      <c r="D906" s="46" t="s">
        <v>72</v>
      </c>
      <c r="E906" s="44" t="s">
        <v>3327</v>
      </c>
      <c r="F906" s="44" t="s">
        <v>3359</v>
      </c>
      <c r="G906" s="44"/>
      <c r="H906" s="44"/>
      <c r="I906" s="44"/>
      <c r="J906" s="47" t="s">
        <v>35</v>
      </c>
      <c r="K906" s="47"/>
      <c r="L906" s="47"/>
      <c r="M906" s="47"/>
      <c r="N906" s="47"/>
      <c r="O906" s="44"/>
      <c r="P906" s="44"/>
      <c r="Q906" s="48">
        <f>VLOOKUP(E906,sheet1!$B$2:$D$3209,3,FALSE)</f>
        <v>169</v>
      </c>
      <c r="R906" s="47" t="s">
        <v>35</v>
      </c>
      <c r="S906" s="47" t="s">
        <v>35</v>
      </c>
      <c r="T906" s="47"/>
      <c r="U906" s="47" t="s">
        <v>296</v>
      </c>
      <c r="V906" s="47" t="s">
        <v>296</v>
      </c>
      <c r="W906" s="47" t="s">
        <v>296</v>
      </c>
      <c r="X906" s="47" t="s">
        <v>296</v>
      </c>
      <c r="Y906" s="47"/>
      <c r="Z906" s="47" t="s">
        <v>296</v>
      </c>
      <c r="AA906" s="47" t="s">
        <v>296</v>
      </c>
      <c r="AB906" s="47"/>
      <c r="AC906" s="47" t="s">
        <v>35</v>
      </c>
      <c r="AD906" s="75"/>
      <c r="AE906" s="49"/>
      <c r="AF906" s="56" t="s">
        <v>3360</v>
      </c>
      <c r="AG906" s="56" t="s">
        <v>3361</v>
      </c>
      <c r="AH906" s="49" t="str">
        <f t="shared" si="53"/>
        <v>インボイスＮｏ明細表</v>
      </c>
      <c r="AI906" s="49"/>
      <c r="AJ906" s="49"/>
      <c r="AK906" s="49"/>
      <c r="AL906" s="49"/>
      <c r="AM906" s="49"/>
      <c r="AN906" s="49"/>
      <c r="AO906" s="51" t="str">
        <f t="shared" si="49"/>
        <v>試験用仮払現金実査表</v>
      </c>
      <c r="AP906" s="51" t="str">
        <f t="shared" si="50"/>
        <v>AC1895I</v>
      </c>
      <c r="AQ906" s="51" t="s">
        <v>3329</v>
      </c>
      <c r="AR906" s="51" t="s">
        <v>3330</v>
      </c>
      <c r="AS906" s="49" t="str">
        <f t="shared" si="51"/>
        <v/>
      </c>
      <c r="AT906" s="49" t="str">
        <f t="shared" si="52"/>
        <v/>
      </c>
      <c r="AU906" s="49"/>
      <c r="AV906" s="49"/>
    </row>
    <row r="907" spans="1:48" ht="18" customHeight="1">
      <c r="A907" s="44">
        <v>905</v>
      </c>
      <c r="B907" s="52" t="s">
        <v>2702</v>
      </c>
      <c r="C907" s="52" t="s">
        <v>3340</v>
      </c>
      <c r="D907" s="46" t="s">
        <v>72</v>
      </c>
      <c r="E907" s="44" t="s">
        <v>3330</v>
      </c>
      <c r="F907" s="44" t="s">
        <v>3362</v>
      </c>
      <c r="G907" s="44"/>
      <c r="H907" s="44"/>
      <c r="I907" s="44"/>
      <c r="J907" s="47" t="s">
        <v>35</v>
      </c>
      <c r="K907" s="47"/>
      <c r="L907" s="47"/>
      <c r="M907" s="47"/>
      <c r="N907" s="47"/>
      <c r="O907" s="44"/>
      <c r="P907" s="44"/>
      <c r="Q907" s="48">
        <f>VLOOKUP(E907,sheet1!$B$2:$D$3209,3,FALSE)</f>
        <v>178</v>
      </c>
      <c r="R907" s="47" t="s">
        <v>35</v>
      </c>
      <c r="S907" s="47" t="s">
        <v>35</v>
      </c>
      <c r="T907" s="47"/>
      <c r="U907" s="47" t="s">
        <v>35</v>
      </c>
      <c r="V907" s="47" t="s">
        <v>296</v>
      </c>
      <c r="W907" s="47" t="s">
        <v>35</v>
      </c>
      <c r="X907" s="47" t="s">
        <v>35</v>
      </c>
      <c r="Y907" s="47" t="s">
        <v>35</v>
      </c>
      <c r="Z907" s="47" t="s">
        <v>296</v>
      </c>
      <c r="AA907" s="47" t="s">
        <v>296</v>
      </c>
      <c r="AB907" s="47"/>
      <c r="AC907" s="47" t="s">
        <v>35</v>
      </c>
      <c r="AD907" s="75"/>
      <c r="AE907" s="49"/>
      <c r="AF907" s="56" t="s">
        <v>3363</v>
      </c>
      <c r="AG907" s="56" t="s">
        <v>3364</v>
      </c>
      <c r="AH907" s="49" t="str">
        <f t="shared" si="53"/>
        <v>外貨建売掛金ｲﾝﾎﾞｲｽNO別明細</v>
      </c>
      <c r="AI907" s="49"/>
      <c r="AJ907" s="49"/>
      <c r="AK907" s="49"/>
      <c r="AL907" s="49"/>
      <c r="AM907" s="49"/>
      <c r="AN907" s="49"/>
      <c r="AO907" s="51" t="str">
        <f t="shared" si="49"/>
        <v>試験仮払残高ﾏｽﾀｰ年次更新</v>
      </c>
      <c r="AP907" s="51" t="str">
        <f t="shared" si="50"/>
        <v>AC1820A</v>
      </c>
      <c r="AQ907" s="51" t="s">
        <v>3332</v>
      </c>
      <c r="AR907" s="51" t="s">
        <v>3333</v>
      </c>
      <c r="AS907" s="49" t="str">
        <f t="shared" si="51"/>
        <v/>
      </c>
      <c r="AT907" s="49" t="str">
        <f t="shared" si="52"/>
        <v/>
      </c>
      <c r="AU907" s="49"/>
      <c r="AV907" s="49"/>
    </row>
    <row r="908" spans="1:48" ht="18" customHeight="1">
      <c r="A908" s="44">
        <v>906</v>
      </c>
      <c r="B908" s="52" t="s">
        <v>2702</v>
      </c>
      <c r="C908" s="52" t="s">
        <v>3340</v>
      </c>
      <c r="D908" s="46" t="s">
        <v>72</v>
      </c>
      <c r="E908" s="44" t="s">
        <v>3333</v>
      </c>
      <c r="F908" s="44" t="s">
        <v>3365</v>
      </c>
      <c r="G908" s="44"/>
      <c r="H908" s="44"/>
      <c r="I908" s="44"/>
      <c r="J908" s="47" t="s">
        <v>35</v>
      </c>
      <c r="K908" s="47"/>
      <c r="L908" s="47"/>
      <c r="M908" s="47"/>
      <c r="N908" s="47"/>
      <c r="O908" s="44"/>
      <c r="P908" s="44"/>
      <c r="Q908" s="48">
        <f>VLOOKUP(E908,sheet1!$B$2:$D$3209,3,FALSE)</f>
        <v>407</v>
      </c>
      <c r="R908" s="47" t="s">
        <v>35</v>
      </c>
      <c r="S908" s="47" t="s">
        <v>35</v>
      </c>
      <c r="T908" s="47"/>
      <c r="U908" s="47" t="s">
        <v>296</v>
      </c>
      <c r="V908" s="47" t="s">
        <v>296</v>
      </c>
      <c r="W908" s="47" t="s">
        <v>296</v>
      </c>
      <c r="X908" s="47" t="s">
        <v>296</v>
      </c>
      <c r="Y908" s="47"/>
      <c r="Z908" s="47" t="s">
        <v>296</v>
      </c>
      <c r="AA908" s="47" t="s">
        <v>296</v>
      </c>
      <c r="AB908" s="47"/>
      <c r="AC908" s="47" t="s">
        <v>35</v>
      </c>
      <c r="AD908" s="75"/>
      <c r="AE908" s="49"/>
      <c r="AF908" s="56" t="s">
        <v>3366</v>
      </c>
      <c r="AG908" s="56" t="s">
        <v>3367</v>
      </c>
      <c r="AH908" s="49" t="str">
        <f t="shared" si="53"/>
        <v>販売計画数入力</v>
      </c>
      <c r="AI908" s="49"/>
      <c r="AJ908" s="49"/>
      <c r="AK908" s="49"/>
      <c r="AL908" s="49"/>
      <c r="AM908" s="49"/>
      <c r="AN908" s="49"/>
      <c r="AO908" s="51" t="str">
        <f t="shared" si="49"/>
        <v>関連会社別売掛金入金状況表</v>
      </c>
      <c r="AP908" s="51" t="str">
        <f t="shared" si="50"/>
        <v>AC0183X</v>
      </c>
      <c r="AQ908" s="51" t="s">
        <v>3335</v>
      </c>
      <c r="AR908" s="51" t="s">
        <v>3336</v>
      </c>
      <c r="AS908" s="49" t="str">
        <f t="shared" si="51"/>
        <v/>
      </c>
      <c r="AT908" s="49" t="str">
        <f t="shared" si="52"/>
        <v/>
      </c>
      <c r="AU908" s="49"/>
      <c r="AV908" s="49"/>
    </row>
    <row r="909" spans="1:48" ht="18" customHeight="1">
      <c r="A909" s="44">
        <v>907</v>
      </c>
      <c r="B909" s="52" t="s">
        <v>2702</v>
      </c>
      <c r="C909" s="75" t="s">
        <v>3368</v>
      </c>
      <c r="D909" s="46" t="s">
        <v>72</v>
      </c>
      <c r="E909" s="44" t="s">
        <v>3336</v>
      </c>
      <c r="F909" s="44" t="s">
        <v>3369</v>
      </c>
      <c r="G909" s="44"/>
      <c r="H909" s="44"/>
      <c r="I909" s="44"/>
      <c r="J909" s="47" t="s">
        <v>35</v>
      </c>
      <c r="K909" s="47"/>
      <c r="L909" s="47"/>
      <c r="M909" s="47"/>
      <c r="N909" s="47"/>
      <c r="O909" s="44"/>
      <c r="P909" s="44"/>
      <c r="Q909" s="48">
        <f>VLOOKUP(E909,sheet1!$B$2:$D$3209,3,FALSE)</f>
        <v>80</v>
      </c>
      <c r="R909" s="47" t="s">
        <v>35</v>
      </c>
      <c r="S909" s="47" t="s">
        <v>35</v>
      </c>
      <c r="T909" s="47"/>
      <c r="U909" s="47" t="s">
        <v>296</v>
      </c>
      <c r="V909" s="47" t="s">
        <v>35</v>
      </c>
      <c r="W909" s="47" t="s">
        <v>296</v>
      </c>
      <c r="X909" s="47" t="s">
        <v>296</v>
      </c>
      <c r="Y909" s="47"/>
      <c r="Z909" s="47" t="s">
        <v>296</v>
      </c>
      <c r="AA909" s="47" t="s">
        <v>296</v>
      </c>
      <c r="AB909" s="47"/>
      <c r="AC909" s="47" t="s">
        <v>35</v>
      </c>
      <c r="AD909" s="75"/>
      <c r="AE909" s="49"/>
      <c r="AF909" s="56" t="s">
        <v>3370</v>
      </c>
      <c r="AG909" s="56" t="s">
        <v>3371</v>
      </c>
      <c r="AH909" s="49" t="str">
        <f t="shared" si="53"/>
        <v>在庫計画数入力</v>
      </c>
      <c r="AI909" s="49"/>
      <c r="AJ909" s="49"/>
      <c r="AK909" s="49"/>
      <c r="AL909" s="49"/>
      <c r="AM909" s="49"/>
      <c r="AN909" s="49"/>
      <c r="AO909" s="51" t="str">
        <f t="shared" si="49"/>
        <v>売掛金管理表</v>
      </c>
      <c r="AP909" s="51" t="str">
        <f t="shared" si="50"/>
        <v>AC0180</v>
      </c>
      <c r="AQ909" s="51" t="s">
        <v>3338</v>
      </c>
      <c r="AR909" s="51" t="s">
        <v>3339</v>
      </c>
      <c r="AS909" s="49" t="str">
        <f t="shared" si="51"/>
        <v/>
      </c>
      <c r="AT909" s="49" t="str">
        <f t="shared" si="52"/>
        <v/>
      </c>
      <c r="AU909" s="49"/>
      <c r="AV909" s="49"/>
    </row>
    <row r="910" spans="1:48" ht="18" customHeight="1">
      <c r="A910" s="44">
        <v>908</v>
      </c>
      <c r="B910" s="52" t="s">
        <v>2702</v>
      </c>
      <c r="C910" s="80" t="s">
        <v>3368</v>
      </c>
      <c r="D910" s="46" t="s">
        <v>72</v>
      </c>
      <c r="E910" s="44" t="s">
        <v>3339</v>
      </c>
      <c r="F910" s="44" t="s">
        <v>3372</v>
      </c>
      <c r="G910" s="44"/>
      <c r="H910" s="44"/>
      <c r="I910" s="44"/>
      <c r="J910" s="47" t="s">
        <v>35</v>
      </c>
      <c r="K910" s="47"/>
      <c r="L910" s="47"/>
      <c r="M910" s="47"/>
      <c r="N910" s="47"/>
      <c r="O910" s="44"/>
      <c r="P910" s="44"/>
      <c r="Q910" s="48" t="e">
        <f>VLOOKUP(E910,sheet1!$B$2:$D$3209,3,FALSE)</f>
        <v>#N/A</v>
      </c>
      <c r="R910" s="47" t="s">
        <v>35</v>
      </c>
      <c r="S910" s="47" t="s">
        <v>35</v>
      </c>
      <c r="T910" s="47"/>
      <c r="U910" s="47" t="s">
        <v>296</v>
      </c>
      <c r="V910" s="47" t="s">
        <v>35</v>
      </c>
      <c r="W910" s="47" t="s">
        <v>296</v>
      </c>
      <c r="X910" s="47" t="s">
        <v>296</v>
      </c>
      <c r="Y910" s="47"/>
      <c r="Z910" s="47" t="s">
        <v>296</v>
      </c>
      <c r="AA910" s="47" t="s">
        <v>296</v>
      </c>
      <c r="AB910" s="47"/>
      <c r="AC910" s="47" t="s">
        <v>35</v>
      </c>
      <c r="AD910" s="75"/>
      <c r="AE910" s="49"/>
      <c r="AF910" s="56" t="s">
        <v>3373</v>
      </c>
      <c r="AG910" s="56" t="s">
        <v>3374</v>
      </c>
      <c r="AH910" s="49" t="str">
        <f t="shared" si="53"/>
        <v>生産計画数入力</v>
      </c>
      <c r="AI910" s="49"/>
      <c r="AJ910" s="49"/>
      <c r="AK910" s="49"/>
      <c r="AL910" s="49"/>
      <c r="AM910" s="49"/>
      <c r="AN910" s="49"/>
      <c r="AO910" s="51" t="str">
        <f t="shared" si="49"/>
        <v>売掛金入金状況表</v>
      </c>
      <c r="AP910" s="51" t="str">
        <f t="shared" si="50"/>
        <v>AC0185A</v>
      </c>
      <c r="AQ910" s="51" t="s">
        <v>3342</v>
      </c>
      <c r="AR910" s="51" t="s">
        <v>3343</v>
      </c>
      <c r="AS910" s="49" t="str">
        <f t="shared" si="51"/>
        <v/>
      </c>
      <c r="AT910" s="49" t="str">
        <f t="shared" si="52"/>
        <v/>
      </c>
      <c r="AU910" s="49"/>
      <c r="AV910" s="49"/>
    </row>
    <row r="911" spans="1:48" ht="18" customHeight="1">
      <c r="A911" s="44">
        <v>909</v>
      </c>
      <c r="B911" s="52" t="s">
        <v>2702</v>
      </c>
      <c r="C911" s="80" t="s">
        <v>3368</v>
      </c>
      <c r="D911" s="46" t="s">
        <v>72</v>
      </c>
      <c r="E911" s="44" t="s">
        <v>3343</v>
      </c>
      <c r="F911" s="44" t="s">
        <v>3375</v>
      </c>
      <c r="G911" s="44"/>
      <c r="H911" s="44"/>
      <c r="I911" s="44"/>
      <c r="J911" s="47" t="s">
        <v>35</v>
      </c>
      <c r="K911" s="47"/>
      <c r="L911" s="47"/>
      <c r="M911" s="47"/>
      <c r="N911" s="47"/>
      <c r="O911" s="44"/>
      <c r="P911" s="44"/>
      <c r="Q911" s="48">
        <f>VLOOKUP(E911,sheet1!$B$2:$D$3209,3,FALSE)</f>
        <v>1238</v>
      </c>
      <c r="R911" s="47" t="s">
        <v>35</v>
      </c>
      <c r="S911" s="47" t="s">
        <v>35</v>
      </c>
      <c r="T911" s="47"/>
      <c r="U911" s="47" t="s">
        <v>296</v>
      </c>
      <c r="V911" s="47" t="s">
        <v>35</v>
      </c>
      <c r="W911" s="47" t="s">
        <v>296</v>
      </c>
      <c r="X911" s="47" t="s">
        <v>296</v>
      </c>
      <c r="Y911" s="47"/>
      <c r="Z911" s="47" t="s">
        <v>296</v>
      </c>
      <c r="AA911" s="47" t="s">
        <v>296</v>
      </c>
      <c r="AB911" s="47"/>
      <c r="AC911" s="47" t="s">
        <v>35</v>
      </c>
      <c r="AD911" s="75"/>
      <c r="AE911" s="49"/>
      <c r="AF911" s="56" t="s">
        <v>3376</v>
      </c>
      <c r="AG911" s="56" t="s">
        <v>3377</v>
      </c>
      <c r="AH911" s="49" t="str">
        <f t="shared" si="53"/>
        <v>販売計画数チェックリスト</v>
      </c>
      <c r="AI911" s="49"/>
      <c r="AJ911" s="49"/>
      <c r="AK911" s="49"/>
      <c r="AL911" s="49"/>
      <c r="AM911" s="49"/>
      <c r="AN911" s="49"/>
      <c r="AO911" s="51" t="str">
        <f t="shared" si="49"/>
        <v>売掛金ファイル作成</v>
      </c>
      <c r="AP911" s="51" t="str">
        <f t="shared" si="50"/>
        <v>MM6010</v>
      </c>
      <c r="AQ911" s="51" t="s">
        <v>3345</v>
      </c>
      <c r="AR911" s="51" t="s">
        <v>3346</v>
      </c>
      <c r="AS911" s="49" t="str">
        <f t="shared" si="51"/>
        <v/>
      </c>
      <c r="AT911" s="49" t="str">
        <f t="shared" si="52"/>
        <v/>
      </c>
      <c r="AU911" s="49"/>
      <c r="AV911" s="49"/>
    </row>
    <row r="912" spans="1:48" ht="18" customHeight="1">
      <c r="A912" s="44">
        <v>910</v>
      </c>
      <c r="B912" s="52" t="s">
        <v>2702</v>
      </c>
      <c r="C912" s="80" t="s">
        <v>3368</v>
      </c>
      <c r="D912" s="46" t="s">
        <v>72</v>
      </c>
      <c r="E912" s="44" t="s">
        <v>3346</v>
      </c>
      <c r="F912" s="44" t="s">
        <v>3378</v>
      </c>
      <c r="G912" s="44"/>
      <c r="H912" s="44"/>
      <c r="I912" s="44"/>
      <c r="J912" s="47" t="s">
        <v>35</v>
      </c>
      <c r="K912" s="47"/>
      <c r="L912" s="47"/>
      <c r="M912" s="47"/>
      <c r="N912" s="47"/>
      <c r="O912" s="44"/>
      <c r="P912" s="44"/>
      <c r="Q912" s="48">
        <f>VLOOKUP(E912,sheet1!$B$2:$D$3209,3,FALSE)</f>
        <v>170</v>
      </c>
      <c r="R912" s="47" t="s">
        <v>35</v>
      </c>
      <c r="S912" s="47" t="s">
        <v>35</v>
      </c>
      <c r="T912" s="47"/>
      <c r="U912" s="47" t="s">
        <v>296</v>
      </c>
      <c r="V912" s="47" t="s">
        <v>296</v>
      </c>
      <c r="W912" s="47" t="s">
        <v>296</v>
      </c>
      <c r="X912" s="47" t="s">
        <v>296</v>
      </c>
      <c r="Y912" s="47"/>
      <c r="Z912" s="47" t="s">
        <v>296</v>
      </c>
      <c r="AA912" s="47" t="s">
        <v>296</v>
      </c>
      <c r="AB912" s="47"/>
      <c r="AC912" s="47" t="s">
        <v>35</v>
      </c>
      <c r="AD912" s="75"/>
      <c r="AE912" s="49"/>
      <c r="AF912" s="56" t="s">
        <v>3379</v>
      </c>
      <c r="AG912" s="56" t="s">
        <v>3380</v>
      </c>
      <c r="AH912" s="49" t="str">
        <f t="shared" si="53"/>
        <v>在庫計画数チェックリスト</v>
      </c>
      <c r="AI912" s="49"/>
      <c r="AJ912" s="49"/>
      <c r="AK912" s="49"/>
      <c r="AL912" s="49"/>
      <c r="AM912" s="49"/>
      <c r="AN912" s="49"/>
      <c r="AO912" s="51" t="str">
        <f t="shared" si="49"/>
        <v>受取手形振出人訂正（入金管理番号）</v>
      </c>
      <c r="AP912" s="51" t="str">
        <f t="shared" si="50"/>
        <v>DF¥UTGTRP</v>
      </c>
      <c r="AQ912" s="51" t="s">
        <v>3348</v>
      </c>
      <c r="AR912" s="51" t="s">
        <v>3349</v>
      </c>
      <c r="AS912" s="49" t="str">
        <f t="shared" si="51"/>
        <v/>
      </c>
      <c r="AT912" s="49" t="str">
        <f t="shared" si="52"/>
        <v/>
      </c>
      <c r="AU912" s="49"/>
      <c r="AV912" s="49"/>
    </row>
    <row r="913" spans="1:48" ht="18" customHeight="1">
      <c r="A913" s="44">
        <v>911</v>
      </c>
      <c r="B913" s="52" t="s">
        <v>2702</v>
      </c>
      <c r="C913" s="80" t="s">
        <v>3368</v>
      </c>
      <c r="D913" s="46" t="s">
        <v>72</v>
      </c>
      <c r="E913" s="44" t="s">
        <v>3349</v>
      </c>
      <c r="F913" s="44" t="s">
        <v>3381</v>
      </c>
      <c r="G913" s="44"/>
      <c r="H913" s="44"/>
      <c r="I913" s="44"/>
      <c r="J913" s="47" t="s">
        <v>35</v>
      </c>
      <c r="K913" s="47"/>
      <c r="L913" s="47"/>
      <c r="M913" s="47"/>
      <c r="N913" s="47"/>
      <c r="O913" s="44"/>
      <c r="P913" s="44"/>
      <c r="Q913" s="48" t="e">
        <f>VLOOKUP(E913,sheet1!$B$2:$D$3209,3,FALSE)</f>
        <v>#N/A</v>
      </c>
      <c r="R913" s="47" t="s">
        <v>35</v>
      </c>
      <c r="S913" s="47" t="s">
        <v>35</v>
      </c>
      <c r="T913" s="47"/>
      <c r="U913" s="47" t="s">
        <v>296</v>
      </c>
      <c r="V913" s="47" t="s">
        <v>296</v>
      </c>
      <c r="W913" s="47" t="s">
        <v>296</v>
      </c>
      <c r="X913" s="47" t="s">
        <v>296</v>
      </c>
      <c r="Y913" s="47"/>
      <c r="Z913" s="47" t="s">
        <v>296</v>
      </c>
      <c r="AA913" s="47" t="s">
        <v>296</v>
      </c>
      <c r="AB913" s="47"/>
      <c r="AC913" s="47" t="s">
        <v>35</v>
      </c>
      <c r="AD913" s="75"/>
      <c r="AE913" s="49"/>
      <c r="AF913" s="56" t="s">
        <v>3382</v>
      </c>
      <c r="AG913" s="56" t="s">
        <v>3383</v>
      </c>
      <c r="AH913" s="49" t="str">
        <f t="shared" si="53"/>
        <v>生産計画数チェックリスト</v>
      </c>
      <c r="AI913" s="49"/>
      <c r="AJ913" s="49"/>
      <c r="AK913" s="49"/>
      <c r="AL913" s="49"/>
      <c r="AM913" s="49"/>
      <c r="AN913" s="49"/>
      <c r="AO913" s="51" t="str">
        <f t="shared" si="49"/>
        <v>受取手形振出人訂正（手形管理NO）</v>
      </c>
      <c r="AP913" s="51" t="str">
        <f t="shared" si="50"/>
        <v>DF¥UTGTR01</v>
      </c>
      <c r="AQ913" s="51" t="s">
        <v>3351</v>
      </c>
      <c r="AR913" s="51" t="s">
        <v>3352</v>
      </c>
      <c r="AS913" s="49" t="str">
        <f t="shared" si="51"/>
        <v/>
      </c>
      <c r="AT913" s="49" t="str">
        <f t="shared" si="52"/>
        <v/>
      </c>
      <c r="AU913" s="49"/>
      <c r="AV913" s="49"/>
    </row>
    <row r="914" spans="1:48" ht="18" customHeight="1">
      <c r="A914" s="44">
        <v>912</v>
      </c>
      <c r="B914" s="52" t="s">
        <v>2702</v>
      </c>
      <c r="C914" s="80" t="s">
        <v>3368</v>
      </c>
      <c r="D914" s="46" t="s">
        <v>72</v>
      </c>
      <c r="E914" s="44" t="s">
        <v>3352</v>
      </c>
      <c r="F914" s="44" t="s">
        <v>3384</v>
      </c>
      <c r="G914" s="44"/>
      <c r="H914" s="44"/>
      <c r="I914" s="44"/>
      <c r="J914" s="47" t="s">
        <v>35</v>
      </c>
      <c r="K914" s="47"/>
      <c r="L914" s="47"/>
      <c r="M914" s="47"/>
      <c r="N914" s="47"/>
      <c r="O914" s="44"/>
      <c r="P914" s="44"/>
      <c r="Q914" s="48" t="e">
        <f>VLOOKUP(E914,sheet1!$B$2:$D$3209,3,FALSE)</f>
        <v>#N/A</v>
      </c>
      <c r="R914" s="47" t="s">
        <v>35</v>
      </c>
      <c r="S914" s="47" t="s">
        <v>35</v>
      </c>
      <c r="T914" s="47"/>
      <c r="U914" s="47" t="s">
        <v>296</v>
      </c>
      <c r="V914" s="47" t="s">
        <v>296</v>
      </c>
      <c r="W914" s="47" t="s">
        <v>296</v>
      </c>
      <c r="X914" s="47" t="s">
        <v>296</v>
      </c>
      <c r="Y914" s="47"/>
      <c r="Z914" s="47" t="s">
        <v>296</v>
      </c>
      <c r="AA914" s="47" t="s">
        <v>296</v>
      </c>
      <c r="AB914" s="47"/>
      <c r="AC914" s="47" t="s">
        <v>35</v>
      </c>
      <c r="AD914" s="75"/>
      <c r="AE914" s="49"/>
      <c r="AF914" s="56" t="s">
        <v>3385</v>
      </c>
      <c r="AG914" s="56" t="s">
        <v>3386</v>
      </c>
      <c r="AH914" s="49" t="str">
        <f t="shared" si="53"/>
        <v>製品別売上予算</v>
      </c>
      <c r="AI914" s="49"/>
      <c r="AJ914" s="49"/>
      <c r="AK914" s="49"/>
      <c r="AL914" s="49"/>
      <c r="AM914" s="49"/>
      <c r="AN914" s="49"/>
      <c r="AO914" s="51" t="str">
        <f t="shared" si="49"/>
        <v>売掛金ファイル</v>
      </c>
      <c r="AP914" s="51" t="str">
        <f t="shared" si="50"/>
        <v>AC0170</v>
      </c>
      <c r="AQ914" s="51" t="s">
        <v>3354</v>
      </c>
      <c r="AR914" s="51" t="s">
        <v>3355</v>
      </c>
      <c r="AS914" s="49" t="str">
        <f t="shared" si="51"/>
        <v/>
      </c>
      <c r="AT914" s="49" t="str">
        <f t="shared" si="52"/>
        <v/>
      </c>
      <c r="AU914" s="49"/>
      <c r="AV914" s="49"/>
    </row>
    <row r="915" spans="1:48" ht="18" customHeight="1">
      <c r="A915" s="44">
        <v>913</v>
      </c>
      <c r="B915" s="52" t="s">
        <v>2702</v>
      </c>
      <c r="C915" s="80" t="s">
        <v>3368</v>
      </c>
      <c r="D915" s="46" t="s">
        <v>72</v>
      </c>
      <c r="E915" s="44" t="s">
        <v>3355</v>
      </c>
      <c r="F915" s="44" t="s">
        <v>3387</v>
      </c>
      <c r="G915" s="44"/>
      <c r="H915" s="44"/>
      <c r="I915" s="44"/>
      <c r="J915" s="47" t="s">
        <v>35</v>
      </c>
      <c r="K915" s="47"/>
      <c r="L915" s="47"/>
      <c r="M915" s="47"/>
      <c r="N915" s="47"/>
      <c r="O915" s="44"/>
      <c r="P915" s="44"/>
      <c r="Q915" s="48" t="e">
        <f>VLOOKUP(E915,sheet1!$B$2:$D$3209,3,FALSE)</f>
        <v>#N/A</v>
      </c>
      <c r="R915" s="47" t="s">
        <v>35</v>
      </c>
      <c r="S915" s="47" t="s">
        <v>35</v>
      </c>
      <c r="T915" s="47"/>
      <c r="U915" s="47" t="s">
        <v>296</v>
      </c>
      <c r="V915" s="47" t="s">
        <v>296</v>
      </c>
      <c r="W915" s="47" t="s">
        <v>296</v>
      </c>
      <c r="X915" s="47" t="s">
        <v>296</v>
      </c>
      <c r="Y915" s="47"/>
      <c r="Z915" s="47" t="s">
        <v>296</v>
      </c>
      <c r="AA915" s="47" t="s">
        <v>296</v>
      </c>
      <c r="AB915" s="47"/>
      <c r="AC915" s="47" t="s">
        <v>35</v>
      </c>
      <c r="AD915" s="75"/>
      <c r="AE915" s="49"/>
      <c r="AF915" s="56" t="s">
        <v>3388</v>
      </c>
      <c r="AG915" s="56" t="s">
        <v>3389</v>
      </c>
      <c r="AH915" s="49" t="str">
        <f t="shared" si="53"/>
        <v>得意先別売上予算</v>
      </c>
      <c r="AI915" s="49"/>
      <c r="AJ915" s="49"/>
      <c r="AK915" s="49"/>
      <c r="AL915" s="49"/>
      <c r="AM915" s="49"/>
      <c r="AN915" s="49"/>
      <c r="AO915" s="51" t="str">
        <f t="shared" si="49"/>
        <v>部門別インボイスＮｏ明細表</v>
      </c>
      <c r="AP915" s="51" t="str">
        <f t="shared" si="50"/>
        <v>MM5200</v>
      </c>
      <c r="AQ915" s="51" t="s">
        <v>3357</v>
      </c>
      <c r="AR915" s="51" t="s">
        <v>3358</v>
      </c>
      <c r="AS915" s="49" t="str">
        <f t="shared" si="51"/>
        <v/>
      </c>
      <c r="AT915" s="49" t="str">
        <f t="shared" si="52"/>
        <v/>
      </c>
      <c r="AU915" s="49"/>
      <c r="AV915" s="49"/>
    </row>
    <row r="916" spans="1:48" ht="18" customHeight="1">
      <c r="A916" s="44">
        <v>914</v>
      </c>
      <c r="B916" s="52" t="s">
        <v>2702</v>
      </c>
      <c r="C916" s="80" t="s">
        <v>3368</v>
      </c>
      <c r="D916" s="46" t="s">
        <v>72</v>
      </c>
      <c r="E916" s="44" t="s">
        <v>3358</v>
      </c>
      <c r="F916" s="44" t="s">
        <v>3390</v>
      </c>
      <c r="G916" s="44"/>
      <c r="H916" s="44"/>
      <c r="I916" s="44"/>
      <c r="J916" s="47" t="s">
        <v>35</v>
      </c>
      <c r="K916" s="47"/>
      <c r="L916" s="47"/>
      <c r="M916" s="47"/>
      <c r="N916" s="47"/>
      <c r="O916" s="44"/>
      <c r="P916" s="44"/>
      <c r="Q916" s="48">
        <f>VLOOKUP(E916,sheet1!$B$2:$D$3209,3,FALSE)</f>
        <v>353</v>
      </c>
      <c r="R916" s="47" t="s">
        <v>35</v>
      </c>
      <c r="S916" s="47" t="s">
        <v>35</v>
      </c>
      <c r="T916" s="47"/>
      <c r="U916" s="47" t="s">
        <v>296</v>
      </c>
      <c r="V916" s="47" t="s">
        <v>296</v>
      </c>
      <c r="W916" s="47" t="s">
        <v>296</v>
      </c>
      <c r="X916" s="47" t="s">
        <v>296</v>
      </c>
      <c r="Y916" s="47"/>
      <c r="Z916" s="47" t="s">
        <v>296</v>
      </c>
      <c r="AA916" s="47" t="s">
        <v>296</v>
      </c>
      <c r="AB916" s="47"/>
      <c r="AC916" s="47" t="s">
        <v>35</v>
      </c>
      <c r="AD916" s="75"/>
      <c r="AE916" s="49"/>
      <c r="AF916" s="56" t="s">
        <v>3391</v>
      </c>
      <c r="AG916" s="56" t="s">
        <v>3392</v>
      </c>
      <c r="AH916" s="49" t="str">
        <f t="shared" si="53"/>
        <v>製商品別・生産・販売在庫予算</v>
      </c>
      <c r="AI916" s="49"/>
      <c r="AJ916" s="49"/>
      <c r="AK916" s="49"/>
      <c r="AL916" s="49"/>
      <c r="AM916" s="49"/>
      <c r="AN916" s="49"/>
      <c r="AO916" s="51" t="str">
        <f t="shared" si="49"/>
        <v>インボイスＮｏ明細表</v>
      </c>
      <c r="AP916" s="51" t="str">
        <f t="shared" si="50"/>
        <v>MM5210</v>
      </c>
      <c r="AQ916" s="51" t="s">
        <v>3360</v>
      </c>
      <c r="AR916" s="51" t="s">
        <v>3361</v>
      </c>
      <c r="AS916" s="49" t="str">
        <f t="shared" si="51"/>
        <v/>
      </c>
      <c r="AT916" s="49" t="str">
        <f t="shared" si="52"/>
        <v/>
      </c>
      <c r="AU916" s="49"/>
      <c r="AV916" s="49"/>
    </row>
    <row r="917" spans="1:48" ht="18" customHeight="1">
      <c r="A917" s="44">
        <v>915</v>
      </c>
      <c r="B917" s="52" t="s">
        <v>2702</v>
      </c>
      <c r="C917" s="80" t="s">
        <v>3368</v>
      </c>
      <c r="D917" s="46" t="s">
        <v>72</v>
      </c>
      <c r="E917" s="44" t="s">
        <v>3361</v>
      </c>
      <c r="F917" s="44" t="s">
        <v>3393</v>
      </c>
      <c r="G917" s="44"/>
      <c r="H917" s="44"/>
      <c r="I917" s="44"/>
      <c r="J917" s="47" t="s">
        <v>35</v>
      </c>
      <c r="K917" s="47"/>
      <c r="L917" s="47"/>
      <c r="M917" s="47"/>
      <c r="N917" s="47"/>
      <c r="O917" s="44"/>
      <c r="P917" s="44"/>
      <c r="Q917" s="48">
        <f>VLOOKUP(E917,sheet1!$B$2:$D$3209,3,FALSE)</f>
        <v>338</v>
      </c>
      <c r="R917" s="47" t="s">
        <v>35</v>
      </c>
      <c r="S917" s="47" t="s">
        <v>35</v>
      </c>
      <c r="T917" s="47"/>
      <c r="U917" s="47" t="s">
        <v>296</v>
      </c>
      <c r="V917" s="47" t="s">
        <v>296</v>
      </c>
      <c r="W917" s="47" t="s">
        <v>296</v>
      </c>
      <c r="X917" s="47" t="s">
        <v>296</v>
      </c>
      <c r="Y917" s="47"/>
      <c r="Z917" s="47" t="s">
        <v>296</v>
      </c>
      <c r="AA917" s="47" t="s">
        <v>296</v>
      </c>
      <c r="AB917" s="47"/>
      <c r="AC917" s="47" t="s">
        <v>35</v>
      </c>
      <c r="AD917" s="75"/>
      <c r="AE917" s="49"/>
      <c r="AF917" s="56" t="s">
        <v>3394</v>
      </c>
      <c r="AG917" s="56" t="s">
        <v>3395</v>
      </c>
      <c r="AH917" s="49" t="str">
        <f t="shared" si="53"/>
        <v>製商品別・生産・販売在庫金額</v>
      </c>
      <c r="AI917" s="49"/>
      <c r="AJ917" s="49"/>
      <c r="AK917" s="49"/>
      <c r="AL917" s="49"/>
      <c r="AM917" s="49"/>
      <c r="AN917" s="49"/>
      <c r="AO917" s="51" t="str">
        <f t="shared" si="49"/>
        <v>外貨建売掛金ｲﾝﾎﾞｲｽNO別明細</v>
      </c>
      <c r="AP917" s="51" t="str">
        <f t="shared" si="50"/>
        <v>MM5220</v>
      </c>
      <c r="AQ917" s="51" t="s">
        <v>3363</v>
      </c>
      <c r="AR917" s="51" t="s">
        <v>3364</v>
      </c>
      <c r="AS917" s="49" t="str">
        <f t="shared" si="51"/>
        <v/>
      </c>
      <c r="AT917" s="49" t="str">
        <f t="shared" si="52"/>
        <v/>
      </c>
      <c r="AU917" s="49"/>
      <c r="AV917" s="49"/>
    </row>
    <row r="918" spans="1:48" ht="18" customHeight="1">
      <c r="A918" s="44">
        <v>916</v>
      </c>
      <c r="B918" s="52" t="s">
        <v>2702</v>
      </c>
      <c r="C918" s="80" t="s">
        <v>3368</v>
      </c>
      <c r="D918" s="46" t="s">
        <v>72</v>
      </c>
      <c r="E918" s="44" t="s">
        <v>3364</v>
      </c>
      <c r="F918" s="44" t="s">
        <v>3396</v>
      </c>
      <c r="G918" s="44"/>
      <c r="H918" s="44"/>
      <c r="I918" s="44"/>
      <c r="J918" s="47" t="s">
        <v>35</v>
      </c>
      <c r="K918" s="47"/>
      <c r="L918" s="47"/>
      <c r="M918" s="47"/>
      <c r="N918" s="47"/>
      <c r="O918" s="44"/>
      <c r="P918" s="44"/>
      <c r="Q918" s="48">
        <f>VLOOKUP(E918,sheet1!$B$2:$D$3209,3,FALSE)</f>
        <v>469</v>
      </c>
      <c r="R918" s="47" t="s">
        <v>35</v>
      </c>
      <c r="S918" s="47" t="s">
        <v>35</v>
      </c>
      <c r="T918" s="47"/>
      <c r="U918" s="47" t="s">
        <v>296</v>
      </c>
      <c r="V918" s="47" t="s">
        <v>296</v>
      </c>
      <c r="W918" s="47" t="s">
        <v>296</v>
      </c>
      <c r="X918" s="47" t="s">
        <v>296</v>
      </c>
      <c r="Y918" s="47"/>
      <c r="Z918" s="47" t="s">
        <v>296</v>
      </c>
      <c r="AA918" s="47" t="s">
        <v>296</v>
      </c>
      <c r="AB918" s="47"/>
      <c r="AC918" s="47" t="s">
        <v>35</v>
      </c>
      <c r="AD918" s="75"/>
      <c r="AE918" s="49"/>
      <c r="AF918" s="56" t="s">
        <v>3397</v>
      </c>
      <c r="AG918" s="56" t="s">
        <v>3398</v>
      </c>
      <c r="AH918" s="49" t="str">
        <f t="shared" si="53"/>
        <v>売上・原価予算ﾘｽﾄ</v>
      </c>
      <c r="AI918" s="49"/>
      <c r="AJ918" s="49"/>
      <c r="AK918" s="49"/>
      <c r="AL918" s="49"/>
      <c r="AM918" s="49"/>
      <c r="AN918" s="49"/>
      <c r="AO918" s="51" t="str">
        <f t="shared" si="49"/>
        <v>販売計画数入力</v>
      </c>
      <c r="AP918" s="51" t="str">
        <f t="shared" si="50"/>
        <v>AC9865</v>
      </c>
      <c r="AQ918" s="51" t="s">
        <v>3366</v>
      </c>
      <c r="AR918" s="51" t="s">
        <v>3367</v>
      </c>
      <c r="AS918" s="49" t="str">
        <f t="shared" si="51"/>
        <v/>
      </c>
      <c r="AT918" s="49" t="str">
        <f t="shared" si="52"/>
        <v/>
      </c>
      <c r="AU918" s="49"/>
      <c r="AV918" s="49"/>
    </row>
    <row r="919" spans="1:48" ht="18" customHeight="1">
      <c r="A919" s="44">
        <v>917</v>
      </c>
      <c r="B919" s="52" t="s">
        <v>2702</v>
      </c>
      <c r="C919" s="75" t="s">
        <v>3399</v>
      </c>
      <c r="D919" s="46" t="s">
        <v>72</v>
      </c>
      <c r="E919" s="44" t="s">
        <v>3367</v>
      </c>
      <c r="F919" s="44" t="s">
        <v>3400</v>
      </c>
      <c r="G919" s="44"/>
      <c r="H919" s="44"/>
      <c r="I919" s="44"/>
      <c r="J919" s="47" t="s">
        <v>35</v>
      </c>
      <c r="K919" s="47"/>
      <c r="L919" s="47"/>
      <c r="M919" s="47"/>
      <c r="N919" s="47"/>
      <c r="O919" s="44"/>
      <c r="P919" s="44"/>
      <c r="Q919" s="48">
        <f>VLOOKUP(E919,sheet1!$B$2:$D$3209,3,FALSE)</f>
        <v>981</v>
      </c>
      <c r="R919" s="47" t="s">
        <v>35</v>
      </c>
      <c r="S919" s="47" t="s">
        <v>35</v>
      </c>
      <c r="T919" s="47"/>
      <c r="U919" s="47" t="s">
        <v>296</v>
      </c>
      <c r="V919" s="47" t="s">
        <v>296</v>
      </c>
      <c r="W919" s="47" t="s">
        <v>296</v>
      </c>
      <c r="X919" s="47" t="s">
        <v>296</v>
      </c>
      <c r="Y919" s="47"/>
      <c r="Z919" s="47" t="s">
        <v>296</v>
      </c>
      <c r="AA919" s="47" t="s">
        <v>296</v>
      </c>
      <c r="AB919" s="47"/>
      <c r="AC919" s="47" t="s">
        <v>35</v>
      </c>
      <c r="AD919" s="75"/>
      <c r="AE919" s="49"/>
      <c r="AF919" s="56" t="s">
        <v>3401</v>
      </c>
      <c r="AG919" s="56" t="s">
        <v>3402</v>
      </c>
      <c r="AH919" s="49" t="str">
        <f t="shared" si="53"/>
        <v>仕入在庫予算</v>
      </c>
      <c r="AI919" s="49"/>
      <c r="AJ919" s="49"/>
      <c r="AK919" s="49"/>
      <c r="AL919" s="49"/>
      <c r="AM919" s="49"/>
      <c r="AN919" s="49"/>
      <c r="AO919" s="51" t="str">
        <f t="shared" si="49"/>
        <v>在庫計画数入力</v>
      </c>
      <c r="AP919" s="51" t="str">
        <f t="shared" si="50"/>
        <v>AC9866</v>
      </c>
      <c r="AQ919" s="51" t="s">
        <v>3370</v>
      </c>
      <c r="AR919" s="51" t="s">
        <v>3371</v>
      </c>
      <c r="AS919" s="49" t="str">
        <f t="shared" si="51"/>
        <v/>
      </c>
      <c r="AT919" s="49" t="str">
        <f t="shared" si="52"/>
        <v/>
      </c>
      <c r="AU919" s="49"/>
      <c r="AV919" s="49"/>
    </row>
    <row r="920" spans="1:48" ht="18" customHeight="1">
      <c r="A920" s="44">
        <v>918</v>
      </c>
      <c r="B920" s="52" t="s">
        <v>2702</v>
      </c>
      <c r="C920" s="80" t="s">
        <v>3399</v>
      </c>
      <c r="D920" s="46" t="s">
        <v>72</v>
      </c>
      <c r="E920" s="44" t="s">
        <v>3371</v>
      </c>
      <c r="F920" s="44" t="s">
        <v>3403</v>
      </c>
      <c r="G920" s="44"/>
      <c r="H920" s="44"/>
      <c r="I920" s="44"/>
      <c r="J920" s="47" t="s">
        <v>35</v>
      </c>
      <c r="K920" s="47"/>
      <c r="L920" s="47"/>
      <c r="M920" s="47"/>
      <c r="N920" s="47"/>
      <c r="O920" s="44"/>
      <c r="P920" s="44"/>
      <c r="Q920" s="48">
        <f>VLOOKUP(E920,sheet1!$B$2:$D$3209,3,FALSE)</f>
        <v>752</v>
      </c>
      <c r="R920" s="47" t="s">
        <v>35</v>
      </c>
      <c r="S920" s="47" t="s">
        <v>35</v>
      </c>
      <c r="T920" s="47"/>
      <c r="U920" s="47" t="s">
        <v>296</v>
      </c>
      <c r="V920" s="47" t="s">
        <v>296</v>
      </c>
      <c r="W920" s="47" t="s">
        <v>296</v>
      </c>
      <c r="X920" s="47" t="s">
        <v>296</v>
      </c>
      <c r="Y920" s="47"/>
      <c r="Z920" s="47" t="s">
        <v>296</v>
      </c>
      <c r="AA920" s="47" t="s">
        <v>296</v>
      </c>
      <c r="AB920" s="47"/>
      <c r="AC920" s="47" t="s">
        <v>35</v>
      </c>
      <c r="AD920" s="75"/>
      <c r="AE920" s="49"/>
      <c r="AF920" s="56" t="s">
        <v>3404</v>
      </c>
      <c r="AG920" s="56" t="s">
        <v>3405</v>
      </c>
      <c r="AH920" s="49" t="str">
        <f t="shared" si="53"/>
        <v>仕入在庫予算（品目別集計）</v>
      </c>
      <c r="AI920" s="49"/>
      <c r="AJ920" s="49"/>
      <c r="AK920" s="49"/>
      <c r="AL920" s="49"/>
      <c r="AM920" s="49"/>
      <c r="AN920" s="49"/>
      <c r="AO920" s="51" t="str">
        <f t="shared" si="49"/>
        <v>生産計画数入力</v>
      </c>
      <c r="AP920" s="51" t="str">
        <f t="shared" si="50"/>
        <v>AC9867</v>
      </c>
      <c r="AQ920" s="51" t="s">
        <v>3373</v>
      </c>
      <c r="AR920" s="51" t="s">
        <v>3374</v>
      </c>
      <c r="AS920" s="49" t="str">
        <f t="shared" si="51"/>
        <v/>
      </c>
      <c r="AT920" s="49" t="str">
        <f t="shared" si="52"/>
        <v/>
      </c>
      <c r="AU920" s="49"/>
      <c r="AV920" s="49"/>
    </row>
    <row r="921" spans="1:48" ht="18" customHeight="1">
      <c r="A921" s="44">
        <v>919</v>
      </c>
      <c r="B921" s="52" t="s">
        <v>2702</v>
      </c>
      <c r="C921" s="80" t="s">
        <v>3399</v>
      </c>
      <c r="D921" s="46" t="s">
        <v>72</v>
      </c>
      <c r="E921" s="44" t="s">
        <v>3374</v>
      </c>
      <c r="F921" s="44" t="s">
        <v>3406</v>
      </c>
      <c r="G921" s="44"/>
      <c r="H921" s="44"/>
      <c r="I921" s="44"/>
      <c r="J921" s="47" t="s">
        <v>35</v>
      </c>
      <c r="K921" s="47"/>
      <c r="L921" s="47"/>
      <c r="M921" s="47"/>
      <c r="N921" s="47"/>
      <c r="O921" s="44"/>
      <c r="P921" s="44"/>
      <c r="Q921" s="48">
        <f>VLOOKUP(E921,sheet1!$B$2:$D$3209,3,FALSE)</f>
        <v>792</v>
      </c>
      <c r="R921" s="47" t="s">
        <v>35</v>
      </c>
      <c r="S921" s="47" t="s">
        <v>35</v>
      </c>
      <c r="T921" s="47"/>
      <c r="U921" s="47" t="s">
        <v>296</v>
      </c>
      <c r="V921" s="47" t="s">
        <v>296</v>
      </c>
      <c r="W921" s="47" t="s">
        <v>296</v>
      </c>
      <c r="X921" s="47" t="s">
        <v>296</v>
      </c>
      <c r="Y921" s="47"/>
      <c r="Z921" s="47" t="s">
        <v>296</v>
      </c>
      <c r="AA921" s="47" t="s">
        <v>35</v>
      </c>
      <c r="AB921" s="47"/>
      <c r="AC921" s="47" t="s">
        <v>35</v>
      </c>
      <c r="AD921" s="75"/>
      <c r="AE921" s="49"/>
      <c r="AF921" s="56" t="s">
        <v>3407</v>
      </c>
      <c r="AG921" s="56" t="s">
        <v>3408</v>
      </c>
      <c r="AH921" s="49" t="str">
        <f t="shared" si="53"/>
        <v>製品別生産大日程計画</v>
      </c>
      <c r="AI921" s="49"/>
      <c r="AJ921" s="49"/>
      <c r="AK921" s="49"/>
      <c r="AL921" s="49"/>
      <c r="AM921" s="49"/>
      <c r="AN921" s="49"/>
      <c r="AO921" s="51" t="str">
        <f t="shared" si="49"/>
        <v>販売計画数チェックリスト</v>
      </c>
      <c r="AP921" s="51" t="str">
        <f t="shared" si="50"/>
        <v>AC9980</v>
      </c>
      <c r="AQ921" s="51" t="s">
        <v>3376</v>
      </c>
      <c r="AR921" s="51" t="s">
        <v>3377</v>
      </c>
      <c r="AS921" s="49" t="str">
        <f t="shared" si="51"/>
        <v/>
      </c>
      <c r="AT921" s="49" t="str">
        <f t="shared" si="52"/>
        <v/>
      </c>
      <c r="AU921" s="49"/>
      <c r="AV921" s="49"/>
    </row>
    <row r="922" spans="1:48" ht="18" customHeight="1">
      <c r="A922" s="44">
        <v>920</v>
      </c>
      <c r="B922" s="52" t="s">
        <v>2702</v>
      </c>
      <c r="C922" s="80" t="s">
        <v>3399</v>
      </c>
      <c r="D922" s="46" t="s">
        <v>72</v>
      </c>
      <c r="E922" s="44" t="s">
        <v>3377</v>
      </c>
      <c r="F922" s="44" t="s">
        <v>3409</v>
      </c>
      <c r="G922" s="44"/>
      <c r="H922" s="44"/>
      <c r="I922" s="44"/>
      <c r="J922" s="47" t="s">
        <v>35</v>
      </c>
      <c r="K922" s="47"/>
      <c r="L922" s="47"/>
      <c r="M922" s="47"/>
      <c r="N922" s="47"/>
      <c r="O922" s="44"/>
      <c r="P922" s="44"/>
      <c r="Q922" s="48">
        <f>VLOOKUP(E922,sheet1!$B$2:$D$3209,3,FALSE)</f>
        <v>658</v>
      </c>
      <c r="R922" s="47" t="s">
        <v>35</v>
      </c>
      <c r="S922" s="47" t="s">
        <v>35</v>
      </c>
      <c r="T922" s="47"/>
      <c r="U922" s="47" t="s">
        <v>296</v>
      </c>
      <c r="V922" s="47" t="s">
        <v>296</v>
      </c>
      <c r="W922" s="47" t="s">
        <v>296</v>
      </c>
      <c r="X922" s="47" t="s">
        <v>296</v>
      </c>
      <c r="Y922" s="47"/>
      <c r="Z922" s="47" t="s">
        <v>296</v>
      </c>
      <c r="AA922" s="47" t="s">
        <v>296</v>
      </c>
      <c r="AB922" s="47"/>
      <c r="AC922" s="47" t="s">
        <v>35</v>
      </c>
      <c r="AD922" s="75"/>
      <c r="AE922" s="49"/>
      <c r="AF922" s="56" t="s">
        <v>3410</v>
      </c>
      <c r="AG922" s="56" t="s">
        <v>3411</v>
      </c>
      <c r="AH922" s="49" t="str">
        <f t="shared" si="53"/>
        <v>附属明細書資料選択</v>
      </c>
      <c r="AI922" s="49"/>
      <c r="AJ922" s="49"/>
      <c r="AK922" s="49"/>
      <c r="AL922" s="49"/>
      <c r="AM922" s="49"/>
      <c r="AN922" s="49"/>
      <c r="AO922" s="51" t="str">
        <f t="shared" si="49"/>
        <v>在庫計画数チェックリスト</v>
      </c>
      <c r="AP922" s="51" t="str">
        <f t="shared" si="50"/>
        <v>AC9981</v>
      </c>
      <c r="AQ922" s="51" t="s">
        <v>3379</v>
      </c>
      <c r="AR922" s="51" t="s">
        <v>3380</v>
      </c>
      <c r="AS922" s="49" t="str">
        <f t="shared" si="51"/>
        <v/>
      </c>
      <c r="AT922" s="49" t="str">
        <f t="shared" si="52"/>
        <v/>
      </c>
      <c r="AU922" s="49"/>
      <c r="AV922" s="49"/>
    </row>
    <row r="923" spans="1:48" ht="18" customHeight="1">
      <c r="A923" s="44">
        <v>921</v>
      </c>
      <c r="B923" s="52" t="s">
        <v>2702</v>
      </c>
      <c r="C923" s="80" t="s">
        <v>3399</v>
      </c>
      <c r="D923" s="46" t="s">
        <v>72</v>
      </c>
      <c r="E923" s="44" t="s">
        <v>3380</v>
      </c>
      <c r="F923" s="44" t="s">
        <v>3412</v>
      </c>
      <c r="G923" s="44"/>
      <c r="H923" s="44"/>
      <c r="I923" s="44"/>
      <c r="J923" s="47" t="s">
        <v>35</v>
      </c>
      <c r="K923" s="47"/>
      <c r="L923" s="47"/>
      <c r="M923" s="47"/>
      <c r="N923" s="47"/>
      <c r="O923" s="44"/>
      <c r="P923" s="44"/>
      <c r="Q923" s="48">
        <f>VLOOKUP(E923,sheet1!$B$2:$D$3209,3,FALSE)</f>
        <v>520</v>
      </c>
      <c r="R923" s="47" t="s">
        <v>35</v>
      </c>
      <c r="S923" s="47" t="s">
        <v>35</v>
      </c>
      <c r="T923" s="47"/>
      <c r="U923" s="47" t="s">
        <v>296</v>
      </c>
      <c r="V923" s="47" t="s">
        <v>296</v>
      </c>
      <c r="W923" s="47" t="s">
        <v>296</v>
      </c>
      <c r="X923" s="47" t="s">
        <v>296</v>
      </c>
      <c r="Y923" s="47"/>
      <c r="Z923" s="47" t="s">
        <v>296</v>
      </c>
      <c r="AA923" s="47" t="s">
        <v>296</v>
      </c>
      <c r="AB923" s="47"/>
      <c r="AC923" s="47" t="s">
        <v>35</v>
      </c>
      <c r="AD923" s="75"/>
      <c r="AE923" s="49"/>
      <c r="AF923" s="56" t="s">
        <v>3413</v>
      </c>
      <c r="AG923" s="56" t="s">
        <v>3414</v>
      </c>
      <c r="AH923" s="49" t="str">
        <f t="shared" si="53"/>
        <v>残高確認書（データ作成）</v>
      </c>
      <c r="AI923" s="49"/>
      <c r="AJ923" s="49"/>
      <c r="AK923" s="49"/>
      <c r="AL923" s="49"/>
      <c r="AM923" s="49"/>
      <c r="AN923" s="49"/>
      <c r="AO923" s="51" t="str">
        <f t="shared" si="49"/>
        <v>生産計画数チェックリスト</v>
      </c>
      <c r="AP923" s="51" t="str">
        <f t="shared" si="50"/>
        <v>AC9982</v>
      </c>
      <c r="AQ923" s="51" t="s">
        <v>3382</v>
      </c>
      <c r="AR923" s="51" t="s">
        <v>3383</v>
      </c>
      <c r="AS923" s="49" t="str">
        <f t="shared" si="51"/>
        <v/>
      </c>
      <c r="AT923" s="49" t="str">
        <f t="shared" si="52"/>
        <v/>
      </c>
      <c r="AU923" s="49"/>
      <c r="AV923" s="49"/>
    </row>
    <row r="924" spans="1:48" ht="18" customHeight="1">
      <c r="A924" s="44">
        <v>922</v>
      </c>
      <c r="B924" s="52" t="s">
        <v>2702</v>
      </c>
      <c r="C924" s="80" t="s">
        <v>3399</v>
      </c>
      <c r="D924" s="46" t="s">
        <v>72</v>
      </c>
      <c r="E924" s="44" t="s">
        <v>3383</v>
      </c>
      <c r="F924" s="44" t="s">
        <v>3415</v>
      </c>
      <c r="G924" s="44"/>
      <c r="H924" s="44"/>
      <c r="I924" s="44"/>
      <c r="J924" s="47" t="s">
        <v>35</v>
      </c>
      <c r="K924" s="47"/>
      <c r="L924" s="47"/>
      <c r="M924" s="47"/>
      <c r="N924" s="47"/>
      <c r="O924" s="44"/>
      <c r="P924" s="44"/>
      <c r="Q924" s="48">
        <f>VLOOKUP(E924,sheet1!$B$2:$D$3209,3,FALSE)</f>
        <v>544</v>
      </c>
      <c r="R924" s="47" t="s">
        <v>35</v>
      </c>
      <c r="S924" s="47" t="s">
        <v>35</v>
      </c>
      <c r="T924" s="47"/>
      <c r="U924" s="47" t="s">
        <v>296</v>
      </c>
      <c r="V924" s="47" t="s">
        <v>296</v>
      </c>
      <c r="W924" s="47" t="s">
        <v>296</v>
      </c>
      <c r="X924" s="47" t="s">
        <v>296</v>
      </c>
      <c r="Y924" s="47"/>
      <c r="Z924" s="47" t="s">
        <v>296</v>
      </c>
      <c r="AA924" s="47" t="s">
        <v>35</v>
      </c>
      <c r="AB924" s="47"/>
      <c r="AC924" s="47" t="s">
        <v>35</v>
      </c>
      <c r="AD924" s="75"/>
      <c r="AE924" s="49"/>
      <c r="AF924" s="56" t="s">
        <v>3416</v>
      </c>
      <c r="AG924" s="56" t="s">
        <v>3417</v>
      </c>
      <c r="AH924" s="49" t="str">
        <f t="shared" si="53"/>
        <v>残高確認書（印刷）</v>
      </c>
      <c r="AI924" s="49"/>
      <c r="AJ924" s="49"/>
      <c r="AK924" s="49"/>
      <c r="AL924" s="49"/>
      <c r="AM924" s="49"/>
      <c r="AN924" s="49"/>
      <c r="AO924" s="51" t="str">
        <f t="shared" si="49"/>
        <v>製品別売上予算</v>
      </c>
      <c r="AP924" s="51" t="str">
        <f t="shared" si="50"/>
        <v>AC9870</v>
      </c>
      <c r="AQ924" s="51" t="s">
        <v>3385</v>
      </c>
      <c r="AR924" s="51" t="s">
        <v>3386</v>
      </c>
      <c r="AS924" s="49" t="str">
        <f t="shared" si="51"/>
        <v/>
      </c>
      <c r="AT924" s="49" t="str">
        <f t="shared" si="52"/>
        <v/>
      </c>
      <c r="AU924" s="49"/>
      <c r="AV924" s="49"/>
    </row>
    <row r="925" spans="1:48" ht="18" customHeight="1">
      <c r="A925" s="44">
        <v>923</v>
      </c>
      <c r="B925" s="52" t="s">
        <v>2702</v>
      </c>
      <c r="C925" s="80" t="s">
        <v>3399</v>
      </c>
      <c r="D925" s="46" t="s">
        <v>72</v>
      </c>
      <c r="E925" s="44" t="s">
        <v>3386</v>
      </c>
      <c r="F925" s="44" t="s">
        <v>3418</v>
      </c>
      <c r="G925" s="44"/>
      <c r="H925" s="44"/>
      <c r="I925" s="44"/>
      <c r="J925" s="47" t="s">
        <v>35</v>
      </c>
      <c r="K925" s="47"/>
      <c r="L925" s="47"/>
      <c r="M925" s="47"/>
      <c r="N925" s="47"/>
      <c r="O925" s="44"/>
      <c r="P925" s="44"/>
      <c r="Q925" s="48">
        <f>VLOOKUP(E925,sheet1!$B$2:$D$3209,3,FALSE)</f>
        <v>1700</v>
      </c>
      <c r="R925" s="47" t="s">
        <v>35</v>
      </c>
      <c r="S925" s="47" t="s">
        <v>35</v>
      </c>
      <c r="T925" s="47"/>
      <c r="U925" s="47" t="s">
        <v>296</v>
      </c>
      <c r="V925" s="47" t="s">
        <v>296</v>
      </c>
      <c r="W925" s="47" t="s">
        <v>296</v>
      </c>
      <c r="X925" s="47" t="s">
        <v>296</v>
      </c>
      <c r="Y925" s="47"/>
      <c r="Z925" s="47" t="s">
        <v>296</v>
      </c>
      <c r="AA925" s="47" t="s">
        <v>296</v>
      </c>
      <c r="AB925" s="47"/>
      <c r="AC925" s="47" t="s">
        <v>35</v>
      </c>
      <c r="AD925" s="75"/>
      <c r="AE925" s="49"/>
      <c r="AF925" s="56" t="s">
        <v>3419</v>
      </c>
      <c r="AG925" s="56" t="s">
        <v>3420</v>
      </c>
      <c r="AH925" s="49" t="str">
        <f t="shared" si="53"/>
        <v>外貨仕入明細</v>
      </c>
      <c r="AI925" s="49"/>
      <c r="AJ925" s="49"/>
      <c r="AK925" s="49"/>
      <c r="AL925" s="49"/>
      <c r="AM925" s="49"/>
      <c r="AN925" s="49"/>
      <c r="AO925" s="51" t="str">
        <f t="shared" si="49"/>
        <v>得意先別売上予算</v>
      </c>
      <c r="AP925" s="51" t="str">
        <f t="shared" si="50"/>
        <v>AC9880</v>
      </c>
      <c r="AQ925" s="51" t="s">
        <v>3388</v>
      </c>
      <c r="AR925" s="51" t="s">
        <v>3389</v>
      </c>
      <c r="AS925" s="49" t="str">
        <f t="shared" si="51"/>
        <v/>
      </c>
      <c r="AT925" s="49" t="str">
        <f t="shared" si="52"/>
        <v/>
      </c>
      <c r="AU925" s="49"/>
      <c r="AV925" s="49"/>
    </row>
    <row r="926" spans="1:48" ht="18" customHeight="1">
      <c r="A926" s="44">
        <v>924</v>
      </c>
      <c r="B926" s="52" t="s">
        <v>2702</v>
      </c>
      <c r="C926" s="80" t="s">
        <v>3399</v>
      </c>
      <c r="D926" s="46" t="s">
        <v>72</v>
      </c>
      <c r="E926" s="44" t="s">
        <v>3389</v>
      </c>
      <c r="F926" s="44" t="s">
        <v>3421</v>
      </c>
      <c r="G926" s="44"/>
      <c r="H926" s="44"/>
      <c r="I926" s="44"/>
      <c r="J926" s="47" t="s">
        <v>35</v>
      </c>
      <c r="K926" s="47"/>
      <c r="L926" s="47"/>
      <c r="M926" s="47"/>
      <c r="N926" s="47"/>
      <c r="O926" s="44"/>
      <c r="P926" s="44"/>
      <c r="Q926" s="48">
        <f>VLOOKUP(E926,sheet1!$B$2:$D$3209,3,FALSE)</f>
        <v>204</v>
      </c>
      <c r="R926" s="47" t="s">
        <v>35</v>
      </c>
      <c r="S926" s="47" t="s">
        <v>35</v>
      </c>
      <c r="T926" s="47"/>
      <c r="U926" s="47" t="s">
        <v>296</v>
      </c>
      <c r="V926" s="47" t="s">
        <v>296</v>
      </c>
      <c r="W926" s="47" t="s">
        <v>296</v>
      </c>
      <c r="X926" s="47" t="s">
        <v>296</v>
      </c>
      <c r="Y926" s="47"/>
      <c r="Z926" s="47" t="s">
        <v>296</v>
      </c>
      <c r="AA926" s="47" t="s">
        <v>296</v>
      </c>
      <c r="AB926" s="47"/>
      <c r="AC926" s="47" t="s">
        <v>35</v>
      </c>
      <c r="AD926" s="75"/>
      <c r="AE926" s="49"/>
      <c r="AF926" s="56" t="s">
        <v>3422</v>
      </c>
      <c r="AG926" s="56" t="s">
        <v>2476</v>
      </c>
      <c r="AH926" s="49" t="str">
        <f t="shared" si="53"/>
        <v>仕入高合計一覧表（納入者順）</v>
      </c>
      <c r="AI926" s="49"/>
      <c r="AJ926" s="49"/>
      <c r="AK926" s="49"/>
      <c r="AL926" s="49"/>
      <c r="AM926" s="49"/>
      <c r="AN926" s="49"/>
      <c r="AO926" s="51" t="str">
        <f t="shared" si="49"/>
        <v>製商品別・生産・販売在庫予算</v>
      </c>
      <c r="AP926" s="51" t="str">
        <f t="shared" si="50"/>
        <v>AC9890</v>
      </c>
      <c r="AQ926" s="51" t="s">
        <v>3391</v>
      </c>
      <c r="AR926" s="51" t="s">
        <v>3392</v>
      </c>
      <c r="AS926" s="49" t="str">
        <f t="shared" si="51"/>
        <v/>
      </c>
      <c r="AT926" s="49" t="str">
        <f t="shared" si="52"/>
        <v/>
      </c>
      <c r="AU926" s="49"/>
      <c r="AV926" s="49"/>
    </row>
    <row r="927" spans="1:48" ht="18" customHeight="1">
      <c r="A927" s="44">
        <v>925</v>
      </c>
      <c r="B927" s="52" t="s">
        <v>2702</v>
      </c>
      <c r="C927" s="80" t="s">
        <v>3399</v>
      </c>
      <c r="D927" s="46" t="s">
        <v>72</v>
      </c>
      <c r="E927" s="44" t="s">
        <v>3392</v>
      </c>
      <c r="F927" s="44" t="s">
        <v>3423</v>
      </c>
      <c r="G927" s="44"/>
      <c r="H927" s="44"/>
      <c r="I927" s="44"/>
      <c r="J927" s="47" t="s">
        <v>35</v>
      </c>
      <c r="K927" s="47"/>
      <c r="L927" s="47"/>
      <c r="M927" s="47"/>
      <c r="N927" s="47"/>
      <c r="O927" s="44"/>
      <c r="P927" s="44"/>
      <c r="Q927" s="48">
        <f>VLOOKUP(E927,sheet1!$B$2:$D$3209,3,FALSE)</f>
        <v>1262</v>
      </c>
      <c r="R927" s="47" t="s">
        <v>35</v>
      </c>
      <c r="S927" s="47" t="s">
        <v>35</v>
      </c>
      <c r="T927" s="47"/>
      <c r="U927" s="47" t="s">
        <v>296</v>
      </c>
      <c r="V927" s="47" t="s">
        <v>296</v>
      </c>
      <c r="W927" s="47" t="s">
        <v>296</v>
      </c>
      <c r="X927" s="47" t="s">
        <v>296</v>
      </c>
      <c r="Y927" s="47"/>
      <c r="Z927" s="47" t="s">
        <v>296</v>
      </c>
      <c r="AA927" s="47" t="s">
        <v>35</v>
      </c>
      <c r="AB927" s="47"/>
      <c r="AC927" s="47" t="s">
        <v>35</v>
      </c>
      <c r="AD927" s="75"/>
      <c r="AE927" s="49"/>
      <c r="AF927" s="56" t="s">
        <v>3424</v>
      </c>
      <c r="AG927" s="56" t="s">
        <v>2480</v>
      </c>
      <c r="AH927" s="49" t="str">
        <f t="shared" si="53"/>
        <v>仕入高合計一覧表（金額順）</v>
      </c>
      <c r="AI927" s="49"/>
      <c r="AJ927" s="49"/>
      <c r="AK927" s="49"/>
      <c r="AL927" s="49"/>
      <c r="AM927" s="49"/>
      <c r="AN927" s="49"/>
      <c r="AO927" s="51" t="str">
        <f t="shared" si="49"/>
        <v>製商品別・生産・販売在庫金額</v>
      </c>
      <c r="AP927" s="51" t="str">
        <f t="shared" si="50"/>
        <v>AC9895</v>
      </c>
      <c r="AQ927" s="51" t="s">
        <v>3394</v>
      </c>
      <c r="AR927" s="51" t="s">
        <v>3395</v>
      </c>
      <c r="AS927" s="49" t="str">
        <f t="shared" si="51"/>
        <v/>
      </c>
      <c r="AT927" s="49" t="str">
        <f t="shared" si="52"/>
        <v/>
      </c>
      <c r="AU927" s="49"/>
      <c r="AV927" s="49"/>
    </row>
    <row r="928" spans="1:48" ht="18" customHeight="1">
      <c r="A928" s="44">
        <v>926</v>
      </c>
      <c r="B928" s="52" t="s">
        <v>2702</v>
      </c>
      <c r="C928" s="80" t="s">
        <v>3399</v>
      </c>
      <c r="D928" s="46" t="s">
        <v>72</v>
      </c>
      <c r="E928" s="44" t="s">
        <v>3395</v>
      </c>
      <c r="F928" s="44" t="s">
        <v>3425</v>
      </c>
      <c r="G928" s="44"/>
      <c r="H928" s="44"/>
      <c r="I928" s="44"/>
      <c r="J928" s="47" t="s">
        <v>35</v>
      </c>
      <c r="K928" s="47"/>
      <c r="L928" s="47"/>
      <c r="M928" s="47"/>
      <c r="N928" s="47"/>
      <c r="O928" s="44"/>
      <c r="P928" s="44"/>
      <c r="Q928" s="48">
        <f>VLOOKUP(E928,sheet1!$B$2:$D$3209,3,FALSE)</f>
        <v>1238</v>
      </c>
      <c r="R928" s="47" t="s">
        <v>35</v>
      </c>
      <c r="S928" s="47" t="s">
        <v>35</v>
      </c>
      <c r="T928" s="47"/>
      <c r="U928" s="47" t="s">
        <v>296</v>
      </c>
      <c r="V928" s="47" t="s">
        <v>296</v>
      </c>
      <c r="W928" s="47" t="s">
        <v>296</v>
      </c>
      <c r="X928" s="47" t="s">
        <v>296</v>
      </c>
      <c r="Y928" s="47"/>
      <c r="Z928" s="47" t="s">
        <v>296</v>
      </c>
      <c r="AA928" s="47" t="s">
        <v>296</v>
      </c>
      <c r="AB928" s="47"/>
      <c r="AC928" s="47" t="s">
        <v>35</v>
      </c>
      <c r="AD928" s="75"/>
      <c r="AE928" s="49"/>
      <c r="AF928" s="56" t="s">
        <v>3426</v>
      </c>
      <c r="AG928" s="56" t="s">
        <v>3427</v>
      </c>
      <c r="AH928" s="49" t="str">
        <f t="shared" si="53"/>
        <v>仕入実績推移表</v>
      </c>
      <c r="AI928" s="49"/>
      <c r="AJ928" s="49"/>
      <c r="AK928" s="49"/>
      <c r="AL928" s="49"/>
      <c r="AM928" s="49"/>
      <c r="AN928" s="49"/>
      <c r="AO928" s="51" t="str">
        <f t="shared" si="49"/>
        <v>売上・原価予算ﾘｽﾄ</v>
      </c>
      <c r="AP928" s="51" t="str">
        <f t="shared" si="50"/>
        <v>AC9840</v>
      </c>
      <c r="AQ928" s="51" t="s">
        <v>3397</v>
      </c>
      <c r="AR928" s="51" t="s">
        <v>3398</v>
      </c>
      <c r="AS928" s="49" t="str">
        <f t="shared" si="51"/>
        <v/>
      </c>
      <c r="AT928" s="49" t="str">
        <f t="shared" si="52"/>
        <v/>
      </c>
      <c r="AU928" s="49"/>
      <c r="AV928" s="49"/>
    </row>
    <row r="929" spans="1:48" ht="18" customHeight="1">
      <c r="A929" s="44">
        <v>927</v>
      </c>
      <c r="B929" s="52" t="s">
        <v>2702</v>
      </c>
      <c r="C929" s="80" t="s">
        <v>3399</v>
      </c>
      <c r="D929" s="46" t="s">
        <v>72</v>
      </c>
      <c r="E929" s="44" t="s">
        <v>3398</v>
      </c>
      <c r="F929" s="44" t="s">
        <v>3428</v>
      </c>
      <c r="G929" s="44"/>
      <c r="H929" s="44"/>
      <c r="I929" s="44"/>
      <c r="J929" s="47" t="s">
        <v>35</v>
      </c>
      <c r="K929" s="47"/>
      <c r="L929" s="47"/>
      <c r="M929" s="47"/>
      <c r="N929" s="47"/>
      <c r="O929" s="44"/>
      <c r="P929" s="44"/>
      <c r="Q929" s="48">
        <f>VLOOKUP(E929,sheet1!$B$2:$D$3209,3,FALSE)</f>
        <v>205</v>
      </c>
      <c r="R929" s="47" t="s">
        <v>35</v>
      </c>
      <c r="S929" s="47" t="s">
        <v>35</v>
      </c>
      <c r="T929" s="47"/>
      <c r="U929" s="47" t="s">
        <v>296</v>
      </c>
      <c r="V929" s="47" t="s">
        <v>296</v>
      </c>
      <c r="W929" s="47" t="s">
        <v>296</v>
      </c>
      <c r="X929" s="47" t="s">
        <v>296</v>
      </c>
      <c r="Y929" s="47"/>
      <c r="Z929" s="47" t="s">
        <v>296</v>
      </c>
      <c r="AA929" s="47" t="s">
        <v>35</v>
      </c>
      <c r="AB929" s="47"/>
      <c r="AC929" s="47" t="s">
        <v>35</v>
      </c>
      <c r="AD929" s="75"/>
      <c r="AE929" s="49"/>
      <c r="AF929" s="56" t="s">
        <v>3429</v>
      </c>
      <c r="AG929" s="56" t="s">
        <v>3430</v>
      </c>
      <c r="AH929" s="49" t="str">
        <f t="shared" si="53"/>
        <v>少額減価償却資産の仕入</v>
      </c>
      <c r="AI929" s="49"/>
      <c r="AJ929" s="49"/>
      <c r="AK929" s="49"/>
      <c r="AL929" s="49"/>
      <c r="AM929" s="49"/>
      <c r="AN929" s="49"/>
      <c r="AO929" s="51" t="str">
        <f t="shared" si="49"/>
        <v>仕入在庫予算</v>
      </c>
      <c r="AP929" s="51" t="str">
        <f t="shared" si="50"/>
        <v>AC9900</v>
      </c>
      <c r="AQ929" s="51" t="s">
        <v>3401</v>
      </c>
      <c r="AR929" s="51" t="s">
        <v>3402</v>
      </c>
      <c r="AS929" s="49" t="str">
        <f t="shared" si="51"/>
        <v/>
      </c>
      <c r="AT929" s="49" t="str">
        <f t="shared" si="52"/>
        <v/>
      </c>
      <c r="AU929" s="49"/>
      <c r="AV929" s="49"/>
    </row>
    <row r="930" spans="1:48" ht="18" customHeight="1">
      <c r="A930" s="44">
        <v>928</v>
      </c>
      <c r="B930" s="52" t="s">
        <v>2702</v>
      </c>
      <c r="C930" s="80" t="s">
        <v>3399</v>
      </c>
      <c r="D930" s="46" t="s">
        <v>72</v>
      </c>
      <c r="E930" s="44" t="s">
        <v>3402</v>
      </c>
      <c r="F930" s="44" t="s">
        <v>3431</v>
      </c>
      <c r="G930" s="44"/>
      <c r="H930" s="44"/>
      <c r="I930" s="44"/>
      <c r="J930" s="47" t="s">
        <v>35</v>
      </c>
      <c r="K930" s="47"/>
      <c r="L930" s="47"/>
      <c r="M930" s="47"/>
      <c r="N930" s="47"/>
      <c r="O930" s="44"/>
      <c r="P930" s="44"/>
      <c r="Q930" s="48">
        <f>VLOOKUP(E930,sheet1!$B$2:$D$3209,3,FALSE)</f>
        <v>1450</v>
      </c>
      <c r="R930" s="47" t="s">
        <v>35</v>
      </c>
      <c r="S930" s="47" t="s">
        <v>35</v>
      </c>
      <c r="T930" s="47"/>
      <c r="U930" s="47" t="s">
        <v>296</v>
      </c>
      <c r="V930" s="47" t="s">
        <v>296</v>
      </c>
      <c r="W930" s="47" t="s">
        <v>296</v>
      </c>
      <c r="X930" s="47" t="s">
        <v>296</v>
      </c>
      <c r="Y930" s="47"/>
      <c r="Z930" s="47" t="s">
        <v>296</v>
      </c>
      <c r="AA930" s="47" t="s">
        <v>35</v>
      </c>
      <c r="AB930" s="47"/>
      <c r="AC930" s="47" t="s">
        <v>35</v>
      </c>
      <c r="AD930" s="75"/>
      <c r="AE930" s="49"/>
      <c r="AF930" s="56" t="s">
        <v>3432</v>
      </c>
      <c r="AG930" s="56" t="s">
        <v>3433</v>
      </c>
      <c r="AH930" s="49" t="str">
        <f t="shared" si="53"/>
        <v>香港製品仕入原価差額</v>
      </c>
      <c r="AI930" s="49"/>
      <c r="AJ930" s="49"/>
      <c r="AK930" s="49"/>
      <c r="AL930" s="49"/>
      <c r="AM930" s="49"/>
      <c r="AN930" s="49"/>
      <c r="AO930" s="51" t="str">
        <f t="shared" si="49"/>
        <v>仕入在庫予算（品目別集計）</v>
      </c>
      <c r="AP930" s="51" t="str">
        <f t="shared" si="50"/>
        <v>AC9905</v>
      </c>
      <c r="AQ930" s="51" t="s">
        <v>3404</v>
      </c>
      <c r="AR930" s="51" t="s">
        <v>3405</v>
      </c>
      <c r="AS930" s="49" t="str">
        <f t="shared" si="51"/>
        <v/>
      </c>
      <c r="AT930" s="49" t="str">
        <f t="shared" si="52"/>
        <v/>
      </c>
      <c r="AU930" s="49"/>
      <c r="AV930" s="49"/>
    </row>
    <row r="931" spans="1:48" ht="18" customHeight="1">
      <c r="A931" s="44">
        <v>929</v>
      </c>
      <c r="B931" s="52" t="s">
        <v>2702</v>
      </c>
      <c r="C931" s="80" t="s">
        <v>3399</v>
      </c>
      <c r="D931" s="46" t="s">
        <v>72</v>
      </c>
      <c r="E931" s="44" t="s">
        <v>3405</v>
      </c>
      <c r="F931" s="44" t="s">
        <v>3434</v>
      </c>
      <c r="G931" s="44"/>
      <c r="H931" s="44"/>
      <c r="I931" s="44"/>
      <c r="J931" s="47" t="s">
        <v>35</v>
      </c>
      <c r="K931" s="47"/>
      <c r="L931" s="47"/>
      <c r="M931" s="47"/>
      <c r="N931" s="47"/>
      <c r="O931" s="44"/>
      <c r="P931" s="44"/>
      <c r="Q931" s="48">
        <f>VLOOKUP(E931,sheet1!$B$2:$D$3209,3,FALSE)</f>
        <v>1470</v>
      </c>
      <c r="R931" s="47" t="s">
        <v>35</v>
      </c>
      <c r="S931" s="47" t="s">
        <v>35</v>
      </c>
      <c r="T931" s="47"/>
      <c r="U931" s="47" t="s">
        <v>296</v>
      </c>
      <c r="V931" s="47" t="s">
        <v>296</v>
      </c>
      <c r="W931" s="47" t="s">
        <v>296</v>
      </c>
      <c r="X931" s="47" t="s">
        <v>296</v>
      </c>
      <c r="Y931" s="47"/>
      <c r="Z931" s="47" t="s">
        <v>296</v>
      </c>
      <c r="AA931" s="47" t="s">
        <v>35</v>
      </c>
      <c r="AB931" s="47"/>
      <c r="AC931" s="47" t="s">
        <v>35</v>
      </c>
      <c r="AD931" s="75"/>
      <c r="AE931" s="49"/>
      <c r="AF931" s="56" t="s">
        <v>3435</v>
      </c>
      <c r="AG931" s="56" t="s">
        <v>3436</v>
      </c>
      <c r="AH931" s="49" t="str">
        <f t="shared" si="53"/>
        <v>原価差額明細</v>
      </c>
      <c r="AI931" s="49"/>
      <c r="AJ931" s="49"/>
      <c r="AK931" s="49"/>
      <c r="AL931" s="49"/>
      <c r="AM931" s="49"/>
      <c r="AN931" s="49"/>
      <c r="AO931" s="51" t="str">
        <f t="shared" si="49"/>
        <v>製品別生産大日程計画</v>
      </c>
      <c r="AP931" s="51" t="str">
        <f t="shared" si="50"/>
        <v>AC9910</v>
      </c>
      <c r="AQ931" s="51" t="s">
        <v>3407</v>
      </c>
      <c r="AR931" s="51" t="s">
        <v>3408</v>
      </c>
      <c r="AS931" s="49" t="str">
        <f t="shared" si="51"/>
        <v/>
      </c>
      <c r="AT931" s="49" t="str">
        <f t="shared" si="52"/>
        <v/>
      </c>
      <c r="AU931" s="49"/>
      <c r="AV931" s="49"/>
    </row>
    <row r="932" spans="1:48" ht="18" customHeight="1">
      <c r="A932" s="44">
        <v>930</v>
      </c>
      <c r="B932" s="52" t="s">
        <v>2702</v>
      </c>
      <c r="C932" s="80" t="s">
        <v>3399</v>
      </c>
      <c r="D932" s="46" t="s">
        <v>72</v>
      </c>
      <c r="E932" s="44" t="s">
        <v>3408</v>
      </c>
      <c r="F932" s="44" t="s">
        <v>3437</v>
      </c>
      <c r="G932" s="44"/>
      <c r="H932" s="44"/>
      <c r="I932" s="44"/>
      <c r="J932" s="47" t="s">
        <v>35</v>
      </c>
      <c r="K932" s="47"/>
      <c r="L932" s="47"/>
      <c r="M932" s="47"/>
      <c r="N932" s="47"/>
      <c r="O932" s="44"/>
      <c r="P932" s="44"/>
      <c r="Q932" s="48">
        <f>VLOOKUP(E932,sheet1!$B$2:$D$3209,3,FALSE)</f>
        <v>1051</v>
      </c>
      <c r="R932" s="47" t="s">
        <v>35</v>
      </c>
      <c r="S932" s="47" t="s">
        <v>35</v>
      </c>
      <c r="T932" s="47"/>
      <c r="U932" s="47" t="s">
        <v>296</v>
      </c>
      <c r="V932" s="47" t="s">
        <v>296</v>
      </c>
      <c r="W932" s="47" t="s">
        <v>296</v>
      </c>
      <c r="X932" s="47" t="s">
        <v>296</v>
      </c>
      <c r="Y932" s="47"/>
      <c r="Z932" s="47" t="s">
        <v>296</v>
      </c>
      <c r="AA932" s="47" t="s">
        <v>35</v>
      </c>
      <c r="AB932" s="47"/>
      <c r="AC932" s="47" t="s">
        <v>35</v>
      </c>
      <c r="AD932" s="75"/>
      <c r="AE932" s="49"/>
      <c r="AF932" s="56" t="s">
        <v>3438</v>
      </c>
      <c r="AG932" s="56" t="s">
        <v>3439</v>
      </c>
      <c r="AH932" s="49" t="str">
        <f t="shared" si="53"/>
        <v>実際・標準原価比較ﾘｽﾄ</v>
      </c>
      <c r="AI932" s="49"/>
      <c r="AJ932" s="49"/>
      <c r="AK932" s="49"/>
      <c r="AL932" s="49"/>
      <c r="AM932" s="49"/>
      <c r="AN932" s="49"/>
      <c r="AO932" s="51" t="str">
        <f t="shared" si="49"/>
        <v>附属明細書資料選択</v>
      </c>
      <c r="AP932" s="51" t="str">
        <f t="shared" si="50"/>
        <v>AC1200C</v>
      </c>
      <c r="AQ932" s="51" t="s">
        <v>3410</v>
      </c>
      <c r="AR932" s="51" t="s">
        <v>3411</v>
      </c>
      <c r="AS932" s="49" t="str">
        <f t="shared" si="51"/>
        <v/>
      </c>
      <c r="AT932" s="49" t="str">
        <f t="shared" si="52"/>
        <v/>
      </c>
      <c r="AU932" s="49"/>
      <c r="AV932" s="49"/>
    </row>
    <row r="933" spans="1:48" ht="18" customHeight="1">
      <c r="A933" s="44">
        <v>931</v>
      </c>
      <c r="B933" s="52" t="s">
        <v>2702</v>
      </c>
      <c r="C933" s="75" t="s">
        <v>3440</v>
      </c>
      <c r="D933" s="46" t="s">
        <v>72</v>
      </c>
      <c r="E933" s="44" t="s">
        <v>3411</v>
      </c>
      <c r="F933" s="44" t="s">
        <v>3441</v>
      </c>
      <c r="G933" s="44"/>
      <c r="H933" s="44"/>
      <c r="I933" s="44"/>
      <c r="J933" s="47" t="s">
        <v>35</v>
      </c>
      <c r="K933" s="47"/>
      <c r="L933" s="47"/>
      <c r="M933" s="47"/>
      <c r="N933" s="47"/>
      <c r="O933" s="44"/>
      <c r="P933" s="44"/>
      <c r="Q933" s="48" t="e">
        <f>VLOOKUP(E933,sheet1!$B$2:$D$3209,3,FALSE)</f>
        <v>#N/A</v>
      </c>
      <c r="R933" s="47" t="s">
        <v>35</v>
      </c>
      <c r="S933" s="47" t="s">
        <v>35</v>
      </c>
      <c r="T933" s="47"/>
      <c r="U933" s="47" t="s">
        <v>296</v>
      </c>
      <c r="V933" s="47" t="s">
        <v>296</v>
      </c>
      <c r="W933" s="47" t="s">
        <v>296</v>
      </c>
      <c r="X933" s="47" t="s">
        <v>296</v>
      </c>
      <c r="Y933" s="47"/>
      <c r="Z933" s="47" t="s">
        <v>296</v>
      </c>
      <c r="AA933" s="47" t="s">
        <v>296</v>
      </c>
      <c r="AB933" s="47"/>
      <c r="AC933" s="47" t="s">
        <v>35</v>
      </c>
      <c r="AD933" s="75"/>
      <c r="AE933" s="49"/>
      <c r="AF933" s="56" t="s">
        <v>3442</v>
      </c>
      <c r="AG933" s="56" t="s">
        <v>3443</v>
      </c>
      <c r="AH933" s="49" t="str">
        <f t="shared" si="53"/>
        <v>銀行別預金残高一覧表</v>
      </c>
      <c r="AI933" s="49"/>
      <c r="AJ933" s="49"/>
      <c r="AK933" s="49"/>
      <c r="AL933" s="49"/>
      <c r="AM933" s="49"/>
      <c r="AN933" s="49"/>
      <c r="AO933" s="51" t="str">
        <f t="shared" si="49"/>
        <v>残高確認書（データ作成）</v>
      </c>
      <c r="AP933" s="51" t="str">
        <f t="shared" si="50"/>
        <v>AC4910A</v>
      </c>
      <c r="AQ933" s="51" t="s">
        <v>3413</v>
      </c>
      <c r="AR933" s="51" t="s">
        <v>3414</v>
      </c>
      <c r="AS933" s="49" t="str">
        <f t="shared" si="51"/>
        <v/>
      </c>
      <c r="AT933" s="49" t="str">
        <f t="shared" si="52"/>
        <v/>
      </c>
      <c r="AU933" s="49"/>
      <c r="AV933" s="49"/>
    </row>
    <row r="934" spans="1:48" ht="18" customHeight="1">
      <c r="A934" s="44">
        <v>932</v>
      </c>
      <c r="B934" s="52" t="s">
        <v>2702</v>
      </c>
      <c r="C934" s="80" t="s">
        <v>3440</v>
      </c>
      <c r="D934" s="46" t="s">
        <v>72</v>
      </c>
      <c r="E934" s="44" t="s">
        <v>3414</v>
      </c>
      <c r="F934" s="44" t="s">
        <v>3444</v>
      </c>
      <c r="G934" s="44"/>
      <c r="H934" s="44"/>
      <c r="I934" s="44"/>
      <c r="J934" s="47" t="s">
        <v>35</v>
      </c>
      <c r="K934" s="47"/>
      <c r="L934" s="47"/>
      <c r="M934" s="47"/>
      <c r="N934" s="47"/>
      <c r="O934" s="44"/>
      <c r="P934" s="44"/>
      <c r="Q934" s="48">
        <f>VLOOKUP(E934,sheet1!$B$2:$D$3209,3,FALSE)</f>
        <v>328</v>
      </c>
      <c r="R934" s="47" t="s">
        <v>35</v>
      </c>
      <c r="S934" s="47" t="s">
        <v>35</v>
      </c>
      <c r="T934" s="47"/>
      <c r="U934" s="47" t="s">
        <v>296</v>
      </c>
      <c r="V934" s="47" t="s">
        <v>296</v>
      </c>
      <c r="W934" s="47" t="s">
        <v>296</v>
      </c>
      <c r="X934" s="47" t="s">
        <v>296</v>
      </c>
      <c r="Y934" s="47"/>
      <c r="Z934" s="47" t="s">
        <v>296</v>
      </c>
      <c r="AA934" s="47" t="s">
        <v>296</v>
      </c>
      <c r="AB934" s="47"/>
      <c r="AC934" s="47" t="s">
        <v>35</v>
      </c>
      <c r="AD934" s="75"/>
      <c r="AE934" s="49"/>
      <c r="AF934" s="56" t="s">
        <v>3445</v>
      </c>
      <c r="AG934" s="56" t="s">
        <v>3446</v>
      </c>
      <c r="AH934" s="49" t="str">
        <f t="shared" si="53"/>
        <v>在庫ﾃﾞｰﾀﾀﾞｳﾝﾛｰﾄﾞ</v>
      </c>
      <c r="AI934" s="49"/>
      <c r="AJ934" s="49"/>
      <c r="AK934" s="49"/>
      <c r="AL934" s="49"/>
      <c r="AM934" s="49"/>
      <c r="AN934" s="49"/>
      <c r="AO934" s="51" t="str">
        <f t="shared" si="49"/>
        <v>残高確認書（印刷）</v>
      </c>
      <c r="AP934" s="51" t="str">
        <f t="shared" si="50"/>
        <v>AC4915</v>
      </c>
      <c r="AQ934" s="51" t="s">
        <v>3416</v>
      </c>
      <c r="AR934" s="51" t="s">
        <v>3417</v>
      </c>
      <c r="AS934" s="49" t="str">
        <f t="shared" si="51"/>
        <v/>
      </c>
      <c r="AT934" s="49" t="str">
        <f t="shared" si="52"/>
        <v/>
      </c>
      <c r="AU934" s="49"/>
      <c r="AV934" s="49"/>
    </row>
    <row r="935" spans="1:48" ht="18" customHeight="1">
      <c r="A935" s="44">
        <v>933</v>
      </c>
      <c r="B935" s="52" t="s">
        <v>2702</v>
      </c>
      <c r="C935" s="80" t="s">
        <v>3440</v>
      </c>
      <c r="D935" s="46" t="s">
        <v>72</v>
      </c>
      <c r="E935" s="44" t="s">
        <v>3417</v>
      </c>
      <c r="F935" s="44" t="s">
        <v>3447</v>
      </c>
      <c r="G935" s="44"/>
      <c r="H935" s="44"/>
      <c r="I935" s="44"/>
      <c r="J935" s="47" t="s">
        <v>35</v>
      </c>
      <c r="K935" s="47"/>
      <c r="L935" s="47"/>
      <c r="M935" s="47"/>
      <c r="N935" s="47"/>
      <c r="O935" s="44"/>
      <c r="P935" s="44"/>
      <c r="Q935" s="48">
        <f>VLOOKUP(E935,sheet1!$B$2:$D$3209,3,FALSE)</f>
        <v>754</v>
      </c>
      <c r="R935" s="47" t="s">
        <v>35</v>
      </c>
      <c r="S935" s="47" t="s">
        <v>35</v>
      </c>
      <c r="T935" s="47"/>
      <c r="U935" s="47" t="s">
        <v>296</v>
      </c>
      <c r="V935" s="47" t="s">
        <v>296</v>
      </c>
      <c r="W935" s="47" t="s">
        <v>296</v>
      </c>
      <c r="X935" s="47" t="s">
        <v>296</v>
      </c>
      <c r="Y935" s="47"/>
      <c r="Z935" s="47" t="s">
        <v>296</v>
      </c>
      <c r="AA935" s="47" t="s">
        <v>296</v>
      </c>
      <c r="AB935" s="47"/>
      <c r="AC935" s="47" t="s">
        <v>35</v>
      </c>
      <c r="AD935" s="75"/>
      <c r="AE935" s="49"/>
      <c r="AF935" s="56" t="s">
        <v>3448</v>
      </c>
      <c r="AG935" s="56" t="s">
        <v>3449</v>
      </c>
      <c r="AH935" s="49" t="str">
        <f t="shared" si="53"/>
        <v>外注先理論在庫</v>
      </c>
      <c r="AI935" s="49"/>
      <c r="AJ935" s="49"/>
      <c r="AK935" s="49"/>
      <c r="AL935" s="49"/>
      <c r="AM935" s="49"/>
      <c r="AN935" s="49"/>
      <c r="AO935" s="51" t="str">
        <f t="shared" si="49"/>
        <v>外貨仕入明細</v>
      </c>
      <c r="AP935" s="51" t="str">
        <f t="shared" si="50"/>
        <v>AC2110</v>
      </c>
      <c r="AQ935" s="51" t="s">
        <v>3419</v>
      </c>
      <c r="AR935" s="51" t="s">
        <v>3420</v>
      </c>
      <c r="AS935" s="49" t="str">
        <f t="shared" si="51"/>
        <v/>
      </c>
      <c r="AT935" s="49" t="str">
        <f t="shared" si="52"/>
        <v/>
      </c>
      <c r="AU935" s="49"/>
      <c r="AV935" s="49"/>
    </row>
    <row r="936" spans="1:48" ht="18" customHeight="1">
      <c r="A936" s="44">
        <v>934</v>
      </c>
      <c r="B936" s="52" t="s">
        <v>2702</v>
      </c>
      <c r="C936" s="80" t="s">
        <v>3440</v>
      </c>
      <c r="D936" s="46" t="s">
        <v>72</v>
      </c>
      <c r="E936" s="44" t="s">
        <v>3420</v>
      </c>
      <c r="F936" s="44" t="s">
        <v>3450</v>
      </c>
      <c r="G936" s="44"/>
      <c r="H936" s="44"/>
      <c r="I936" s="44"/>
      <c r="J936" s="47" t="s">
        <v>35</v>
      </c>
      <c r="K936" s="47"/>
      <c r="L936" s="47"/>
      <c r="M936" s="47"/>
      <c r="N936" s="47"/>
      <c r="O936" s="44"/>
      <c r="P936" s="44"/>
      <c r="Q936" s="48">
        <f>VLOOKUP(E936,sheet1!$B$2:$D$3209,3,FALSE)</f>
        <v>178</v>
      </c>
      <c r="R936" s="47" t="s">
        <v>35</v>
      </c>
      <c r="S936" s="47" t="s">
        <v>35</v>
      </c>
      <c r="T936" s="47"/>
      <c r="U936" s="47" t="s">
        <v>296</v>
      </c>
      <c r="V936" s="47" t="s">
        <v>296</v>
      </c>
      <c r="W936" s="47" t="s">
        <v>296</v>
      </c>
      <c r="X936" s="47" t="s">
        <v>296</v>
      </c>
      <c r="Y936" s="47"/>
      <c r="Z936" s="47" t="s">
        <v>296</v>
      </c>
      <c r="AA936" s="47" t="s">
        <v>296</v>
      </c>
      <c r="AB936" s="47"/>
      <c r="AC936" s="47" t="s">
        <v>35</v>
      </c>
      <c r="AD936" s="75"/>
      <c r="AE936" s="49"/>
      <c r="AF936" s="56" t="s">
        <v>3451</v>
      </c>
      <c r="AG936" s="56" t="s">
        <v>3452</v>
      </c>
      <c r="AH936" s="49" t="str">
        <f t="shared" si="53"/>
        <v>TOC実施の為のﾃﾞｰﾀﾀﾞｳﾝﾛｰﾄﾞ</v>
      </c>
      <c r="AI936" s="49"/>
      <c r="AJ936" s="49"/>
      <c r="AK936" s="49"/>
      <c r="AL936" s="49"/>
      <c r="AM936" s="49"/>
      <c r="AN936" s="49"/>
      <c r="AO936" s="51" t="str">
        <f t="shared" si="49"/>
        <v>仕入高合計一覧表（納入者順）</v>
      </c>
      <c r="AP936" s="51" t="str">
        <f t="shared" si="50"/>
        <v>AC4745</v>
      </c>
      <c r="AQ936" s="51" t="s">
        <v>3422</v>
      </c>
      <c r="AR936" s="51" t="s">
        <v>2476</v>
      </c>
      <c r="AS936" s="49" t="str">
        <f t="shared" si="51"/>
        <v/>
      </c>
      <c r="AT936" s="49" t="str">
        <f t="shared" si="52"/>
        <v/>
      </c>
      <c r="AU936" s="49"/>
      <c r="AV936" s="49"/>
    </row>
    <row r="937" spans="1:48" ht="18" customHeight="1">
      <c r="A937" s="44">
        <v>935</v>
      </c>
      <c r="B937" s="52" t="s">
        <v>2702</v>
      </c>
      <c r="C937" s="80" t="s">
        <v>3440</v>
      </c>
      <c r="D937" s="46" t="s">
        <v>72</v>
      </c>
      <c r="E937" s="44" t="s">
        <v>2476</v>
      </c>
      <c r="F937" s="44" t="s">
        <v>2477</v>
      </c>
      <c r="G937" s="44"/>
      <c r="H937" s="44"/>
      <c r="I937" s="44"/>
      <c r="J937" s="47" t="s">
        <v>35</v>
      </c>
      <c r="K937" s="47"/>
      <c r="L937" s="47"/>
      <c r="M937" s="47"/>
      <c r="N937" s="47"/>
      <c r="O937" s="44"/>
      <c r="P937" s="44"/>
      <c r="Q937" s="48">
        <f>VLOOKUP(E937,sheet1!$B$2:$D$3209,3,FALSE)</f>
        <v>149</v>
      </c>
      <c r="R937" s="47" t="s">
        <v>35</v>
      </c>
      <c r="S937" s="47" t="s">
        <v>35</v>
      </c>
      <c r="T937" s="47"/>
      <c r="U937" s="47" t="s">
        <v>296</v>
      </c>
      <c r="V937" s="47" t="s">
        <v>296</v>
      </c>
      <c r="W937" s="47" t="s">
        <v>296</v>
      </c>
      <c r="X937" s="47" t="s">
        <v>296</v>
      </c>
      <c r="Y937" s="47"/>
      <c r="Z937" s="47" t="s">
        <v>296</v>
      </c>
      <c r="AA937" s="47" t="s">
        <v>296</v>
      </c>
      <c r="AB937" s="47"/>
      <c r="AC937" s="47" t="s">
        <v>35</v>
      </c>
      <c r="AD937" s="75"/>
      <c r="AE937" s="49"/>
      <c r="AF937" s="56" t="s">
        <v>3453</v>
      </c>
      <c r="AG937" s="56" t="s">
        <v>3454</v>
      </c>
      <c r="AH937" s="49" t="str">
        <f t="shared" si="53"/>
        <v>JCM売上: JS仕入差異一覧</v>
      </c>
      <c r="AI937" s="49"/>
      <c r="AJ937" s="49"/>
      <c r="AK937" s="49"/>
      <c r="AL937" s="49"/>
      <c r="AM937" s="49"/>
      <c r="AN937" s="49"/>
      <c r="AO937" s="51" t="str">
        <f t="shared" si="49"/>
        <v>仕入高合計一覧表（金額順）</v>
      </c>
      <c r="AP937" s="51" t="str">
        <f t="shared" si="50"/>
        <v>AC4750</v>
      </c>
      <c r="AQ937" s="51" t="s">
        <v>3424</v>
      </c>
      <c r="AR937" s="51" t="s">
        <v>2480</v>
      </c>
      <c r="AS937" s="49" t="str">
        <f t="shared" si="51"/>
        <v/>
      </c>
      <c r="AT937" s="49" t="str">
        <f t="shared" si="52"/>
        <v/>
      </c>
      <c r="AU937" s="49"/>
      <c r="AV937" s="49"/>
    </row>
    <row r="938" spans="1:48" ht="18" customHeight="1">
      <c r="A938" s="44">
        <v>936</v>
      </c>
      <c r="B938" s="52" t="s">
        <v>2702</v>
      </c>
      <c r="C938" s="80" t="s">
        <v>3440</v>
      </c>
      <c r="D938" s="46" t="s">
        <v>72</v>
      </c>
      <c r="E938" s="44" t="s">
        <v>2480</v>
      </c>
      <c r="F938" s="44" t="s">
        <v>2527</v>
      </c>
      <c r="G938" s="44"/>
      <c r="H938" s="44"/>
      <c r="I938" s="44"/>
      <c r="J938" s="47" t="s">
        <v>35</v>
      </c>
      <c r="K938" s="47"/>
      <c r="L938" s="47"/>
      <c r="M938" s="47"/>
      <c r="N938" s="47"/>
      <c r="O938" s="44"/>
      <c r="P938" s="44"/>
      <c r="Q938" s="48">
        <f>VLOOKUP(E938,sheet1!$B$2:$D$3209,3,FALSE)</f>
        <v>161</v>
      </c>
      <c r="R938" s="47" t="s">
        <v>35</v>
      </c>
      <c r="S938" s="47" t="s">
        <v>35</v>
      </c>
      <c r="T938" s="47"/>
      <c r="U938" s="47" t="s">
        <v>296</v>
      </c>
      <c r="V938" s="47" t="s">
        <v>296</v>
      </c>
      <c r="W938" s="47" t="s">
        <v>296</v>
      </c>
      <c r="X938" s="47" t="s">
        <v>296</v>
      </c>
      <c r="Y938" s="47"/>
      <c r="Z938" s="47" t="s">
        <v>296</v>
      </c>
      <c r="AA938" s="47" t="s">
        <v>296</v>
      </c>
      <c r="AB938" s="47"/>
      <c r="AC938" s="47" t="s">
        <v>35</v>
      </c>
      <c r="AD938" s="75"/>
      <c r="AE938" s="49"/>
      <c r="AF938" s="56" t="s">
        <v>3455</v>
      </c>
      <c r="AG938" s="56" t="s">
        <v>3456</v>
      </c>
      <c r="AH938" s="49" t="str">
        <f t="shared" si="53"/>
        <v>取引先振込銀行口座一覧</v>
      </c>
      <c r="AI938" s="49"/>
      <c r="AJ938" s="49"/>
      <c r="AK938" s="49"/>
      <c r="AL938" s="49"/>
      <c r="AM938" s="49"/>
      <c r="AN938" s="49"/>
      <c r="AO938" s="51" t="str">
        <f t="shared" si="49"/>
        <v>仕入実績推移表</v>
      </c>
      <c r="AP938" s="51" t="str">
        <f t="shared" si="50"/>
        <v>NB5000</v>
      </c>
      <c r="AQ938" s="51" t="s">
        <v>3426</v>
      </c>
      <c r="AR938" s="51" t="s">
        <v>3427</v>
      </c>
      <c r="AS938" s="49" t="str">
        <f t="shared" si="51"/>
        <v/>
      </c>
      <c r="AT938" s="49" t="str">
        <f t="shared" si="52"/>
        <v/>
      </c>
      <c r="AU938" s="49"/>
      <c r="AV938" s="49"/>
    </row>
    <row r="939" spans="1:48" ht="18" customHeight="1">
      <c r="A939" s="44">
        <v>937</v>
      </c>
      <c r="B939" s="52" t="s">
        <v>2702</v>
      </c>
      <c r="C939" s="80" t="s">
        <v>3440</v>
      </c>
      <c r="D939" s="46" t="s">
        <v>72</v>
      </c>
      <c r="E939" s="44" t="s">
        <v>3427</v>
      </c>
      <c r="F939" s="44" t="s">
        <v>3457</v>
      </c>
      <c r="G939" s="44"/>
      <c r="H939" s="44"/>
      <c r="I939" s="44"/>
      <c r="J939" s="47" t="s">
        <v>35</v>
      </c>
      <c r="K939" s="47"/>
      <c r="L939" s="47"/>
      <c r="M939" s="47"/>
      <c r="N939" s="47"/>
      <c r="O939" s="44"/>
      <c r="P939" s="44"/>
      <c r="Q939" s="48">
        <f>VLOOKUP(E939,sheet1!$B$2:$D$3209,3,FALSE)</f>
        <v>141</v>
      </c>
      <c r="R939" s="47" t="s">
        <v>35</v>
      </c>
      <c r="S939" s="47" t="s">
        <v>35</v>
      </c>
      <c r="T939" s="47"/>
      <c r="U939" s="47" t="s">
        <v>296</v>
      </c>
      <c r="V939" s="47" t="s">
        <v>296</v>
      </c>
      <c r="W939" s="47" t="s">
        <v>296</v>
      </c>
      <c r="X939" s="47" t="s">
        <v>296</v>
      </c>
      <c r="Y939" s="47"/>
      <c r="Z939" s="47" t="s">
        <v>296</v>
      </c>
      <c r="AA939" s="47" t="s">
        <v>296</v>
      </c>
      <c r="AB939" s="47"/>
      <c r="AC939" s="47" t="s">
        <v>35</v>
      </c>
      <c r="AD939" s="75"/>
      <c r="AE939" s="49"/>
      <c r="AF939" s="56" t="s">
        <v>3458</v>
      </c>
      <c r="AG939" s="56" t="s">
        <v>2591</v>
      </c>
      <c r="AH939" s="49" t="str">
        <f t="shared" si="53"/>
        <v>有償支給明細書</v>
      </c>
      <c r="AI939" s="49"/>
      <c r="AJ939" s="49"/>
      <c r="AK939" s="49"/>
      <c r="AL939" s="49"/>
      <c r="AM939" s="49"/>
      <c r="AN939" s="49"/>
      <c r="AO939" s="51" t="str">
        <f t="shared" si="49"/>
        <v>少額減価償却資産の仕入</v>
      </c>
      <c r="AP939" s="51" t="str">
        <f t="shared" si="50"/>
        <v>AC4755</v>
      </c>
      <c r="AQ939" s="51" t="s">
        <v>3429</v>
      </c>
      <c r="AR939" s="51" t="s">
        <v>3430</v>
      </c>
      <c r="AS939" s="49" t="str">
        <f t="shared" si="51"/>
        <v/>
      </c>
      <c r="AT939" s="49" t="str">
        <f t="shared" si="52"/>
        <v/>
      </c>
      <c r="AU939" s="49"/>
      <c r="AV939" s="49"/>
    </row>
    <row r="940" spans="1:48" ht="18" customHeight="1">
      <c r="A940" s="44">
        <v>938</v>
      </c>
      <c r="B940" s="52" t="s">
        <v>2702</v>
      </c>
      <c r="C940" s="80" t="s">
        <v>3440</v>
      </c>
      <c r="D940" s="46" t="s">
        <v>72</v>
      </c>
      <c r="E940" s="44" t="s">
        <v>3430</v>
      </c>
      <c r="F940" s="44" t="s">
        <v>3459</v>
      </c>
      <c r="G940" s="44"/>
      <c r="H940" s="44"/>
      <c r="I940" s="44"/>
      <c r="J940" s="47" t="s">
        <v>35</v>
      </c>
      <c r="K940" s="47"/>
      <c r="L940" s="47"/>
      <c r="M940" s="47"/>
      <c r="N940" s="47"/>
      <c r="O940" s="44"/>
      <c r="P940" s="44"/>
      <c r="Q940" s="48">
        <f>VLOOKUP(E940,sheet1!$B$2:$D$3209,3,FALSE)</f>
        <v>135</v>
      </c>
      <c r="R940" s="47" t="s">
        <v>35</v>
      </c>
      <c r="S940" s="47" t="s">
        <v>35</v>
      </c>
      <c r="T940" s="47"/>
      <c r="U940" s="47" t="s">
        <v>296</v>
      </c>
      <c r="V940" s="47" t="s">
        <v>296</v>
      </c>
      <c r="W940" s="47" t="s">
        <v>296</v>
      </c>
      <c r="X940" s="47" t="s">
        <v>296</v>
      </c>
      <c r="Y940" s="47"/>
      <c r="Z940" s="47" t="s">
        <v>296</v>
      </c>
      <c r="AA940" s="47" t="s">
        <v>296</v>
      </c>
      <c r="AB940" s="47"/>
      <c r="AC940" s="47" t="s">
        <v>35</v>
      </c>
      <c r="AD940" s="75"/>
      <c r="AE940" s="49"/>
      <c r="AF940" s="56" t="s">
        <v>3460</v>
      </c>
      <c r="AG940" s="56" t="s">
        <v>344</v>
      </c>
      <c r="AH940" s="49" t="str">
        <f t="shared" si="53"/>
        <v>残高確認書(ﾀﾞｳﾝﾛｰﾄﾞﾃﾞｰﾀ作成)</v>
      </c>
      <c r="AI940" s="49"/>
      <c r="AJ940" s="49"/>
      <c r="AK940" s="49"/>
      <c r="AL940" s="49"/>
      <c r="AM940" s="49"/>
      <c r="AN940" s="49"/>
      <c r="AO940" s="51" t="str">
        <f t="shared" si="49"/>
        <v>香港製品仕入原価差額</v>
      </c>
      <c r="AP940" s="51" t="str">
        <f t="shared" si="50"/>
        <v>AC4740</v>
      </c>
      <c r="AQ940" s="51" t="s">
        <v>3432</v>
      </c>
      <c r="AR940" s="51" t="s">
        <v>3433</v>
      </c>
      <c r="AS940" s="49" t="str">
        <f t="shared" si="51"/>
        <v/>
      </c>
      <c r="AT940" s="49" t="str">
        <f t="shared" si="52"/>
        <v/>
      </c>
      <c r="AU940" s="49"/>
      <c r="AV940" s="49"/>
    </row>
    <row r="941" spans="1:48" ht="18" customHeight="1">
      <c r="A941" s="44">
        <v>939</v>
      </c>
      <c r="B941" s="52" t="s">
        <v>2702</v>
      </c>
      <c r="C941" s="80" t="s">
        <v>3440</v>
      </c>
      <c r="D941" s="46" t="s">
        <v>72</v>
      </c>
      <c r="E941" s="44" t="s">
        <v>3433</v>
      </c>
      <c r="F941" s="44" t="s">
        <v>3461</v>
      </c>
      <c r="G941" s="44"/>
      <c r="H941" s="44"/>
      <c r="I941" s="44"/>
      <c r="J941" s="47" t="s">
        <v>35</v>
      </c>
      <c r="K941" s="47"/>
      <c r="L941" s="47"/>
      <c r="M941" s="47"/>
      <c r="N941" s="47"/>
      <c r="O941" s="44"/>
      <c r="P941" s="44"/>
      <c r="Q941" s="48">
        <f>VLOOKUP(E941,sheet1!$B$2:$D$3209,3,FALSE)</f>
        <v>122</v>
      </c>
      <c r="R941" s="47" t="s">
        <v>35</v>
      </c>
      <c r="S941" s="47" t="s">
        <v>35</v>
      </c>
      <c r="T941" s="47"/>
      <c r="U941" s="47" t="s">
        <v>296</v>
      </c>
      <c r="V941" s="47" t="s">
        <v>296</v>
      </c>
      <c r="W941" s="47" t="s">
        <v>296</v>
      </c>
      <c r="X941" s="47" t="s">
        <v>296</v>
      </c>
      <c r="Y941" s="47"/>
      <c r="Z941" s="47" t="s">
        <v>296</v>
      </c>
      <c r="AA941" s="47" t="s">
        <v>296</v>
      </c>
      <c r="AB941" s="47"/>
      <c r="AC941" s="47" t="s">
        <v>35</v>
      </c>
      <c r="AD941" s="75"/>
      <c r="AE941" s="49"/>
      <c r="AF941" s="56" t="s">
        <v>3462</v>
      </c>
      <c r="AG941" s="56" t="s">
        <v>3463</v>
      </c>
      <c r="AH941" s="49" t="str">
        <f t="shared" si="53"/>
        <v>送付案内書発行</v>
      </c>
      <c r="AI941" s="49"/>
      <c r="AJ941" s="49"/>
      <c r="AK941" s="49"/>
      <c r="AL941" s="49"/>
      <c r="AM941" s="49"/>
      <c r="AN941" s="49"/>
      <c r="AO941" s="51" t="str">
        <f t="shared" si="49"/>
        <v>原価差額明細</v>
      </c>
      <c r="AP941" s="51" t="str">
        <f t="shared" si="50"/>
        <v>CS3650</v>
      </c>
      <c r="AQ941" s="51" t="s">
        <v>3435</v>
      </c>
      <c r="AR941" s="51" t="s">
        <v>3436</v>
      </c>
      <c r="AS941" s="49" t="str">
        <f t="shared" si="51"/>
        <v/>
      </c>
      <c r="AT941" s="49" t="str">
        <f t="shared" si="52"/>
        <v/>
      </c>
      <c r="AU941" s="49"/>
      <c r="AV941" s="49"/>
    </row>
    <row r="942" spans="1:48" ht="18" customHeight="1">
      <c r="A942" s="44">
        <v>940</v>
      </c>
      <c r="B942" s="52" t="s">
        <v>2702</v>
      </c>
      <c r="C942" s="80" t="s">
        <v>3440</v>
      </c>
      <c r="D942" s="46" t="s">
        <v>72</v>
      </c>
      <c r="E942" s="44" t="s">
        <v>3436</v>
      </c>
      <c r="F942" s="44" t="s">
        <v>3464</v>
      </c>
      <c r="G942" s="44"/>
      <c r="H942" s="44"/>
      <c r="I942" s="44"/>
      <c r="J942" s="47" t="s">
        <v>35</v>
      </c>
      <c r="K942" s="47"/>
      <c r="L942" s="47"/>
      <c r="M942" s="47"/>
      <c r="N942" s="47"/>
      <c r="O942" s="44"/>
      <c r="P942" s="44"/>
      <c r="Q942" s="48">
        <f>VLOOKUP(E942,sheet1!$B$2:$D$3209,3,FALSE)</f>
        <v>98</v>
      </c>
      <c r="R942" s="47" t="s">
        <v>35</v>
      </c>
      <c r="S942" s="47" t="s">
        <v>35</v>
      </c>
      <c r="T942" s="47"/>
      <c r="U942" s="47" t="s">
        <v>296</v>
      </c>
      <c r="V942" s="47" t="s">
        <v>296</v>
      </c>
      <c r="W942" s="47" t="s">
        <v>296</v>
      </c>
      <c r="X942" s="47" t="s">
        <v>296</v>
      </c>
      <c r="Y942" s="47"/>
      <c r="Z942" s="47" t="s">
        <v>296</v>
      </c>
      <c r="AA942" s="47" t="s">
        <v>296</v>
      </c>
      <c r="AB942" s="47"/>
      <c r="AC942" s="47" t="s">
        <v>35</v>
      </c>
      <c r="AD942" s="75"/>
      <c r="AE942" s="49"/>
      <c r="AF942" s="56" t="s">
        <v>3465</v>
      </c>
      <c r="AG942" s="56" t="s">
        <v>3466</v>
      </c>
      <c r="AH942" s="49" t="str">
        <f t="shared" si="53"/>
        <v>香港仕入実績金額</v>
      </c>
      <c r="AI942" s="49"/>
      <c r="AJ942" s="49"/>
      <c r="AK942" s="49"/>
      <c r="AL942" s="49"/>
      <c r="AM942" s="49"/>
      <c r="AN942" s="49"/>
      <c r="AO942" s="51" t="str">
        <f t="shared" si="49"/>
        <v>実際・標準原価比較ﾘｽﾄ</v>
      </c>
      <c r="AP942" s="51" t="str">
        <f t="shared" si="50"/>
        <v>CS3620</v>
      </c>
      <c r="AQ942" s="51" t="s">
        <v>3438</v>
      </c>
      <c r="AR942" s="51" t="s">
        <v>3439</v>
      </c>
      <c r="AS942" s="49" t="str">
        <f t="shared" si="51"/>
        <v/>
      </c>
      <c r="AT942" s="49" t="str">
        <f t="shared" si="52"/>
        <v/>
      </c>
      <c r="AU942" s="49"/>
      <c r="AV942" s="49"/>
    </row>
    <row r="943" spans="1:48" ht="18" customHeight="1">
      <c r="A943" s="44">
        <v>941</v>
      </c>
      <c r="B943" s="52" t="s">
        <v>2702</v>
      </c>
      <c r="C943" s="80" t="s">
        <v>3440</v>
      </c>
      <c r="D943" s="46" t="s">
        <v>72</v>
      </c>
      <c r="E943" s="44" t="s">
        <v>3439</v>
      </c>
      <c r="F943" s="44" t="s">
        <v>3467</v>
      </c>
      <c r="G943" s="44"/>
      <c r="H943" s="44"/>
      <c r="I943" s="44"/>
      <c r="J943" s="47" t="s">
        <v>35</v>
      </c>
      <c r="K943" s="47"/>
      <c r="L943" s="47"/>
      <c r="M943" s="47"/>
      <c r="N943" s="47"/>
      <c r="O943" s="44"/>
      <c r="P943" s="44"/>
      <c r="Q943" s="48">
        <f>VLOOKUP(E943,sheet1!$B$2:$D$3209,3,FALSE)</f>
        <v>197</v>
      </c>
      <c r="R943" s="47" t="s">
        <v>35</v>
      </c>
      <c r="S943" s="47" t="s">
        <v>35</v>
      </c>
      <c r="T943" s="47"/>
      <c r="U943" s="47" t="s">
        <v>296</v>
      </c>
      <c r="V943" s="47" t="s">
        <v>296</v>
      </c>
      <c r="W943" s="47" t="s">
        <v>296</v>
      </c>
      <c r="X943" s="47" t="s">
        <v>296</v>
      </c>
      <c r="Y943" s="47"/>
      <c r="Z943" s="47" t="s">
        <v>296</v>
      </c>
      <c r="AA943" s="47" t="s">
        <v>296</v>
      </c>
      <c r="AB943" s="47"/>
      <c r="AC943" s="47" t="s">
        <v>35</v>
      </c>
      <c r="AD943" s="75"/>
      <c r="AE943" s="49"/>
      <c r="AF943" s="56" t="s">
        <v>3468</v>
      </c>
      <c r="AG943" s="56" t="s">
        <v>3469</v>
      </c>
      <c r="AH943" s="49" t="str">
        <f t="shared" si="53"/>
        <v>連結決算関係資料</v>
      </c>
      <c r="AI943" s="49"/>
      <c r="AJ943" s="49"/>
      <c r="AK943" s="49"/>
      <c r="AL943" s="49"/>
      <c r="AM943" s="49"/>
      <c r="AN943" s="49"/>
      <c r="AO943" s="51" t="str">
        <f t="shared" si="49"/>
        <v>銀行別預金残高一覧表</v>
      </c>
      <c r="AP943" s="51" t="str">
        <f t="shared" si="50"/>
        <v>AC9710</v>
      </c>
      <c r="AQ943" s="51" t="s">
        <v>3442</v>
      </c>
      <c r="AR943" s="51" t="s">
        <v>3443</v>
      </c>
      <c r="AS943" s="49" t="str">
        <f t="shared" si="51"/>
        <v/>
      </c>
      <c r="AT943" s="49" t="str">
        <f t="shared" si="52"/>
        <v/>
      </c>
      <c r="AU943" s="49"/>
      <c r="AV943" s="49"/>
    </row>
    <row r="944" spans="1:48" ht="18" customHeight="1">
      <c r="A944" s="44">
        <v>942</v>
      </c>
      <c r="B944" s="52" t="s">
        <v>2702</v>
      </c>
      <c r="C944" s="80" t="s">
        <v>3440</v>
      </c>
      <c r="D944" s="46" t="s">
        <v>72</v>
      </c>
      <c r="E944" s="44" t="s">
        <v>3443</v>
      </c>
      <c r="F944" s="44" t="s">
        <v>3470</v>
      </c>
      <c r="G944" s="44"/>
      <c r="H944" s="44"/>
      <c r="I944" s="44"/>
      <c r="J944" s="47" t="s">
        <v>35</v>
      </c>
      <c r="K944" s="47"/>
      <c r="L944" s="47"/>
      <c r="M944" s="47"/>
      <c r="N944" s="47"/>
      <c r="O944" s="44"/>
      <c r="P944" s="44"/>
      <c r="Q944" s="48">
        <f>VLOOKUP(E944,sheet1!$B$2:$D$3209,3,FALSE)</f>
        <v>550</v>
      </c>
      <c r="R944" s="47" t="s">
        <v>35</v>
      </c>
      <c r="S944" s="47" t="s">
        <v>35</v>
      </c>
      <c r="T944" s="47"/>
      <c r="U944" s="47" t="s">
        <v>296</v>
      </c>
      <c r="V944" s="47" t="s">
        <v>296</v>
      </c>
      <c r="W944" s="47" t="s">
        <v>296</v>
      </c>
      <c r="X944" s="47" t="s">
        <v>296</v>
      </c>
      <c r="Y944" s="47"/>
      <c r="Z944" s="47" t="s">
        <v>296</v>
      </c>
      <c r="AA944" s="47" t="s">
        <v>296</v>
      </c>
      <c r="AB944" s="47"/>
      <c r="AC944" s="47" t="s">
        <v>35</v>
      </c>
      <c r="AD944" s="75"/>
      <c r="AE944" s="49"/>
      <c r="AF944" s="56" t="s">
        <v>3471</v>
      </c>
      <c r="AG944" s="56" t="s">
        <v>3472</v>
      </c>
      <c r="AH944" s="49" t="str">
        <f t="shared" si="53"/>
        <v>品目ﾀｲﾌﾟ別機種別在庫ﾃﾞｰﾀ</v>
      </c>
      <c r="AI944" s="49"/>
      <c r="AJ944" s="49"/>
      <c r="AK944" s="49"/>
      <c r="AL944" s="49"/>
      <c r="AM944" s="49"/>
      <c r="AN944" s="49"/>
      <c r="AO944" s="51" t="str">
        <f t="shared" si="49"/>
        <v>在庫ﾃﾞｰﾀﾀﾞｳﾝﾛｰﾄﾞ</v>
      </c>
      <c r="AP944" s="51" t="str">
        <f t="shared" si="50"/>
        <v>AC0020</v>
      </c>
      <c r="AQ944" s="51" t="s">
        <v>3445</v>
      </c>
      <c r="AR944" s="51" t="s">
        <v>3446</v>
      </c>
      <c r="AS944" s="49" t="str">
        <f t="shared" si="51"/>
        <v/>
      </c>
      <c r="AT944" s="49" t="str">
        <f t="shared" si="52"/>
        <v/>
      </c>
      <c r="AU944" s="49"/>
      <c r="AV944" s="49"/>
    </row>
    <row r="945" spans="1:48" ht="18" customHeight="1">
      <c r="A945" s="44">
        <v>943</v>
      </c>
      <c r="B945" s="52" t="s">
        <v>2702</v>
      </c>
      <c r="C945" s="80" t="s">
        <v>3440</v>
      </c>
      <c r="D945" s="46" t="s">
        <v>72</v>
      </c>
      <c r="E945" s="44" t="s">
        <v>3446</v>
      </c>
      <c r="F945" s="44" t="s">
        <v>3473</v>
      </c>
      <c r="G945" s="44"/>
      <c r="H945" s="44"/>
      <c r="I945" s="44"/>
      <c r="J945" s="47" t="s">
        <v>35</v>
      </c>
      <c r="K945" s="47"/>
      <c r="L945" s="47"/>
      <c r="M945" s="47"/>
      <c r="N945" s="47"/>
      <c r="O945" s="44"/>
      <c r="P945" s="44"/>
      <c r="Q945" s="48">
        <f>VLOOKUP(E945,sheet1!$B$2:$D$3209,3,FALSE)</f>
        <v>111</v>
      </c>
      <c r="R945" s="47" t="s">
        <v>35</v>
      </c>
      <c r="S945" s="47" t="s">
        <v>35</v>
      </c>
      <c r="T945" s="47"/>
      <c r="U945" s="47" t="s">
        <v>296</v>
      </c>
      <c r="V945" s="47" t="s">
        <v>296</v>
      </c>
      <c r="W945" s="47" t="s">
        <v>296</v>
      </c>
      <c r="X945" s="47" t="s">
        <v>296</v>
      </c>
      <c r="Y945" s="47"/>
      <c r="Z945" s="47" t="s">
        <v>296</v>
      </c>
      <c r="AA945" s="47" t="s">
        <v>296</v>
      </c>
      <c r="AB945" s="47"/>
      <c r="AC945" s="47" t="s">
        <v>35</v>
      </c>
      <c r="AD945" s="75"/>
      <c r="AE945" s="49"/>
      <c r="AF945" s="56" t="s">
        <v>3474</v>
      </c>
      <c r="AG945" s="56" t="s">
        <v>3475</v>
      </c>
      <c r="AH945" s="49" t="str">
        <f t="shared" si="53"/>
        <v>全仕訳ﾃﾞｰﾀ</v>
      </c>
      <c r="AI945" s="49"/>
      <c r="AJ945" s="49"/>
      <c r="AK945" s="49"/>
      <c r="AL945" s="49"/>
      <c r="AM945" s="49"/>
      <c r="AN945" s="49"/>
      <c r="AO945" s="51" t="str">
        <f t="shared" si="49"/>
        <v>外注先理論在庫</v>
      </c>
      <c r="AP945" s="51" t="str">
        <f t="shared" si="50"/>
        <v>PD5285</v>
      </c>
      <c r="AQ945" s="51" t="s">
        <v>3448</v>
      </c>
      <c r="AR945" s="51" t="s">
        <v>3449</v>
      </c>
      <c r="AS945" s="49" t="str">
        <f t="shared" si="51"/>
        <v/>
      </c>
      <c r="AT945" s="49" t="str">
        <f t="shared" si="52"/>
        <v/>
      </c>
      <c r="AU945" s="49"/>
      <c r="AV945" s="49"/>
    </row>
    <row r="946" spans="1:48" ht="18" customHeight="1">
      <c r="A946" s="44">
        <v>944</v>
      </c>
      <c r="B946" s="52" t="s">
        <v>2702</v>
      </c>
      <c r="C946" s="80" t="s">
        <v>3440</v>
      </c>
      <c r="D946" s="46" t="s">
        <v>72</v>
      </c>
      <c r="E946" s="44" t="s">
        <v>3449</v>
      </c>
      <c r="F946" s="44" t="s">
        <v>3476</v>
      </c>
      <c r="G946" s="44"/>
      <c r="H946" s="44"/>
      <c r="I946" s="44"/>
      <c r="J946" s="47" t="s">
        <v>35</v>
      </c>
      <c r="K946" s="47"/>
      <c r="L946" s="47"/>
      <c r="M946" s="47"/>
      <c r="N946" s="47"/>
      <c r="O946" s="44"/>
      <c r="P946" s="44"/>
      <c r="Q946" s="48">
        <f>VLOOKUP(E946,sheet1!$B$2:$D$3209,3,FALSE)</f>
        <v>274</v>
      </c>
      <c r="R946" s="47" t="s">
        <v>35</v>
      </c>
      <c r="S946" s="47" t="s">
        <v>35</v>
      </c>
      <c r="T946" s="47"/>
      <c r="U946" s="47" t="s">
        <v>296</v>
      </c>
      <c r="V946" s="47" t="s">
        <v>296</v>
      </c>
      <c r="W946" s="47" t="s">
        <v>296</v>
      </c>
      <c r="X946" s="47" t="s">
        <v>296</v>
      </c>
      <c r="Y946" s="47"/>
      <c r="Z946" s="47" t="s">
        <v>296</v>
      </c>
      <c r="AA946" s="47" t="s">
        <v>296</v>
      </c>
      <c r="AB946" s="47"/>
      <c r="AC946" s="47" t="s">
        <v>35</v>
      </c>
      <c r="AD946" s="75"/>
      <c r="AE946" s="49"/>
      <c r="AF946" s="56" t="s">
        <v>3477</v>
      </c>
      <c r="AG946" s="56" t="s">
        <v>3478</v>
      </c>
      <c r="AH946" s="49" t="str">
        <f t="shared" si="53"/>
        <v>売掛金残高</v>
      </c>
      <c r="AI946" s="49"/>
      <c r="AJ946" s="49"/>
      <c r="AK946" s="49"/>
      <c r="AL946" s="49"/>
      <c r="AM946" s="49"/>
      <c r="AN946" s="49"/>
      <c r="AO946" s="51" t="str">
        <f t="shared" si="49"/>
        <v>TOC実施の為のﾃﾞｰﾀﾀﾞｳﾝﾛｰﾄﾞ</v>
      </c>
      <c r="AP946" s="51" t="str">
        <f t="shared" si="50"/>
        <v>AC1000</v>
      </c>
      <c r="AQ946" s="51" t="s">
        <v>3451</v>
      </c>
      <c r="AR946" s="51" t="s">
        <v>3452</v>
      </c>
      <c r="AS946" s="49" t="str">
        <f t="shared" si="51"/>
        <v/>
      </c>
      <c r="AT946" s="49" t="str">
        <f t="shared" si="52"/>
        <v/>
      </c>
      <c r="AU946" s="49"/>
      <c r="AV946" s="49"/>
    </row>
    <row r="947" spans="1:48" ht="18" customHeight="1">
      <c r="A947" s="44">
        <v>945</v>
      </c>
      <c r="B947" s="52" t="s">
        <v>2702</v>
      </c>
      <c r="C947" s="80" t="s">
        <v>3440</v>
      </c>
      <c r="D947" s="46" t="s">
        <v>72</v>
      </c>
      <c r="E947" s="44" t="s">
        <v>3452</v>
      </c>
      <c r="F947" s="44" t="s">
        <v>3479</v>
      </c>
      <c r="G947" s="44"/>
      <c r="H947" s="44"/>
      <c r="I947" s="44"/>
      <c r="J947" s="47" t="s">
        <v>35</v>
      </c>
      <c r="K947" s="47"/>
      <c r="L947" s="47"/>
      <c r="M947" s="47"/>
      <c r="N947" s="47"/>
      <c r="O947" s="44"/>
      <c r="P947" s="44"/>
      <c r="Q947" s="48">
        <f>VLOOKUP(E947,sheet1!$B$2:$D$3209,3,FALSE)</f>
        <v>188</v>
      </c>
      <c r="R947" s="47" t="s">
        <v>35</v>
      </c>
      <c r="S947" s="47" t="s">
        <v>35</v>
      </c>
      <c r="T947" s="47"/>
      <c r="U947" s="47" t="s">
        <v>296</v>
      </c>
      <c r="V947" s="47" t="s">
        <v>296</v>
      </c>
      <c r="W947" s="47" t="s">
        <v>296</v>
      </c>
      <c r="X947" s="47" t="s">
        <v>296</v>
      </c>
      <c r="Y947" s="47"/>
      <c r="Z947" s="47" t="s">
        <v>296</v>
      </c>
      <c r="AA947" s="47" t="s">
        <v>296</v>
      </c>
      <c r="AB947" s="47"/>
      <c r="AC947" s="47" t="s">
        <v>35</v>
      </c>
      <c r="AD947" s="75"/>
      <c r="AE947" s="49"/>
      <c r="AF947" s="56" t="s">
        <v>3480</v>
      </c>
      <c r="AG947" s="56" t="s">
        <v>344</v>
      </c>
      <c r="AH947" s="49" t="str">
        <f t="shared" si="53"/>
        <v>滞留在庫見込み</v>
      </c>
      <c r="AI947" s="49"/>
      <c r="AJ947" s="49"/>
      <c r="AK947" s="49"/>
      <c r="AL947" s="49"/>
      <c r="AM947" s="49"/>
      <c r="AN947" s="49"/>
      <c r="AO947" s="51" t="str">
        <f t="shared" si="49"/>
        <v>JCM売上: JS仕入差異一覧</v>
      </c>
      <c r="AP947" s="51" t="str">
        <f t="shared" si="50"/>
        <v>SA2900</v>
      </c>
      <c r="AQ947" s="51" t="s">
        <v>3453</v>
      </c>
      <c r="AR947" s="51" t="s">
        <v>3454</v>
      </c>
      <c r="AS947" s="49" t="str">
        <f t="shared" si="51"/>
        <v/>
      </c>
      <c r="AT947" s="49" t="str">
        <f t="shared" si="52"/>
        <v/>
      </c>
      <c r="AU947" s="49"/>
      <c r="AV947" s="49"/>
    </row>
    <row r="948" spans="1:48" ht="18" customHeight="1">
      <c r="A948" s="44">
        <v>946</v>
      </c>
      <c r="B948" s="52" t="s">
        <v>2702</v>
      </c>
      <c r="C948" s="80" t="s">
        <v>3440</v>
      </c>
      <c r="D948" s="46" t="s">
        <v>72</v>
      </c>
      <c r="E948" s="44" t="s">
        <v>3454</v>
      </c>
      <c r="F948" s="44" t="s">
        <v>3481</v>
      </c>
      <c r="G948" s="44"/>
      <c r="H948" s="44"/>
      <c r="I948" s="44"/>
      <c r="J948" s="47" t="s">
        <v>35</v>
      </c>
      <c r="K948" s="47"/>
      <c r="L948" s="47"/>
      <c r="M948" s="47"/>
      <c r="N948" s="47"/>
      <c r="O948" s="44"/>
      <c r="P948" s="44"/>
      <c r="Q948" s="48">
        <f>VLOOKUP(E948,sheet1!$B$2:$D$3209,3,FALSE)</f>
        <v>107</v>
      </c>
      <c r="R948" s="47" t="s">
        <v>35</v>
      </c>
      <c r="S948" s="47" t="s">
        <v>35</v>
      </c>
      <c r="T948" s="47"/>
      <c r="U948" s="47" t="s">
        <v>296</v>
      </c>
      <c r="V948" s="47" t="s">
        <v>296</v>
      </c>
      <c r="W948" s="47" t="s">
        <v>296</v>
      </c>
      <c r="X948" s="47" t="s">
        <v>296</v>
      </c>
      <c r="Y948" s="47"/>
      <c r="Z948" s="47" t="s">
        <v>296</v>
      </c>
      <c r="AA948" s="47" t="s">
        <v>296</v>
      </c>
      <c r="AB948" s="47"/>
      <c r="AC948" s="47" t="s">
        <v>35</v>
      </c>
      <c r="AD948" s="75"/>
      <c r="AE948" s="49"/>
      <c r="AF948" s="56" t="s">
        <v>3482</v>
      </c>
      <c r="AG948" s="56" t="s">
        <v>3483</v>
      </c>
      <c r="AH948" s="49" t="str">
        <f t="shared" si="53"/>
        <v>DIVA連結用ﾃﾞｰﾀﾀﾞｳﾝﾛｰﾄﾞ</v>
      </c>
      <c r="AI948" s="49"/>
      <c r="AJ948" s="49"/>
      <c r="AK948" s="49"/>
      <c r="AL948" s="49"/>
      <c r="AM948" s="49"/>
      <c r="AN948" s="49"/>
      <c r="AO948" s="51" t="str">
        <f t="shared" si="49"/>
        <v>取引先振込銀行口座一覧</v>
      </c>
      <c r="AP948" s="51" t="str">
        <f t="shared" si="50"/>
        <v>AC9700</v>
      </c>
      <c r="AQ948" s="51" t="s">
        <v>3455</v>
      </c>
      <c r="AR948" s="51" t="s">
        <v>3456</v>
      </c>
      <c r="AS948" s="49" t="str">
        <f t="shared" si="51"/>
        <v/>
      </c>
      <c r="AT948" s="49" t="str">
        <f t="shared" si="52"/>
        <v/>
      </c>
      <c r="AU948" s="49"/>
      <c r="AV948" s="49"/>
    </row>
    <row r="949" spans="1:48" ht="18" customHeight="1">
      <c r="A949" s="44">
        <v>947</v>
      </c>
      <c r="B949" s="52" t="s">
        <v>2702</v>
      </c>
      <c r="C949" s="80" t="s">
        <v>3440</v>
      </c>
      <c r="D949" s="46" t="s">
        <v>72</v>
      </c>
      <c r="E949" s="44" t="s">
        <v>3456</v>
      </c>
      <c r="F949" s="44" t="s">
        <v>3484</v>
      </c>
      <c r="G949" s="44"/>
      <c r="H949" s="44"/>
      <c r="I949" s="44"/>
      <c r="J949" s="47" t="s">
        <v>35</v>
      </c>
      <c r="K949" s="47"/>
      <c r="L949" s="47"/>
      <c r="M949" s="47"/>
      <c r="N949" s="47"/>
      <c r="O949" s="44"/>
      <c r="P949" s="44"/>
      <c r="Q949" s="48">
        <f>VLOOKUP(E949,sheet1!$B$2:$D$3209,3,FALSE)</f>
        <v>481</v>
      </c>
      <c r="R949" s="47" t="s">
        <v>35</v>
      </c>
      <c r="S949" s="47" t="s">
        <v>35</v>
      </c>
      <c r="T949" s="47"/>
      <c r="U949" s="47" t="s">
        <v>35</v>
      </c>
      <c r="V949" s="47" t="s">
        <v>296</v>
      </c>
      <c r="W949" s="47" t="s">
        <v>296</v>
      </c>
      <c r="X949" s="47" t="s">
        <v>296</v>
      </c>
      <c r="Y949" s="47"/>
      <c r="Z949" s="47" t="s">
        <v>296</v>
      </c>
      <c r="AA949" s="47" t="s">
        <v>296</v>
      </c>
      <c r="AB949" s="47"/>
      <c r="AC949" s="47" t="s">
        <v>35</v>
      </c>
      <c r="AD949" s="75"/>
      <c r="AE949" s="49"/>
      <c r="AF949" s="56" t="s">
        <v>3485</v>
      </c>
      <c r="AG949" s="56" t="s">
        <v>344</v>
      </c>
      <c r="AH949" s="49" t="str">
        <f t="shared" si="53"/>
        <v>当座預金チェックリスト</v>
      </c>
      <c r="AI949" s="49"/>
      <c r="AJ949" s="49"/>
      <c r="AK949" s="49"/>
      <c r="AL949" s="49"/>
      <c r="AM949" s="49"/>
      <c r="AN949" s="49"/>
      <c r="AO949" s="51" t="str">
        <f t="shared" si="49"/>
        <v>有償支給明細書</v>
      </c>
      <c r="AP949" s="51" t="str">
        <f t="shared" si="50"/>
        <v>PD8170</v>
      </c>
      <c r="AQ949" s="51" t="s">
        <v>3458</v>
      </c>
      <c r="AR949" s="51" t="s">
        <v>2591</v>
      </c>
      <c r="AS949" s="49" t="str">
        <f t="shared" si="51"/>
        <v/>
      </c>
      <c r="AT949" s="49" t="str">
        <f t="shared" si="52"/>
        <v/>
      </c>
      <c r="AU949" s="49"/>
      <c r="AV949" s="49"/>
    </row>
    <row r="950" spans="1:48" ht="18" customHeight="1">
      <c r="A950" s="44">
        <v>948</v>
      </c>
      <c r="B950" s="52" t="s">
        <v>2702</v>
      </c>
      <c r="C950" s="80" t="s">
        <v>3440</v>
      </c>
      <c r="D950" s="46" t="s">
        <v>72</v>
      </c>
      <c r="E950" s="44" t="s">
        <v>2591</v>
      </c>
      <c r="F950" s="44" t="s">
        <v>2632</v>
      </c>
      <c r="G950" s="44"/>
      <c r="H950" s="44"/>
      <c r="I950" s="44"/>
      <c r="J950" s="47" t="s">
        <v>35</v>
      </c>
      <c r="K950" s="47"/>
      <c r="L950" s="47"/>
      <c r="M950" s="47"/>
      <c r="N950" s="47"/>
      <c r="O950" s="44"/>
      <c r="P950" s="44"/>
      <c r="Q950" s="48">
        <f>VLOOKUP(E950,sheet1!$B$2:$D$3209,3,FALSE)</f>
        <v>239</v>
      </c>
      <c r="R950" s="47" t="s">
        <v>35</v>
      </c>
      <c r="S950" s="47" t="s">
        <v>35</v>
      </c>
      <c r="T950" s="47"/>
      <c r="U950" s="47" t="s">
        <v>296</v>
      </c>
      <c r="V950" s="47" t="s">
        <v>296</v>
      </c>
      <c r="W950" s="47" t="s">
        <v>296</v>
      </c>
      <c r="X950" s="47" t="s">
        <v>296</v>
      </c>
      <c r="Y950" s="47"/>
      <c r="Z950" s="47" t="s">
        <v>296</v>
      </c>
      <c r="AA950" s="47" t="s">
        <v>296</v>
      </c>
      <c r="AB950" s="47" t="s">
        <v>35</v>
      </c>
      <c r="AC950" s="47" t="s">
        <v>35</v>
      </c>
      <c r="AD950" s="75"/>
      <c r="AE950" s="49"/>
      <c r="AF950" s="56" t="s">
        <v>3486</v>
      </c>
      <c r="AG950" s="56" t="s">
        <v>344</v>
      </c>
      <c r="AH950" s="49" t="str">
        <f t="shared" si="53"/>
        <v>ＱＲＹ起動</v>
      </c>
      <c r="AI950" s="49"/>
      <c r="AJ950" s="49"/>
      <c r="AK950" s="49"/>
      <c r="AL950" s="49"/>
      <c r="AM950" s="49"/>
      <c r="AN950" s="49"/>
      <c r="AO950" s="51" t="str">
        <f t="shared" si="49"/>
        <v>残高確認書(ﾀﾞｳﾝﾛｰﾄﾞﾃﾞｰﾀ作成)</v>
      </c>
      <c r="AP950" s="51" t="str">
        <f t="shared" si="50"/>
        <v>Query</v>
      </c>
      <c r="AQ950" s="51" t="s">
        <v>3460</v>
      </c>
      <c r="AR950" s="51" t="s">
        <v>344</v>
      </c>
      <c r="AS950" s="49" t="str">
        <f t="shared" si="51"/>
        <v/>
      </c>
      <c r="AT950" s="49" t="str">
        <f t="shared" si="52"/>
        <v/>
      </c>
      <c r="AU950" s="49"/>
      <c r="AV950" s="49"/>
    </row>
    <row r="951" spans="1:48" ht="18" customHeight="1">
      <c r="A951" s="44">
        <v>949</v>
      </c>
      <c r="B951" s="52" t="s">
        <v>2702</v>
      </c>
      <c r="C951" s="80" t="s">
        <v>3440</v>
      </c>
      <c r="D951" s="46" t="s">
        <v>72</v>
      </c>
      <c r="E951" s="44" t="s">
        <v>344</v>
      </c>
      <c r="F951" s="44" t="s">
        <v>3487</v>
      </c>
      <c r="G951" s="44"/>
      <c r="H951" s="44"/>
      <c r="I951" s="44"/>
      <c r="J951" s="47"/>
      <c r="K951" s="47" t="s">
        <v>35</v>
      </c>
      <c r="L951" s="47"/>
      <c r="M951" s="47"/>
      <c r="N951" s="47"/>
      <c r="O951" s="44"/>
      <c r="P951" s="44"/>
      <c r="Q951" s="48" t="e">
        <f>VLOOKUP(E951,sheet1!$B$2:$D$3209,3,FALSE)</f>
        <v>#N/A</v>
      </c>
      <c r="R951" s="47" t="s">
        <v>35</v>
      </c>
      <c r="S951" s="47" t="s">
        <v>35</v>
      </c>
      <c r="T951" s="47"/>
      <c r="U951" s="47" t="s">
        <v>296</v>
      </c>
      <c r="V951" s="47" t="s">
        <v>296</v>
      </c>
      <c r="W951" s="47" t="s">
        <v>296</v>
      </c>
      <c r="X951" s="47" t="s">
        <v>296</v>
      </c>
      <c r="Y951" s="47"/>
      <c r="Z951" s="47" t="s">
        <v>296</v>
      </c>
      <c r="AA951" s="47" t="s">
        <v>296</v>
      </c>
      <c r="AB951" s="47"/>
      <c r="AC951" s="47" t="s">
        <v>35</v>
      </c>
      <c r="AD951" s="75"/>
      <c r="AE951" s="49"/>
      <c r="AF951" s="56" t="s">
        <v>3488</v>
      </c>
      <c r="AG951" s="56" t="s">
        <v>3489</v>
      </c>
      <c r="AH951" s="49" t="str">
        <f t="shared" si="53"/>
        <v>予約ﾃﾞｰﾀﾌｧｲﾙﾒﾝﾃﾅﾝｽ</v>
      </c>
      <c r="AI951" s="49"/>
      <c r="AJ951" s="49"/>
      <c r="AK951" s="49"/>
      <c r="AL951" s="49"/>
      <c r="AM951" s="49"/>
      <c r="AN951" s="49"/>
      <c r="AO951" s="51" t="str">
        <f t="shared" si="49"/>
        <v>送付案内書発行</v>
      </c>
      <c r="AP951" s="51" t="str">
        <f t="shared" si="50"/>
        <v>AC5510</v>
      </c>
      <c r="AQ951" s="51" t="s">
        <v>3462</v>
      </c>
      <c r="AR951" s="51" t="s">
        <v>3463</v>
      </c>
      <c r="AS951" s="49" t="str">
        <f t="shared" si="51"/>
        <v/>
      </c>
      <c r="AT951" s="49" t="str">
        <f t="shared" si="52"/>
        <v/>
      </c>
      <c r="AU951" s="49"/>
      <c r="AV951" s="49"/>
    </row>
    <row r="952" spans="1:48" ht="18" customHeight="1">
      <c r="A952" s="44">
        <v>950</v>
      </c>
      <c r="B952" s="52" t="s">
        <v>2702</v>
      </c>
      <c r="C952" s="80" t="s">
        <v>3440</v>
      </c>
      <c r="D952" s="46" t="s">
        <v>72</v>
      </c>
      <c r="E952" s="44" t="s">
        <v>3463</v>
      </c>
      <c r="F952" s="44" t="s">
        <v>3490</v>
      </c>
      <c r="G952" s="44"/>
      <c r="H952" s="44"/>
      <c r="I952" s="44"/>
      <c r="J952" s="47" t="s">
        <v>35</v>
      </c>
      <c r="K952" s="47"/>
      <c r="L952" s="47"/>
      <c r="M952" s="47"/>
      <c r="N952" s="47"/>
      <c r="O952" s="44"/>
      <c r="P952" s="44"/>
      <c r="Q952" s="48">
        <f>VLOOKUP(E952,sheet1!$B$2:$D$3209,3,FALSE)</f>
        <v>381</v>
      </c>
      <c r="R952" s="47" t="s">
        <v>35</v>
      </c>
      <c r="S952" s="47" t="s">
        <v>35</v>
      </c>
      <c r="T952" s="47"/>
      <c r="U952" s="47" t="s">
        <v>296</v>
      </c>
      <c r="V952" s="47" t="s">
        <v>296</v>
      </c>
      <c r="W952" s="47" t="s">
        <v>296</v>
      </c>
      <c r="X952" s="47" t="s">
        <v>296</v>
      </c>
      <c r="Y952" s="47"/>
      <c r="Z952" s="47" t="s">
        <v>296</v>
      </c>
      <c r="AA952" s="47" t="s">
        <v>296</v>
      </c>
      <c r="AB952" s="47"/>
      <c r="AC952" s="47" t="s">
        <v>35</v>
      </c>
      <c r="AD952" s="75"/>
      <c r="AE952" s="49"/>
      <c r="AF952" s="56" t="s">
        <v>3491</v>
      </c>
      <c r="AG952" s="56" t="s">
        <v>3492</v>
      </c>
      <c r="AH952" s="49" t="str">
        <f t="shared" si="53"/>
        <v>申請ﾃﾞｰﾀﾒﾝﾃﾅﾝｽ</v>
      </c>
      <c r="AI952" s="49"/>
      <c r="AJ952" s="49"/>
      <c r="AK952" s="49"/>
      <c r="AL952" s="49"/>
      <c r="AM952" s="49"/>
      <c r="AN952" s="49"/>
      <c r="AO952" s="51" t="str">
        <f t="shared" si="49"/>
        <v>香港仕入実績金額</v>
      </c>
      <c r="AP952" s="51" t="str">
        <f t="shared" si="50"/>
        <v>AC4770</v>
      </c>
      <c r="AQ952" s="51" t="s">
        <v>3465</v>
      </c>
      <c r="AR952" s="51" t="s">
        <v>3466</v>
      </c>
      <c r="AS952" s="49" t="str">
        <f t="shared" si="51"/>
        <v/>
      </c>
      <c r="AT952" s="49" t="str">
        <f t="shared" si="52"/>
        <v/>
      </c>
      <c r="AU952" s="49"/>
      <c r="AV952" s="49"/>
    </row>
    <row r="953" spans="1:48" ht="18" customHeight="1">
      <c r="A953" s="44">
        <v>951</v>
      </c>
      <c r="B953" s="52" t="s">
        <v>2702</v>
      </c>
      <c r="C953" s="80" t="s">
        <v>3440</v>
      </c>
      <c r="D953" s="46" t="s">
        <v>72</v>
      </c>
      <c r="E953" s="44" t="s">
        <v>3466</v>
      </c>
      <c r="F953" s="44" t="s">
        <v>3493</v>
      </c>
      <c r="G953" s="44"/>
      <c r="H953" s="44"/>
      <c r="I953" s="44"/>
      <c r="J953" s="47" t="s">
        <v>35</v>
      </c>
      <c r="K953" s="47"/>
      <c r="L953" s="47"/>
      <c r="M953" s="47"/>
      <c r="N953" s="47"/>
      <c r="O953" s="44"/>
      <c r="P953" s="44"/>
      <c r="Q953" s="48">
        <f>VLOOKUP(E953,sheet1!$B$2:$D$3209,3,FALSE)</f>
        <v>118</v>
      </c>
      <c r="R953" s="47" t="s">
        <v>35</v>
      </c>
      <c r="S953" s="47" t="s">
        <v>35</v>
      </c>
      <c r="T953" s="47"/>
      <c r="U953" s="47" t="s">
        <v>296</v>
      </c>
      <c r="V953" s="47" t="s">
        <v>296</v>
      </c>
      <c r="W953" s="47" t="s">
        <v>296</v>
      </c>
      <c r="X953" s="47" t="s">
        <v>296</v>
      </c>
      <c r="Y953" s="47"/>
      <c r="Z953" s="47" t="s">
        <v>296</v>
      </c>
      <c r="AA953" s="47" t="s">
        <v>296</v>
      </c>
      <c r="AB953" s="47"/>
      <c r="AC953" s="47" t="s">
        <v>35</v>
      </c>
      <c r="AD953" s="75"/>
      <c r="AE953" s="49"/>
      <c r="AF953" s="56" t="s">
        <v>3494</v>
      </c>
      <c r="AG953" s="56" t="s">
        <v>3495</v>
      </c>
      <c r="AH953" s="49" t="str">
        <f t="shared" si="53"/>
        <v>月別相手先別為替予約申請一覧</v>
      </c>
      <c r="AI953" s="49"/>
      <c r="AJ953" s="49"/>
      <c r="AK953" s="49"/>
      <c r="AL953" s="49"/>
      <c r="AM953" s="49"/>
      <c r="AN953" s="49"/>
      <c r="AO953" s="51" t="str">
        <f t="shared" si="49"/>
        <v>連結決算関係資料</v>
      </c>
      <c r="AP953" s="51" t="str">
        <f t="shared" si="50"/>
        <v>AC5010</v>
      </c>
      <c r="AQ953" s="51" t="s">
        <v>3468</v>
      </c>
      <c r="AR953" s="51" t="s">
        <v>3469</v>
      </c>
      <c r="AS953" s="49" t="str">
        <f t="shared" si="51"/>
        <v/>
      </c>
      <c r="AT953" s="49" t="str">
        <f t="shared" si="52"/>
        <v/>
      </c>
      <c r="AU953" s="49"/>
      <c r="AV953" s="49"/>
    </row>
    <row r="954" spans="1:48" ht="18" customHeight="1">
      <c r="A954" s="44">
        <v>952</v>
      </c>
      <c r="B954" s="52" t="s">
        <v>2702</v>
      </c>
      <c r="C954" s="80" t="s">
        <v>3440</v>
      </c>
      <c r="D954" s="46" t="s">
        <v>72</v>
      </c>
      <c r="E954" s="44" t="s">
        <v>3469</v>
      </c>
      <c r="F954" s="44" t="s">
        <v>3496</v>
      </c>
      <c r="G954" s="44"/>
      <c r="H954" s="44"/>
      <c r="I954" s="44"/>
      <c r="J954" s="47" t="s">
        <v>35</v>
      </c>
      <c r="K954" s="47"/>
      <c r="L954" s="47"/>
      <c r="M954" s="47"/>
      <c r="N954" s="47"/>
      <c r="O954" s="44"/>
      <c r="P954" s="44"/>
      <c r="Q954" s="48">
        <f>VLOOKUP(E954,sheet1!$B$2:$D$3209,3,FALSE)</f>
        <v>178</v>
      </c>
      <c r="R954" s="47" t="s">
        <v>35</v>
      </c>
      <c r="S954" s="47" t="s">
        <v>35</v>
      </c>
      <c r="T954" s="47"/>
      <c r="U954" s="47" t="s">
        <v>296</v>
      </c>
      <c r="V954" s="47" t="s">
        <v>296</v>
      </c>
      <c r="W954" s="47" t="s">
        <v>296</v>
      </c>
      <c r="X954" s="47" t="s">
        <v>296</v>
      </c>
      <c r="Y954" s="47"/>
      <c r="Z954" s="47" t="s">
        <v>296</v>
      </c>
      <c r="AA954" s="47" t="s">
        <v>296</v>
      </c>
      <c r="AB954" s="47"/>
      <c r="AC954" s="47" t="s">
        <v>35</v>
      </c>
      <c r="AD954" s="75"/>
      <c r="AE954" s="49"/>
      <c r="AF954" s="49"/>
      <c r="AG954" s="49"/>
      <c r="AH954" s="49" t="str">
        <f t="shared" si="53"/>
        <v/>
      </c>
      <c r="AI954" s="49"/>
      <c r="AJ954" s="49"/>
      <c r="AK954" s="49"/>
      <c r="AL954" s="49"/>
      <c r="AM954" s="49"/>
      <c r="AN954" s="49"/>
      <c r="AO954" s="51" t="str">
        <f t="shared" si="49"/>
        <v>品目ﾀｲﾌﾟ別機種別在庫ﾃﾞｰﾀ</v>
      </c>
      <c r="AP954" s="51" t="str">
        <f t="shared" si="50"/>
        <v>AC0012</v>
      </c>
      <c r="AQ954" s="51" t="s">
        <v>3471</v>
      </c>
      <c r="AR954" s="51" t="s">
        <v>3472</v>
      </c>
      <c r="AS954" s="49" t="str">
        <f t="shared" si="51"/>
        <v/>
      </c>
      <c r="AT954" s="49" t="str">
        <f t="shared" si="52"/>
        <v/>
      </c>
      <c r="AU954" s="49"/>
      <c r="AV954" s="49"/>
    </row>
    <row r="955" spans="1:48" ht="18" customHeight="1">
      <c r="A955" s="44">
        <v>953</v>
      </c>
      <c r="B955" s="52" t="s">
        <v>2702</v>
      </c>
      <c r="C955" s="80" t="s">
        <v>3440</v>
      </c>
      <c r="D955" s="46" t="s">
        <v>72</v>
      </c>
      <c r="E955" s="44" t="s">
        <v>3472</v>
      </c>
      <c r="F955" s="44" t="s">
        <v>3497</v>
      </c>
      <c r="G955" s="44"/>
      <c r="H955" s="44"/>
      <c r="I955" s="44"/>
      <c r="J955" s="47" t="s">
        <v>35</v>
      </c>
      <c r="K955" s="47"/>
      <c r="L955" s="47"/>
      <c r="M955" s="47"/>
      <c r="N955" s="47"/>
      <c r="O955" s="44"/>
      <c r="P955" s="44"/>
      <c r="Q955" s="48">
        <f>VLOOKUP(E955,sheet1!$B$2:$D$3209,3,FALSE)</f>
        <v>104</v>
      </c>
      <c r="R955" s="47" t="s">
        <v>35</v>
      </c>
      <c r="S955" s="47" t="s">
        <v>35</v>
      </c>
      <c r="T955" s="47"/>
      <c r="U955" s="47" t="s">
        <v>296</v>
      </c>
      <c r="V955" s="47" t="s">
        <v>296</v>
      </c>
      <c r="W955" s="47" t="s">
        <v>296</v>
      </c>
      <c r="X955" s="47" t="s">
        <v>296</v>
      </c>
      <c r="Y955" s="47"/>
      <c r="Z955" s="47" t="s">
        <v>296</v>
      </c>
      <c r="AA955" s="47" t="s">
        <v>296</v>
      </c>
      <c r="AB955" s="47"/>
      <c r="AC955" s="47" t="s">
        <v>35</v>
      </c>
      <c r="AD955" s="75"/>
      <c r="AE955" s="49"/>
      <c r="AF955" s="49"/>
      <c r="AG955" s="49"/>
      <c r="AH955" s="49" t="str">
        <f t="shared" si="53"/>
        <v/>
      </c>
      <c r="AI955" s="49"/>
      <c r="AJ955" s="49"/>
      <c r="AK955" s="49"/>
      <c r="AL955" s="49"/>
      <c r="AM955" s="49"/>
      <c r="AN955" s="49"/>
      <c r="AO955" s="51" t="str">
        <f t="shared" si="49"/>
        <v>全仕訳ﾃﾞｰﾀ</v>
      </c>
      <c r="AP955" s="51" t="str">
        <f t="shared" si="50"/>
        <v>AC1750</v>
      </c>
      <c r="AQ955" s="51" t="s">
        <v>3474</v>
      </c>
      <c r="AR955" s="51" t="s">
        <v>3475</v>
      </c>
      <c r="AS955" s="49" t="str">
        <f t="shared" si="51"/>
        <v/>
      </c>
      <c r="AT955" s="49" t="str">
        <f t="shared" si="52"/>
        <v/>
      </c>
      <c r="AU955" s="49"/>
      <c r="AV955" s="49"/>
    </row>
    <row r="956" spans="1:48" ht="18" customHeight="1">
      <c r="A956" s="44">
        <v>954</v>
      </c>
      <c r="B956" s="52" t="s">
        <v>2702</v>
      </c>
      <c r="C956" s="80" t="s">
        <v>3440</v>
      </c>
      <c r="D956" s="46" t="s">
        <v>72</v>
      </c>
      <c r="E956" s="44" t="s">
        <v>3475</v>
      </c>
      <c r="F956" s="44" t="s">
        <v>3498</v>
      </c>
      <c r="G956" s="44"/>
      <c r="H956" s="44"/>
      <c r="I956" s="44"/>
      <c r="J956" s="47" t="s">
        <v>35</v>
      </c>
      <c r="K956" s="47"/>
      <c r="L956" s="47"/>
      <c r="M956" s="47"/>
      <c r="N956" s="47"/>
      <c r="O956" s="44"/>
      <c r="P956" s="44"/>
      <c r="Q956" s="48">
        <f>VLOOKUP(E956,sheet1!$B$2:$D$3209,3,FALSE)</f>
        <v>107</v>
      </c>
      <c r="R956" s="47" t="s">
        <v>35</v>
      </c>
      <c r="S956" s="47" t="s">
        <v>35</v>
      </c>
      <c r="T956" s="47"/>
      <c r="U956" s="47" t="s">
        <v>296</v>
      </c>
      <c r="V956" s="47" t="s">
        <v>296</v>
      </c>
      <c r="W956" s="47" t="s">
        <v>296</v>
      </c>
      <c r="X956" s="47" t="s">
        <v>296</v>
      </c>
      <c r="Y956" s="47"/>
      <c r="Z956" s="47" t="s">
        <v>296</v>
      </c>
      <c r="AA956" s="47" t="s">
        <v>296</v>
      </c>
      <c r="AB956" s="47"/>
      <c r="AC956" s="47" t="s">
        <v>35</v>
      </c>
      <c r="AD956" s="75"/>
      <c r="AE956" s="49"/>
      <c r="AF956" s="51" t="s">
        <v>3499</v>
      </c>
      <c r="AG956" s="51" t="s">
        <v>3500</v>
      </c>
      <c r="AH956" s="49" t="str">
        <f t="shared" si="53"/>
        <v>部門分類ﾏｽﾀｰﾒﾝﾃﾅﾝｽ（共通）</v>
      </c>
      <c r="AI956" s="49"/>
      <c r="AJ956" s="49"/>
      <c r="AK956" s="49"/>
      <c r="AL956" s="49"/>
      <c r="AM956" s="49"/>
      <c r="AN956" s="49"/>
      <c r="AO956" s="51" t="str">
        <f t="shared" si="49"/>
        <v>売掛金残高</v>
      </c>
      <c r="AP956" s="51" t="str">
        <f t="shared" si="50"/>
        <v>AC0190</v>
      </c>
      <c r="AQ956" s="51" t="s">
        <v>3477</v>
      </c>
      <c r="AR956" s="51" t="s">
        <v>3478</v>
      </c>
      <c r="AS956" s="49" t="str">
        <f t="shared" si="51"/>
        <v/>
      </c>
      <c r="AT956" s="49" t="str">
        <f t="shared" si="52"/>
        <v/>
      </c>
      <c r="AU956" s="49"/>
      <c r="AV956" s="49"/>
    </row>
    <row r="957" spans="1:48" ht="18" customHeight="1">
      <c r="A957" s="44">
        <v>955</v>
      </c>
      <c r="B957" s="52" t="s">
        <v>2702</v>
      </c>
      <c r="C957" s="80" t="s">
        <v>3440</v>
      </c>
      <c r="D957" s="46" t="s">
        <v>72</v>
      </c>
      <c r="E957" s="44" t="s">
        <v>3478</v>
      </c>
      <c r="F957" s="44" t="s">
        <v>3501</v>
      </c>
      <c r="G957" s="44"/>
      <c r="H957" s="44"/>
      <c r="I957" s="44"/>
      <c r="J957" s="47" t="s">
        <v>35</v>
      </c>
      <c r="K957" s="47"/>
      <c r="L957" s="47"/>
      <c r="M957" s="47"/>
      <c r="N957" s="47"/>
      <c r="O957" s="44"/>
      <c r="P957" s="44"/>
      <c r="Q957" s="48">
        <f>VLOOKUP(E957,sheet1!$B$2:$D$3209,3,FALSE)</f>
        <v>97</v>
      </c>
      <c r="R957" s="47" t="s">
        <v>35</v>
      </c>
      <c r="S957" s="47" t="s">
        <v>35</v>
      </c>
      <c r="T957" s="47"/>
      <c r="U957" s="47" t="s">
        <v>296</v>
      </c>
      <c r="V957" s="47" t="s">
        <v>296</v>
      </c>
      <c r="W957" s="47" t="s">
        <v>296</v>
      </c>
      <c r="X957" s="47" t="s">
        <v>296</v>
      </c>
      <c r="Y957" s="47"/>
      <c r="Z957" s="47" t="s">
        <v>296</v>
      </c>
      <c r="AA957" s="47" t="s">
        <v>296</v>
      </c>
      <c r="AB957" s="47"/>
      <c r="AC957" s="47" t="s">
        <v>35</v>
      </c>
      <c r="AD957" s="75"/>
      <c r="AE957" s="49"/>
      <c r="AF957" s="51" t="s">
        <v>3502</v>
      </c>
      <c r="AG957" s="51" t="s">
        <v>3503</v>
      </c>
      <c r="AH957" s="49" t="str">
        <f t="shared" si="53"/>
        <v>全社共通項目入力</v>
      </c>
      <c r="AI957" s="49"/>
      <c r="AJ957" s="49"/>
      <c r="AK957" s="49"/>
      <c r="AL957" s="49"/>
      <c r="AM957" s="49"/>
      <c r="AN957" s="49"/>
      <c r="AO957" s="51" t="str">
        <f t="shared" si="49"/>
        <v>滞留在庫見込み</v>
      </c>
      <c r="AP957" s="51" t="str">
        <f t="shared" si="50"/>
        <v>Query</v>
      </c>
      <c r="AQ957" s="51" t="s">
        <v>3480</v>
      </c>
      <c r="AR957" s="51" t="s">
        <v>344</v>
      </c>
      <c r="AS957" s="49" t="str">
        <f t="shared" si="51"/>
        <v/>
      </c>
      <c r="AT957" s="49" t="str">
        <f t="shared" si="52"/>
        <v/>
      </c>
      <c r="AU957" s="49"/>
      <c r="AV957" s="49"/>
    </row>
    <row r="958" spans="1:48" ht="18" customHeight="1">
      <c r="A958" s="44">
        <v>956</v>
      </c>
      <c r="B958" s="52" t="s">
        <v>2702</v>
      </c>
      <c r="C958" s="80" t="s">
        <v>3440</v>
      </c>
      <c r="D958" s="46" t="s">
        <v>72</v>
      </c>
      <c r="E958" s="44" t="s">
        <v>344</v>
      </c>
      <c r="F958" s="44" t="s">
        <v>3504</v>
      </c>
      <c r="G958" s="44"/>
      <c r="H958" s="44"/>
      <c r="I958" s="44"/>
      <c r="J958" s="47"/>
      <c r="K958" s="47" t="s">
        <v>35</v>
      </c>
      <c r="L958" s="47"/>
      <c r="M958" s="47"/>
      <c r="N958" s="47"/>
      <c r="O958" s="44"/>
      <c r="P958" s="44"/>
      <c r="Q958" s="48" t="e">
        <f>VLOOKUP(E958,sheet1!$B$2:$D$3209,3,FALSE)</f>
        <v>#N/A</v>
      </c>
      <c r="R958" s="47" t="s">
        <v>35</v>
      </c>
      <c r="S958" s="47" t="s">
        <v>35</v>
      </c>
      <c r="T958" s="47"/>
      <c r="U958" s="47" t="s">
        <v>296</v>
      </c>
      <c r="V958" s="47" t="s">
        <v>296</v>
      </c>
      <c r="W958" s="47" t="s">
        <v>296</v>
      </c>
      <c r="X958" s="47" t="s">
        <v>296</v>
      </c>
      <c r="Y958" s="47"/>
      <c r="Z958" s="47" t="s">
        <v>296</v>
      </c>
      <c r="AA958" s="47" t="s">
        <v>296</v>
      </c>
      <c r="AB958" s="47"/>
      <c r="AC958" s="47" t="s">
        <v>35</v>
      </c>
      <c r="AD958" s="75"/>
      <c r="AE958" s="49"/>
      <c r="AF958" s="51" t="s">
        <v>3505</v>
      </c>
      <c r="AG958" s="51" t="s">
        <v>3506</v>
      </c>
      <c r="AH958" s="49" t="str">
        <f t="shared" si="53"/>
        <v>勤怠情報入力</v>
      </c>
      <c r="AI958" s="49"/>
      <c r="AJ958" s="49"/>
      <c r="AK958" s="49"/>
      <c r="AL958" s="49"/>
      <c r="AM958" s="49"/>
      <c r="AN958" s="49"/>
      <c r="AO958" s="51" t="str">
        <f t="shared" si="49"/>
        <v>DIVA連結用ﾃﾞｰﾀﾀﾞｳﾝﾛｰﾄﾞ</v>
      </c>
      <c r="AP958" s="51" t="str">
        <f t="shared" si="50"/>
        <v>AC9110</v>
      </c>
      <c r="AQ958" s="51" t="s">
        <v>3482</v>
      </c>
      <c r="AR958" s="51" t="s">
        <v>3483</v>
      </c>
      <c r="AS958" s="49" t="str">
        <f t="shared" si="51"/>
        <v/>
      </c>
      <c r="AT958" s="49" t="str">
        <f t="shared" si="52"/>
        <v/>
      </c>
      <c r="AU958" s="49"/>
      <c r="AV958" s="49"/>
    </row>
    <row r="959" spans="1:48" ht="18" customHeight="1">
      <c r="A959" s="44">
        <v>957</v>
      </c>
      <c r="B959" s="52" t="s">
        <v>2702</v>
      </c>
      <c r="C959" s="80" t="s">
        <v>3440</v>
      </c>
      <c r="D959" s="46" t="s">
        <v>72</v>
      </c>
      <c r="E959" s="44" t="s">
        <v>3483</v>
      </c>
      <c r="F959" s="44" t="s">
        <v>3507</v>
      </c>
      <c r="G959" s="44"/>
      <c r="H959" s="44"/>
      <c r="I959" s="44"/>
      <c r="J959" s="47" t="s">
        <v>35</v>
      </c>
      <c r="K959" s="47"/>
      <c r="L959" s="47"/>
      <c r="M959" s="47"/>
      <c r="N959" s="47"/>
      <c r="O959" s="44"/>
      <c r="P959" s="44"/>
      <c r="Q959" s="48">
        <f>VLOOKUP(E959,sheet1!$B$2:$D$3209,3,FALSE)</f>
        <v>192</v>
      </c>
      <c r="R959" s="47" t="s">
        <v>35</v>
      </c>
      <c r="S959" s="47" t="s">
        <v>35</v>
      </c>
      <c r="T959" s="47"/>
      <c r="U959" s="47" t="s">
        <v>296</v>
      </c>
      <c r="V959" s="47" t="s">
        <v>296</v>
      </c>
      <c r="W959" s="47" t="s">
        <v>296</v>
      </c>
      <c r="X959" s="47" t="s">
        <v>296</v>
      </c>
      <c r="Y959" s="47"/>
      <c r="Z959" s="47" t="s">
        <v>296</v>
      </c>
      <c r="AA959" s="47" t="s">
        <v>296</v>
      </c>
      <c r="AB959" s="47"/>
      <c r="AC959" s="47" t="s">
        <v>35</v>
      </c>
      <c r="AD959" s="75"/>
      <c r="AE959" s="49"/>
      <c r="AF959" s="51" t="s">
        <v>3508</v>
      </c>
      <c r="AG959" s="51" t="s">
        <v>3509</v>
      </c>
      <c r="AH959" s="49" t="str">
        <f t="shared" si="53"/>
        <v>総合実績表データ入力</v>
      </c>
      <c r="AI959" s="49"/>
      <c r="AJ959" s="49"/>
      <c r="AK959" s="49"/>
      <c r="AL959" s="49"/>
      <c r="AM959" s="49"/>
      <c r="AN959" s="49"/>
      <c r="AO959" s="51" t="str">
        <f t="shared" si="49"/>
        <v>当座預金チェックリスト</v>
      </c>
      <c r="AP959" s="51" t="str">
        <f t="shared" si="50"/>
        <v>Query</v>
      </c>
      <c r="AQ959" s="51" t="s">
        <v>3485</v>
      </c>
      <c r="AR959" s="51" t="s">
        <v>344</v>
      </c>
      <c r="AS959" s="49" t="str">
        <f t="shared" si="51"/>
        <v/>
      </c>
      <c r="AT959" s="49" t="str">
        <f t="shared" si="52"/>
        <v/>
      </c>
      <c r="AU959" s="49"/>
      <c r="AV959" s="49"/>
    </row>
    <row r="960" spans="1:48" ht="18" customHeight="1">
      <c r="A960" s="44">
        <v>958</v>
      </c>
      <c r="B960" s="52" t="s">
        <v>2702</v>
      </c>
      <c r="C960" s="80" t="s">
        <v>3440</v>
      </c>
      <c r="D960" s="46" t="s">
        <v>72</v>
      </c>
      <c r="E960" s="44" t="s">
        <v>344</v>
      </c>
      <c r="F960" s="44" t="s">
        <v>3510</v>
      </c>
      <c r="G960" s="44"/>
      <c r="H960" s="44"/>
      <c r="I960" s="44"/>
      <c r="J960" s="47"/>
      <c r="K960" s="47" t="s">
        <v>35</v>
      </c>
      <c r="L960" s="47"/>
      <c r="M960" s="47"/>
      <c r="N960" s="47"/>
      <c r="O960" s="44"/>
      <c r="P960" s="44"/>
      <c r="Q960" s="48" t="e">
        <f>VLOOKUP(E960,sheet1!$B$2:$D$3209,3,FALSE)</f>
        <v>#N/A</v>
      </c>
      <c r="R960" s="47" t="s">
        <v>35</v>
      </c>
      <c r="S960" s="47" t="s">
        <v>35</v>
      </c>
      <c r="T960" s="47"/>
      <c r="U960" s="47" t="s">
        <v>296</v>
      </c>
      <c r="V960" s="47" t="s">
        <v>296</v>
      </c>
      <c r="W960" s="47" t="s">
        <v>296</v>
      </c>
      <c r="X960" s="47" t="s">
        <v>296</v>
      </c>
      <c r="Y960" s="47"/>
      <c r="Z960" s="47" t="s">
        <v>296</v>
      </c>
      <c r="AA960" s="47" t="s">
        <v>296</v>
      </c>
      <c r="AB960" s="47"/>
      <c r="AC960" s="47" t="s">
        <v>35</v>
      </c>
      <c r="AD960" s="75"/>
      <c r="AE960" s="49"/>
      <c r="AF960" s="51" t="s">
        <v>3511</v>
      </c>
      <c r="AG960" s="51" t="s">
        <v>3512</v>
      </c>
      <c r="AH960" s="49" t="str">
        <f t="shared" si="53"/>
        <v>超過工数入力</v>
      </c>
      <c r="AI960" s="49"/>
      <c r="AJ960" s="49"/>
      <c r="AK960" s="49"/>
      <c r="AL960" s="49"/>
      <c r="AM960" s="49"/>
      <c r="AN960" s="49"/>
      <c r="AO960" s="51" t="str">
        <f t="shared" si="49"/>
        <v>ＱＲＹ起動</v>
      </c>
      <c r="AP960" s="51" t="str">
        <f t="shared" si="50"/>
        <v>Query</v>
      </c>
      <c r="AQ960" s="51" t="s">
        <v>3486</v>
      </c>
      <c r="AR960" s="51" t="s">
        <v>344</v>
      </c>
      <c r="AS960" s="49" t="str">
        <f t="shared" si="51"/>
        <v/>
      </c>
      <c r="AT960" s="49" t="str">
        <f t="shared" si="52"/>
        <v/>
      </c>
      <c r="AU960" s="49"/>
      <c r="AV960" s="49"/>
    </row>
    <row r="961" spans="1:48" ht="18" customHeight="1">
      <c r="A961" s="44">
        <v>959</v>
      </c>
      <c r="B961" s="52" t="s">
        <v>2702</v>
      </c>
      <c r="C961" s="82" t="s">
        <v>3440</v>
      </c>
      <c r="D961" s="46" t="s">
        <v>72</v>
      </c>
      <c r="E961" s="44" t="s">
        <v>344</v>
      </c>
      <c r="F961" s="44" t="s">
        <v>3513</v>
      </c>
      <c r="G961" s="44"/>
      <c r="H961" s="44"/>
      <c r="I961" s="44"/>
      <c r="J961" s="47"/>
      <c r="K961" s="47" t="s">
        <v>35</v>
      </c>
      <c r="L961" s="47"/>
      <c r="M961" s="47"/>
      <c r="N961" s="47"/>
      <c r="O961" s="44"/>
      <c r="P961" s="44"/>
      <c r="Q961" s="48" t="e">
        <f>VLOOKUP(E961,sheet1!$B$2:$D$3209,3,FALSE)</f>
        <v>#N/A</v>
      </c>
      <c r="R961" s="47" t="s">
        <v>35</v>
      </c>
      <c r="S961" s="47" t="s">
        <v>35</v>
      </c>
      <c r="T961" s="47"/>
      <c r="U961" s="47" t="s">
        <v>296</v>
      </c>
      <c r="V961" s="47" t="s">
        <v>296</v>
      </c>
      <c r="W961" s="47" t="s">
        <v>296</v>
      </c>
      <c r="X961" s="47" t="s">
        <v>296</v>
      </c>
      <c r="Y961" s="47"/>
      <c r="Z961" s="47" t="s">
        <v>296</v>
      </c>
      <c r="AA961" s="47" t="s">
        <v>296</v>
      </c>
      <c r="AB961" s="47"/>
      <c r="AC961" s="47" t="s">
        <v>35</v>
      </c>
      <c r="AD961" s="75"/>
      <c r="AE961" s="49"/>
      <c r="AF961" s="51" t="s">
        <v>3514</v>
      </c>
      <c r="AG961" s="51" t="s">
        <v>3515</v>
      </c>
      <c r="AH961" s="49" t="str">
        <f t="shared" si="53"/>
        <v>開発７部門分類ﾏｽﾀｰﾒﾝﾃﾅﾝｽ</v>
      </c>
      <c r="AI961" s="49"/>
      <c r="AJ961" s="49"/>
      <c r="AK961" s="49"/>
      <c r="AL961" s="49"/>
      <c r="AM961" s="49"/>
      <c r="AN961" s="49"/>
      <c r="AO961" s="51" t="str">
        <f t="shared" si="49"/>
        <v>予約ﾃﾞｰﾀﾌｧｲﾙﾒﾝﾃﾅﾝｽ</v>
      </c>
      <c r="AP961" s="51" t="str">
        <f t="shared" si="50"/>
        <v>AC6100</v>
      </c>
      <c r="AQ961" s="51" t="s">
        <v>3488</v>
      </c>
      <c r="AR961" s="51" t="s">
        <v>3489</v>
      </c>
      <c r="AS961" s="49" t="str">
        <f t="shared" si="51"/>
        <v/>
      </c>
      <c r="AT961" s="49" t="str">
        <f t="shared" si="52"/>
        <v/>
      </c>
      <c r="AU961" s="49"/>
      <c r="AV961" s="49"/>
    </row>
    <row r="962" spans="1:48" ht="18" customHeight="1">
      <c r="A962" s="44">
        <v>960</v>
      </c>
      <c r="B962" s="52" t="s">
        <v>2702</v>
      </c>
      <c r="C962" s="75" t="s">
        <v>3516</v>
      </c>
      <c r="D962" s="46" t="s">
        <v>72</v>
      </c>
      <c r="E962" s="44" t="s">
        <v>3489</v>
      </c>
      <c r="F962" s="44" t="s">
        <v>3517</v>
      </c>
      <c r="G962" s="44"/>
      <c r="H962" s="44"/>
      <c r="I962" s="44"/>
      <c r="J962" s="47" t="s">
        <v>35</v>
      </c>
      <c r="K962" s="47"/>
      <c r="L962" s="47"/>
      <c r="M962" s="47"/>
      <c r="N962" s="47"/>
      <c r="O962" s="44"/>
      <c r="P962" s="44"/>
      <c r="Q962" s="48">
        <f>VLOOKUP(E962,sheet1!$B$2:$D$3209,3,FALSE)</f>
        <v>796</v>
      </c>
      <c r="R962" s="47" t="s">
        <v>35</v>
      </c>
      <c r="S962" s="47" t="s">
        <v>35</v>
      </c>
      <c r="T962" s="47"/>
      <c r="U962" s="47" t="s">
        <v>296</v>
      </c>
      <c r="V962" s="47" t="s">
        <v>296</v>
      </c>
      <c r="W962" s="47" t="s">
        <v>296</v>
      </c>
      <c r="X962" s="47" t="s">
        <v>296</v>
      </c>
      <c r="Y962" s="47"/>
      <c r="Z962" s="47" t="s">
        <v>296</v>
      </c>
      <c r="AA962" s="47" t="s">
        <v>296</v>
      </c>
      <c r="AB962" s="47"/>
      <c r="AC962" s="47" t="s">
        <v>35</v>
      </c>
      <c r="AD962" s="75"/>
      <c r="AE962" s="49"/>
      <c r="AF962" s="51" t="s">
        <v>3518</v>
      </c>
      <c r="AG962" s="51" t="s">
        <v>3519</v>
      </c>
      <c r="AH962" s="49" t="str">
        <f t="shared" si="53"/>
        <v>開発７部門工数比率入力</v>
      </c>
      <c r="AI962" s="49"/>
      <c r="AJ962" s="49"/>
      <c r="AK962" s="49"/>
      <c r="AL962" s="49"/>
      <c r="AM962" s="49"/>
      <c r="AN962" s="49"/>
      <c r="AO962" s="51" t="str">
        <f t="shared" si="49"/>
        <v>申請ﾃﾞｰﾀﾒﾝﾃﾅﾝｽ</v>
      </c>
      <c r="AP962" s="51" t="str">
        <f t="shared" si="50"/>
        <v>AC6000</v>
      </c>
      <c r="AQ962" s="51" t="s">
        <v>3491</v>
      </c>
      <c r="AR962" s="51" t="s">
        <v>3492</v>
      </c>
      <c r="AS962" s="49" t="str">
        <f t="shared" si="51"/>
        <v/>
      </c>
      <c r="AT962" s="49" t="str">
        <f t="shared" si="52"/>
        <v/>
      </c>
      <c r="AU962" s="49"/>
      <c r="AV962" s="49"/>
    </row>
    <row r="963" spans="1:48" ht="18" customHeight="1">
      <c r="A963" s="44">
        <v>961</v>
      </c>
      <c r="B963" s="52" t="s">
        <v>2702</v>
      </c>
      <c r="C963" s="80" t="s">
        <v>3516</v>
      </c>
      <c r="D963" s="46" t="s">
        <v>72</v>
      </c>
      <c r="E963" s="44" t="s">
        <v>3492</v>
      </c>
      <c r="F963" s="44" t="s">
        <v>3520</v>
      </c>
      <c r="G963" s="44"/>
      <c r="H963" s="44"/>
      <c r="I963" s="44"/>
      <c r="J963" s="47" t="s">
        <v>35</v>
      </c>
      <c r="K963" s="47"/>
      <c r="L963" s="47"/>
      <c r="M963" s="47"/>
      <c r="N963" s="47"/>
      <c r="O963" s="44"/>
      <c r="P963" s="44"/>
      <c r="Q963" s="48">
        <f>VLOOKUP(E963,sheet1!$B$2:$D$3209,3,FALSE)</f>
        <v>1033</v>
      </c>
      <c r="R963" s="47" t="s">
        <v>35</v>
      </c>
      <c r="S963" s="47" t="s">
        <v>35</v>
      </c>
      <c r="T963" s="47"/>
      <c r="U963" s="47" t="s">
        <v>296</v>
      </c>
      <c r="V963" s="47" t="s">
        <v>296</v>
      </c>
      <c r="W963" s="47" t="s">
        <v>296</v>
      </c>
      <c r="X963" s="47" t="s">
        <v>296</v>
      </c>
      <c r="Y963" s="47"/>
      <c r="Z963" s="47" t="s">
        <v>296</v>
      </c>
      <c r="AA963" s="47" t="s">
        <v>296</v>
      </c>
      <c r="AB963" s="47"/>
      <c r="AC963" s="47" t="s">
        <v>35</v>
      </c>
      <c r="AD963" s="75"/>
      <c r="AE963" s="49"/>
      <c r="AF963" s="51" t="s">
        <v>3521</v>
      </c>
      <c r="AG963" s="51" t="s">
        <v>3522</v>
      </c>
      <c r="AH963" s="49" t="str">
        <f t="shared" si="53"/>
        <v>配賦データ分類入力</v>
      </c>
      <c r="AI963" s="49"/>
      <c r="AJ963" s="49"/>
      <c r="AK963" s="49"/>
      <c r="AL963" s="49"/>
      <c r="AM963" s="49"/>
      <c r="AN963" s="49"/>
      <c r="AO963" s="51" t="str">
        <f t="shared" si="49"/>
        <v>月別相手先別為替予約申請一覧</v>
      </c>
      <c r="AP963" s="51" t="str">
        <f t="shared" si="50"/>
        <v>AC6600</v>
      </c>
      <c r="AQ963" s="51" t="s">
        <v>3494</v>
      </c>
      <c r="AR963" s="51" t="s">
        <v>3495</v>
      </c>
      <c r="AS963" s="49" t="str">
        <f t="shared" si="51"/>
        <v/>
      </c>
      <c r="AT963" s="49" t="str">
        <f t="shared" si="52"/>
        <v/>
      </c>
      <c r="AU963" s="49"/>
      <c r="AV963" s="49"/>
    </row>
    <row r="964" spans="1:48" ht="18" customHeight="1">
      <c r="A964" s="44">
        <v>962</v>
      </c>
      <c r="B964" s="52" t="s">
        <v>2702</v>
      </c>
      <c r="C964" s="82" t="s">
        <v>3516</v>
      </c>
      <c r="D964" s="46" t="s">
        <v>72</v>
      </c>
      <c r="E964" s="44" t="s">
        <v>3495</v>
      </c>
      <c r="F964" s="44" t="s">
        <v>3523</v>
      </c>
      <c r="G964" s="44"/>
      <c r="H964" s="44"/>
      <c r="I964" s="44"/>
      <c r="J964" s="47" t="s">
        <v>35</v>
      </c>
      <c r="K964" s="47"/>
      <c r="L964" s="47"/>
      <c r="M964" s="47"/>
      <c r="N964" s="47"/>
      <c r="O964" s="44"/>
      <c r="P964" s="44"/>
      <c r="Q964" s="48">
        <f>VLOOKUP(E964,sheet1!$B$2:$D$3209,3,FALSE)</f>
        <v>75</v>
      </c>
      <c r="R964" s="47" t="s">
        <v>35</v>
      </c>
      <c r="S964" s="47" t="s">
        <v>35</v>
      </c>
      <c r="T964" s="47"/>
      <c r="U964" s="47" t="s">
        <v>296</v>
      </c>
      <c r="V964" s="47" t="s">
        <v>296</v>
      </c>
      <c r="W964" s="47" t="s">
        <v>296</v>
      </c>
      <c r="X964" s="47" t="s">
        <v>296</v>
      </c>
      <c r="Y964" s="47"/>
      <c r="Z964" s="47" t="s">
        <v>296</v>
      </c>
      <c r="AA964" s="47" t="s">
        <v>296</v>
      </c>
      <c r="AB964" s="47"/>
      <c r="AC964" s="47" t="s">
        <v>35</v>
      </c>
      <c r="AD964" s="75"/>
      <c r="AE964" s="49"/>
      <c r="AF964" s="51" t="s">
        <v>3524</v>
      </c>
      <c r="AG964" s="51" t="s">
        <v>3525</v>
      </c>
      <c r="AH964" s="49" t="str">
        <f t="shared" si="53"/>
        <v>総合実績データ作成</v>
      </c>
      <c r="AI964" s="49"/>
      <c r="AJ964" s="49"/>
      <c r="AK964" s="49"/>
      <c r="AL964" s="49"/>
      <c r="AM964" s="49"/>
      <c r="AN964" s="49"/>
      <c r="AO964" s="51" t="str">
        <f t="shared" si="49"/>
        <v/>
      </c>
      <c r="AP964" s="51" t="str">
        <f t="shared" si="50"/>
        <v/>
      </c>
      <c r="AQ964" s="49"/>
      <c r="AR964" s="49"/>
      <c r="AS964" s="49" t="str">
        <f t="shared" si="51"/>
        <v/>
      </c>
      <c r="AT964" s="49" t="str">
        <f t="shared" si="52"/>
        <v/>
      </c>
      <c r="AU964" s="49"/>
      <c r="AV964" s="49"/>
    </row>
    <row r="965" spans="1:48" ht="18" customHeight="1">
      <c r="A965" s="44">
        <v>963</v>
      </c>
      <c r="B965" s="52" t="s">
        <v>2702</v>
      </c>
      <c r="C965" s="73" t="s">
        <v>1991</v>
      </c>
      <c r="D965" s="46" t="s">
        <v>72</v>
      </c>
      <c r="E965" s="44"/>
      <c r="F965" s="44" t="s">
        <v>296</v>
      </c>
      <c r="G965" s="44"/>
      <c r="H965" s="44"/>
      <c r="I965" s="44"/>
      <c r="J965" s="47" t="s">
        <v>35</v>
      </c>
      <c r="K965" s="47"/>
      <c r="L965" s="47"/>
      <c r="M965" s="47"/>
      <c r="N965" s="47"/>
      <c r="O965" s="44"/>
      <c r="P965" s="44"/>
      <c r="Q965" s="48" t="e">
        <f>VLOOKUP(E965,sheet1!$B$2:$D$3209,3,FALSE)</f>
        <v>#N/A</v>
      </c>
      <c r="R965" s="47" t="s">
        <v>35</v>
      </c>
      <c r="S965" s="47" t="s">
        <v>35</v>
      </c>
      <c r="T965" s="47"/>
      <c r="U965" s="47"/>
      <c r="V965" s="47"/>
      <c r="W965" s="47"/>
      <c r="X965" s="47"/>
      <c r="Y965" s="47"/>
      <c r="Z965" s="47" t="s">
        <v>35</v>
      </c>
      <c r="AA965" s="47" t="s">
        <v>35</v>
      </c>
      <c r="AB965" s="47"/>
      <c r="AC965" s="47"/>
      <c r="AD965" s="75"/>
      <c r="AE965" s="49"/>
      <c r="AF965" s="51" t="s">
        <v>3526</v>
      </c>
      <c r="AG965" s="51" t="s">
        <v>3527</v>
      </c>
      <c r="AH965" s="49" t="str">
        <f t="shared" si="53"/>
        <v>印刷用部課分類入力</v>
      </c>
      <c r="AI965" s="49"/>
      <c r="AJ965" s="49"/>
      <c r="AK965" s="49"/>
      <c r="AL965" s="49"/>
      <c r="AM965" s="49"/>
      <c r="AN965" s="49"/>
      <c r="AO965" s="51" t="str">
        <f t="shared" si="49"/>
        <v/>
      </c>
      <c r="AP965" s="51" t="str">
        <f t="shared" si="50"/>
        <v/>
      </c>
      <c r="AQ965" s="49"/>
      <c r="AR965" s="49"/>
      <c r="AS965" s="49" t="str">
        <f t="shared" si="51"/>
        <v/>
      </c>
      <c r="AT965" s="49" t="str">
        <f t="shared" si="52"/>
        <v/>
      </c>
      <c r="AU965" s="49"/>
      <c r="AV965" s="49"/>
    </row>
    <row r="966" spans="1:48" ht="18" customHeight="1">
      <c r="A966" s="44">
        <v>964</v>
      </c>
      <c r="B966" s="52" t="s">
        <v>2702</v>
      </c>
      <c r="C966" s="73" t="s">
        <v>3528</v>
      </c>
      <c r="D966" s="46" t="s">
        <v>72</v>
      </c>
      <c r="E966" s="44"/>
      <c r="F966" s="44" t="s">
        <v>296</v>
      </c>
      <c r="G966" s="44"/>
      <c r="H966" s="44"/>
      <c r="I966" s="44"/>
      <c r="J966" s="47" t="s">
        <v>35</v>
      </c>
      <c r="K966" s="47"/>
      <c r="L966" s="47"/>
      <c r="M966" s="47"/>
      <c r="N966" s="47"/>
      <c r="O966" s="44"/>
      <c r="P966" s="44"/>
      <c r="Q966" s="48" t="e">
        <f>VLOOKUP(E966,sheet1!$B$2:$D$3209,3,FALSE)</f>
        <v>#N/A</v>
      </c>
      <c r="R966" s="47" t="s">
        <v>35</v>
      </c>
      <c r="S966" s="47" t="s">
        <v>35</v>
      </c>
      <c r="T966" s="47"/>
      <c r="U966" s="47"/>
      <c r="V966" s="47"/>
      <c r="W966" s="47"/>
      <c r="X966" s="47"/>
      <c r="Y966" s="47"/>
      <c r="Z966" s="47" t="s">
        <v>35</v>
      </c>
      <c r="AA966" s="47" t="s">
        <v>35</v>
      </c>
      <c r="AB966" s="47"/>
      <c r="AC966" s="47"/>
      <c r="AD966" s="75"/>
      <c r="AE966" s="49"/>
      <c r="AF966" s="51" t="s">
        <v>3529</v>
      </c>
      <c r="AG966" s="51" t="s">
        <v>3530</v>
      </c>
      <c r="AH966" s="49" t="str">
        <f t="shared" si="53"/>
        <v>総合実績表印刷</v>
      </c>
      <c r="AI966" s="49"/>
      <c r="AJ966" s="49"/>
      <c r="AK966" s="49"/>
      <c r="AL966" s="49"/>
      <c r="AM966" s="49"/>
      <c r="AN966" s="49"/>
      <c r="AO966" s="51" t="str">
        <f t="shared" si="49"/>
        <v/>
      </c>
      <c r="AP966" s="51" t="str">
        <f t="shared" si="50"/>
        <v/>
      </c>
      <c r="AQ966" s="51"/>
      <c r="AR966" s="51"/>
      <c r="AS966" s="49" t="str">
        <f t="shared" si="51"/>
        <v/>
      </c>
      <c r="AT966" s="49" t="str">
        <f t="shared" si="52"/>
        <v/>
      </c>
      <c r="AU966" s="49"/>
      <c r="AV966" s="49"/>
    </row>
    <row r="967" spans="1:48" ht="18" customHeight="1">
      <c r="A967" s="44">
        <v>965</v>
      </c>
      <c r="B967" s="52" t="s">
        <v>2702</v>
      </c>
      <c r="C967" s="75" t="s">
        <v>3531</v>
      </c>
      <c r="D967" s="46" t="s">
        <v>72</v>
      </c>
      <c r="E967" s="44" t="s">
        <v>3500</v>
      </c>
      <c r="F967" s="44" t="s">
        <v>3532</v>
      </c>
      <c r="G967" s="44"/>
      <c r="H967" s="44"/>
      <c r="I967" s="44"/>
      <c r="J967" s="47" t="s">
        <v>35</v>
      </c>
      <c r="K967" s="47"/>
      <c r="L967" s="47"/>
      <c r="M967" s="47"/>
      <c r="N967" s="47"/>
      <c r="O967" s="44"/>
      <c r="P967" s="44"/>
      <c r="Q967" s="48">
        <f>VLOOKUP(E967,sheet1!$B$2:$D$3209,3,FALSE)</f>
        <v>632</v>
      </c>
      <c r="R967" s="47" t="s">
        <v>35</v>
      </c>
      <c r="S967" s="47" t="s">
        <v>296</v>
      </c>
      <c r="T967" s="47"/>
      <c r="U967" s="47" t="s">
        <v>296</v>
      </c>
      <c r="V967" s="47" t="s">
        <v>296</v>
      </c>
      <c r="W967" s="47" t="s">
        <v>296</v>
      </c>
      <c r="X967" s="47" t="s">
        <v>296</v>
      </c>
      <c r="Y967" s="47"/>
      <c r="Z967" s="47" t="s">
        <v>296</v>
      </c>
      <c r="AA967" s="47" t="s">
        <v>296</v>
      </c>
      <c r="AB967" s="47"/>
      <c r="AC967" s="47" t="s">
        <v>35</v>
      </c>
      <c r="AD967" s="75"/>
      <c r="AE967" s="49"/>
      <c r="AF967" s="51" t="s">
        <v>3533</v>
      </c>
      <c r="AG967" s="51" t="s">
        <v>3534</v>
      </c>
      <c r="AH967" s="49" t="str">
        <f t="shared" si="53"/>
        <v>総合実績印刷用部課分類入力</v>
      </c>
      <c r="AI967" s="49"/>
      <c r="AJ967" s="49"/>
      <c r="AK967" s="49"/>
      <c r="AL967" s="49"/>
      <c r="AM967" s="49"/>
      <c r="AN967" s="49"/>
      <c r="AO967" s="51" t="str">
        <f t="shared" si="49"/>
        <v/>
      </c>
      <c r="AP967" s="51" t="str">
        <f t="shared" si="50"/>
        <v/>
      </c>
      <c r="AQ967" s="51"/>
      <c r="AR967" s="51"/>
      <c r="AS967" s="49" t="str">
        <f t="shared" si="51"/>
        <v/>
      </c>
      <c r="AT967" s="49" t="str">
        <f t="shared" si="52"/>
        <v/>
      </c>
      <c r="AU967" s="49"/>
      <c r="AV967" s="49"/>
    </row>
    <row r="968" spans="1:48" ht="18" customHeight="1">
      <c r="A968" s="44">
        <v>966</v>
      </c>
      <c r="B968" s="52" t="s">
        <v>2702</v>
      </c>
      <c r="C968" s="80" t="s">
        <v>3531</v>
      </c>
      <c r="D968" s="46" t="s">
        <v>72</v>
      </c>
      <c r="E968" s="44" t="s">
        <v>3503</v>
      </c>
      <c r="F968" s="44" t="s">
        <v>3535</v>
      </c>
      <c r="G968" s="44"/>
      <c r="H968" s="44"/>
      <c r="I968" s="44"/>
      <c r="J968" s="47" t="s">
        <v>35</v>
      </c>
      <c r="K968" s="47"/>
      <c r="L968" s="47"/>
      <c r="M968" s="47"/>
      <c r="N968" s="47"/>
      <c r="O968" s="44"/>
      <c r="P968" s="44"/>
      <c r="Q968" s="48">
        <f>VLOOKUP(E968,sheet1!$B$2:$D$3209,3,FALSE)</f>
        <v>249</v>
      </c>
      <c r="R968" s="47" t="s">
        <v>35</v>
      </c>
      <c r="S968" s="47" t="s">
        <v>296</v>
      </c>
      <c r="T968" s="47"/>
      <c r="U968" s="47" t="s">
        <v>296</v>
      </c>
      <c r="V968" s="47" t="s">
        <v>296</v>
      </c>
      <c r="W968" s="47" t="s">
        <v>296</v>
      </c>
      <c r="X968" s="47" t="s">
        <v>296</v>
      </c>
      <c r="Y968" s="47"/>
      <c r="Z968" s="47" t="s">
        <v>296</v>
      </c>
      <c r="AA968" s="47" t="s">
        <v>296</v>
      </c>
      <c r="AB968" s="47"/>
      <c r="AC968" s="47" t="s">
        <v>35</v>
      </c>
      <c r="AD968" s="75"/>
      <c r="AE968" s="49"/>
      <c r="AF968" s="51" t="s">
        <v>3536</v>
      </c>
      <c r="AG968" s="51" t="s">
        <v>3537</v>
      </c>
      <c r="AH968" s="49" t="str">
        <f t="shared" si="53"/>
        <v>&lt;実績のみ印刷&gt;</v>
      </c>
      <c r="AI968" s="49"/>
      <c r="AJ968" s="49"/>
      <c r="AK968" s="49"/>
      <c r="AL968" s="49"/>
      <c r="AM968" s="49"/>
      <c r="AN968" s="49"/>
      <c r="AO968" s="51" t="str">
        <f t="shared" si="49"/>
        <v/>
      </c>
      <c r="AP968" s="51" t="str">
        <f t="shared" si="50"/>
        <v/>
      </c>
      <c r="AQ968" s="51"/>
      <c r="AR968" s="51"/>
      <c r="AS968" s="49" t="str">
        <f t="shared" si="51"/>
        <v/>
      </c>
      <c r="AT968" s="49" t="str">
        <f t="shared" si="52"/>
        <v/>
      </c>
      <c r="AU968" s="49"/>
      <c r="AV968" s="49"/>
    </row>
    <row r="969" spans="1:48" ht="18" customHeight="1">
      <c r="A969" s="44">
        <v>967</v>
      </c>
      <c r="B969" s="52" t="s">
        <v>2702</v>
      </c>
      <c r="C969" s="80" t="s">
        <v>3531</v>
      </c>
      <c r="D969" s="46" t="s">
        <v>72</v>
      </c>
      <c r="E969" s="44" t="s">
        <v>3506</v>
      </c>
      <c r="F969" s="44" t="s">
        <v>3538</v>
      </c>
      <c r="G969" s="44"/>
      <c r="H969" s="44"/>
      <c r="I969" s="44"/>
      <c r="J969" s="47" t="s">
        <v>35</v>
      </c>
      <c r="K969" s="47"/>
      <c r="L969" s="47"/>
      <c r="M969" s="47"/>
      <c r="N969" s="47"/>
      <c r="O969" s="44"/>
      <c r="P969" s="44"/>
      <c r="Q969" s="48">
        <f>VLOOKUP(E969,sheet1!$B$2:$D$3209,3,FALSE)</f>
        <v>387</v>
      </c>
      <c r="R969" s="47" t="s">
        <v>35</v>
      </c>
      <c r="S969" s="47" t="s">
        <v>296</v>
      </c>
      <c r="T969" s="47"/>
      <c r="U969" s="47" t="s">
        <v>296</v>
      </c>
      <c r="V969" s="47" t="s">
        <v>296</v>
      </c>
      <c r="W969" s="47" t="s">
        <v>296</v>
      </c>
      <c r="X969" s="47" t="s">
        <v>296</v>
      </c>
      <c r="Y969" s="47"/>
      <c r="Z969" s="47" t="s">
        <v>296</v>
      </c>
      <c r="AA969" s="47" t="s">
        <v>296</v>
      </c>
      <c r="AB969" s="47"/>
      <c r="AC969" s="47" t="s">
        <v>35</v>
      </c>
      <c r="AD969" s="75"/>
      <c r="AE969" s="49"/>
      <c r="AF969" s="51" t="s">
        <v>3539</v>
      </c>
      <c r="AG969" s="51" t="s">
        <v>3540</v>
      </c>
      <c r="AH969" s="49" t="str">
        <f t="shared" si="53"/>
        <v>経費データ確認表作成</v>
      </c>
      <c r="AI969" s="49"/>
      <c r="AJ969" s="49"/>
      <c r="AK969" s="49"/>
      <c r="AL969" s="49"/>
      <c r="AM969" s="49"/>
      <c r="AN969" s="49"/>
      <c r="AO969" s="51" t="str">
        <f t="shared" si="49"/>
        <v/>
      </c>
      <c r="AP969" s="51" t="str">
        <f t="shared" si="50"/>
        <v/>
      </c>
      <c r="AQ969" s="51"/>
      <c r="AR969" s="51"/>
      <c r="AS969" s="49" t="str">
        <f t="shared" si="51"/>
        <v/>
      </c>
      <c r="AT969" s="49" t="str">
        <f t="shared" si="52"/>
        <v/>
      </c>
      <c r="AU969" s="49"/>
      <c r="AV969" s="49"/>
    </row>
    <row r="970" spans="1:48" ht="18" customHeight="1">
      <c r="A970" s="44">
        <v>968</v>
      </c>
      <c r="B970" s="52" t="s">
        <v>2702</v>
      </c>
      <c r="C970" s="80" t="s">
        <v>3531</v>
      </c>
      <c r="D970" s="46" t="s">
        <v>72</v>
      </c>
      <c r="E970" s="44" t="s">
        <v>3509</v>
      </c>
      <c r="F970" s="44" t="s">
        <v>3541</v>
      </c>
      <c r="G970" s="44"/>
      <c r="H970" s="44"/>
      <c r="I970" s="44"/>
      <c r="J970" s="47" t="s">
        <v>35</v>
      </c>
      <c r="K970" s="47"/>
      <c r="L970" s="47"/>
      <c r="M970" s="47"/>
      <c r="N970" s="47"/>
      <c r="O970" s="44"/>
      <c r="P970" s="44"/>
      <c r="Q970" s="48">
        <f>VLOOKUP(E970,sheet1!$B$2:$D$3209,3,FALSE)</f>
        <v>917</v>
      </c>
      <c r="R970" s="47" t="s">
        <v>35</v>
      </c>
      <c r="S970" s="47" t="s">
        <v>296</v>
      </c>
      <c r="T970" s="47"/>
      <c r="U970" s="47" t="s">
        <v>296</v>
      </c>
      <c r="V970" s="47" t="s">
        <v>296</v>
      </c>
      <c r="W970" s="47" t="s">
        <v>296</v>
      </c>
      <c r="X970" s="47" t="s">
        <v>296</v>
      </c>
      <c r="Y970" s="47"/>
      <c r="Z970" s="47" t="s">
        <v>296</v>
      </c>
      <c r="AA970" s="47" t="s">
        <v>296</v>
      </c>
      <c r="AB970" s="47"/>
      <c r="AC970" s="47" t="s">
        <v>35</v>
      </c>
      <c r="AD970" s="75"/>
      <c r="AE970" s="49"/>
      <c r="AF970" s="51" t="s">
        <v>3542</v>
      </c>
      <c r="AG970" s="51" t="s">
        <v>1188</v>
      </c>
      <c r="AH970" s="49" t="str">
        <f t="shared" si="53"/>
        <v>総合実績・マスターリスト</v>
      </c>
      <c r="AI970" s="49"/>
      <c r="AJ970" s="49"/>
      <c r="AK970" s="49"/>
      <c r="AL970" s="49"/>
      <c r="AM970" s="49"/>
      <c r="AN970" s="49"/>
      <c r="AO970" s="51" t="str">
        <f t="shared" si="49"/>
        <v/>
      </c>
      <c r="AP970" s="51" t="str">
        <f t="shared" si="50"/>
        <v/>
      </c>
      <c r="AQ970" s="51"/>
      <c r="AR970" s="51"/>
      <c r="AS970" s="49" t="str">
        <f t="shared" si="51"/>
        <v/>
      </c>
      <c r="AT970" s="49" t="str">
        <f t="shared" si="52"/>
        <v/>
      </c>
      <c r="AU970" s="49"/>
      <c r="AV970" s="49"/>
    </row>
    <row r="971" spans="1:48" ht="18" customHeight="1">
      <c r="A971" s="44">
        <v>969</v>
      </c>
      <c r="B971" s="52" t="s">
        <v>2702</v>
      </c>
      <c r="C971" s="80" t="s">
        <v>3531</v>
      </c>
      <c r="D971" s="46" t="s">
        <v>72</v>
      </c>
      <c r="E971" s="44" t="s">
        <v>3512</v>
      </c>
      <c r="F971" s="44" t="s">
        <v>3543</v>
      </c>
      <c r="G971" s="44"/>
      <c r="H971" s="44"/>
      <c r="I971" s="44"/>
      <c r="J971" s="47" t="s">
        <v>35</v>
      </c>
      <c r="K971" s="47"/>
      <c r="L971" s="47"/>
      <c r="M971" s="47"/>
      <c r="N971" s="47"/>
      <c r="O971" s="44"/>
      <c r="P971" s="44"/>
      <c r="Q971" s="48">
        <f>VLOOKUP(E971,sheet1!$B$2:$D$3209,3,FALSE)</f>
        <v>366</v>
      </c>
      <c r="R971" s="47" t="s">
        <v>35</v>
      </c>
      <c r="S971" s="47" t="s">
        <v>296</v>
      </c>
      <c r="T971" s="47"/>
      <c r="U971" s="47" t="s">
        <v>296</v>
      </c>
      <c r="V971" s="47" t="s">
        <v>296</v>
      </c>
      <c r="W971" s="47" t="s">
        <v>296</v>
      </c>
      <c r="X971" s="47" t="s">
        <v>296</v>
      </c>
      <c r="Y971" s="47"/>
      <c r="Z971" s="47" t="s">
        <v>296</v>
      </c>
      <c r="AA971" s="47" t="s">
        <v>296</v>
      </c>
      <c r="AB971" s="47"/>
      <c r="AC971" s="47" t="s">
        <v>35</v>
      </c>
      <c r="AD971" s="75"/>
      <c r="AE971" s="49"/>
      <c r="AF971" s="51" t="s">
        <v>3544</v>
      </c>
      <c r="AG971" s="51" t="s">
        <v>3545</v>
      </c>
      <c r="AH971" s="49" t="str">
        <f t="shared" si="53"/>
        <v>部門分類ﾏｽﾀｰﾒﾝﾃ（営業所）</v>
      </c>
      <c r="AI971" s="49"/>
      <c r="AJ971" s="49"/>
      <c r="AK971" s="49"/>
      <c r="AL971" s="49"/>
      <c r="AM971" s="49"/>
      <c r="AN971" s="49"/>
      <c r="AO971" s="51" t="str">
        <f t="shared" si="49"/>
        <v/>
      </c>
      <c r="AP971" s="51" t="str">
        <f t="shared" si="50"/>
        <v/>
      </c>
      <c r="AQ971" s="51"/>
      <c r="AR971" s="51"/>
      <c r="AS971" s="49" t="str">
        <f t="shared" si="51"/>
        <v/>
      </c>
      <c r="AT971" s="49" t="str">
        <f t="shared" si="52"/>
        <v/>
      </c>
      <c r="AU971" s="49"/>
      <c r="AV971" s="49"/>
    </row>
    <row r="972" spans="1:48" ht="18" customHeight="1">
      <c r="A972" s="44">
        <v>970</v>
      </c>
      <c r="B972" s="52" t="s">
        <v>2702</v>
      </c>
      <c r="C972" s="80" t="s">
        <v>3531</v>
      </c>
      <c r="D972" s="46" t="s">
        <v>72</v>
      </c>
      <c r="E972" s="44" t="s">
        <v>3515</v>
      </c>
      <c r="F972" s="44" t="s">
        <v>3546</v>
      </c>
      <c r="G972" s="44"/>
      <c r="H972" s="44"/>
      <c r="I972" s="44"/>
      <c r="J972" s="47" t="s">
        <v>35</v>
      </c>
      <c r="K972" s="47"/>
      <c r="L972" s="47"/>
      <c r="M972" s="47"/>
      <c r="N972" s="47"/>
      <c r="O972" s="44"/>
      <c r="P972" s="44"/>
      <c r="Q972" s="48">
        <f>VLOOKUP(E972,sheet1!$B$2:$D$3209,3,FALSE)</f>
        <v>585</v>
      </c>
      <c r="R972" s="47" t="s">
        <v>35</v>
      </c>
      <c r="S972" s="47" t="s">
        <v>296</v>
      </c>
      <c r="T972" s="47"/>
      <c r="U972" s="47" t="s">
        <v>296</v>
      </c>
      <c r="V972" s="47" t="s">
        <v>296</v>
      </c>
      <c r="W972" s="47" t="s">
        <v>296</v>
      </c>
      <c r="X972" s="47" t="s">
        <v>296</v>
      </c>
      <c r="Y972" s="47"/>
      <c r="Z972" s="47" t="s">
        <v>296</v>
      </c>
      <c r="AA972" s="47" t="s">
        <v>296</v>
      </c>
      <c r="AB972" s="47"/>
      <c r="AC972" s="47" t="s">
        <v>35</v>
      </c>
      <c r="AD972" s="75"/>
      <c r="AE972" s="49"/>
      <c r="AF972" s="51" t="s">
        <v>3547</v>
      </c>
      <c r="AG972" s="51" t="s">
        <v>3548</v>
      </c>
      <c r="AH972" s="49" t="str">
        <f t="shared" si="53"/>
        <v>総合実績表・印刷（営業所）</v>
      </c>
      <c r="AI972" s="49"/>
      <c r="AJ972" s="49"/>
      <c r="AK972" s="49"/>
      <c r="AL972" s="49"/>
      <c r="AM972" s="49"/>
      <c r="AN972" s="49"/>
      <c r="AO972" s="51" t="str">
        <f t="shared" ref="AO972:AO1151" si="54">TRIM(MIDB(AQ972,4,99))</f>
        <v/>
      </c>
      <c r="AP972" s="51" t="str">
        <f t="shared" ref="AP972:AP1151" si="55">TRIM(AR972)</f>
        <v/>
      </c>
      <c r="AQ972" s="51"/>
      <c r="AR972" s="51"/>
      <c r="AS972" s="49" t="str">
        <f t="shared" ref="AS972:AS1151" si="56">TRIM(MID(AU972,4,99))</f>
        <v/>
      </c>
      <c r="AT972" s="49" t="str">
        <f t="shared" ref="AT972:AT1151" si="57">TRIM(AV972)</f>
        <v/>
      </c>
      <c r="AU972" s="49"/>
      <c r="AV972" s="49"/>
    </row>
    <row r="973" spans="1:48" ht="18" customHeight="1">
      <c r="A973" s="44">
        <v>971</v>
      </c>
      <c r="B973" s="52" t="s">
        <v>2702</v>
      </c>
      <c r="C973" s="80" t="s">
        <v>3531</v>
      </c>
      <c r="D973" s="46" t="s">
        <v>72</v>
      </c>
      <c r="E973" s="44" t="s">
        <v>3519</v>
      </c>
      <c r="F973" s="44" t="s">
        <v>3549</v>
      </c>
      <c r="G973" s="44"/>
      <c r="H973" s="44"/>
      <c r="I973" s="44"/>
      <c r="J973" s="47" t="s">
        <v>35</v>
      </c>
      <c r="K973" s="47"/>
      <c r="L973" s="47"/>
      <c r="M973" s="47"/>
      <c r="N973" s="47"/>
      <c r="O973" s="44"/>
      <c r="P973" s="44"/>
      <c r="Q973" s="48">
        <f>VLOOKUP(E973,sheet1!$B$2:$D$3209,3,FALSE)</f>
        <v>649</v>
      </c>
      <c r="R973" s="47" t="s">
        <v>35</v>
      </c>
      <c r="S973" s="47" t="s">
        <v>296</v>
      </c>
      <c r="T973" s="47"/>
      <c r="U973" s="47" t="s">
        <v>296</v>
      </c>
      <c r="V973" s="47" t="s">
        <v>296</v>
      </c>
      <c r="W973" s="47" t="s">
        <v>296</v>
      </c>
      <c r="X973" s="47" t="s">
        <v>296</v>
      </c>
      <c r="Y973" s="47"/>
      <c r="Z973" s="47" t="s">
        <v>296</v>
      </c>
      <c r="AA973" s="47" t="s">
        <v>296</v>
      </c>
      <c r="AB973" s="47"/>
      <c r="AC973" s="47" t="s">
        <v>35</v>
      </c>
      <c r="AD973" s="75"/>
      <c r="AE973" s="49"/>
      <c r="AF973" s="51" t="s">
        <v>3550</v>
      </c>
      <c r="AG973" s="51" t="s">
        <v>3551</v>
      </c>
      <c r="AH973" s="49" t="str">
        <f t="shared" si="53"/>
        <v>印刷用部課分類入力（営業所）</v>
      </c>
      <c r="AI973" s="49"/>
      <c r="AJ973" s="49"/>
      <c r="AK973" s="49"/>
      <c r="AL973" s="49"/>
      <c r="AM973" s="49"/>
      <c r="AN973" s="49"/>
      <c r="AO973" s="51" t="str">
        <f t="shared" si="54"/>
        <v/>
      </c>
      <c r="AP973" s="51" t="str">
        <f t="shared" si="55"/>
        <v/>
      </c>
      <c r="AQ973" s="51"/>
      <c r="AR973" s="51"/>
      <c r="AS973" s="49" t="str">
        <f t="shared" si="56"/>
        <v/>
      </c>
      <c r="AT973" s="49" t="str">
        <f t="shared" si="57"/>
        <v/>
      </c>
      <c r="AU973" s="49"/>
      <c r="AV973" s="49"/>
    </row>
    <row r="974" spans="1:48" ht="18" customHeight="1">
      <c r="A974" s="44">
        <v>972</v>
      </c>
      <c r="B974" s="52" t="s">
        <v>2702</v>
      </c>
      <c r="C974" s="80" t="s">
        <v>3531</v>
      </c>
      <c r="D974" s="46" t="s">
        <v>72</v>
      </c>
      <c r="E974" s="44" t="s">
        <v>3522</v>
      </c>
      <c r="F974" s="44" t="s">
        <v>3552</v>
      </c>
      <c r="G974" s="44"/>
      <c r="H974" s="44"/>
      <c r="I974" s="44"/>
      <c r="J974" s="47" t="s">
        <v>35</v>
      </c>
      <c r="K974" s="47"/>
      <c r="L974" s="47"/>
      <c r="M974" s="47"/>
      <c r="N974" s="47"/>
      <c r="O974" s="44"/>
      <c r="P974" s="44"/>
      <c r="Q974" s="48">
        <f>VLOOKUP(E974,sheet1!$B$2:$D$3209,3,FALSE)</f>
        <v>95</v>
      </c>
      <c r="R974" s="47" t="s">
        <v>35</v>
      </c>
      <c r="S974" s="47" t="s">
        <v>296</v>
      </c>
      <c r="T974" s="47"/>
      <c r="U974" s="47" t="s">
        <v>296</v>
      </c>
      <c r="V974" s="47" t="s">
        <v>296</v>
      </c>
      <c r="W974" s="47" t="s">
        <v>296</v>
      </c>
      <c r="X974" s="47" t="s">
        <v>296</v>
      </c>
      <c r="Y974" s="47"/>
      <c r="Z974" s="47" t="s">
        <v>296</v>
      </c>
      <c r="AA974" s="47" t="s">
        <v>296</v>
      </c>
      <c r="AB974" s="47"/>
      <c r="AC974" s="47" t="s">
        <v>35</v>
      </c>
      <c r="AD974" s="75"/>
      <c r="AE974" s="49"/>
      <c r="AF974" s="51" t="s">
        <v>3553</v>
      </c>
      <c r="AG974" s="51" t="s">
        <v>3554</v>
      </c>
      <c r="AH974" s="49" t="str">
        <f t="shared" si="53"/>
        <v>&lt;実績のみ印刷（営業所）&gt;</v>
      </c>
      <c r="AI974" s="49"/>
      <c r="AJ974" s="49"/>
      <c r="AK974" s="49"/>
      <c r="AL974" s="49"/>
      <c r="AM974" s="49"/>
      <c r="AN974" s="49"/>
      <c r="AO974" s="51" t="str">
        <f t="shared" si="54"/>
        <v/>
      </c>
      <c r="AP974" s="51" t="str">
        <f t="shared" si="55"/>
        <v/>
      </c>
      <c r="AQ974" s="51"/>
      <c r="AR974" s="51"/>
      <c r="AS974" s="49" t="str">
        <f t="shared" si="56"/>
        <v/>
      </c>
      <c r="AT974" s="49" t="str">
        <f t="shared" si="57"/>
        <v/>
      </c>
      <c r="AU974" s="49"/>
      <c r="AV974" s="49"/>
    </row>
    <row r="975" spans="1:48" ht="18" customHeight="1">
      <c r="A975" s="44">
        <v>973</v>
      </c>
      <c r="B975" s="52" t="s">
        <v>2702</v>
      </c>
      <c r="C975" s="80" t="s">
        <v>3531</v>
      </c>
      <c r="D975" s="46" t="s">
        <v>72</v>
      </c>
      <c r="E975" s="44" t="s">
        <v>3525</v>
      </c>
      <c r="F975" s="44" t="s">
        <v>3555</v>
      </c>
      <c r="G975" s="44"/>
      <c r="H975" s="44"/>
      <c r="I975" s="44"/>
      <c r="J975" s="47" t="s">
        <v>35</v>
      </c>
      <c r="K975" s="47"/>
      <c r="L975" s="47"/>
      <c r="M975" s="47"/>
      <c r="N975" s="47"/>
      <c r="O975" s="44"/>
      <c r="P975" s="44"/>
      <c r="Q975" s="48">
        <f>VLOOKUP(E975,sheet1!$B$2:$D$3209,3,FALSE)</f>
        <v>175</v>
      </c>
      <c r="R975" s="47" t="s">
        <v>35</v>
      </c>
      <c r="S975" s="47" t="s">
        <v>296</v>
      </c>
      <c r="T975" s="47"/>
      <c r="U975" s="47" t="s">
        <v>296</v>
      </c>
      <c r="V975" s="47" t="s">
        <v>296</v>
      </c>
      <c r="W975" s="47" t="s">
        <v>296</v>
      </c>
      <c r="X975" s="47" t="s">
        <v>296</v>
      </c>
      <c r="Y975" s="47"/>
      <c r="Z975" s="47" t="s">
        <v>296</v>
      </c>
      <c r="AA975" s="47" t="s">
        <v>296</v>
      </c>
      <c r="AB975" s="47"/>
      <c r="AC975" s="47" t="s">
        <v>35</v>
      </c>
      <c r="AD975" s="75"/>
      <c r="AE975" s="49"/>
      <c r="AF975" s="51" t="s">
        <v>3556</v>
      </c>
      <c r="AG975" s="51" t="s">
        <v>3557</v>
      </c>
      <c r="AH975" s="49" t="str">
        <f t="shared" si="53"/>
        <v>マスタープランデータ集計</v>
      </c>
      <c r="AI975" s="49"/>
      <c r="AJ975" s="49"/>
      <c r="AK975" s="49"/>
      <c r="AL975" s="49"/>
      <c r="AM975" s="49"/>
      <c r="AN975" s="49"/>
      <c r="AO975" s="51" t="str">
        <f t="shared" si="54"/>
        <v/>
      </c>
      <c r="AP975" s="51" t="str">
        <f t="shared" si="55"/>
        <v/>
      </c>
      <c r="AQ975" s="49"/>
      <c r="AR975" s="49"/>
      <c r="AS975" s="49" t="str">
        <f t="shared" si="56"/>
        <v/>
      </c>
      <c r="AT975" s="49" t="str">
        <f t="shared" si="57"/>
        <v/>
      </c>
      <c r="AU975" s="49"/>
      <c r="AV975" s="49"/>
    </row>
    <row r="976" spans="1:48" ht="18" customHeight="1">
      <c r="A976" s="44">
        <v>974</v>
      </c>
      <c r="B976" s="52" t="s">
        <v>2702</v>
      </c>
      <c r="C976" s="80" t="s">
        <v>3531</v>
      </c>
      <c r="D976" s="46" t="s">
        <v>72</v>
      </c>
      <c r="E976" s="44" t="s">
        <v>3527</v>
      </c>
      <c r="F976" s="44" t="s">
        <v>3558</v>
      </c>
      <c r="G976" s="44"/>
      <c r="H976" s="44"/>
      <c r="I976" s="44"/>
      <c r="J976" s="47" t="s">
        <v>35</v>
      </c>
      <c r="K976" s="47"/>
      <c r="L976" s="47"/>
      <c r="M976" s="47"/>
      <c r="N976" s="47"/>
      <c r="O976" s="44"/>
      <c r="P976" s="44"/>
      <c r="Q976" s="48">
        <f>VLOOKUP(E976,sheet1!$B$2:$D$3209,3,FALSE)</f>
        <v>622</v>
      </c>
      <c r="R976" s="47" t="s">
        <v>35</v>
      </c>
      <c r="S976" s="47" t="s">
        <v>296</v>
      </c>
      <c r="T976" s="47"/>
      <c r="U976" s="47" t="s">
        <v>296</v>
      </c>
      <c r="V976" s="47" t="s">
        <v>296</v>
      </c>
      <c r="W976" s="47" t="s">
        <v>296</v>
      </c>
      <c r="X976" s="47" t="s">
        <v>296</v>
      </c>
      <c r="Y976" s="47"/>
      <c r="Z976" s="47" t="s">
        <v>296</v>
      </c>
      <c r="AA976" s="47" t="s">
        <v>296</v>
      </c>
      <c r="AB976" s="47"/>
      <c r="AC976" s="47" t="s">
        <v>35</v>
      </c>
      <c r="AD976" s="75"/>
      <c r="AE976" s="49"/>
      <c r="AF976" s="51" t="s">
        <v>3559</v>
      </c>
      <c r="AG976" s="51" t="s">
        <v>3560</v>
      </c>
      <c r="AH976" s="49" t="str">
        <f t="shared" si="53"/>
        <v>マスタープラン集計表</v>
      </c>
      <c r="AI976" s="49"/>
      <c r="AJ976" s="49"/>
      <c r="AK976" s="49"/>
      <c r="AL976" s="49"/>
      <c r="AM976" s="49"/>
      <c r="AN976" s="49"/>
      <c r="AO976" s="51" t="str">
        <f t="shared" si="54"/>
        <v/>
      </c>
      <c r="AP976" s="51" t="str">
        <f t="shared" si="55"/>
        <v/>
      </c>
      <c r="AQ976" s="49"/>
      <c r="AR976" s="49"/>
      <c r="AS976" s="49" t="str">
        <f t="shared" si="56"/>
        <v/>
      </c>
      <c r="AT976" s="49" t="str">
        <f t="shared" si="57"/>
        <v/>
      </c>
      <c r="AU976" s="49"/>
      <c r="AV976" s="49"/>
    </row>
    <row r="977" spans="1:48" ht="18" customHeight="1">
      <c r="A977" s="44">
        <v>975</v>
      </c>
      <c r="B977" s="52" t="s">
        <v>2702</v>
      </c>
      <c r="C977" s="80" t="s">
        <v>3531</v>
      </c>
      <c r="D977" s="46" t="s">
        <v>72</v>
      </c>
      <c r="E977" s="44" t="s">
        <v>3530</v>
      </c>
      <c r="F977" s="44" t="s">
        <v>3561</v>
      </c>
      <c r="G977" s="44"/>
      <c r="H977" s="44"/>
      <c r="I977" s="44"/>
      <c r="J977" s="47" t="s">
        <v>35</v>
      </c>
      <c r="K977" s="47"/>
      <c r="L977" s="47"/>
      <c r="M977" s="47"/>
      <c r="N977" s="47"/>
      <c r="O977" s="44"/>
      <c r="P977" s="44"/>
      <c r="Q977" s="48">
        <f>VLOOKUP(E977,sheet1!$B$2:$D$3209,3,FALSE)</f>
        <v>232</v>
      </c>
      <c r="R977" s="47" t="s">
        <v>35</v>
      </c>
      <c r="S977" s="47" t="s">
        <v>296</v>
      </c>
      <c r="T977" s="47"/>
      <c r="U977" s="47" t="s">
        <v>296</v>
      </c>
      <c r="V977" s="47" t="s">
        <v>296</v>
      </c>
      <c r="W977" s="47" t="s">
        <v>296</v>
      </c>
      <c r="X977" s="47" t="s">
        <v>296</v>
      </c>
      <c r="Y977" s="47"/>
      <c r="Z977" s="47" t="s">
        <v>296</v>
      </c>
      <c r="AA977" s="47" t="s">
        <v>296</v>
      </c>
      <c r="AB977" s="47"/>
      <c r="AC977" s="47" t="s">
        <v>35</v>
      </c>
      <c r="AD977" s="75"/>
      <c r="AE977" s="49"/>
      <c r="AF977" s="51" t="s">
        <v>3562</v>
      </c>
      <c r="AG977" s="51" t="s">
        <v>3563</v>
      </c>
      <c r="AH977" s="49" t="str">
        <f t="shared" si="53"/>
        <v>マスタープラン集計表・営業所</v>
      </c>
      <c r="AI977" s="49"/>
      <c r="AJ977" s="49"/>
      <c r="AK977" s="49"/>
      <c r="AL977" s="49"/>
      <c r="AM977" s="49"/>
      <c r="AN977" s="49"/>
      <c r="AO977" s="51" t="str">
        <f t="shared" si="54"/>
        <v/>
      </c>
      <c r="AP977" s="51" t="str">
        <f t="shared" si="55"/>
        <v/>
      </c>
      <c r="AQ977" s="49"/>
      <c r="AR977" s="49"/>
      <c r="AS977" s="49" t="str">
        <f t="shared" si="56"/>
        <v/>
      </c>
      <c r="AT977" s="49" t="str">
        <f t="shared" si="57"/>
        <v/>
      </c>
      <c r="AU977" s="49"/>
      <c r="AV977" s="49"/>
    </row>
    <row r="978" spans="1:48" ht="18" customHeight="1">
      <c r="A978" s="44">
        <v>976</v>
      </c>
      <c r="B978" s="52" t="s">
        <v>2702</v>
      </c>
      <c r="C978" s="80" t="s">
        <v>3531</v>
      </c>
      <c r="D978" s="46" t="s">
        <v>72</v>
      </c>
      <c r="E978" s="44" t="s">
        <v>3534</v>
      </c>
      <c r="F978" s="44" t="s">
        <v>3564</v>
      </c>
      <c r="G978" s="44"/>
      <c r="H978" s="44"/>
      <c r="I978" s="44"/>
      <c r="J978" s="47" t="s">
        <v>35</v>
      </c>
      <c r="K978" s="47"/>
      <c r="L978" s="47"/>
      <c r="M978" s="47"/>
      <c r="N978" s="47"/>
      <c r="O978" s="44"/>
      <c r="P978" s="44"/>
      <c r="Q978" s="48">
        <f>VLOOKUP(E978,sheet1!$B$2:$D$3209,3,FALSE)</f>
        <v>409</v>
      </c>
      <c r="R978" s="47" t="s">
        <v>35</v>
      </c>
      <c r="S978" s="47" t="s">
        <v>296</v>
      </c>
      <c r="T978" s="47"/>
      <c r="U978" s="47" t="s">
        <v>296</v>
      </c>
      <c r="V978" s="47" t="s">
        <v>296</v>
      </c>
      <c r="W978" s="47" t="s">
        <v>296</v>
      </c>
      <c r="X978" s="47" t="s">
        <v>296</v>
      </c>
      <c r="Y978" s="47"/>
      <c r="Z978" s="47" t="s">
        <v>296</v>
      </c>
      <c r="AA978" s="47" t="s">
        <v>296</v>
      </c>
      <c r="AB978" s="47"/>
      <c r="AC978" s="47" t="s">
        <v>35</v>
      </c>
      <c r="AD978" s="75"/>
      <c r="AE978" s="49"/>
      <c r="AF978" s="51" t="s">
        <v>3565</v>
      </c>
      <c r="AG978" s="51" t="s">
        <v>3566</v>
      </c>
      <c r="AH978" s="49" t="str">
        <f t="shared" si="53"/>
        <v>部課別所属人員保守</v>
      </c>
      <c r="AI978" s="49"/>
      <c r="AJ978" s="49"/>
      <c r="AK978" s="49"/>
      <c r="AL978" s="49"/>
      <c r="AM978" s="49"/>
      <c r="AN978" s="49"/>
      <c r="AO978" s="51" t="str">
        <f t="shared" si="54"/>
        <v/>
      </c>
      <c r="AP978" s="51" t="str">
        <f t="shared" si="55"/>
        <v/>
      </c>
      <c r="AQ978" s="49"/>
      <c r="AR978" s="49"/>
      <c r="AS978" s="49" t="str">
        <f t="shared" si="56"/>
        <v/>
      </c>
      <c r="AT978" s="49" t="str">
        <f t="shared" si="57"/>
        <v/>
      </c>
      <c r="AU978" s="49"/>
      <c r="AV978" s="49"/>
    </row>
    <row r="979" spans="1:48" ht="18" customHeight="1">
      <c r="A979" s="44">
        <v>977</v>
      </c>
      <c r="B979" s="52" t="s">
        <v>2702</v>
      </c>
      <c r="C979" s="80" t="s">
        <v>3531</v>
      </c>
      <c r="D979" s="46" t="s">
        <v>72</v>
      </c>
      <c r="E979" s="44" t="s">
        <v>3537</v>
      </c>
      <c r="F979" s="44" t="s">
        <v>3567</v>
      </c>
      <c r="G979" s="44"/>
      <c r="H979" s="44"/>
      <c r="I979" s="44"/>
      <c r="J979" s="47" t="s">
        <v>35</v>
      </c>
      <c r="K979" s="47"/>
      <c r="L979" s="47"/>
      <c r="M979" s="47"/>
      <c r="N979" s="47"/>
      <c r="O979" s="44"/>
      <c r="P979" s="44"/>
      <c r="Q979" s="48">
        <f>VLOOKUP(E979,sheet1!$B$2:$D$3209,3,FALSE)</f>
        <v>136</v>
      </c>
      <c r="R979" s="47" t="s">
        <v>35</v>
      </c>
      <c r="S979" s="47" t="s">
        <v>296</v>
      </c>
      <c r="T979" s="47"/>
      <c r="U979" s="47" t="s">
        <v>296</v>
      </c>
      <c r="V979" s="47" t="s">
        <v>296</v>
      </c>
      <c r="W979" s="47" t="s">
        <v>296</v>
      </c>
      <c r="X979" s="47" t="s">
        <v>296</v>
      </c>
      <c r="Y979" s="47"/>
      <c r="Z979" s="47" t="s">
        <v>296</v>
      </c>
      <c r="AA979" s="47" t="s">
        <v>296</v>
      </c>
      <c r="AB979" s="47"/>
      <c r="AC979" s="47" t="s">
        <v>35</v>
      </c>
      <c r="AD979" s="75"/>
      <c r="AE979" s="49"/>
      <c r="AF979" s="51" t="s">
        <v>3568</v>
      </c>
      <c r="AG979" s="51" t="s">
        <v>3569</v>
      </c>
      <c r="AH979" s="49" t="str">
        <f t="shared" si="53"/>
        <v>振替按分基本金額入力</v>
      </c>
      <c r="AI979" s="49"/>
      <c r="AJ979" s="49"/>
      <c r="AK979" s="49"/>
      <c r="AL979" s="49"/>
      <c r="AM979" s="49"/>
      <c r="AN979" s="49"/>
      <c r="AO979" s="51" t="str">
        <f t="shared" si="54"/>
        <v/>
      </c>
      <c r="AP979" s="51" t="str">
        <f t="shared" si="55"/>
        <v/>
      </c>
      <c r="AQ979" s="49"/>
      <c r="AR979" s="49"/>
      <c r="AS979" s="49" t="str">
        <f t="shared" si="56"/>
        <v/>
      </c>
      <c r="AT979" s="49" t="str">
        <f t="shared" si="57"/>
        <v/>
      </c>
      <c r="AU979" s="49"/>
      <c r="AV979" s="49"/>
    </row>
    <row r="980" spans="1:48" ht="18" customHeight="1">
      <c r="A980" s="44">
        <v>978</v>
      </c>
      <c r="B980" s="52" t="s">
        <v>2702</v>
      </c>
      <c r="C980" s="80" t="s">
        <v>3531</v>
      </c>
      <c r="D980" s="46" t="s">
        <v>72</v>
      </c>
      <c r="E980" s="44" t="s">
        <v>3540</v>
      </c>
      <c r="F980" s="44" t="s">
        <v>3570</v>
      </c>
      <c r="G980" s="44"/>
      <c r="H980" s="44"/>
      <c r="I980" s="44"/>
      <c r="J980" s="47" t="s">
        <v>35</v>
      </c>
      <c r="K980" s="47"/>
      <c r="L980" s="47"/>
      <c r="M980" s="47"/>
      <c r="N980" s="47"/>
      <c r="O980" s="44"/>
      <c r="P980" s="44"/>
      <c r="Q980" s="48">
        <f>VLOOKUP(E980,sheet1!$B$2:$D$3209,3,FALSE)</f>
        <v>137</v>
      </c>
      <c r="R980" s="47" t="s">
        <v>35</v>
      </c>
      <c r="S980" s="47" t="s">
        <v>296</v>
      </c>
      <c r="T980" s="47"/>
      <c r="U980" s="47" t="s">
        <v>296</v>
      </c>
      <c r="V980" s="47" t="s">
        <v>296</v>
      </c>
      <c r="W980" s="47" t="s">
        <v>296</v>
      </c>
      <c r="X980" s="47" t="s">
        <v>296</v>
      </c>
      <c r="Y980" s="47"/>
      <c r="Z980" s="47" t="s">
        <v>296</v>
      </c>
      <c r="AA980" s="47" t="s">
        <v>296</v>
      </c>
      <c r="AB980" s="47"/>
      <c r="AC980" s="47" t="s">
        <v>35</v>
      </c>
      <c r="AD980" s="75"/>
      <c r="AE980" s="49"/>
      <c r="AF980" s="51" t="s">
        <v>3571</v>
      </c>
      <c r="AG980" s="51" t="s">
        <v>3572</v>
      </c>
      <c r="AH980" s="49" t="str">
        <f t="shared" si="53"/>
        <v>振替処理完了月度更新</v>
      </c>
      <c r="AI980" s="49"/>
      <c r="AJ980" s="49"/>
      <c r="AK980" s="49"/>
      <c r="AL980" s="49"/>
      <c r="AM980" s="49"/>
      <c r="AN980" s="49"/>
      <c r="AO980" s="51" t="str">
        <f t="shared" si="54"/>
        <v/>
      </c>
      <c r="AP980" s="51" t="str">
        <f t="shared" si="55"/>
        <v/>
      </c>
      <c r="AQ980" s="49"/>
      <c r="AR980" s="49"/>
      <c r="AS980" s="49" t="str">
        <f t="shared" si="56"/>
        <v/>
      </c>
      <c r="AT980" s="49" t="str">
        <f t="shared" si="57"/>
        <v/>
      </c>
      <c r="AU980" s="49"/>
      <c r="AV980" s="49"/>
    </row>
    <row r="981" spans="1:48" ht="18" customHeight="1">
      <c r="A981" s="44">
        <v>979</v>
      </c>
      <c r="B981" s="52" t="s">
        <v>2702</v>
      </c>
      <c r="C981" s="80" t="s">
        <v>3531</v>
      </c>
      <c r="D981" s="46" t="s">
        <v>72</v>
      </c>
      <c r="E981" s="44" t="s">
        <v>1188</v>
      </c>
      <c r="F981" s="44" t="s">
        <v>3573</v>
      </c>
      <c r="G981" s="44"/>
      <c r="H981" s="44"/>
      <c r="I981" s="44"/>
      <c r="J981" s="47" t="s">
        <v>35</v>
      </c>
      <c r="K981" s="47"/>
      <c r="L981" s="47"/>
      <c r="M981" s="47"/>
      <c r="N981" s="47"/>
      <c r="O981" s="44"/>
      <c r="P981" s="44"/>
      <c r="Q981" s="48">
        <f>VLOOKUP(E981,sheet1!$B$2:$D$3209,3,FALSE)</f>
        <v>60</v>
      </c>
      <c r="R981" s="47" t="s">
        <v>35</v>
      </c>
      <c r="S981" s="47" t="s">
        <v>296</v>
      </c>
      <c r="T981" s="47"/>
      <c r="U981" s="47" t="s">
        <v>296</v>
      </c>
      <c r="V981" s="47" t="s">
        <v>296</v>
      </c>
      <c r="W981" s="47" t="s">
        <v>296</v>
      </c>
      <c r="X981" s="47" t="s">
        <v>296</v>
      </c>
      <c r="Y981" s="47"/>
      <c r="Z981" s="47" t="s">
        <v>296</v>
      </c>
      <c r="AA981" s="47" t="s">
        <v>296</v>
      </c>
      <c r="AB981" s="47"/>
      <c r="AC981" s="47" t="s">
        <v>35</v>
      </c>
      <c r="AD981" s="75"/>
      <c r="AE981" s="49"/>
      <c r="AF981" s="51" t="s">
        <v>3574</v>
      </c>
      <c r="AG981" s="51" t="s">
        <v>3575</v>
      </c>
      <c r="AH981" s="49" t="str">
        <f t="shared" si="53"/>
        <v>振替処理必要事項／追加・変更</v>
      </c>
      <c r="AI981" s="49"/>
      <c r="AJ981" s="49"/>
      <c r="AK981" s="49"/>
      <c r="AL981" s="49"/>
      <c r="AM981" s="49"/>
      <c r="AN981" s="49"/>
      <c r="AO981" s="51" t="str">
        <f t="shared" si="54"/>
        <v/>
      </c>
      <c r="AP981" s="51" t="str">
        <f t="shared" si="55"/>
        <v/>
      </c>
      <c r="AQ981" s="49"/>
      <c r="AR981" s="49"/>
      <c r="AS981" s="49" t="str">
        <f t="shared" si="56"/>
        <v/>
      </c>
      <c r="AT981" s="49" t="str">
        <f t="shared" si="57"/>
        <v/>
      </c>
      <c r="AU981" s="49"/>
      <c r="AV981" s="49"/>
    </row>
    <row r="982" spans="1:48" ht="18" customHeight="1">
      <c r="A982" s="44">
        <v>980</v>
      </c>
      <c r="B982" s="52" t="s">
        <v>2702</v>
      </c>
      <c r="C982" s="80" t="s">
        <v>3531</v>
      </c>
      <c r="D982" s="46" t="s">
        <v>72</v>
      </c>
      <c r="E982" s="44" t="s">
        <v>3545</v>
      </c>
      <c r="F982" s="44" t="s">
        <v>3576</v>
      </c>
      <c r="G982" s="44"/>
      <c r="H982" s="44"/>
      <c r="I982" s="44"/>
      <c r="J982" s="47" t="s">
        <v>35</v>
      </c>
      <c r="K982" s="47"/>
      <c r="L982" s="47"/>
      <c r="M982" s="47"/>
      <c r="N982" s="47"/>
      <c r="O982" s="44"/>
      <c r="P982" s="44"/>
      <c r="Q982" s="48">
        <f>VLOOKUP(E982,sheet1!$B$2:$D$3209,3,FALSE)</f>
        <v>632</v>
      </c>
      <c r="R982" s="47" t="s">
        <v>35</v>
      </c>
      <c r="S982" s="47" t="s">
        <v>296</v>
      </c>
      <c r="T982" s="47"/>
      <c r="U982" s="47" t="s">
        <v>296</v>
      </c>
      <c r="V982" s="47" t="s">
        <v>296</v>
      </c>
      <c r="W982" s="47" t="s">
        <v>296</v>
      </c>
      <c r="X982" s="47" t="s">
        <v>296</v>
      </c>
      <c r="Y982" s="47"/>
      <c r="Z982" s="47" t="s">
        <v>296</v>
      </c>
      <c r="AA982" s="47" t="s">
        <v>296</v>
      </c>
      <c r="AB982" s="47"/>
      <c r="AC982" s="47" t="s">
        <v>35</v>
      </c>
      <c r="AD982" s="75"/>
      <c r="AE982" s="49"/>
      <c r="AF982" s="51" t="s">
        <v>3577</v>
      </c>
      <c r="AG982" s="51" t="s">
        <v>3578</v>
      </c>
      <c r="AH982" s="49" t="str">
        <f t="shared" si="53"/>
        <v>人事自動振替データ作成</v>
      </c>
      <c r="AI982" s="49"/>
      <c r="AJ982" s="49"/>
      <c r="AK982" s="49"/>
      <c r="AL982" s="49"/>
      <c r="AM982" s="49"/>
      <c r="AN982" s="49"/>
      <c r="AO982" s="51" t="str">
        <f t="shared" si="54"/>
        <v/>
      </c>
      <c r="AP982" s="51" t="str">
        <f t="shared" si="55"/>
        <v/>
      </c>
      <c r="AQ982" s="49"/>
      <c r="AR982" s="49"/>
      <c r="AS982" s="49" t="str">
        <f t="shared" si="56"/>
        <v/>
      </c>
      <c r="AT982" s="49" t="str">
        <f t="shared" si="57"/>
        <v/>
      </c>
      <c r="AU982" s="49"/>
      <c r="AV982" s="49"/>
    </row>
    <row r="983" spans="1:48" ht="18" customHeight="1">
      <c r="A983" s="44">
        <v>981</v>
      </c>
      <c r="B983" s="52" t="s">
        <v>2702</v>
      </c>
      <c r="C983" s="80" t="s">
        <v>3531</v>
      </c>
      <c r="D983" s="46" t="s">
        <v>72</v>
      </c>
      <c r="E983" s="44" t="s">
        <v>3548</v>
      </c>
      <c r="F983" s="44" t="s">
        <v>3579</v>
      </c>
      <c r="G983" s="44"/>
      <c r="H983" s="44"/>
      <c r="I983" s="44"/>
      <c r="J983" s="47" t="s">
        <v>35</v>
      </c>
      <c r="K983" s="47"/>
      <c r="L983" s="47"/>
      <c r="M983" s="47"/>
      <c r="N983" s="47"/>
      <c r="O983" s="44"/>
      <c r="P983" s="44"/>
      <c r="Q983" s="48">
        <f>VLOOKUP(E983,sheet1!$B$2:$D$3209,3,FALSE)</f>
        <v>224</v>
      </c>
      <c r="R983" s="47" t="s">
        <v>35</v>
      </c>
      <c r="S983" s="47" t="s">
        <v>296</v>
      </c>
      <c r="T983" s="47"/>
      <c r="U983" s="47" t="s">
        <v>296</v>
      </c>
      <c r="V983" s="47" t="s">
        <v>296</v>
      </c>
      <c r="W983" s="47" t="s">
        <v>296</v>
      </c>
      <c r="X983" s="47" t="s">
        <v>296</v>
      </c>
      <c r="Y983" s="47"/>
      <c r="Z983" s="47" t="s">
        <v>296</v>
      </c>
      <c r="AA983" s="47" t="s">
        <v>296</v>
      </c>
      <c r="AB983" s="47"/>
      <c r="AC983" s="47" t="s">
        <v>35</v>
      </c>
      <c r="AD983" s="75"/>
      <c r="AE983" s="49"/>
      <c r="AF983" s="51" t="s">
        <v>3580</v>
      </c>
      <c r="AG983" s="51" t="s">
        <v>3581</v>
      </c>
      <c r="AH983" s="49" t="str">
        <f t="shared" si="53"/>
        <v>人事自動振替ﾃﾞｰﾀﾌｧｲﾙ保守</v>
      </c>
      <c r="AI983" s="49"/>
      <c r="AJ983" s="49"/>
      <c r="AK983" s="49"/>
      <c r="AL983" s="49"/>
      <c r="AM983" s="49"/>
      <c r="AN983" s="49"/>
      <c r="AO983" s="51" t="str">
        <f t="shared" si="54"/>
        <v/>
      </c>
      <c r="AP983" s="51" t="str">
        <f t="shared" si="55"/>
        <v/>
      </c>
      <c r="AQ983" s="49"/>
      <c r="AR983" s="49"/>
      <c r="AS983" s="49" t="str">
        <f t="shared" si="56"/>
        <v/>
      </c>
      <c r="AT983" s="49" t="str">
        <f t="shared" si="57"/>
        <v/>
      </c>
      <c r="AU983" s="49"/>
      <c r="AV983" s="49"/>
    </row>
    <row r="984" spans="1:48" ht="18" customHeight="1">
      <c r="A984" s="44">
        <v>982</v>
      </c>
      <c r="B984" s="52" t="s">
        <v>2702</v>
      </c>
      <c r="C984" s="80" t="s">
        <v>3531</v>
      </c>
      <c r="D984" s="46" t="s">
        <v>72</v>
      </c>
      <c r="E984" s="44" t="s">
        <v>3551</v>
      </c>
      <c r="F984" s="44" t="s">
        <v>3582</v>
      </c>
      <c r="G984" s="44"/>
      <c r="H984" s="44"/>
      <c r="I984" s="44"/>
      <c r="J984" s="47" t="s">
        <v>35</v>
      </c>
      <c r="K984" s="47"/>
      <c r="L984" s="47"/>
      <c r="M984" s="47"/>
      <c r="N984" s="47"/>
      <c r="O984" s="44"/>
      <c r="P984" s="44"/>
      <c r="Q984" s="48">
        <f>VLOOKUP(E984,sheet1!$B$2:$D$3209,3,FALSE)</f>
        <v>418</v>
      </c>
      <c r="R984" s="47" t="s">
        <v>35</v>
      </c>
      <c r="S984" s="47" t="s">
        <v>296</v>
      </c>
      <c r="T984" s="47"/>
      <c r="U984" s="47" t="s">
        <v>296</v>
      </c>
      <c r="V984" s="47" t="s">
        <v>296</v>
      </c>
      <c r="W984" s="47" t="s">
        <v>296</v>
      </c>
      <c r="X984" s="47" t="s">
        <v>296</v>
      </c>
      <c r="Y984" s="47"/>
      <c r="Z984" s="47" t="s">
        <v>296</v>
      </c>
      <c r="AA984" s="47" t="s">
        <v>296</v>
      </c>
      <c r="AB984" s="47"/>
      <c r="AC984" s="47" t="s">
        <v>35</v>
      </c>
      <c r="AD984" s="75"/>
      <c r="AE984" s="49"/>
      <c r="AF984" s="51" t="s">
        <v>3583</v>
      </c>
      <c r="AG984" s="51" t="s">
        <v>3584</v>
      </c>
      <c r="AH984" s="49" t="str">
        <f t="shared" si="53"/>
        <v>人事振替伝票付加情報入力</v>
      </c>
      <c r="AI984" s="49"/>
      <c r="AJ984" s="49"/>
      <c r="AK984" s="49"/>
      <c r="AL984" s="49"/>
      <c r="AM984" s="49"/>
      <c r="AN984" s="49"/>
      <c r="AO984" s="51" t="str">
        <f t="shared" si="54"/>
        <v/>
      </c>
      <c r="AP984" s="51" t="str">
        <f t="shared" si="55"/>
        <v/>
      </c>
      <c r="AQ984" s="49"/>
      <c r="AR984" s="49"/>
      <c r="AS984" s="49" t="str">
        <f t="shared" si="56"/>
        <v/>
      </c>
      <c r="AT984" s="49" t="str">
        <f t="shared" si="57"/>
        <v/>
      </c>
      <c r="AU984" s="49"/>
      <c r="AV984" s="49"/>
    </row>
    <row r="985" spans="1:48" ht="18" customHeight="1">
      <c r="A985" s="44">
        <v>983</v>
      </c>
      <c r="B985" s="52" t="s">
        <v>2702</v>
      </c>
      <c r="C985" s="80" t="s">
        <v>3531</v>
      </c>
      <c r="D985" s="46" t="s">
        <v>72</v>
      </c>
      <c r="E985" s="44" t="s">
        <v>3554</v>
      </c>
      <c r="F985" s="44" t="s">
        <v>3585</v>
      </c>
      <c r="G985" s="44"/>
      <c r="H985" s="44"/>
      <c r="I985" s="44"/>
      <c r="J985" s="47" t="s">
        <v>35</v>
      </c>
      <c r="K985" s="47"/>
      <c r="L985" s="47"/>
      <c r="M985" s="47"/>
      <c r="N985" s="47"/>
      <c r="O985" s="44"/>
      <c r="P985" s="44"/>
      <c r="Q985" s="48">
        <f>VLOOKUP(E985,sheet1!$B$2:$D$3209,3,FALSE)</f>
        <v>133</v>
      </c>
      <c r="R985" s="47" t="s">
        <v>35</v>
      </c>
      <c r="S985" s="47" t="s">
        <v>296</v>
      </c>
      <c r="T985" s="47"/>
      <c r="U985" s="47" t="s">
        <v>296</v>
      </c>
      <c r="V985" s="47" t="s">
        <v>296</v>
      </c>
      <c r="W985" s="47" t="s">
        <v>296</v>
      </c>
      <c r="X985" s="47" t="s">
        <v>296</v>
      </c>
      <c r="Y985" s="47"/>
      <c r="Z985" s="47" t="s">
        <v>296</v>
      </c>
      <c r="AA985" s="47" t="s">
        <v>296</v>
      </c>
      <c r="AB985" s="47"/>
      <c r="AC985" s="47" t="s">
        <v>35</v>
      </c>
      <c r="AD985" s="75"/>
      <c r="AE985" s="49"/>
      <c r="AF985" s="51" t="s">
        <v>3586</v>
      </c>
      <c r="AG985" s="51" t="s">
        <v>3587</v>
      </c>
      <c r="AH985" s="49" t="str">
        <f t="shared" ref="AH985:AH1069" si="58">TRIM(MID(AF985,4,100))</f>
        <v>人事振替データ一覧</v>
      </c>
      <c r="AI985" s="49"/>
      <c r="AJ985" s="49"/>
      <c r="AK985" s="49"/>
      <c r="AL985" s="49"/>
      <c r="AM985" s="49"/>
      <c r="AN985" s="49"/>
      <c r="AO985" s="51" t="str">
        <f t="shared" si="54"/>
        <v/>
      </c>
      <c r="AP985" s="51" t="str">
        <f t="shared" si="55"/>
        <v/>
      </c>
      <c r="AQ985" s="49"/>
      <c r="AR985" s="49"/>
      <c r="AS985" s="49" t="str">
        <f t="shared" si="56"/>
        <v/>
      </c>
      <c r="AT985" s="49" t="str">
        <f t="shared" si="57"/>
        <v/>
      </c>
      <c r="AU985" s="49"/>
      <c r="AV985" s="49"/>
    </row>
    <row r="986" spans="1:48" ht="18" customHeight="1">
      <c r="A986" s="44">
        <v>984</v>
      </c>
      <c r="B986" s="52" t="s">
        <v>2702</v>
      </c>
      <c r="C986" s="80" t="s">
        <v>3531</v>
      </c>
      <c r="D986" s="46" t="s">
        <v>72</v>
      </c>
      <c r="E986" s="44" t="s">
        <v>3557</v>
      </c>
      <c r="F986" s="44" t="s">
        <v>3588</v>
      </c>
      <c r="G986" s="44"/>
      <c r="H986" s="44"/>
      <c r="I986" s="44"/>
      <c r="J986" s="47" t="s">
        <v>35</v>
      </c>
      <c r="K986" s="47"/>
      <c r="L986" s="47"/>
      <c r="M986" s="47"/>
      <c r="N986" s="47"/>
      <c r="O986" s="44"/>
      <c r="P986" s="44"/>
      <c r="Q986" s="48">
        <f>VLOOKUP(E986,sheet1!$B$2:$D$3209,3,FALSE)</f>
        <v>108</v>
      </c>
      <c r="R986" s="47" t="s">
        <v>35</v>
      </c>
      <c r="S986" s="47" t="s">
        <v>296</v>
      </c>
      <c r="T986" s="47"/>
      <c r="U986" s="47" t="s">
        <v>296</v>
      </c>
      <c r="V986" s="47" t="s">
        <v>296</v>
      </c>
      <c r="W986" s="47" t="s">
        <v>296</v>
      </c>
      <c r="X986" s="47" t="s">
        <v>296</v>
      </c>
      <c r="Y986" s="47"/>
      <c r="Z986" s="47" t="s">
        <v>296</v>
      </c>
      <c r="AA986" s="47" t="s">
        <v>296</v>
      </c>
      <c r="AB986" s="47"/>
      <c r="AC986" s="47" t="s">
        <v>35</v>
      </c>
      <c r="AD986" s="75"/>
      <c r="AE986" s="49"/>
      <c r="AF986" s="51" t="s">
        <v>3589</v>
      </c>
      <c r="AG986" s="51" t="s">
        <v>3590</v>
      </c>
      <c r="AH986" s="49" t="str">
        <f t="shared" si="58"/>
        <v>業務別人件費部課別一覧</v>
      </c>
      <c r="AI986" s="49"/>
      <c r="AJ986" s="49"/>
      <c r="AK986" s="49"/>
      <c r="AL986" s="49"/>
      <c r="AM986" s="49"/>
      <c r="AN986" s="49"/>
      <c r="AO986" s="51" t="str">
        <f t="shared" si="54"/>
        <v/>
      </c>
      <c r="AP986" s="51" t="str">
        <f t="shared" si="55"/>
        <v/>
      </c>
      <c r="AQ986" s="49"/>
      <c r="AR986" s="49"/>
      <c r="AS986" s="49" t="str">
        <f t="shared" si="56"/>
        <v/>
      </c>
      <c r="AT986" s="49" t="str">
        <f t="shared" si="57"/>
        <v/>
      </c>
      <c r="AU986" s="49"/>
      <c r="AV986" s="49"/>
    </row>
    <row r="987" spans="1:48" ht="18" customHeight="1">
      <c r="A987" s="44">
        <v>985</v>
      </c>
      <c r="B987" s="52" t="s">
        <v>2702</v>
      </c>
      <c r="C987" s="80" t="s">
        <v>3531</v>
      </c>
      <c r="D987" s="46" t="s">
        <v>72</v>
      </c>
      <c r="E987" s="44" t="s">
        <v>3560</v>
      </c>
      <c r="F987" s="44" t="s">
        <v>3591</v>
      </c>
      <c r="G987" s="44"/>
      <c r="H987" s="44"/>
      <c r="I987" s="44"/>
      <c r="J987" s="47" t="s">
        <v>35</v>
      </c>
      <c r="K987" s="47"/>
      <c r="L987" s="47"/>
      <c r="M987" s="47"/>
      <c r="N987" s="47"/>
      <c r="O987" s="44"/>
      <c r="P987" s="44"/>
      <c r="Q987" s="48">
        <f>VLOOKUP(E987,sheet1!$B$2:$D$3209,3,FALSE)</f>
        <v>213</v>
      </c>
      <c r="R987" s="47" t="s">
        <v>35</v>
      </c>
      <c r="S987" s="47" t="s">
        <v>296</v>
      </c>
      <c r="T987" s="47"/>
      <c r="U987" s="47" t="s">
        <v>296</v>
      </c>
      <c r="V987" s="47" t="s">
        <v>296</v>
      </c>
      <c r="W987" s="47" t="s">
        <v>296</v>
      </c>
      <c r="X987" s="47" t="s">
        <v>296</v>
      </c>
      <c r="Y987" s="47"/>
      <c r="Z987" s="47" t="s">
        <v>296</v>
      </c>
      <c r="AA987" s="47" t="s">
        <v>296</v>
      </c>
      <c r="AB987" s="47"/>
      <c r="AC987" s="47" t="s">
        <v>35</v>
      </c>
      <c r="AD987" s="75"/>
      <c r="AE987" s="49"/>
      <c r="AF987" s="51" t="s">
        <v>3592</v>
      </c>
      <c r="AG987" s="51" t="s">
        <v>3593</v>
      </c>
      <c r="AH987" s="49" t="str">
        <f t="shared" si="58"/>
        <v>自動仕訳データ転送（人事）</v>
      </c>
      <c r="AI987" s="49"/>
      <c r="AJ987" s="49"/>
      <c r="AK987" s="49"/>
      <c r="AL987" s="49"/>
      <c r="AM987" s="49"/>
      <c r="AN987" s="49"/>
      <c r="AO987" s="51" t="str">
        <f t="shared" si="54"/>
        <v/>
      </c>
      <c r="AP987" s="51" t="str">
        <f t="shared" si="55"/>
        <v/>
      </c>
      <c r="AQ987" s="49"/>
      <c r="AR987" s="49"/>
      <c r="AS987" s="49" t="str">
        <f t="shared" si="56"/>
        <v/>
      </c>
      <c r="AT987" s="49" t="str">
        <f t="shared" si="57"/>
        <v/>
      </c>
      <c r="AU987" s="49"/>
      <c r="AV987" s="49"/>
    </row>
    <row r="988" spans="1:48" ht="18" customHeight="1">
      <c r="A988" s="44">
        <v>986</v>
      </c>
      <c r="B988" s="52" t="s">
        <v>2702</v>
      </c>
      <c r="C988" s="80" t="s">
        <v>3531</v>
      </c>
      <c r="D988" s="46" t="s">
        <v>72</v>
      </c>
      <c r="E988" s="44" t="s">
        <v>3563</v>
      </c>
      <c r="F988" s="44" t="s">
        <v>3594</v>
      </c>
      <c r="G988" s="44"/>
      <c r="H988" s="44"/>
      <c r="I988" s="44"/>
      <c r="J988" s="47" t="s">
        <v>35</v>
      </c>
      <c r="K988" s="47"/>
      <c r="L988" s="47"/>
      <c r="M988" s="47"/>
      <c r="N988" s="47"/>
      <c r="O988" s="44"/>
      <c r="P988" s="44"/>
      <c r="Q988" s="48">
        <f>VLOOKUP(E988,sheet1!$B$2:$D$3209,3,FALSE)</f>
        <v>209</v>
      </c>
      <c r="R988" s="47" t="s">
        <v>35</v>
      </c>
      <c r="S988" s="47" t="s">
        <v>296</v>
      </c>
      <c r="T988" s="47"/>
      <c r="U988" s="47" t="s">
        <v>296</v>
      </c>
      <c r="V988" s="47" t="s">
        <v>296</v>
      </c>
      <c r="W988" s="47" t="s">
        <v>296</v>
      </c>
      <c r="X988" s="47" t="s">
        <v>296</v>
      </c>
      <c r="Y988" s="47"/>
      <c r="Z988" s="47" t="s">
        <v>296</v>
      </c>
      <c r="AA988" s="47" t="s">
        <v>296</v>
      </c>
      <c r="AB988" s="47"/>
      <c r="AC988" s="47" t="s">
        <v>35</v>
      </c>
      <c r="AD988" s="75"/>
      <c r="AE988" s="49"/>
      <c r="AF988" s="51" t="s">
        <v>3595</v>
      </c>
      <c r="AG988" s="51" t="s">
        <v>3596</v>
      </c>
      <c r="AH988" s="49" t="str">
        <f t="shared" si="58"/>
        <v>自動仕訳データ伝票発行</v>
      </c>
      <c r="AI988" s="49"/>
      <c r="AJ988" s="49"/>
      <c r="AK988" s="49"/>
      <c r="AL988" s="49"/>
      <c r="AM988" s="49"/>
      <c r="AN988" s="49"/>
      <c r="AO988" s="51" t="str">
        <f t="shared" si="54"/>
        <v/>
      </c>
      <c r="AP988" s="51" t="str">
        <f t="shared" si="55"/>
        <v/>
      </c>
      <c r="AQ988" s="49"/>
      <c r="AR988" s="49"/>
      <c r="AS988" s="49" t="str">
        <f t="shared" si="56"/>
        <v>部課別所属人員保守</v>
      </c>
      <c r="AT988" s="49" t="str">
        <f t="shared" si="57"/>
        <v>PRJF01</v>
      </c>
      <c r="AU988" s="49" t="s">
        <v>3565</v>
      </c>
      <c r="AV988" s="49" t="s">
        <v>3566</v>
      </c>
    </row>
    <row r="989" spans="1:48" ht="18" customHeight="1">
      <c r="A989" s="44">
        <v>987</v>
      </c>
      <c r="B989" s="52" t="s">
        <v>2702</v>
      </c>
      <c r="C989" s="75" t="s">
        <v>3597</v>
      </c>
      <c r="D989" s="46" t="s">
        <v>72</v>
      </c>
      <c r="E989" s="44" t="s">
        <v>3566</v>
      </c>
      <c r="F989" s="44" t="s">
        <v>3598</v>
      </c>
      <c r="G989" s="44"/>
      <c r="H989" s="44"/>
      <c r="I989" s="44"/>
      <c r="J989" s="47" t="s">
        <v>35</v>
      </c>
      <c r="K989" s="47"/>
      <c r="L989" s="47"/>
      <c r="M989" s="47"/>
      <c r="N989" s="47"/>
      <c r="O989" s="44"/>
      <c r="P989" s="44"/>
      <c r="Q989" s="48">
        <f>VLOOKUP(E989,sheet1!$B$2:$D$3209,3,FALSE)</f>
        <v>66</v>
      </c>
      <c r="R989" s="47" t="s">
        <v>35</v>
      </c>
      <c r="S989" s="47" t="s">
        <v>296</v>
      </c>
      <c r="T989" s="47"/>
      <c r="U989" s="47" t="s">
        <v>35</v>
      </c>
      <c r="V989" s="47" t="s">
        <v>296</v>
      </c>
      <c r="W989" s="47" t="s">
        <v>296</v>
      </c>
      <c r="X989" s="47" t="s">
        <v>296</v>
      </c>
      <c r="Y989" s="47"/>
      <c r="Z989" s="47" t="s">
        <v>296</v>
      </c>
      <c r="AA989" s="47" t="s">
        <v>296</v>
      </c>
      <c r="AB989" s="47"/>
      <c r="AC989" s="47" t="s">
        <v>35</v>
      </c>
      <c r="AD989" s="75"/>
      <c r="AE989" s="49"/>
      <c r="AF989" s="51" t="s">
        <v>3599</v>
      </c>
      <c r="AG989" s="51" t="s">
        <v>3600</v>
      </c>
      <c r="AH989" s="49" t="str">
        <f t="shared" si="58"/>
        <v>賞与引当金一覧表</v>
      </c>
      <c r="AI989" s="49"/>
      <c r="AJ989" s="49"/>
      <c r="AK989" s="49"/>
      <c r="AL989" s="49"/>
      <c r="AM989" s="49"/>
      <c r="AN989" s="49"/>
      <c r="AO989" s="51" t="str">
        <f t="shared" si="54"/>
        <v/>
      </c>
      <c r="AP989" s="51" t="str">
        <f t="shared" si="55"/>
        <v/>
      </c>
      <c r="AQ989" s="49"/>
      <c r="AR989" s="49"/>
      <c r="AS989" s="49" t="str">
        <f t="shared" si="56"/>
        <v>振替按分基本金額入力</v>
      </c>
      <c r="AT989" s="49" t="str">
        <f t="shared" si="57"/>
        <v>PRJF11A</v>
      </c>
      <c r="AU989" s="49" t="s">
        <v>3568</v>
      </c>
      <c r="AV989" s="49" t="s">
        <v>3569</v>
      </c>
    </row>
    <row r="990" spans="1:48" ht="18" customHeight="1">
      <c r="A990" s="44">
        <v>988</v>
      </c>
      <c r="B990" s="52" t="s">
        <v>2702</v>
      </c>
      <c r="C990" s="80" t="s">
        <v>3597</v>
      </c>
      <c r="D990" s="46" t="s">
        <v>72</v>
      </c>
      <c r="E990" s="44" t="s">
        <v>3569</v>
      </c>
      <c r="F990" s="44" t="s">
        <v>3601</v>
      </c>
      <c r="G990" s="44"/>
      <c r="H990" s="44"/>
      <c r="I990" s="44"/>
      <c r="J990" s="47" t="s">
        <v>35</v>
      </c>
      <c r="K990" s="47"/>
      <c r="L990" s="47"/>
      <c r="M990" s="47"/>
      <c r="N990" s="47"/>
      <c r="O990" s="44"/>
      <c r="P990" s="44"/>
      <c r="Q990" s="48">
        <f>VLOOKUP(E990,sheet1!$B$2:$D$3209,3,FALSE)</f>
        <v>325</v>
      </c>
      <c r="R990" s="47" t="s">
        <v>35</v>
      </c>
      <c r="S990" s="47" t="s">
        <v>296</v>
      </c>
      <c r="T990" s="47"/>
      <c r="U990" s="47" t="s">
        <v>35</v>
      </c>
      <c r="V990" s="47" t="s">
        <v>296</v>
      </c>
      <c r="W990" s="47" t="s">
        <v>296</v>
      </c>
      <c r="X990" s="47" t="s">
        <v>296</v>
      </c>
      <c r="Y990" s="47"/>
      <c r="Z990" s="47" t="s">
        <v>296</v>
      </c>
      <c r="AA990" s="47" t="s">
        <v>296</v>
      </c>
      <c r="AB990" s="47"/>
      <c r="AC990" s="47" t="s">
        <v>35</v>
      </c>
      <c r="AD990" s="75"/>
      <c r="AE990" s="49"/>
      <c r="AF990" s="51" t="s">
        <v>3602</v>
      </c>
      <c r="AG990" s="51" t="s">
        <v>3603</v>
      </c>
      <c r="AH990" s="49" t="str">
        <f t="shared" si="58"/>
        <v>賞与引当金係数マスタメンテ</v>
      </c>
      <c r="AI990" s="49"/>
      <c r="AJ990" s="49"/>
      <c r="AK990" s="49"/>
      <c r="AL990" s="49"/>
      <c r="AM990" s="49"/>
      <c r="AN990" s="49"/>
      <c r="AO990" s="51" t="str">
        <f t="shared" si="54"/>
        <v/>
      </c>
      <c r="AP990" s="51" t="str">
        <f t="shared" si="55"/>
        <v/>
      </c>
      <c r="AQ990" s="49"/>
      <c r="AR990" s="49"/>
      <c r="AS990" s="49" t="str">
        <f t="shared" si="56"/>
        <v>振替処理完了月度更新</v>
      </c>
      <c r="AT990" s="49" t="str">
        <f t="shared" si="57"/>
        <v>PRJF50</v>
      </c>
      <c r="AU990" s="49" t="s">
        <v>3571</v>
      </c>
      <c r="AV990" s="49" t="s">
        <v>3572</v>
      </c>
    </row>
    <row r="991" spans="1:48" ht="18" customHeight="1">
      <c r="A991" s="44">
        <v>989</v>
      </c>
      <c r="B991" s="52" t="s">
        <v>2702</v>
      </c>
      <c r="C991" s="80" t="s">
        <v>3597</v>
      </c>
      <c r="D991" s="46" t="s">
        <v>72</v>
      </c>
      <c r="E991" s="44" t="s">
        <v>3572</v>
      </c>
      <c r="F991" s="44" t="s">
        <v>3604</v>
      </c>
      <c r="G991" s="44"/>
      <c r="H991" s="44"/>
      <c r="I991" s="44"/>
      <c r="J991" s="47" t="s">
        <v>35</v>
      </c>
      <c r="K991" s="47"/>
      <c r="L991" s="47"/>
      <c r="M991" s="47"/>
      <c r="N991" s="47"/>
      <c r="O991" s="44"/>
      <c r="P991" s="44"/>
      <c r="Q991" s="48">
        <f>VLOOKUP(E991,sheet1!$B$2:$D$3209,3,FALSE)</f>
        <v>158</v>
      </c>
      <c r="R991" s="47" t="s">
        <v>35</v>
      </c>
      <c r="S991" s="47" t="s">
        <v>296</v>
      </c>
      <c r="T991" s="47"/>
      <c r="U991" s="47" t="s">
        <v>35</v>
      </c>
      <c r="V991" s="47" t="s">
        <v>296</v>
      </c>
      <c r="W991" s="47" t="s">
        <v>296</v>
      </c>
      <c r="X991" s="47" t="s">
        <v>296</v>
      </c>
      <c r="Y991" s="47"/>
      <c r="Z991" s="47" t="s">
        <v>296</v>
      </c>
      <c r="AA991" s="47" t="s">
        <v>296</v>
      </c>
      <c r="AB991" s="47"/>
      <c r="AC991" s="47" t="s">
        <v>35</v>
      </c>
      <c r="AD991" s="75"/>
      <c r="AE991" s="49"/>
      <c r="AF991" s="51" t="s">
        <v>3605</v>
      </c>
      <c r="AG991" s="51"/>
      <c r="AH991" s="49" t="str">
        <f t="shared" si="58"/>
        <v>賞与引当金係数マスタリスト</v>
      </c>
      <c r="AI991" s="49"/>
      <c r="AJ991" s="49"/>
      <c r="AK991" s="49"/>
      <c r="AL991" s="49"/>
      <c r="AM991" s="49"/>
      <c r="AN991" s="49"/>
      <c r="AO991" s="51" t="str">
        <f t="shared" si="54"/>
        <v/>
      </c>
      <c r="AP991" s="51" t="str">
        <f t="shared" si="55"/>
        <v/>
      </c>
      <c r="AQ991" s="49"/>
      <c r="AR991" s="49"/>
      <c r="AS991" s="49" t="str">
        <f t="shared" si="56"/>
        <v>振替処理必要事項／追加・変更</v>
      </c>
      <c r="AT991" s="49" t="str">
        <f t="shared" si="57"/>
        <v>PRJF51C</v>
      </c>
      <c r="AU991" s="49" t="s">
        <v>3574</v>
      </c>
      <c r="AV991" s="49" t="s">
        <v>3575</v>
      </c>
    </row>
    <row r="992" spans="1:48" ht="18" customHeight="1">
      <c r="A992" s="44">
        <v>990</v>
      </c>
      <c r="B992" s="52" t="s">
        <v>2702</v>
      </c>
      <c r="C992" s="80" t="s">
        <v>3597</v>
      </c>
      <c r="D992" s="46" t="s">
        <v>72</v>
      </c>
      <c r="E992" s="44" t="s">
        <v>3575</v>
      </c>
      <c r="F992" s="44" t="s">
        <v>3606</v>
      </c>
      <c r="G992" s="44"/>
      <c r="H992" s="44"/>
      <c r="I992" s="44"/>
      <c r="J992" s="47" t="s">
        <v>35</v>
      </c>
      <c r="K992" s="47"/>
      <c r="L992" s="47"/>
      <c r="M992" s="47"/>
      <c r="N992" s="47"/>
      <c r="O992" s="44"/>
      <c r="P992" s="44"/>
      <c r="Q992" s="48">
        <f>VLOOKUP(E992,sheet1!$B$2:$D$3209,3,FALSE)</f>
        <v>27</v>
      </c>
      <c r="R992" s="47" t="s">
        <v>35</v>
      </c>
      <c r="S992" s="47" t="s">
        <v>296</v>
      </c>
      <c r="T992" s="47"/>
      <c r="U992" s="47" t="s">
        <v>35</v>
      </c>
      <c r="V992" s="47" t="s">
        <v>296</v>
      </c>
      <c r="W992" s="47" t="s">
        <v>296</v>
      </c>
      <c r="X992" s="47" t="s">
        <v>296</v>
      </c>
      <c r="Y992" s="47"/>
      <c r="Z992" s="47" t="s">
        <v>296</v>
      </c>
      <c r="AA992" s="47" t="s">
        <v>296</v>
      </c>
      <c r="AB992" s="47"/>
      <c r="AC992" s="47" t="s">
        <v>35</v>
      </c>
      <c r="AD992" s="75"/>
      <c r="AE992" s="49"/>
      <c r="AF992" s="51" t="s">
        <v>3607</v>
      </c>
      <c r="AG992" s="51" t="s">
        <v>3608</v>
      </c>
      <c r="AH992" s="49" t="str">
        <f t="shared" si="58"/>
        <v>新幹線チケットデータ入力</v>
      </c>
      <c r="AI992" s="49"/>
      <c r="AJ992" s="49"/>
      <c r="AK992" s="49"/>
      <c r="AL992" s="49"/>
      <c r="AM992" s="49"/>
      <c r="AN992" s="49"/>
      <c r="AO992" s="51" t="str">
        <f t="shared" si="54"/>
        <v/>
      </c>
      <c r="AP992" s="51" t="str">
        <f t="shared" si="55"/>
        <v/>
      </c>
      <c r="AQ992" s="49"/>
      <c r="AR992" s="49"/>
      <c r="AS992" s="49" t="str">
        <f t="shared" si="56"/>
        <v>人事自動振替データ作成</v>
      </c>
      <c r="AT992" s="49" t="str">
        <f t="shared" si="57"/>
        <v>PRJF20</v>
      </c>
      <c r="AU992" s="49" t="s">
        <v>3577</v>
      </c>
      <c r="AV992" s="49" t="s">
        <v>3578</v>
      </c>
    </row>
    <row r="993" spans="1:48" ht="18" customHeight="1">
      <c r="A993" s="44">
        <v>991</v>
      </c>
      <c r="B993" s="52" t="s">
        <v>2702</v>
      </c>
      <c r="C993" s="80" t="s">
        <v>3597</v>
      </c>
      <c r="D993" s="46" t="s">
        <v>72</v>
      </c>
      <c r="E993" s="44" t="s">
        <v>3578</v>
      </c>
      <c r="F993" s="44" t="s">
        <v>3609</v>
      </c>
      <c r="G993" s="44"/>
      <c r="H993" s="44"/>
      <c r="I993" s="44"/>
      <c r="J993" s="47" t="s">
        <v>35</v>
      </c>
      <c r="K993" s="47"/>
      <c r="L993" s="47"/>
      <c r="M993" s="47"/>
      <c r="N993" s="47"/>
      <c r="O993" s="44"/>
      <c r="P993" s="44"/>
      <c r="Q993" s="48">
        <f>VLOOKUP(E993,sheet1!$B$2:$D$3209,3,FALSE)</f>
        <v>317</v>
      </c>
      <c r="R993" s="47" t="s">
        <v>35</v>
      </c>
      <c r="S993" s="47" t="s">
        <v>296</v>
      </c>
      <c r="T993" s="47"/>
      <c r="U993" s="47" t="s">
        <v>35</v>
      </c>
      <c r="V993" s="47" t="s">
        <v>296</v>
      </c>
      <c r="W993" s="47" t="s">
        <v>296</v>
      </c>
      <c r="X993" s="47" t="s">
        <v>296</v>
      </c>
      <c r="Y993" s="47"/>
      <c r="Z993" s="47" t="s">
        <v>296</v>
      </c>
      <c r="AA993" s="47" t="s">
        <v>296</v>
      </c>
      <c r="AB993" s="47"/>
      <c r="AC993" s="47" t="s">
        <v>35</v>
      </c>
      <c r="AD993" s="75"/>
      <c r="AE993" s="49"/>
      <c r="AF993" s="51" t="s">
        <v>3610</v>
      </c>
      <c r="AG993" s="51" t="s">
        <v>3611</v>
      </c>
      <c r="AH993" s="49" t="str">
        <f t="shared" si="58"/>
        <v>新幹線チケットデータ更新</v>
      </c>
      <c r="AI993" s="49"/>
      <c r="AJ993" s="49"/>
      <c r="AK993" s="49"/>
      <c r="AL993" s="49"/>
      <c r="AM993" s="49"/>
      <c r="AN993" s="49"/>
      <c r="AO993" s="51" t="str">
        <f t="shared" si="54"/>
        <v/>
      </c>
      <c r="AP993" s="51" t="str">
        <f t="shared" si="55"/>
        <v/>
      </c>
      <c r="AQ993" s="49"/>
      <c r="AR993" s="49"/>
      <c r="AS993" s="49" t="str">
        <f t="shared" si="56"/>
        <v>人事自動振替ﾃﾞｰﾀﾌｧｲﾙ保守</v>
      </c>
      <c r="AT993" s="49" t="str">
        <f t="shared" si="57"/>
        <v>PRJF60</v>
      </c>
      <c r="AU993" s="49" t="s">
        <v>3580</v>
      </c>
      <c r="AV993" s="49" t="s">
        <v>3581</v>
      </c>
    </row>
    <row r="994" spans="1:48" ht="18" customHeight="1">
      <c r="A994" s="44">
        <v>992</v>
      </c>
      <c r="B994" s="52" t="s">
        <v>2702</v>
      </c>
      <c r="C994" s="80" t="s">
        <v>3597</v>
      </c>
      <c r="D994" s="46" t="s">
        <v>72</v>
      </c>
      <c r="E994" s="44" t="s">
        <v>3581</v>
      </c>
      <c r="F994" s="44" t="s">
        <v>3612</v>
      </c>
      <c r="G994" s="44"/>
      <c r="H994" s="44"/>
      <c r="I994" s="44"/>
      <c r="J994" s="47" t="s">
        <v>35</v>
      </c>
      <c r="K994" s="47"/>
      <c r="L994" s="47"/>
      <c r="M994" s="47"/>
      <c r="N994" s="47"/>
      <c r="O994" s="44"/>
      <c r="P994" s="44"/>
      <c r="Q994" s="48">
        <f>VLOOKUP(E994,sheet1!$B$2:$D$3209,3,FALSE)</f>
        <v>189</v>
      </c>
      <c r="R994" s="47" t="s">
        <v>35</v>
      </c>
      <c r="S994" s="47" t="s">
        <v>296</v>
      </c>
      <c r="T994" s="47"/>
      <c r="U994" s="47" t="s">
        <v>35</v>
      </c>
      <c r="V994" s="47" t="s">
        <v>296</v>
      </c>
      <c r="W994" s="47" t="s">
        <v>296</v>
      </c>
      <c r="X994" s="47" t="s">
        <v>296</v>
      </c>
      <c r="Y994" s="47"/>
      <c r="Z994" s="47" t="s">
        <v>296</v>
      </c>
      <c r="AA994" s="47" t="s">
        <v>296</v>
      </c>
      <c r="AB994" s="47"/>
      <c r="AC994" s="47" t="s">
        <v>35</v>
      </c>
      <c r="AD994" s="75"/>
      <c r="AE994" s="49"/>
      <c r="AF994" s="51" t="s">
        <v>3613</v>
      </c>
      <c r="AG994" s="51" t="s">
        <v>3614</v>
      </c>
      <c r="AH994" s="49" t="str">
        <f t="shared" si="58"/>
        <v>新幹線ﾁｹｯﾄ残高ﾏｽﾀｰ保守</v>
      </c>
      <c r="AI994" s="49"/>
      <c r="AJ994" s="49"/>
      <c r="AK994" s="49"/>
      <c r="AL994" s="49"/>
      <c r="AM994" s="49"/>
      <c r="AN994" s="49"/>
      <c r="AO994" s="51" t="str">
        <f t="shared" si="54"/>
        <v/>
      </c>
      <c r="AP994" s="51" t="str">
        <f t="shared" si="55"/>
        <v/>
      </c>
      <c r="AQ994" s="49"/>
      <c r="AR994" s="49"/>
      <c r="AS994" s="49" t="str">
        <f t="shared" si="56"/>
        <v>人事振替伝票付加情報入力</v>
      </c>
      <c r="AT994" s="49" t="str">
        <f t="shared" si="57"/>
        <v>MS8001</v>
      </c>
      <c r="AU994" s="49" t="s">
        <v>3583</v>
      </c>
      <c r="AV994" s="49" t="s">
        <v>3584</v>
      </c>
    </row>
    <row r="995" spans="1:48" ht="18" customHeight="1">
      <c r="A995" s="44">
        <v>993</v>
      </c>
      <c r="B995" s="52" t="s">
        <v>2702</v>
      </c>
      <c r="C995" s="80" t="s">
        <v>3597</v>
      </c>
      <c r="D995" s="46" t="s">
        <v>72</v>
      </c>
      <c r="E995" s="44" t="s">
        <v>3584</v>
      </c>
      <c r="F995" s="44" t="s">
        <v>3615</v>
      </c>
      <c r="G995" s="44"/>
      <c r="H995" s="44"/>
      <c r="I995" s="44"/>
      <c r="J995" s="47" t="s">
        <v>35</v>
      </c>
      <c r="K995" s="47"/>
      <c r="L995" s="47"/>
      <c r="M995" s="47"/>
      <c r="N995" s="47"/>
      <c r="O995" s="44"/>
      <c r="P995" s="44"/>
      <c r="Q995" s="48">
        <f>VLOOKUP(E995,sheet1!$B$2:$D$3209,3,FALSE)</f>
        <v>1068</v>
      </c>
      <c r="R995" s="47" t="s">
        <v>35</v>
      </c>
      <c r="S995" s="47" t="s">
        <v>296</v>
      </c>
      <c r="T995" s="47"/>
      <c r="U995" s="47" t="s">
        <v>35</v>
      </c>
      <c r="V995" s="47" t="s">
        <v>296</v>
      </c>
      <c r="W995" s="47" t="s">
        <v>296</v>
      </c>
      <c r="X995" s="47" t="s">
        <v>296</v>
      </c>
      <c r="Y995" s="47"/>
      <c r="Z995" s="47" t="s">
        <v>296</v>
      </c>
      <c r="AA995" s="47" t="s">
        <v>296</v>
      </c>
      <c r="AB995" s="47"/>
      <c r="AC995" s="47" t="s">
        <v>35</v>
      </c>
      <c r="AD995" s="75"/>
      <c r="AE995" s="49"/>
      <c r="AF995" s="51" t="s">
        <v>3616</v>
      </c>
      <c r="AG995" s="51" t="s">
        <v>3617</v>
      </c>
      <c r="AH995" s="49" t="str">
        <f t="shared" si="58"/>
        <v>振替データ作成</v>
      </c>
      <c r="AI995" s="49"/>
      <c r="AJ995" s="49"/>
      <c r="AK995" s="49"/>
      <c r="AL995" s="49"/>
      <c r="AM995" s="49"/>
      <c r="AN995" s="49"/>
      <c r="AO995" s="51" t="str">
        <f t="shared" si="54"/>
        <v/>
      </c>
      <c r="AP995" s="51" t="str">
        <f t="shared" si="55"/>
        <v/>
      </c>
      <c r="AQ995" s="49"/>
      <c r="AR995" s="49"/>
      <c r="AS995" s="49" t="str">
        <f t="shared" si="56"/>
        <v>人事振替データ一覧</v>
      </c>
      <c r="AT995" s="49" t="str">
        <f t="shared" si="57"/>
        <v>PRJF41A</v>
      </c>
      <c r="AU995" s="49" t="s">
        <v>3586</v>
      </c>
      <c r="AV995" s="49" t="s">
        <v>3587</v>
      </c>
    </row>
    <row r="996" spans="1:48" ht="18" customHeight="1">
      <c r="A996" s="44">
        <v>994</v>
      </c>
      <c r="B996" s="52" t="s">
        <v>2702</v>
      </c>
      <c r="C996" s="80" t="s">
        <v>3597</v>
      </c>
      <c r="D996" s="46" t="s">
        <v>72</v>
      </c>
      <c r="E996" s="44" t="s">
        <v>3587</v>
      </c>
      <c r="F996" s="44" t="s">
        <v>3618</v>
      </c>
      <c r="G996" s="44"/>
      <c r="H996" s="44"/>
      <c r="I996" s="44"/>
      <c r="J996" s="47" t="s">
        <v>35</v>
      </c>
      <c r="K996" s="47"/>
      <c r="L996" s="47"/>
      <c r="M996" s="47"/>
      <c r="N996" s="47"/>
      <c r="O996" s="44"/>
      <c r="P996" s="44"/>
      <c r="Q996" s="48">
        <f>VLOOKUP(E996,sheet1!$B$2:$D$3209,3,FALSE)</f>
        <v>637</v>
      </c>
      <c r="R996" s="47" t="s">
        <v>35</v>
      </c>
      <c r="S996" s="47" t="s">
        <v>296</v>
      </c>
      <c r="T996" s="47"/>
      <c r="U996" s="47" t="s">
        <v>35</v>
      </c>
      <c r="V996" s="47" t="s">
        <v>296</v>
      </c>
      <c r="W996" s="47" t="s">
        <v>296</v>
      </c>
      <c r="X996" s="47" t="s">
        <v>296</v>
      </c>
      <c r="Y996" s="47"/>
      <c r="Z996" s="47" t="s">
        <v>296</v>
      </c>
      <c r="AA996" s="47" t="s">
        <v>296</v>
      </c>
      <c r="AB996" s="47"/>
      <c r="AC996" s="47" t="s">
        <v>35</v>
      </c>
      <c r="AD996" s="75"/>
      <c r="AE996" s="49"/>
      <c r="AF996" s="51" t="s">
        <v>3619</v>
      </c>
      <c r="AG996" s="51" t="s">
        <v>3620</v>
      </c>
      <c r="AH996" s="49" t="str">
        <f t="shared" si="58"/>
        <v>振替データ一覧</v>
      </c>
      <c r="AI996" s="49"/>
      <c r="AJ996" s="49"/>
      <c r="AK996" s="49"/>
      <c r="AL996" s="49"/>
      <c r="AM996" s="49"/>
      <c r="AN996" s="49"/>
      <c r="AO996" s="51" t="str">
        <f t="shared" si="54"/>
        <v/>
      </c>
      <c r="AP996" s="51" t="str">
        <f t="shared" si="55"/>
        <v/>
      </c>
      <c r="AQ996" s="49"/>
      <c r="AR996" s="49"/>
      <c r="AS996" s="49" t="str">
        <f t="shared" si="56"/>
        <v>業務別人件費部課別一覧</v>
      </c>
      <c r="AT996" s="49" t="str">
        <f t="shared" si="57"/>
        <v>PRJF43I</v>
      </c>
      <c r="AU996" s="49" t="s">
        <v>3589</v>
      </c>
      <c r="AV996" s="49" t="s">
        <v>3590</v>
      </c>
    </row>
    <row r="997" spans="1:48" ht="18" customHeight="1">
      <c r="A997" s="44">
        <v>995</v>
      </c>
      <c r="B997" s="52" t="s">
        <v>2702</v>
      </c>
      <c r="C997" s="80" t="s">
        <v>3597</v>
      </c>
      <c r="D997" s="46" t="s">
        <v>72</v>
      </c>
      <c r="E997" s="44" t="s">
        <v>3590</v>
      </c>
      <c r="F997" s="44" t="s">
        <v>3621</v>
      </c>
      <c r="G997" s="44"/>
      <c r="H997" s="44"/>
      <c r="I997" s="44"/>
      <c r="J997" s="47" t="s">
        <v>35</v>
      </c>
      <c r="K997" s="47"/>
      <c r="L997" s="47"/>
      <c r="M997" s="47"/>
      <c r="N997" s="47"/>
      <c r="O997" s="44"/>
      <c r="P997" s="44"/>
      <c r="Q997" s="48" t="e">
        <f>VLOOKUP(E997,sheet1!$B$2:$D$3209,3,FALSE)</f>
        <v>#N/A</v>
      </c>
      <c r="R997" s="47" t="s">
        <v>35</v>
      </c>
      <c r="S997" s="47" t="s">
        <v>296</v>
      </c>
      <c r="T997" s="47"/>
      <c r="U997" s="47" t="s">
        <v>35</v>
      </c>
      <c r="V997" s="47" t="s">
        <v>296</v>
      </c>
      <c r="W997" s="47" t="s">
        <v>296</v>
      </c>
      <c r="X997" s="47" t="s">
        <v>296</v>
      </c>
      <c r="Y997" s="47"/>
      <c r="Z997" s="47" t="s">
        <v>296</v>
      </c>
      <c r="AA997" s="47" t="s">
        <v>296</v>
      </c>
      <c r="AB997" s="47"/>
      <c r="AC997" s="47" t="s">
        <v>35</v>
      </c>
      <c r="AD997" s="75"/>
      <c r="AE997" s="49"/>
      <c r="AF997" s="51" t="s">
        <v>3622</v>
      </c>
      <c r="AG997" s="51"/>
      <c r="AH997" s="49" t="str">
        <f t="shared" si="58"/>
        <v>自動振替伝票付加情報入力</v>
      </c>
      <c r="AI997" s="49"/>
      <c r="AJ997" s="49"/>
      <c r="AK997" s="49"/>
      <c r="AL997" s="49"/>
      <c r="AM997" s="49"/>
      <c r="AN997" s="49"/>
      <c r="AO997" s="51" t="str">
        <f t="shared" si="54"/>
        <v/>
      </c>
      <c r="AP997" s="51" t="str">
        <f t="shared" si="55"/>
        <v/>
      </c>
      <c r="AQ997" s="49"/>
      <c r="AR997" s="49"/>
      <c r="AS997" s="49" t="str">
        <f t="shared" si="56"/>
        <v>自動仕訳データ転送（人事）</v>
      </c>
      <c r="AT997" s="49" t="str">
        <f t="shared" si="57"/>
        <v>AC7010</v>
      </c>
      <c r="AU997" s="49" t="s">
        <v>3592</v>
      </c>
      <c r="AV997" s="49" t="s">
        <v>3593</v>
      </c>
    </row>
    <row r="998" spans="1:48" ht="18" customHeight="1">
      <c r="A998" s="44">
        <v>996</v>
      </c>
      <c r="B998" s="52" t="s">
        <v>2702</v>
      </c>
      <c r="C998" s="80" t="s">
        <v>3597</v>
      </c>
      <c r="D998" s="46" t="s">
        <v>72</v>
      </c>
      <c r="E998" s="44" t="s">
        <v>3593</v>
      </c>
      <c r="F998" s="44" t="s">
        <v>3623</v>
      </c>
      <c r="G998" s="44"/>
      <c r="H998" s="44"/>
      <c r="I998" s="44"/>
      <c r="J998" s="47" t="s">
        <v>35</v>
      </c>
      <c r="K998" s="47"/>
      <c r="L998" s="47"/>
      <c r="M998" s="47"/>
      <c r="N998" s="47"/>
      <c r="O998" s="44"/>
      <c r="P998" s="44"/>
      <c r="Q998" s="48">
        <f>VLOOKUP(E998,sheet1!$B$2:$D$3209,3,FALSE)</f>
        <v>450</v>
      </c>
      <c r="R998" s="47" t="s">
        <v>35</v>
      </c>
      <c r="S998" s="47" t="s">
        <v>296</v>
      </c>
      <c r="T998" s="47"/>
      <c r="U998" s="47" t="s">
        <v>35</v>
      </c>
      <c r="V998" s="47" t="s">
        <v>296</v>
      </c>
      <c r="W998" s="47" t="s">
        <v>296</v>
      </c>
      <c r="X998" s="47" t="s">
        <v>296</v>
      </c>
      <c r="Y998" s="47"/>
      <c r="Z998" s="47" t="s">
        <v>296</v>
      </c>
      <c r="AA998" s="47" t="s">
        <v>296</v>
      </c>
      <c r="AB998" s="47"/>
      <c r="AC998" s="47" t="s">
        <v>35</v>
      </c>
      <c r="AD998" s="75"/>
      <c r="AE998" s="49"/>
      <c r="AF998" s="51" t="s">
        <v>3624</v>
      </c>
      <c r="AG998" s="51" t="s">
        <v>3625</v>
      </c>
      <c r="AH998" s="49" t="str">
        <f t="shared" si="58"/>
        <v>データ転送</v>
      </c>
      <c r="AI998" s="49"/>
      <c r="AJ998" s="49"/>
      <c r="AK998" s="49"/>
      <c r="AL998" s="49"/>
      <c r="AM998" s="49"/>
      <c r="AN998" s="49"/>
      <c r="AO998" s="51" t="str">
        <f t="shared" si="54"/>
        <v/>
      </c>
      <c r="AP998" s="51" t="str">
        <f t="shared" si="55"/>
        <v/>
      </c>
      <c r="AQ998" s="49"/>
      <c r="AR998" s="49"/>
      <c r="AS998" s="49" t="str">
        <f t="shared" si="56"/>
        <v>自動仕訳データ伝票発行</v>
      </c>
      <c r="AT998" s="49" t="str">
        <f t="shared" si="57"/>
        <v>AC1950</v>
      </c>
      <c r="AU998" s="49" t="s">
        <v>3595</v>
      </c>
      <c r="AV998" s="49" t="s">
        <v>3596</v>
      </c>
    </row>
    <row r="999" spans="1:48" ht="18" customHeight="1">
      <c r="A999" s="44">
        <v>997</v>
      </c>
      <c r="B999" s="52" t="s">
        <v>2702</v>
      </c>
      <c r="C999" s="80" t="s">
        <v>3597</v>
      </c>
      <c r="D999" s="46" t="s">
        <v>72</v>
      </c>
      <c r="E999" s="44" t="s">
        <v>3596</v>
      </c>
      <c r="F999" s="44" t="s">
        <v>2899</v>
      </c>
      <c r="G999" s="44"/>
      <c r="H999" s="44"/>
      <c r="I999" s="44"/>
      <c r="J999" s="47" t="s">
        <v>35</v>
      </c>
      <c r="K999" s="47"/>
      <c r="L999" s="47"/>
      <c r="M999" s="47"/>
      <c r="N999" s="47"/>
      <c r="O999" s="44"/>
      <c r="P999" s="44"/>
      <c r="Q999" s="48">
        <f>VLOOKUP(E999,sheet1!$B$2:$D$3209,3,FALSE)</f>
        <v>702</v>
      </c>
      <c r="R999" s="47" t="s">
        <v>35</v>
      </c>
      <c r="S999" s="47" t="s">
        <v>296</v>
      </c>
      <c r="T999" s="47"/>
      <c r="U999" s="47" t="s">
        <v>35</v>
      </c>
      <c r="V999" s="47" t="s">
        <v>296</v>
      </c>
      <c r="W999" s="47" t="s">
        <v>296</v>
      </c>
      <c r="X999" s="47" t="s">
        <v>296</v>
      </c>
      <c r="Y999" s="47"/>
      <c r="Z999" s="47" t="s">
        <v>296</v>
      </c>
      <c r="AA999" s="47" t="s">
        <v>296</v>
      </c>
      <c r="AB999" s="47"/>
      <c r="AC999" s="47" t="s">
        <v>35</v>
      </c>
      <c r="AD999" s="75"/>
      <c r="AE999" s="49"/>
      <c r="AF999" s="51" t="s">
        <v>3626</v>
      </c>
      <c r="AG999" s="51" t="s">
        <v>3627</v>
      </c>
      <c r="AH999" s="49" t="str">
        <f t="shared" si="58"/>
        <v>自動仕訳データ振替伝票発行</v>
      </c>
      <c r="AI999" s="49"/>
      <c r="AJ999" s="49"/>
      <c r="AK999" s="49"/>
      <c r="AL999" s="49"/>
      <c r="AM999" s="49"/>
      <c r="AN999" s="49"/>
      <c r="AO999" s="51" t="str">
        <f t="shared" si="54"/>
        <v/>
      </c>
      <c r="AP999" s="51" t="str">
        <f t="shared" si="55"/>
        <v/>
      </c>
      <c r="AQ999" s="49"/>
      <c r="AR999" s="49"/>
      <c r="AS999" s="49" t="str">
        <f t="shared" si="56"/>
        <v>賞与引当金一覧表</v>
      </c>
      <c r="AT999" s="49" t="str">
        <f t="shared" si="57"/>
        <v>PR0042</v>
      </c>
      <c r="AU999" s="49" t="s">
        <v>3599</v>
      </c>
      <c r="AV999" s="49" t="s">
        <v>3600</v>
      </c>
    </row>
    <row r="1000" spans="1:48" ht="18" customHeight="1">
      <c r="A1000" s="44">
        <v>998</v>
      </c>
      <c r="B1000" s="52" t="s">
        <v>2702</v>
      </c>
      <c r="C1000" s="80" t="s">
        <v>3597</v>
      </c>
      <c r="D1000" s="46" t="s">
        <v>72</v>
      </c>
      <c r="E1000" s="44" t="s">
        <v>3600</v>
      </c>
      <c r="F1000" s="44" t="s">
        <v>3628</v>
      </c>
      <c r="G1000" s="44"/>
      <c r="H1000" s="44"/>
      <c r="I1000" s="44"/>
      <c r="J1000" s="47" t="s">
        <v>35</v>
      </c>
      <c r="K1000" s="47"/>
      <c r="L1000" s="47"/>
      <c r="M1000" s="47"/>
      <c r="N1000" s="47"/>
      <c r="O1000" s="44"/>
      <c r="P1000" s="44"/>
      <c r="Q1000" s="48">
        <f>VLOOKUP(E1000,sheet1!$B$2:$D$3209,3,FALSE)</f>
        <v>893</v>
      </c>
      <c r="R1000" s="47" t="s">
        <v>35</v>
      </c>
      <c r="S1000" s="47" t="s">
        <v>296</v>
      </c>
      <c r="T1000" s="47"/>
      <c r="U1000" s="47" t="s">
        <v>35</v>
      </c>
      <c r="V1000" s="47" t="s">
        <v>296</v>
      </c>
      <c r="W1000" s="47" t="s">
        <v>296</v>
      </c>
      <c r="X1000" s="47" t="s">
        <v>296</v>
      </c>
      <c r="Y1000" s="47"/>
      <c r="Z1000" s="47" t="s">
        <v>296</v>
      </c>
      <c r="AA1000" s="47" t="s">
        <v>296</v>
      </c>
      <c r="AB1000" s="47"/>
      <c r="AC1000" s="47" t="s">
        <v>35</v>
      </c>
      <c r="AD1000" s="75"/>
      <c r="AE1000" s="49"/>
      <c r="AF1000" s="51" t="s">
        <v>3629</v>
      </c>
      <c r="AG1000" s="51" t="s">
        <v>3630</v>
      </c>
      <c r="AH1000" s="49" t="str">
        <f t="shared" si="58"/>
        <v>新幹線ﾁｹｯﾄ残高一覧表</v>
      </c>
      <c r="AI1000" s="49"/>
      <c r="AJ1000" s="49"/>
      <c r="AK1000" s="49"/>
      <c r="AL1000" s="49"/>
      <c r="AM1000" s="49"/>
      <c r="AN1000" s="49"/>
      <c r="AO1000" s="51" t="str">
        <f t="shared" si="54"/>
        <v/>
      </c>
      <c r="AP1000" s="51" t="str">
        <f t="shared" si="55"/>
        <v/>
      </c>
      <c r="AQ1000" s="49"/>
      <c r="AR1000" s="49"/>
      <c r="AS1000" s="49" t="str">
        <f t="shared" si="56"/>
        <v>賞与引当金係数マスタメンテ</v>
      </c>
      <c r="AT1000" s="49" t="str">
        <f t="shared" si="57"/>
        <v>PRJF62</v>
      </c>
      <c r="AU1000" s="49" t="s">
        <v>3602</v>
      </c>
      <c r="AV1000" s="49" t="s">
        <v>3603</v>
      </c>
    </row>
    <row r="1001" spans="1:48" ht="18" customHeight="1">
      <c r="A1001" s="44">
        <v>999</v>
      </c>
      <c r="B1001" s="52" t="s">
        <v>2702</v>
      </c>
      <c r="C1001" s="80" t="s">
        <v>3597</v>
      </c>
      <c r="D1001" s="46" t="s">
        <v>72</v>
      </c>
      <c r="E1001" s="44" t="s">
        <v>3603</v>
      </c>
      <c r="F1001" s="44" t="s">
        <v>3631</v>
      </c>
      <c r="G1001" s="44"/>
      <c r="H1001" s="44"/>
      <c r="I1001" s="44"/>
      <c r="J1001" s="47" t="s">
        <v>35</v>
      </c>
      <c r="K1001" s="47"/>
      <c r="L1001" s="47"/>
      <c r="M1001" s="47"/>
      <c r="N1001" s="47"/>
      <c r="O1001" s="44"/>
      <c r="P1001" s="44"/>
      <c r="Q1001" s="48">
        <f>VLOOKUP(E1001,sheet1!$B$2:$D$3209,3,FALSE)</f>
        <v>592</v>
      </c>
      <c r="R1001" s="47" t="s">
        <v>35</v>
      </c>
      <c r="S1001" s="47" t="s">
        <v>296</v>
      </c>
      <c r="T1001" s="47"/>
      <c r="U1001" s="47" t="s">
        <v>35</v>
      </c>
      <c r="V1001" s="47" t="s">
        <v>296</v>
      </c>
      <c r="W1001" s="47" t="s">
        <v>296</v>
      </c>
      <c r="X1001" s="47" t="s">
        <v>296</v>
      </c>
      <c r="Y1001" s="47"/>
      <c r="Z1001" s="47" t="s">
        <v>296</v>
      </c>
      <c r="AA1001" s="47" t="s">
        <v>296</v>
      </c>
      <c r="AB1001" s="47"/>
      <c r="AC1001" s="47" t="s">
        <v>35</v>
      </c>
      <c r="AD1001" s="75"/>
      <c r="AE1001" s="49"/>
      <c r="AF1001" s="51" t="s">
        <v>3632</v>
      </c>
      <c r="AG1001" s="51"/>
      <c r="AH1001" s="49" t="str">
        <f t="shared" si="58"/>
        <v>有給休暇使用入力</v>
      </c>
      <c r="AI1001" s="49"/>
      <c r="AJ1001" s="49"/>
      <c r="AK1001" s="49"/>
      <c r="AL1001" s="49"/>
      <c r="AM1001" s="49"/>
      <c r="AN1001" s="49"/>
      <c r="AO1001" s="51" t="str">
        <f t="shared" si="54"/>
        <v/>
      </c>
      <c r="AP1001" s="51" t="str">
        <f t="shared" si="55"/>
        <v/>
      </c>
      <c r="AQ1001" s="49"/>
      <c r="AR1001" s="49"/>
      <c r="AS1001" s="49" t="str">
        <f t="shared" si="56"/>
        <v>賞与引当金係数マスタリスト</v>
      </c>
      <c r="AT1001" s="49" t="str">
        <f t="shared" si="57"/>
        <v/>
      </c>
      <c r="AU1001" s="49" t="s">
        <v>3605</v>
      </c>
      <c r="AV1001" s="49"/>
    </row>
    <row r="1002" spans="1:48" ht="18" customHeight="1">
      <c r="A1002" s="44">
        <v>1000</v>
      </c>
      <c r="B1002" s="52" t="s">
        <v>2702</v>
      </c>
      <c r="C1002" s="80" t="s">
        <v>3597</v>
      </c>
      <c r="D1002" s="46" t="s">
        <v>72</v>
      </c>
      <c r="E1002" s="44"/>
      <c r="F1002" s="44" t="s">
        <v>3633</v>
      </c>
      <c r="G1002" s="44"/>
      <c r="H1002" s="44"/>
      <c r="I1002" s="44"/>
      <c r="J1002" s="47" t="s">
        <v>35</v>
      </c>
      <c r="K1002" s="47"/>
      <c r="L1002" s="47"/>
      <c r="M1002" s="47"/>
      <c r="N1002" s="47"/>
      <c r="O1002" s="44"/>
      <c r="P1002" s="44"/>
      <c r="Q1002" s="48" t="e">
        <f>VLOOKUP(E1002,sheet1!$B$2:$D$3209,3,FALSE)</f>
        <v>#N/A</v>
      </c>
      <c r="R1002" s="47" t="s">
        <v>35</v>
      </c>
      <c r="S1002" s="47" t="s">
        <v>296</v>
      </c>
      <c r="T1002" s="47"/>
      <c r="U1002" s="47" t="s">
        <v>35</v>
      </c>
      <c r="V1002" s="47" t="s">
        <v>296</v>
      </c>
      <c r="W1002" s="47" t="s">
        <v>296</v>
      </c>
      <c r="X1002" s="47" t="s">
        <v>296</v>
      </c>
      <c r="Y1002" s="47"/>
      <c r="Z1002" s="47" t="s">
        <v>296</v>
      </c>
      <c r="AA1002" s="47" t="s">
        <v>296</v>
      </c>
      <c r="AB1002" s="47"/>
      <c r="AC1002" s="47" t="s">
        <v>35</v>
      </c>
      <c r="AD1002" s="75"/>
      <c r="AE1002" s="49"/>
      <c r="AF1002" s="51" t="s">
        <v>3634</v>
      </c>
      <c r="AG1002" s="51"/>
      <c r="AH1002" s="49" t="str">
        <f t="shared" si="58"/>
        <v>代休使用入力</v>
      </c>
      <c r="AI1002" s="49"/>
      <c r="AJ1002" s="49"/>
      <c r="AK1002" s="49"/>
      <c r="AL1002" s="49"/>
      <c r="AM1002" s="49"/>
      <c r="AN1002" s="49"/>
      <c r="AO1002" s="51" t="str">
        <f t="shared" si="54"/>
        <v/>
      </c>
      <c r="AP1002" s="51" t="str">
        <f t="shared" si="55"/>
        <v/>
      </c>
      <c r="AQ1002" s="49"/>
      <c r="AR1002" s="49"/>
      <c r="AS1002" s="49" t="str">
        <f t="shared" si="56"/>
        <v>新幹線チケットデータ入力</v>
      </c>
      <c r="AT1002" s="49" t="str">
        <f t="shared" si="57"/>
        <v>PRET00</v>
      </c>
      <c r="AU1002" s="51" t="s">
        <v>3607</v>
      </c>
      <c r="AV1002" s="51" t="s">
        <v>3608</v>
      </c>
    </row>
    <row r="1003" spans="1:48" ht="18" customHeight="1">
      <c r="A1003" s="44">
        <v>1001</v>
      </c>
      <c r="B1003" s="52" t="s">
        <v>2702</v>
      </c>
      <c r="C1003" s="75" t="s">
        <v>3635</v>
      </c>
      <c r="D1003" s="46" t="s">
        <v>72</v>
      </c>
      <c r="E1003" s="44" t="s">
        <v>3608</v>
      </c>
      <c r="F1003" s="44" t="s">
        <v>3636</v>
      </c>
      <c r="G1003" s="44"/>
      <c r="H1003" s="44"/>
      <c r="I1003" s="44"/>
      <c r="J1003" s="47" t="s">
        <v>35</v>
      </c>
      <c r="K1003" s="47"/>
      <c r="L1003" s="47"/>
      <c r="M1003" s="47"/>
      <c r="N1003" s="47"/>
      <c r="O1003" s="44"/>
      <c r="P1003" s="44"/>
      <c r="Q1003" s="48">
        <f>VLOOKUP(E1003,sheet1!$B$2:$D$3209,3,FALSE)</f>
        <v>81</v>
      </c>
      <c r="R1003" s="47" t="s">
        <v>35</v>
      </c>
      <c r="S1003" s="47" t="s">
        <v>296</v>
      </c>
      <c r="T1003" s="47"/>
      <c r="U1003" s="47" t="s">
        <v>35</v>
      </c>
      <c r="V1003" s="47" t="s">
        <v>296</v>
      </c>
      <c r="W1003" s="47" t="s">
        <v>296</v>
      </c>
      <c r="X1003" s="47" t="s">
        <v>296</v>
      </c>
      <c r="Y1003" s="47"/>
      <c r="Z1003" s="47" t="s">
        <v>296</v>
      </c>
      <c r="AA1003" s="47" t="s">
        <v>296</v>
      </c>
      <c r="AB1003" s="47"/>
      <c r="AC1003" s="47" t="s">
        <v>35</v>
      </c>
      <c r="AD1003" s="75"/>
      <c r="AE1003" s="49"/>
      <c r="AF1003" s="51" t="s">
        <v>3637</v>
      </c>
      <c r="AG1003" s="51"/>
      <c r="AH1003" s="49" t="str">
        <f t="shared" si="58"/>
        <v>代休取得入力</v>
      </c>
      <c r="AI1003" s="49"/>
      <c r="AJ1003" s="49"/>
      <c r="AK1003" s="49"/>
      <c r="AL1003" s="49"/>
      <c r="AM1003" s="49"/>
      <c r="AN1003" s="49"/>
      <c r="AO1003" s="51" t="str">
        <f t="shared" si="54"/>
        <v/>
      </c>
      <c r="AP1003" s="51" t="str">
        <f t="shared" si="55"/>
        <v/>
      </c>
      <c r="AQ1003" s="49"/>
      <c r="AR1003" s="49"/>
      <c r="AS1003" s="49" t="str">
        <f t="shared" si="56"/>
        <v>新幹線チケットデータ更新</v>
      </c>
      <c r="AT1003" s="49" t="str">
        <f t="shared" si="57"/>
        <v>PRET41</v>
      </c>
      <c r="AU1003" s="51" t="s">
        <v>3610</v>
      </c>
      <c r="AV1003" s="51" t="s">
        <v>3611</v>
      </c>
    </row>
    <row r="1004" spans="1:48" ht="18" customHeight="1">
      <c r="A1004" s="44">
        <v>1002</v>
      </c>
      <c r="B1004" s="52" t="s">
        <v>2702</v>
      </c>
      <c r="C1004" s="80" t="s">
        <v>3635</v>
      </c>
      <c r="D1004" s="46" t="s">
        <v>72</v>
      </c>
      <c r="E1004" s="44" t="s">
        <v>3611</v>
      </c>
      <c r="F1004" s="44" t="s">
        <v>3638</v>
      </c>
      <c r="G1004" s="44"/>
      <c r="H1004" s="44"/>
      <c r="I1004" s="44"/>
      <c r="J1004" s="47" t="s">
        <v>35</v>
      </c>
      <c r="K1004" s="47"/>
      <c r="L1004" s="47"/>
      <c r="M1004" s="47"/>
      <c r="N1004" s="47"/>
      <c r="O1004" s="44"/>
      <c r="P1004" s="44"/>
      <c r="Q1004" s="48">
        <f>VLOOKUP(E1004,sheet1!$B$2:$D$3209,3,FALSE)</f>
        <v>373</v>
      </c>
      <c r="R1004" s="47" t="s">
        <v>35</v>
      </c>
      <c r="S1004" s="47" t="s">
        <v>296</v>
      </c>
      <c r="T1004" s="47"/>
      <c r="U1004" s="47" t="s">
        <v>35</v>
      </c>
      <c r="V1004" s="47" t="s">
        <v>296</v>
      </c>
      <c r="W1004" s="47" t="s">
        <v>296</v>
      </c>
      <c r="X1004" s="47" t="s">
        <v>296</v>
      </c>
      <c r="Y1004" s="47"/>
      <c r="Z1004" s="47" t="s">
        <v>296</v>
      </c>
      <c r="AA1004" s="47" t="s">
        <v>296</v>
      </c>
      <c r="AB1004" s="47"/>
      <c r="AC1004" s="47" t="s">
        <v>35</v>
      </c>
      <c r="AD1004" s="75"/>
      <c r="AE1004" s="49"/>
      <c r="AF1004" s="51" t="s">
        <v>3639</v>
      </c>
      <c r="AG1004" s="51"/>
      <c r="AH1004" s="49" t="str">
        <f t="shared" si="58"/>
        <v>遅刻処理入力</v>
      </c>
      <c r="AI1004" s="49"/>
      <c r="AJ1004" s="49"/>
      <c r="AK1004" s="49"/>
      <c r="AL1004" s="49"/>
      <c r="AM1004" s="49"/>
      <c r="AN1004" s="49"/>
      <c r="AO1004" s="51" t="str">
        <f t="shared" si="54"/>
        <v/>
      </c>
      <c r="AP1004" s="51" t="str">
        <f t="shared" si="55"/>
        <v/>
      </c>
      <c r="AQ1004" s="49"/>
      <c r="AR1004" s="49"/>
      <c r="AS1004" s="49" t="str">
        <f t="shared" si="56"/>
        <v>新幹線ﾁｹｯﾄ残高ﾏｽﾀｰ保守</v>
      </c>
      <c r="AT1004" s="49" t="str">
        <f t="shared" si="57"/>
        <v>PRET40</v>
      </c>
      <c r="AU1004" s="51" t="s">
        <v>3613</v>
      </c>
      <c r="AV1004" s="51" t="s">
        <v>3614</v>
      </c>
    </row>
    <row r="1005" spans="1:48" ht="18" customHeight="1">
      <c r="A1005" s="44">
        <v>1003</v>
      </c>
      <c r="B1005" s="52" t="s">
        <v>2702</v>
      </c>
      <c r="C1005" s="80" t="s">
        <v>3635</v>
      </c>
      <c r="D1005" s="46" t="s">
        <v>72</v>
      </c>
      <c r="E1005" s="44" t="s">
        <v>3614</v>
      </c>
      <c r="F1005" s="44" t="s">
        <v>3640</v>
      </c>
      <c r="G1005" s="44"/>
      <c r="H1005" s="44"/>
      <c r="I1005" s="44"/>
      <c r="J1005" s="47" t="s">
        <v>35</v>
      </c>
      <c r="K1005" s="47"/>
      <c r="L1005" s="47"/>
      <c r="M1005" s="47"/>
      <c r="N1005" s="47"/>
      <c r="O1005" s="44"/>
      <c r="P1005" s="44"/>
      <c r="Q1005" s="48">
        <f>VLOOKUP(E1005,sheet1!$B$2:$D$3209,3,FALSE)</f>
        <v>874</v>
      </c>
      <c r="R1005" s="47" t="s">
        <v>35</v>
      </c>
      <c r="S1005" s="47" t="s">
        <v>296</v>
      </c>
      <c r="T1005" s="47"/>
      <c r="U1005" s="47" t="s">
        <v>35</v>
      </c>
      <c r="V1005" s="47" t="s">
        <v>296</v>
      </c>
      <c r="W1005" s="47" t="s">
        <v>296</v>
      </c>
      <c r="X1005" s="47" t="s">
        <v>296</v>
      </c>
      <c r="Y1005" s="47"/>
      <c r="Z1005" s="47" t="s">
        <v>296</v>
      </c>
      <c r="AA1005" s="47" t="s">
        <v>296</v>
      </c>
      <c r="AB1005" s="47"/>
      <c r="AC1005" s="47" t="s">
        <v>35</v>
      </c>
      <c r="AD1005" s="75"/>
      <c r="AE1005" s="49"/>
      <c r="AF1005" s="51" t="s">
        <v>3641</v>
      </c>
      <c r="AG1005" s="51"/>
      <c r="AH1005" s="49" t="str">
        <f t="shared" si="58"/>
        <v>早退処理入力</v>
      </c>
      <c r="AI1005" s="49"/>
      <c r="AJ1005" s="49"/>
      <c r="AK1005" s="49"/>
      <c r="AL1005" s="49"/>
      <c r="AM1005" s="49"/>
      <c r="AN1005" s="49"/>
      <c r="AO1005" s="51" t="str">
        <f t="shared" si="54"/>
        <v/>
      </c>
      <c r="AP1005" s="51" t="str">
        <f t="shared" si="55"/>
        <v/>
      </c>
      <c r="AQ1005" s="49"/>
      <c r="AR1005" s="49"/>
      <c r="AS1005" s="49" t="str">
        <f t="shared" si="56"/>
        <v>振替データ作成</v>
      </c>
      <c r="AT1005" s="49" t="str">
        <f t="shared" si="57"/>
        <v>PRET19</v>
      </c>
      <c r="AU1005" s="51" t="s">
        <v>3616</v>
      </c>
      <c r="AV1005" s="51" t="s">
        <v>3617</v>
      </c>
    </row>
    <row r="1006" spans="1:48" ht="18" customHeight="1">
      <c r="A1006" s="44">
        <v>1004</v>
      </c>
      <c r="B1006" s="52" t="s">
        <v>2702</v>
      </c>
      <c r="C1006" s="80" t="s">
        <v>3635</v>
      </c>
      <c r="D1006" s="46" t="s">
        <v>72</v>
      </c>
      <c r="E1006" s="44" t="s">
        <v>3617</v>
      </c>
      <c r="F1006" s="44" t="s">
        <v>3642</v>
      </c>
      <c r="G1006" s="44"/>
      <c r="H1006" s="44"/>
      <c r="I1006" s="44"/>
      <c r="J1006" s="47" t="s">
        <v>35</v>
      </c>
      <c r="K1006" s="47"/>
      <c r="L1006" s="47"/>
      <c r="M1006" s="47"/>
      <c r="N1006" s="47"/>
      <c r="O1006" s="44"/>
      <c r="P1006" s="44"/>
      <c r="Q1006" s="48">
        <f>VLOOKUP(E1006,sheet1!$B$2:$D$3209,3,FALSE)</f>
        <v>81</v>
      </c>
      <c r="R1006" s="47" t="s">
        <v>35</v>
      </c>
      <c r="S1006" s="47" t="s">
        <v>296</v>
      </c>
      <c r="T1006" s="47"/>
      <c r="U1006" s="47" t="s">
        <v>35</v>
      </c>
      <c r="V1006" s="47" t="s">
        <v>296</v>
      </c>
      <c r="W1006" s="47" t="s">
        <v>296</v>
      </c>
      <c r="X1006" s="47" t="s">
        <v>296</v>
      </c>
      <c r="Y1006" s="47"/>
      <c r="Z1006" s="47" t="s">
        <v>296</v>
      </c>
      <c r="AA1006" s="47" t="s">
        <v>296</v>
      </c>
      <c r="AB1006" s="47"/>
      <c r="AC1006" s="47" t="s">
        <v>35</v>
      </c>
      <c r="AD1006" s="75"/>
      <c r="AE1006" s="49"/>
      <c r="AF1006" s="51" t="s">
        <v>3643</v>
      </c>
      <c r="AG1006" s="51"/>
      <c r="AH1006" s="49" t="str">
        <f t="shared" si="58"/>
        <v>欠勤処理入力</v>
      </c>
      <c r="AI1006" s="49"/>
      <c r="AJ1006" s="49"/>
      <c r="AK1006" s="49"/>
      <c r="AL1006" s="49"/>
      <c r="AM1006" s="49"/>
      <c r="AN1006" s="49"/>
      <c r="AO1006" s="51" t="str">
        <f t="shared" si="54"/>
        <v/>
      </c>
      <c r="AP1006" s="51" t="str">
        <f t="shared" si="55"/>
        <v/>
      </c>
      <c r="AQ1006" s="49"/>
      <c r="AR1006" s="49"/>
      <c r="AS1006" s="49" t="str">
        <f t="shared" si="56"/>
        <v>振替データ一覧</v>
      </c>
      <c r="AT1006" s="49" t="str">
        <f t="shared" si="57"/>
        <v>PRET20</v>
      </c>
      <c r="AU1006" s="51" t="s">
        <v>3619</v>
      </c>
      <c r="AV1006" s="51" t="s">
        <v>3620</v>
      </c>
    </row>
    <row r="1007" spans="1:48" ht="18" customHeight="1">
      <c r="A1007" s="44">
        <v>1005</v>
      </c>
      <c r="B1007" s="52" t="s">
        <v>2702</v>
      </c>
      <c r="C1007" s="80" t="s">
        <v>3635</v>
      </c>
      <c r="D1007" s="46" t="s">
        <v>72</v>
      </c>
      <c r="E1007" s="44" t="s">
        <v>3620</v>
      </c>
      <c r="F1007" s="44" t="s">
        <v>3644</v>
      </c>
      <c r="G1007" s="44"/>
      <c r="H1007" s="44"/>
      <c r="I1007" s="44"/>
      <c r="J1007" s="47" t="s">
        <v>35</v>
      </c>
      <c r="K1007" s="47"/>
      <c r="L1007" s="47"/>
      <c r="M1007" s="47"/>
      <c r="N1007" s="47"/>
      <c r="O1007" s="44"/>
      <c r="P1007" s="44"/>
      <c r="Q1007" s="48">
        <f>VLOOKUP(E1007,sheet1!$B$2:$D$3209,3,FALSE)</f>
        <v>463</v>
      </c>
      <c r="R1007" s="47" t="s">
        <v>35</v>
      </c>
      <c r="S1007" s="47" t="s">
        <v>296</v>
      </c>
      <c r="T1007" s="47"/>
      <c r="U1007" s="47" t="s">
        <v>35</v>
      </c>
      <c r="V1007" s="47" t="s">
        <v>296</v>
      </c>
      <c r="W1007" s="47" t="s">
        <v>296</v>
      </c>
      <c r="X1007" s="47" t="s">
        <v>296</v>
      </c>
      <c r="Y1007" s="47"/>
      <c r="Z1007" s="47" t="s">
        <v>296</v>
      </c>
      <c r="AA1007" s="47" t="s">
        <v>296</v>
      </c>
      <c r="AB1007" s="47"/>
      <c r="AC1007" s="47" t="s">
        <v>35</v>
      </c>
      <c r="AD1007" s="75"/>
      <c r="AE1007" s="49"/>
      <c r="AF1007" s="51" t="s">
        <v>3645</v>
      </c>
      <c r="AG1007" s="51"/>
      <c r="AH1007" s="49" t="str">
        <f t="shared" si="58"/>
        <v>有給休暇随時取得入力</v>
      </c>
      <c r="AI1007" s="49"/>
      <c r="AJ1007" s="49"/>
      <c r="AK1007" s="49"/>
      <c r="AL1007" s="49"/>
      <c r="AM1007" s="49"/>
      <c r="AN1007" s="49"/>
      <c r="AO1007" s="51" t="str">
        <f t="shared" si="54"/>
        <v/>
      </c>
      <c r="AP1007" s="51" t="str">
        <f t="shared" si="55"/>
        <v/>
      </c>
      <c r="AQ1007" s="49"/>
      <c r="AR1007" s="49"/>
      <c r="AS1007" s="49" t="str">
        <f t="shared" si="56"/>
        <v>自動振替伝票付加情報入力</v>
      </c>
      <c r="AT1007" s="49" t="str">
        <f t="shared" si="57"/>
        <v/>
      </c>
      <c r="AU1007" s="51" t="s">
        <v>3622</v>
      </c>
      <c r="AV1007" s="51"/>
    </row>
    <row r="1008" spans="1:48" ht="18" customHeight="1">
      <c r="A1008" s="44">
        <v>1006</v>
      </c>
      <c r="B1008" s="52" t="s">
        <v>2702</v>
      </c>
      <c r="C1008" s="80" t="s">
        <v>3635</v>
      </c>
      <c r="D1008" s="46" t="s">
        <v>72</v>
      </c>
      <c r="E1008" s="46" t="s">
        <v>72</v>
      </c>
      <c r="F1008" s="44" t="s">
        <v>3646</v>
      </c>
      <c r="G1008" s="44"/>
      <c r="H1008" s="44"/>
      <c r="I1008" s="44"/>
      <c r="J1008" s="47" t="s">
        <v>35</v>
      </c>
      <c r="K1008" s="47"/>
      <c r="L1008" s="47"/>
      <c r="M1008" s="47"/>
      <c r="N1008" s="47"/>
      <c r="O1008" s="44"/>
      <c r="P1008" s="44"/>
      <c r="Q1008" s="48" t="e">
        <f>VLOOKUP(E1008,sheet1!$B$2:$D$3209,3,FALSE)</f>
        <v>#N/A</v>
      </c>
      <c r="R1008" s="47" t="s">
        <v>35</v>
      </c>
      <c r="S1008" s="47" t="s">
        <v>296</v>
      </c>
      <c r="T1008" s="47"/>
      <c r="U1008" s="47" t="s">
        <v>35</v>
      </c>
      <c r="V1008" s="47" t="s">
        <v>296</v>
      </c>
      <c r="W1008" s="47" t="s">
        <v>296</v>
      </c>
      <c r="X1008" s="47" t="s">
        <v>296</v>
      </c>
      <c r="Y1008" s="47"/>
      <c r="Z1008" s="47" t="s">
        <v>296</v>
      </c>
      <c r="AA1008" s="47" t="s">
        <v>296</v>
      </c>
      <c r="AB1008" s="47"/>
      <c r="AC1008" s="47" t="s">
        <v>35</v>
      </c>
      <c r="AD1008" s="75"/>
      <c r="AE1008" s="49"/>
      <c r="AF1008" s="51" t="s">
        <v>3647</v>
      </c>
      <c r="AG1008" s="51"/>
      <c r="AH1008" s="49" t="str">
        <f t="shared" si="58"/>
        <v>代休失効処理（前日まで）</v>
      </c>
      <c r="AI1008" s="49"/>
      <c r="AJ1008" s="49"/>
      <c r="AK1008" s="49"/>
      <c r="AL1008" s="49"/>
      <c r="AM1008" s="49"/>
      <c r="AN1008" s="49"/>
      <c r="AO1008" s="51" t="str">
        <f t="shared" si="54"/>
        <v/>
      </c>
      <c r="AP1008" s="51" t="str">
        <f t="shared" si="55"/>
        <v/>
      </c>
      <c r="AQ1008" s="49"/>
      <c r="AR1008" s="49"/>
      <c r="AS1008" s="49" t="str">
        <f t="shared" si="56"/>
        <v>データ転送</v>
      </c>
      <c r="AT1008" s="49" t="str">
        <f t="shared" si="57"/>
        <v>PRET30</v>
      </c>
      <c r="AU1008" s="51" t="s">
        <v>3624</v>
      </c>
      <c r="AV1008" s="51" t="s">
        <v>3625</v>
      </c>
    </row>
    <row r="1009" spans="1:48" ht="18" customHeight="1">
      <c r="A1009" s="44">
        <v>1007</v>
      </c>
      <c r="B1009" s="52" t="s">
        <v>2702</v>
      </c>
      <c r="C1009" s="80" t="s">
        <v>3635</v>
      </c>
      <c r="D1009" s="46" t="s">
        <v>72</v>
      </c>
      <c r="E1009" s="44" t="s">
        <v>3625</v>
      </c>
      <c r="F1009" s="44" t="s">
        <v>3648</v>
      </c>
      <c r="G1009" s="44"/>
      <c r="H1009" s="44"/>
      <c r="I1009" s="44"/>
      <c r="J1009" s="47" t="s">
        <v>35</v>
      </c>
      <c r="K1009" s="47"/>
      <c r="L1009" s="47"/>
      <c r="M1009" s="47"/>
      <c r="N1009" s="47"/>
      <c r="O1009" s="44"/>
      <c r="P1009" s="44"/>
      <c r="Q1009" s="48">
        <f>VLOOKUP(E1009,sheet1!$B$2:$D$3209,3,FALSE)</f>
        <v>383</v>
      </c>
      <c r="R1009" s="47" t="s">
        <v>35</v>
      </c>
      <c r="S1009" s="47" t="s">
        <v>296</v>
      </c>
      <c r="T1009" s="47"/>
      <c r="U1009" s="47" t="s">
        <v>35</v>
      </c>
      <c r="V1009" s="47" t="s">
        <v>296</v>
      </c>
      <c r="W1009" s="47" t="s">
        <v>296</v>
      </c>
      <c r="X1009" s="47" t="s">
        <v>296</v>
      </c>
      <c r="Y1009" s="47"/>
      <c r="Z1009" s="47" t="s">
        <v>296</v>
      </c>
      <c r="AA1009" s="47" t="s">
        <v>296</v>
      </c>
      <c r="AB1009" s="47"/>
      <c r="AC1009" s="47" t="s">
        <v>35</v>
      </c>
      <c r="AD1009" s="75"/>
      <c r="AE1009" s="49"/>
      <c r="AF1009" s="51" t="s">
        <v>3649</v>
      </c>
      <c r="AG1009" s="51"/>
      <c r="AH1009" s="49" t="str">
        <f t="shared" si="58"/>
        <v>有給休暇使用入力</v>
      </c>
      <c r="AI1009" s="49"/>
      <c r="AJ1009" s="49"/>
      <c r="AK1009" s="49"/>
      <c r="AL1009" s="49"/>
      <c r="AM1009" s="49"/>
      <c r="AN1009" s="49"/>
      <c r="AO1009" s="51" t="str">
        <f t="shared" si="54"/>
        <v/>
      </c>
      <c r="AP1009" s="51" t="str">
        <f t="shared" si="55"/>
        <v/>
      </c>
      <c r="AQ1009" s="49"/>
      <c r="AR1009" s="49"/>
      <c r="AS1009" s="49" t="str">
        <f t="shared" si="56"/>
        <v>自動仕訳データ振替伝票発行</v>
      </c>
      <c r="AT1009" s="49" t="str">
        <f t="shared" si="57"/>
        <v>PRET31</v>
      </c>
      <c r="AU1009" s="51" t="s">
        <v>3626</v>
      </c>
      <c r="AV1009" s="51" t="s">
        <v>3627</v>
      </c>
    </row>
    <row r="1010" spans="1:48" ht="18" customHeight="1">
      <c r="A1010" s="44">
        <v>1008</v>
      </c>
      <c r="B1010" s="52" t="s">
        <v>2702</v>
      </c>
      <c r="C1010" s="80" t="s">
        <v>3635</v>
      </c>
      <c r="D1010" s="46" t="s">
        <v>72</v>
      </c>
      <c r="E1010" s="44" t="s">
        <v>3627</v>
      </c>
      <c r="F1010" s="44" t="s">
        <v>3650</v>
      </c>
      <c r="G1010" s="44"/>
      <c r="H1010" s="44"/>
      <c r="I1010" s="44"/>
      <c r="J1010" s="47" t="s">
        <v>35</v>
      </c>
      <c r="K1010" s="47"/>
      <c r="L1010" s="47"/>
      <c r="M1010" s="47"/>
      <c r="N1010" s="47"/>
      <c r="O1010" s="44"/>
      <c r="P1010" s="44"/>
      <c r="Q1010" s="48">
        <f>VLOOKUP(E1010,sheet1!$B$2:$D$3209,3,FALSE)</f>
        <v>586</v>
      </c>
      <c r="R1010" s="47" t="s">
        <v>35</v>
      </c>
      <c r="S1010" s="47" t="s">
        <v>296</v>
      </c>
      <c r="T1010" s="47"/>
      <c r="U1010" s="47" t="s">
        <v>35</v>
      </c>
      <c r="V1010" s="47" t="s">
        <v>296</v>
      </c>
      <c r="W1010" s="47" t="s">
        <v>296</v>
      </c>
      <c r="X1010" s="47" t="s">
        <v>296</v>
      </c>
      <c r="Y1010" s="47"/>
      <c r="Z1010" s="47" t="s">
        <v>296</v>
      </c>
      <c r="AA1010" s="47" t="s">
        <v>296</v>
      </c>
      <c r="AB1010" s="47"/>
      <c r="AC1010" s="47" t="s">
        <v>35</v>
      </c>
      <c r="AD1010" s="75"/>
      <c r="AE1010" s="49"/>
      <c r="AF1010" s="51" t="s">
        <v>3651</v>
      </c>
      <c r="AG1010" s="51"/>
      <c r="AH1010" s="49" t="str">
        <f t="shared" si="58"/>
        <v>代休使用入力</v>
      </c>
      <c r="AI1010" s="49"/>
      <c r="AJ1010" s="49"/>
      <c r="AK1010" s="49"/>
      <c r="AL1010" s="49"/>
      <c r="AM1010" s="49"/>
      <c r="AN1010" s="49"/>
      <c r="AO1010" s="51" t="str">
        <f t="shared" si="54"/>
        <v/>
      </c>
      <c r="AP1010" s="51" t="str">
        <f t="shared" si="55"/>
        <v/>
      </c>
      <c r="AQ1010" s="49"/>
      <c r="AR1010" s="49"/>
      <c r="AS1010" s="49" t="str">
        <f t="shared" si="56"/>
        <v>新幹線ﾁｹｯﾄ残高一覧表</v>
      </c>
      <c r="AT1010" s="49" t="str">
        <f t="shared" si="57"/>
        <v>PRET50</v>
      </c>
      <c r="AU1010" s="51" t="s">
        <v>3629</v>
      </c>
      <c r="AV1010" s="51" t="s">
        <v>3630</v>
      </c>
    </row>
    <row r="1011" spans="1:48" ht="18" customHeight="1">
      <c r="A1011" s="44">
        <v>1009</v>
      </c>
      <c r="B1011" s="52" t="s">
        <v>2702</v>
      </c>
      <c r="C1011" s="80" t="s">
        <v>3635</v>
      </c>
      <c r="D1011" s="46" t="s">
        <v>72</v>
      </c>
      <c r="E1011" s="44" t="s">
        <v>3630</v>
      </c>
      <c r="F1011" s="44" t="s">
        <v>3652</v>
      </c>
      <c r="G1011" s="44"/>
      <c r="H1011" s="44"/>
      <c r="I1011" s="44"/>
      <c r="J1011" s="47" t="s">
        <v>35</v>
      </c>
      <c r="K1011" s="47"/>
      <c r="L1011" s="47"/>
      <c r="M1011" s="47"/>
      <c r="N1011" s="47"/>
      <c r="O1011" s="44"/>
      <c r="P1011" s="44"/>
      <c r="Q1011" s="48">
        <f>VLOOKUP(E1011,sheet1!$B$2:$D$3209,3,FALSE)</f>
        <v>423</v>
      </c>
      <c r="R1011" s="47" t="s">
        <v>35</v>
      </c>
      <c r="S1011" s="47" t="s">
        <v>296</v>
      </c>
      <c r="T1011" s="47"/>
      <c r="U1011" s="47" t="s">
        <v>35</v>
      </c>
      <c r="V1011" s="47" t="s">
        <v>296</v>
      </c>
      <c r="W1011" s="47" t="s">
        <v>296</v>
      </c>
      <c r="X1011" s="47" t="s">
        <v>296</v>
      </c>
      <c r="Y1011" s="47"/>
      <c r="Z1011" s="47" t="s">
        <v>296</v>
      </c>
      <c r="AA1011" s="47" t="s">
        <v>296</v>
      </c>
      <c r="AB1011" s="47"/>
      <c r="AC1011" s="47" t="s">
        <v>35</v>
      </c>
      <c r="AD1011" s="75"/>
      <c r="AE1011" s="49"/>
      <c r="AF1011" s="51" t="s">
        <v>3653</v>
      </c>
      <c r="AG1011" s="51"/>
      <c r="AH1011" s="49" t="str">
        <f t="shared" si="58"/>
        <v>代休取得入力</v>
      </c>
      <c r="AI1011" s="49"/>
      <c r="AJ1011" s="49"/>
      <c r="AK1011" s="49"/>
      <c r="AL1011" s="49"/>
      <c r="AM1011" s="49"/>
      <c r="AN1011" s="49"/>
      <c r="AO1011" s="51" t="str">
        <f t="shared" si="54"/>
        <v/>
      </c>
      <c r="AP1011" s="51" t="str">
        <f t="shared" si="55"/>
        <v/>
      </c>
      <c r="AQ1011" s="49"/>
      <c r="AR1011" s="49"/>
      <c r="AS1011" s="49" t="str">
        <f t="shared" si="56"/>
        <v>有給休暇使用入力</v>
      </c>
      <c r="AT1011" s="49" t="str">
        <f t="shared" si="57"/>
        <v/>
      </c>
      <c r="AU1011" s="51" t="s">
        <v>3632</v>
      </c>
      <c r="AV1011" s="51"/>
    </row>
    <row r="1012" spans="1:48" ht="18" customHeight="1">
      <c r="A1012" s="44">
        <v>1010</v>
      </c>
      <c r="B1012" s="52" t="s">
        <v>2702</v>
      </c>
      <c r="C1012" s="81" t="s">
        <v>3654</v>
      </c>
      <c r="D1012" s="53" t="s">
        <v>3655</v>
      </c>
      <c r="E1012" s="46" t="s">
        <v>72</v>
      </c>
      <c r="F1012" s="44" t="s">
        <v>3656</v>
      </c>
      <c r="G1012" s="44"/>
      <c r="H1012" s="44"/>
      <c r="I1012" s="44"/>
      <c r="J1012" s="47" t="s">
        <v>35</v>
      </c>
      <c r="K1012" s="47"/>
      <c r="L1012" s="47"/>
      <c r="M1012" s="47"/>
      <c r="N1012" s="47"/>
      <c r="O1012" s="44"/>
      <c r="P1012" s="44"/>
      <c r="Q1012" s="48" t="e">
        <f>VLOOKUP(E1012,sheet1!$B$2:$D$3209,3,FALSE)</f>
        <v>#N/A</v>
      </c>
      <c r="R1012" s="47" t="s">
        <v>35</v>
      </c>
      <c r="S1012" s="47" t="s">
        <v>296</v>
      </c>
      <c r="T1012" s="47"/>
      <c r="U1012" s="47" t="s">
        <v>35</v>
      </c>
      <c r="V1012" s="47" t="s">
        <v>296</v>
      </c>
      <c r="W1012" s="47" t="s">
        <v>296</v>
      </c>
      <c r="X1012" s="47" t="s">
        <v>296</v>
      </c>
      <c r="Y1012" s="47"/>
      <c r="Z1012" s="47" t="s">
        <v>296</v>
      </c>
      <c r="AA1012" s="47" t="s">
        <v>296</v>
      </c>
      <c r="AB1012" s="47"/>
      <c r="AC1012" s="47" t="s">
        <v>35</v>
      </c>
      <c r="AD1012" s="75"/>
      <c r="AE1012" s="49"/>
      <c r="AF1012" s="51" t="s">
        <v>3657</v>
      </c>
      <c r="AG1012" s="51"/>
      <c r="AH1012" s="49" t="str">
        <f t="shared" si="58"/>
        <v>遅刻処理入力</v>
      </c>
      <c r="AI1012" s="49"/>
      <c r="AJ1012" s="49"/>
      <c r="AK1012" s="49"/>
      <c r="AL1012" s="49"/>
      <c r="AM1012" s="49"/>
      <c r="AN1012" s="49"/>
      <c r="AO1012" s="51" t="str">
        <f t="shared" si="54"/>
        <v/>
      </c>
      <c r="AP1012" s="51" t="str">
        <f t="shared" si="55"/>
        <v/>
      </c>
      <c r="AQ1012" s="49"/>
      <c r="AR1012" s="49"/>
      <c r="AS1012" s="49" t="str">
        <f t="shared" si="56"/>
        <v>代休使用入力</v>
      </c>
      <c r="AT1012" s="49" t="str">
        <f t="shared" si="57"/>
        <v/>
      </c>
      <c r="AU1012" s="51" t="s">
        <v>3634</v>
      </c>
      <c r="AV1012" s="51"/>
    </row>
    <row r="1013" spans="1:48" ht="18" customHeight="1">
      <c r="A1013" s="44">
        <v>1011</v>
      </c>
      <c r="B1013" s="52" t="s">
        <v>2702</v>
      </c>
      <c r="C1013" s="71" t="s">
        <v>3654</v>
      </c>
      <c r="D1013" s="54" t="s">
        <v>3655</v>
      </c>
      <c r="E1013" s="46" t="s">
        <v>72</v>
      </c>
      <c r="F1013" s="44" t="s">
        <v>3658</v>
      </c>
      <c r="G1013" s="44"/>
      <c r="H1013" s="44"/>
      <c r="I1013" s="44"/>
      <c r="J1013" s="47" t="s">
        <v>35</v>
      </c>
      <c r="K1013" s="47"/>
      <c r="L1013" s="47"/>
      <c r="M1013" s="47"/>
      <c r="N1013" s="47"/>
      <c r="O1013" s="44"/>
      <c r="P1013" s="44"/>
      <c r="Q1013" s="48" t="e">
        <f>VLOOKUP(E1013,sheet1!$B$2:$D$3209,3,FALSE)</f>
        <v>#N/A</v>
      </c>
      <c r="R1013" s="47" t="s">
        <v>35</v>
      </c>
      <c r="S1013" s="47" t="s">
        <v>296</v>
      </c>
      <c r="T1013" s="47"/>
      <c r="U1013" s="47" t="s">
        <v>35</v>
      </c>
      <c r="V1013" s="47" t="s">
        <v>296</v>
      </c>
      <c r="W1013" s="47" t="s">
        <v>296</v>
      </c>
      <c r="X1013" s="47" t="s">
        <v>296</v>
      </c>
      <c r="Y1013" s="47"/>
      <c r="Z1013" s="47" t="s">
        <v>296</v>
      </c>
      <c r="AA1013" s="47" t="s">
        <v>296</v>
      </c>
      <c r="AB1013" s="47"/>
      <c r="AC1013" s="47" t="s">
        <v>35</v>
      </c>
      <c r="AD1013" s="75"/>
      <c r="AE1013" s="49"/>
      <c r="AF1013" s="51" t="s">
        <v>3659</v>
      </c>
      <c r="AG1013" s="51"/>
      <c r="AH1013" s="49" t="str">
        <f t="shared" si="58"/>
        <v>早退処理入力</v>
      </c>
      <c r="AI1013" s="49"/>
      <c r="AJ1013" s="49"/>
      <c r="AK1013" s="49"/>
      <c r="AL1013" s="49"/>
      <c r="AM1013" s="49"/>
      <c r="AN1013" s="49"/>
      <c r="AO1013" s="51" t="str">
        <f t="shared" si="54"/>
        <v/>
      </c>
      <c r="AP1013" s="51" t="str">
        <f t="shared" si="55"/>
        <v/>
      </c>
      <c r="AQ1013" s="49"/>
      <c r="AR1013" s="49"/>
      <c r="AS1013" s="49" t="str">
        <f t="shared" si="56"/>
        <v>代休取得入力</v>
      </c>
      <c r="AT1013" s="49" t="str">
        <f t="shared" si="57"/>
        <v/>
      </c>
      <c r="AU1013" s="51" t="s">
        <v>3637</v>
      </c>
      <c r="AV1013" s="51"/>
    </row>
    <row r="1014" spans="1:48" ht="18" customHeight="1">
      <c r="A1014" s="44">
        <v>1012</v>
      </c>
      <c r="B1014" s="52" t="s">
        <v>2702</v>
      </c>
      <c r="C1014" s="71" t="s">
        <v>3654</v>
      </c>
      <c r="D1014" s="54" t="s">
        <v>3655</v>
      </c>
      <c r="E1014" s="46" t="s">
        <v>72</v>
      </c>
      <c r="F1014" s="44" t="s">
        <v>3660</v>
      </c>
      <c r="G1014" s="44"/>
      <c r="H1014" s="44"/>
      <c r="I1014" s="44"/>
      <c r="J1014" s="47" t="s">
        <v>35</v>
      </c>
      <c r="K1014" s="47"/>
      <c r="L1014" s="47"/>
      <c r="M1014" s="47"/>
      <c r="N1014" s="47"/>
      <c r="O1014" s="44"/>
      <c r="P1014" s="44"/>
      <c r="Q1014" s="48" t="e">
        <f>VLOOKUP(E1014,sheet1!$B$2:$D$3209,3,FALSE)</f>
        <v>#N/A</v>
      </c>
      <c r="R1014" s="47" t="s">
        <v>35</v>
      </c>
      <c r="S1014" s="47" t="s">
        <v>296</v>
      </c>
      <c r="T1014" s="47"/>
      <c r="U1014" s="47" t="s">
        <v>35</v>
      </c>
      <c r="V1014" s="47" t="s">
        <v>296</v>
      </c>
      <c r="W1014" s="47" t="s">
        <v>296</v>
      </c>
      <c r="X1014" s="47" t="s">
        <v>296</v>
      </c>
      <c r="Y1014" s="47"/>
      <c r="Z1014" s="47" t="s">
        <v>296</v>
      </c>
      <c r="AA1014" s="47" t="s">
        <v>296</v>
      </c>
      <c r="AB1014" s="47"/>
      <c r="AC1014" s="47" t="s">
        <v>35</v>
      </c>
      <c r="AD1014" s="75"/>
      <c r="AE1014" s="49"/>
      <c r="AF1014" s="51" t="s">
        <v>3661</v>
      </c>
      <c r="AG1014" s="51"/>
      <c r="AH1014" s="49" t="str">
        <f t="shared" si="58"/>
        <v>欠勤処理入力</v>
      </c>
      <c r="AI1014" s="49"/>
      <c r="AJ1014" s="49"/>
      <c r="AK1014" s="49"/>
      <c r="AL1014" s="49"/>
      <c r="AM1014" s="49"/>
      <c r="AN1014" s="49"/>
      <c r="AO1014" s="51" t="str">
        <f t="shared" si="54"/>
        <v/>
      </c>
      <c r="AP1014" s="51" t="str">
        <f t="shared" si="55"/>
        <v/>
      </c>
      <c r="AQ1014" s="49"/>
      <c r="AR1014" s="49"/>
      <c r="AS1014" s="49" t="str">
        <f t="shared" si="56"/>
        <v>遅刻処理入力</v>
      </c>
      <c r="AT1014" s="49" t="str">
        <f t="shared" si="57"/>
        <v/>
      </c>
      <c r="AU1014" s="51" t="s">
        <v>3639</v>
      </c>
      <c r="AV1014" s="51"/>
    </row>
    <row r="1015" spans="1:48" ht="18" customHeight="1">
      <c r="A1015" s="44">
        <v>1013</v>
      </c>
      <c r="B1015" s="52" t="s">
        <v>2702</v>
      </c>
      <c r="C1015" s="71" t="s">
        <v>3654</v>
      </c>
      <c r="D1015" s="54" t="s">
        <v>3655</v>
      </c>
      <c r="E1015" s="46" t="s">
        <v>72</v>
      </c>
      <c r="F1015" s="44" t="s">
        <v>3662</v>
      </c>
      <c r="G1015" s="44"/>
      <c r="H1015" s="44"/>
      <c r="I1015" s="44"/>
      <c r="J1015" s="47" t="s">
        <v>35</v>
      </c>
      <c r="K1015" s="47"/>
      <c r="L1015" s="47"/>
      <c r="M1015" s="47"/>
      <c r="N1015" s="47"/>
      <c r="O1015" s="44"/>
      <c r="P1015" s="44"/>
      <c r="Q1015" s="48" t="e">
        <f>VLOOKUP(E1015,sheet1!$B$2:$D$3209,3,FALSE)</f>
        <v>#N/A</v>
      </c>
      <c r="R1015" s="47" t="s">
        <v>35</v>
      </c>
      <c r="S1015" s="47" t="s">
        <v>296</v>
      </c>
      <c r="T1015" s="47"/>
      <c r="U1015" s="47" t="s">
        <v>35</v>
      </c>
      <c r="V1015" s="47" t="s">
        <v>296</v>
      </c>
      <c r="W1015" s="47" t="s">
        <v>296</v>
      </c>
      <c r="X1015" s="47" t="s">
        <v>296</v>
      </c>
      <c r="Y1015" s="47"/>
      <c r="Z1015" s="47" t="s">
        <v>296</v>
      </c>
      <c r="AA1015" s="47" t="s">
        <v>296</v>
      </c>
      <c r="AB1015" s="47"/>
      <c r="AC1015" s="47" t="s">
        <v>35</v>
      </c>
      <c r="AD1015" s="75"/>
      <c r="AE1015" s="49"/>
      <c r="AF1015" s="51" t="s">
        <v>3663</v>
      </c>
      <c r="AH1015" s="49" t="str">
        <f t="shared" si="58"/>
        <v>代休失効処理（前日まで）</v>
      </c>
      <c r="AI1015" s="49"/>
      <c r="AJ1015" s="49"/>
      <c r="AK1015" s="49"/>
      <c r="AL1015" s="49"/>
      <c r="AM1015" s="49"/>
      <c r="AN1015" s="49"/>
      <c r="AO1015" s="51" t="str">
        <f t="shared" si="54"/>
        <v/>
      </c>
      <c r="AP1015" s="51" t="str">
        <f t="shared" si="55"/>
        <v/>
      </c>
      <c r="AQ1015" s="49"/>
      <c r="AR1015" s="49"/>
      <c r="AS1015" s="49" t="str">
        <f t="shared" si="56"/>
        <v>早退処理入力</v>
      </c>
      <c r="AT1015" s="49" t="str">
        <f t="shared" si="57"/>
        <v/>
      </c>
      <c r="AU1015" s="51" t="s">
        <v>3641</v>
      </c>
      <c r="AV1015" s="51"/>
    </row>
    <row r="1016" spans="1:48" ht="18" customHeight="1">
      <c r="A1016" s="44">
        <v>1014</v>
      </c>
      <c r="B1016" s="52" t="s">
        <v>2702</v>
      </c>
      <c r="C1016" s="71" t="s">
        <v>3654</v>
      </c>
      <c r="D1016" s="54" t="s">
        <v>3655</v>
      </c>
      <c r="E1016" s="46" t="s">
        <v>72</v>
      </c>
      <c r="F1016" s="44" t="s">
        <v>3664</v>
      </c>
      <c r="G1016" s="44"/>
      <c r="H1016" s="44"/>
      <c r="I1016" s="44"/>
      <c r="J1016" s="47" t="s">
        <v>35</v>
      </c>
      <c r="K1016" s="47"/>
      <c r="L1016" s="47"/>
      <c r="M1016" s="47"/>
      <c r="N1016" s="47"/>
      <c r="O1016" s="44"/>
      <c r="P1016" s="44"/>
      <c r="Q1016" s="48" t="e">
        <f>VLOOKUP(E1016,sheet1!$B$2:$D$3209,3,FALSE)</f>
        <v>#N/A</v>
      </c>
      <c r="R1016" s="47" t="s">
        <v>35</v>
      </c>
      <c r="S1016" s="47" t="s">
        <v>296</v>
      </c>
      <c r="T1016" s="47"/>
      <c r="U1016" s="47" t="s">
        <v>35</v>
      </c>
      <c r="V1016" s="47" t="s">
        <v>296</v>
      </c>
      <c r="W1016" s="47" t="s">
        <v>296</v>
      </c>
      <c r="X1016" s="47" t="s">
        <v>296</v>
      </c>
      <c r="Y1016" s="47"/>
      <c r="Z1016" s="47" t="s">
        <v>296</v>
      </c>
      <c r="AA1016" s="47" t="s">
        <v>296</v>
      </c>
      <c r="AB1016" s="47"/>
      <c r="AC1016" s="47" t="s">
        <v>35</v>
      </c>
      <c r="AD1016" s="75"/>
      <c r="AE1016" s="49"/>
      <c r="AF1016" s="51" t="s">
        <v>3665</v>
      </c>
      <c r="AG1016" s="51" t="s">
        <v>344</v>
      </c>
      <c r="AH1016" s="49" t="str">
        <f t="shared" si="58"/>
        <v>月次勤怠データ入力</v>
      </c>
      <c r="AI1016" s="49"/>
      <c r="AJ1016" s="49"/>
      <c r="AK1016" s="49"/>
      <c r="AL1016" s="49"/>
      <c r="AM1016" s="49"/>
      <c r="AN1016" s="49"/>
      <c r="AO1016" s="51" t="str">
        <f t="shared" si="54"/>
        <v/>
      </c>
      <c r="AP1016" s="51" t="str">
        <f t="shared" si="55"/>
        <v/>
      </c>
      <c r="AQ1016" s="49"/>
      <c r="AR1016" s="49"/>
      <c r="AS1016" s="49" t="str">
        <f t="shared" si="56"/>
        <v>欠勤処理入力</v>
      </c>
      <c r="AT1016" s="49" t="str">
        <f t="shared" si="57"/>
        <v/>
      </c>
      <c r="AU1016" s="51" t="s">
        <v>3643</v>
      </c>
      <c r="AV1016" s="51"/>
    </row>
    <row r="1017" spans="1:48" ht="18" customHeight="1">
      <c r="A1017" s="44">
        <v>1015</v>
      </c>
      <c r="B1017" s="52" t="s">
        <v>2702</v>
      </c>
      <c r="C1017" s="71" t="s">
        <v>3654</v>
      </c>
      <c r="D1017" s="54" t="s">
        <v>3655</v>
      </c>
      <c r="E1017" s="46" t="s">
        <v>72</v>
      </c>
      <c r="F1017" s="44" t="s">
        <v>3666</v>
      </c>
      <c r="G1017" s="44"/>
      <c r="H1017" s="44"/>
      <c r="I1017" s="44"/>
      <c r="J1017" s="47" t="s">
        <v>35</v>
      </c>
      <c r="K1017" s="47"/>
      <c r="L1017" s="47"/>
      <c r="M1017" s="47"/>
      <c r="N1017" s="47"/>
      <c r="O1017" s="44"/>
      <c r="P1017" s="44"/>
      <c r="Q1017" s="48" t="e">
        <f>VLOOKUP(E1017,sheet1!$B$2:$D$3209,3,FALSE)</f>
        <v>#N/A</v>
      </c>
      <c r="R1017" s="47" t="s">
        <v>35</v>
      </c>
      <c r="S1017" s="47" t="s">
        <v>296</v>
      </c>
      <c r="T1017" s="47"/>
      <c r="U1017" s="47" t="s">
        <v>35</v>
      </c>
      <c r="V1017" s="47" t="s">
        <v>296</v>
      </c>
      <c r="W1017" s="47" t="s">
        <v>296</v>
      </c>
      <c r="X1017" s="47" t="s">
        <v>296</v>
      </c>
      <c r="Y1017" s="47"/>
      <c r="Z1017" s="47" t="s">
        <v>296</v>
      </c>
      <c r="AA1017" s="47" t="s">
        <v>296</v>
      </c>
      <c r="AB1017" s="47"/>
      <c r="AC1017" s="47" t="s">
        <v>35</v>
      </c>
      <c r="AD1017" s="75"/>
      <c r="AE1017" s="49"/>
      <c r="AF1017" s="51" t="s">
        <v>3667</v>
      </c>
      <c r="AG1017" s="51" t="s">
        <v>3668</v>
      </c>
      <c r="AH1017" s="49" t="str">
        <f t="shared" si="58"/>
        <v>入力一覧表　：所属・社員順</v>
      </c>
      <c r="AI1017" s="49"/>
      <c r="AJ1017" s="49"/>
      <c r="AK1017" s="49"/>
      <c r="AL1017" s="49"/>
      <c r="AM1017" s="49"/>
      <c r="AN1017" s="49"/>
      <c r="AO1017" s="51" t="str">
        <f t="shared" si="54"/>
        <v/>
      </c>
      <c r="AP1017" s="51" t="str">
        <f t="shared" si="55"/>
        <v/>
      </c>
      <c r="AQ1017" s="49"/>
      <c r="AR1017" s="49"/>
      <c r="AS1017" s="49" t="str">
        <f t="shared" si="56"/>
        <v>有給休暇随時取得入力</v>
      </c>
      <c r="AT1017" s="49" t="str">
        <f t="shared" si="57"/>
        <v/>
      </c>
      <c r="AU1017" s="51" t="s">
        <v>3645</v>
      </c>
      <c r="AV1017" s="51"/>
    </row>
    <row r="1018" spans="1:48" ht="18" customHeight="1">
      <c r="A1018" s="44">
        <v>1016</v>
      </c>
      <c r="B1018" s="52" t="s">
        <v>2702</v>
      </c>
      <c r="C1018" s="71" t="s">
        <v>3654</v>
      </c>
      <c r="D1018" s="54" t="s">
        <v>3655</v>
      </c>
      <c r="E1018" s="46" t="s">
        <v>72</v>
      </c>
      <c r="F1018" s="44" t="s">
        <v>3669</v>
      </c>
      <c r="G1018" s="44"/>
      <c r="H1018" s="44"/>
      <c r="I1018" s="44"/>
      <c r="J1018" s="47" t="s">
        <v>35</v>
      </c>
      <c r="K1018" s="47"/>
      <c r="L1018" s="47"/>
      <c r="M1018" s="47"/>
      <c r="N1018" s="47"/>
      <c r="O1018" s="44"/>
      <c r="P1018" s="44"/>
      <c r="Q1018" s="48" t="e">
        <f>VLOOKUP(E1018,sheet1!$B$2:$D$3209,3,FALSE)</f>
        <v>#N/A</v>
      </c>
      <c r="R1018" s="47" t="s">
        <v>35</v>
      </c>
      <c r="S1018" s="47" t="s">
        <v>296</v>
      </c>
      <c r="T1018" s="47"/>
      <c r="U1018" s="47" t="s">
        <v>35</v>
      </c>
      <c r="V1018" s="47" t="s">
        <v>296</v>
      </c>
      <c r="W1018" s="47" t="s">
        <v>296</v>
      </c>
      <c r="X1018" s="47" t="s">
        <v>296</v>
      </c>
      <c r="Y1018" s="47"/>
      <c r="Z1018" s="47" t="s">
        <v>296</v>
      </c>
      <c r="AA1018" s="47" t="s">
        <v>296</v>
      </c>
      <c r="AB1018" s="47"/>
      <c r="AC1018" s="47" t="s">
        <v>35</v>
      </c>
      <c r="AD1018" s="75"/>
      <c r="AE1018" s="49"/>
      <c r="AF1018" s="51" t="s">
        <v>3670</v>
      </c>
      <c r="AG1018" s="51"/>
      <c r="AH1018" s="49" t="str">
        <f t="shared" si="58"/>
        <v>勤怠データ給与計算反映</v>
      </c>
      <c r="AI1018" s="49"/>
      <c r="AJ1018" s="49"/>
      <c r="AK1018" s="49"/>
      <c r="AL1018" s="49"/>
      <c r="AM1018" s="49"/>
      <c r="AN1018" s="49"/>
      <c r="AO1018" s="51" t="str">
        <f t="shared" si="54"/>
        <v/>
      </c>
      <c r="AP1018" s="51" t="str">
        <f t="shared" si="55"/>
        <v/>
      </c>
      <c r="AQ1018" s="49"/>
      <c r="AR1018" s="49"/>
      <c r="AS1018" s="49" t="str">
        <f t="shared" si="56"/>
        <v>代休失効処理（前日まで）</v>
      </c>
      <c r="AT1018" s="49" t="str">
        <f t="shared" si="57"/>
        <v/>
      </c>
      <c r="AU1018" s="51" t="s">
        <v>3647</v>
      </c>
      <c r="AV1018" s="51"/>
    </row>
    <row r="1019" spans="1:48" ht="18" customHeight="1">
      <c r="A1019" s="44">
        <v>1017</v>
      </c>
      <c r="B1019" s="52" t="s">
        <v>2702</v>
      </c>
      <c r="C1019" s="71" t="s">
        <v>3654</v>
      </c>
      <c r="D1019" s="54" t="s">
        <v>3655</v>
      </c>
      <c r="E1019" s="46" t="s">
        <v>72</v>
      </c>
      <c r="F1019" s="44" t="s">
        <v>3671</v>
      </c>
      <c r="G1019" s="44"/>
      <c r="H1019" s="44"/>
      <c r="I1019" s="44"/>
      <c r="J1019" s="47" t="s">
        <v>35</v>
      </c>
      <c r="K1019" s="47"/>
      <c r="L1019" s="47"/>
      <c r="M1019" s="47"/>
      <c r="N1019" s="47"/>
      <c r="O1019" s="44"/>
      <c r="P1019" s="44"/>
      <c r="Q1019" s="48" t="e">
        <f>VLOOKUP(E1019,sheet1!$B$2:$D$3209,3,FALSE)</f>
        <v>#N/A</v>
      </c>
      <c r="R1019" s="47" t="s">
        <v>35</v>
      </c>
      <c r="S1019" s="47" t="s">
        <v>296</v>
      </c>
      <c r="T1019" s="47"/>
      <c r="U1019" s="47" t="s">
        <v>35</v>
      </c>
      <c r="V1019" s="47" t="s">
        <v>296</v>
      </c>
      <c r="W1019" s="47" t="s">
        <v>296</v>
      </c>
      <c r="X1019" s="47" t="s">
        <v>296</v>
      </c>
      <c r="Y1019" s="47"/>
      <c r="Z1019" s="47" t="s">
        <v>296</v>
      </c>
      <c r="AA1019" s="47" t="s">
        <v>296</v>
      </c>
      <c r="AB1019" s="47"/>
      <c r="AC1019" s="47" t="s">
        <v>35</v>
      </c>
      <c r="AD1019" s="75"/>
      <c r="AE1019" s="49"/>
      <c r="AF1019" s="51" t="s">
        <v>3672</v>
      </c>
      <c r="AG1019" s="51"/>
      <c r="AH1019" s="49" t="str">
        <f t="shared" si="58"/>
        <v>勤怠データ環境変更</v>
      </c>
      <c r="AI1019" s="49"/>
      <c r="AJ1019" s="49"/>
      <c r="AK1019" s="49"/>
      <c r="AL1019" s="49"/>
      <c r="AM1019" s="49"/>
      <c r="AN1019" s="49"/>
      <c r="AO1019" s="51" t="str">
        <f t="shared" si="54"/>
        <v/>
      </c>
      <c r="AP1019" s="51" t="str">
        <f t="shared" si="55"/>
        <v/>
      </c>
      <c r="AQ1019" s="49"/>
      <c r="AR1019" s="49"/>
      <c r="AS1019" s="49" t="str">
        <f t="shared" si="56"/>
        <v>有給休暇使用入力</v>
      </c>
      <c r="AT1019" s="49" t="str">
        <f t="shared" si="57"/>
        <v/>
      </c>
      <c r="AU1019" s="51" t="s">
        <v>3649</v>
      </c>
      <c r="AV1019" s="51"/>
    </row>
    <row r="1020" spans="1:48" ht="18" customHeight="1">
      <c r="A1020" s="44">
        <v>1018</v>
      </c>
      <c r="B1020" s="52" t="s">
        <v>2702</v>
      </c>
      <c r="C1020" s="71" t="s">
        <v>3654</v>
      </c>
      <c r="D1020" s="54" t="s">
        <v>3655</v>
      </c>
      <c r="E1020" s="46" t="s">
        <v>72</v>
      </c>
      <c r="F1020" s="44" t="s">
        <v>3656</v>
      </c>
      <c r="G1020" s="44"/>
      <c r="H1020" s="44"/>
      <c r="I1020" s="44"/>
      <c r="J1020" s="47" t="s">
        <v>35</v>
      </c>
      <c r="K1020" s="47"/>
      <c r="L1020" s="47"/>
      <c r="M1020" s="47"/>
      <c r="N1020" s="47"/>
      <c r="O1020" s="44"/>
      <c r="P1020" s="44"/>
      <c r="Q1020" s="48" t="e">
        <f>VLOOKUP(E1020,sheet1!$B$2:$D$3209,3,FALSE)</f>
        <v>#N/A</v>
      </c>
      <c r="R1020" s="47" t="s">
        <v>35</v>
      </c>
      <c r="S1020" s="47" t="s">
        <v>296</v>
      </c>
      <c r="T1020" s="47"/>
      <c r="U1020" s="47" t="s">
        <v>35</v>
      </c>
      <c r="V1020" s="47" t="s">
        <v>296</v>
      </c>
      <c r="W1020" s="47" t="s">
        <v>296</v>
      </c>
      <c r="X1020" s="47" t="s">
        <v>296</v>
      </c>
      <c r="Y1020" s="47"/>
      <c r="Z1020" s="47" t="s">
        <v>296</v>
      </c>
      <c r="AA1020" s="47" t="s">
        <v>296</v>
      </c>
      <c r="AB1020" s="47"/>
      <c r="AC1020" s="47" t="s">
        <v>35</v>
      </c>
      <c r="AD1020" s="75"/>
      <c r="AE1020" s="49"/>
      <c r="AF1020" s="51" t="s">
        <v>3673</v>
      </c>
      <c r="AG1020" s="51"/>
      <c r="AH1020" s="49" t="str">
        <f t="shared" si="58"/>
        <v>勤務先マスターメンテ</v>
      </c>
      <c r="AI1020" s="49"/>
      <c r="AJ1020" s="49"/>
      <c r="AK1020" s="49"/>
      <c r="AL1020" s="49"/>
      <c r="AM1020" s="49"/>
      <c r="AN1020" s="49"/>
      <c r="AO1020" s="51" t="str">
        <f t="shared" si="54"/>
        <v/>
      </c>
      <c r="AP1020" s="51" t="str">
        <f t="shared" si="55"/>
        <v/>
      </c>
      <c r="AQ1020" s="49"/>
      <c r="AR1020" s="49"/>
      <c r="AS1020" s="49" t="str">
        <f t="shared" si="56"/>
        <v>代休使用入力</v>
      </c>
      <c r="AT1020" s="49" t="str">
        <f t="shared" si="57"/>
        <v/>
      </c>
      <c r="AU1020" s="51" t="s">
        <v>3651</v>
      </c>
      <c r="AV1020" s="51"/>
    </row>
    <row r="1021" spans="1:48" ht="18" customHeight="1">
      <c r="A1021" s="44">
        <v>1019</v>
      </c>
      <c r="B1021" s="52" t="s">
        <v>2702</v>
      </c>
      <c r="C1021" s="71" t="s">
        <v>3654</v>
      </c>
      <c r="D1021" s="54" t="s">
        <v>3655</v>
      </c>
      <c r="E1021" s="46" t="s">
        <v>72</v>
      </c>
      <c r="F1021" s="44" t="s">
        <v>3658</v>
      </c>
      <c r="G1021" s="44"/>
      <c r="H1021" s="44"/>
      <c r="I1021" s="44"/>
      <c r="J1021" s="47" t="s">
        <v>35</v>
      </c>
      <c r="K1021" s="47"/>
      <c r="L1021" s="47"/>
      <c r="M1021" s="47"/>
      <c r="N1021" s="47"/>
      <c r="O1021" s="44"/>
      <c r="P1021" s="44"/>
      <c r="Q1021" s="48" t="e">
        <f>VLOOKUP(E1021,sheet1!$B$2:$D$3209,3,FALSE)</f>
        <v>#N/A</v>
      </c>
      <c r="R1021" s="47" t="s">
        <v>35</v>
      </c>
      <c r="S1021" s="47" t="s">
        <v>296</v>
      </c>
      <c r="T1021" s="47"/>
      <c r="U1021" s="47" t="s">
        <v>35</v>
      </c>
      <c r="V1021" s="47" t="s">
        <v>296</v>
      </c>
      <c r="W1021" s="47" t="s">
        <v>296</v>
      </c>
      <c r="X1021" s="47" t="s">
        <v>296</v>
      </c>
      <c r="Y1021" s="47"/>
      <c r="Z1021" s="47" t="s">
        <v>296</v>
      </c>
      <c r="AA1021" s="47" t="s">
        <v>296</v>
      </c>
      <c r="AB1021" s="47"/>
      <c r="AC1021" s="47" t="s">
        <v>35</v>
      </c>
      <c r="AD1021" s="75"/>
      <c r="AE1021" s="49"/>
      <c r="AF1021" s="51" t="s">
        <v>3674</v>
      </c>
      <c r="AG1021" s="51"/>
      <c r="AH1021" s="49" t="str">
        <f t="shared" si="58"/>
        <v>勤怠一覧表</v>
      </c>
      <c r="AI1021" s="49"/>
      <c r="AJ1021" s="49"/>
      <c r="AK1021" s="49"/>
      <c r="AL1021" s="49"/>
      <c r="AM1021" s="49"/>
      <c r="AN1021" s="49"/>
      <c r="AO1021" s="51" t="str">
        <f t="shared" si="54"/>
        <v/>
      </c>
      <c r="AP1021" s="51" t="str">
        <f t="shared" si="55"/>
        <v/>
      </c>
      <c r="AQ1021" s="49"/>
      <c r="AR1021" s="49"/>
      <c r="AS1021" s="49" t="str">
        <f t="shared" si="56"/>
        <v>代休取得入力</v>
      </c>
      <c r="AT1021" s="49" t="str">
        <f t="shared" si="57"/>
        <v/>
      </c>
      <c r="AU1021" s="51" t="s">
        <v>3653</v>
      </c>
      <c r="AV1021" s="51"/>
    </row>
    <row r="1022" spans="1:48" ht="18" customHeight="1">
      <c r="A1022" s="44">
        <v>1020</v>
      </c>
      <c r="B1022" s="52" t="s">
        <v>2702</v>
      </c>
      <c r="C1022" s="71" t="s">
        <v>3654</v>
      </c>
      <c r="D1022" s="54" t="s">
        <v>3655</v>
      </c>
      <c r="E1022" s="46" t="s">
        <v>72</v>
      </c>
      <c r="F1022" s="44" t="s">
        <v>3660</v>
      </c>
      <c r="G1022" s="44"/>
      <c r="H1022" s="44"/>
      <c r="I1022" s="44"/>
      <c r="J1022" s="47" t="s">
        <v>35</v>
      </c>
      <c r="K1022" s="47"/>
      <c r="L1022" s="47"/>
      <c r="M1022" s="47"/>
      <c r="N1022" s="47"/>
      <c r="O1022" s="44"/>
      <c r="P1022" s="44"/>
      <c r="Q1022" s="48" t="e">
        <f>VLOOKUP(E1022,sheet1!$B$2:$D$3209,3,FALSE)</f>
        <v>#N/A</v>
      </c>
      <c r="R1022" s="47" t="s">
        <v>35</v>
      </c>
      <c r="S1022" s="47" t="s">
        <v>296</v>
      </c>
      <c r="T1022" s="47"/>
      <c r="U1022" s="47" t="s">
        <v>35</v>
      </c>
      <c r="V1022" s="47" t="s">
        <v>296</v>
      </c>
      <c r="W1022" s="47" t="s">
        <v>296</v>
      </c>
      <c r="X1022" s="47" t="s">
        <v>296</v>
      </c>
      <c r="Y1022" s="47"/>
      <c r="Z1022" s="47" t="s">
        <v>296</v>
      </c>
      <c r="AA1022" s="47" t="s">
        <v>296</v>
      </c>
      <c r="AB1022" s="47"/>
      <c r="AC1022" s="47" t="s">
        <v>35</v>
      </c>
      <c r="AD1022" s="75"/>
      <c r="AE1022" s="49"/>
      <c r="AF1022" s="51" t="s">
        <v>3675</v>
      </c>
      <c r="AG1022" s="51"/>
      <c r="AH1022" s="49" t="str">
        <f t="shared" si="58"/>
        <v>勤怠データ年次更新（全体）</v>
      </c>
      <c r="AI1022" s="49"/>
      <c r="AJ1022" s="49"/>
      <c r="AK1022" s="49"/>
      <c r="AL1022" s="49"/>
      <c r="AM1022" s="49"/>
      <c r="AN1022" s="49"/>
      <c r="AO1022" s="51" t="str">
        <f t="shared" si="54"/>
        <v/>
      </c>
      <c r="AP1022" s="51" t="str">
        <f t="shared" si="55"/>
        <v/>
      </c>
      <c r="AQ1022" s="49"/>
      <c r="AR1022" s="49"/>
      <c r="AS1022" s="49" t="str">
        <f t="shared" si="56"/>
        <v>遅刻処理入力</v>
      </c>
      <c r="AT1022" s="49" t="str">
        <f t="shared" si="57"/>
        <v/>
      </c>
      <c r="AU1022" s="51" t="s">
        <v>3657</v>
      </c>
      <c r="AV1022" s="51"/>
    </row>
    <row r="1023" spans="1:48" ht="18" customHeight="1">
      <c r="A1023" s="44">
        <v>1021</v>
      </c>
      <c r="B1023" s="52" t="s">
        <v>2702</v>
      </c>
      <c r="C1023" s="71" t="s">
        <v>3654</v>
      </c>
      <c r="D1023" s="54" t="s">
        <v>3655</v>
      </c>
      <c r="E1023" s="46" t="s">
        <v>72</v>
      </c>
      <c r="F1023" s="44" t="s">
        <v>3662</v>
      </c>
      <c r="G1023" s="44"/>
      <c r="H1023" s="44"/>
      <c r="I1023" s="44"/>
      <c r="J1023" s="47" t="s">
        <v>35</v>
      </c>
      <c r="K1023" s="47"/>
      <c r="L1023" s="47"/>
      <c r="M1023" s="47"/>
      <c r="N1023" s="47"/>
      <c r="O1023" s="44"/>
      <c r="P1023" s="44"/>
      <c r="Q1023" s="48" t="e">
        <f>VLOOKUP(E1023,sheet1!$B$2:$D$3209,3,FALSE)</f>
        <v>#N/A</v>
      </c>
      <c r="R1023" s="47" t="s">
        <v>35</v>
      </c>
      <c r="S1023" s="47" t="s">
        <v>296</v>
      </c>
      <c r="T1023" s="47"/>
      <c r="U1023" s="47" t="s">
        <v>35</v>
      </c>
      <c r="V1023" s="47" t="s">
        <v>296</v>
      </c>
      <c r="W1023" s="47" t="s">
        <v>296</v>
      </c>
      <c r="X1023" s="47" t="s">
        <v>296</v>
      </c>
      <c r="Y1023" s="47"/>
      <c r="Z1023" s="47" t="s">
        <v>296</v>
      </c>
      <c r="AA1023" s="47" t="s">
        <v>296</v>
      </c>
      <c r="AB1023" s="47"/>
      <c r="AC1023" s="47" t="s">
        <v>35</v>
      </c>
      <c r="AD1023" s="75"/>
      <c r="AE1023" s="49"/>
      <c r="AF1023" s="51" t="s">
        <v>3676</v>
      </c>
      <c r="AG1023" s="51"/>
      <c r="AH1023" s="49" t="str">
        <f t="shared" si="58"/>
        <v>勤怠データ更新前復元（全体）</v>
      </c>
      <c r="AI1023" s="49"/>
      <c r="AJ1023" s="49"/>
      <c r="AK1023" s="49"/>
      <c r="AL1023" s="49"/>
      <c r="AM1023" s="49"/>
      <c r="AN1023" s="49"/>
      <c r="AO1023" s="51" t="str">
        <f t="shared" si="54"/>
        <v/>
      </c>
      <c r="AP1023" s="51" t="str">
        <f t="shared" si="55"/>
        <v/>
      </c>
      <c r="AQ1023" s="49"/>
      <c r="AR1023" s="49"/>
      <c r="AS1023" s="49" t="str">
        <f t="shared" si="56"/>
        <v>早退処理入力</v>
      </c>
      <c r="AT1023" s="49" t="str">
        <f t="shared" si="57"/>
        <v/>
      </c>
      <c r="AU1023" s="51" t="s">
        <v>3659</v>
      </c>
      <c r="AV1023" s="51"/>
    </row>
    <row r="1024" spans="1:48" ht="18" customHeight="1">
      <c r="A1024" s="44">
        <v>1022</v>
      </c>
      <c r="B1024" s="52" t="s">
        <v>2702</v>
      </c>
      <c r="C1024" s="71" t="s">
        <v>3654</v>
      </c>
      <c r="D1024" s="54" t="s">
        <v>3655</v>
      </c>
      <c r="E1024" s="46" t="s">
        <v>72</v>
      </c>
      <c r="F1024" s="44" t="s">
        <v>3664</v>
      </c>
      <c r="G1024" s="44"/>
      <c r="H1024" s="44"/>
      <c r="I1024" s="44"/>
      <c r="J1024" s="47" t="s">
        <v>35</v>
      </c>
      <c r="K1024" s="47"/>
      <c r="L1024" s="47"/>
      <c r="M1024" s="47"/>
      <c r="N1024" s="47"/>
      <c r="O1024" s="44"/>
      <c r="P1024" s="44"/>
      <c r="Q1024" s="48" t="e">
        <f>VLOOKUP(E1024,sheet1!$B$2:$D$3209,3,FALSE)</f>
        <v>#N/A</v>
      </c>
      <c r="R1024" s="47" t="s">
        <v>35</v>
      </c>
      <c r="S1024" s="47" t="s">
        <v>296</v>
      </c>
      <c r="T1024" s="47"/>
      <c r="U1024" s="47" t="s">
        <v>35</v>
      </c>
      <c r="V1024" s="47" t="s">
        <v>296</v>
      </c>
      <c r="W1024" s="47" t="s">
        <v>296</v>
      </c>
      <c r="X1024" s="47" t="s">
        <v>296</v>
      </c>
      <c r="Y1024" s="47"/>
      <c r="Z1024" s="47" t="s">
        <v>296</v>
      </c>
      <c r="AA1024" s="47" t="s">
        <v>296</v>
      </c>
      <c r="AB1024" s="47"/>
      <c r="AC1024" s="47" t="s">
        <v>35</v>
      </c>
      <c r="AD1024" s="75"/>
      <c r="AE1024" s="49"/>
      <c r="AF1024" s="51" t="s">
        <v>3677</v>
      </c>
      <c r="AG1024" s="51"/>
      <c r="AH1024" s="49" t="str">
        <f t="shared" si="58"/>
        <v>勤怠データ年次更新（個人）</v>
      </c>
      <c r="AI1024" s="49"/>
      <c r="AJ1024" s="49"/>
      <c r="AK1024" s="49"/>
      <c r="AL1024" s="49"/>
      <c r="AM1024" s="49"/>
      <c r="AN1024" s="49"/>
      <c r="AO1024" s="51" t="str">
        <f t="shared" si="54"/>
        <v/>
      </c>
      <c r="AP1024" s="51" t="str">
        <f t="shared" si="55"/>
        <v/>
      </c>
      <c r="AQ1024" s="49"/>
      <c r="AR1024" s="49"/>
      <c r="AS1024" s="49" t="str">
        <f t="shared" si="56"/>
        <v>欠勤処理入力</v>
      </c>
      <c r="AT1024" s="49" t="str">
        <f t="shared" si="57"/>
        <v/>
      </c>
      <c r="AU1024" s="51" t="s">
        <v>3661</v>
      </c>
      <c r="AV1024" s="51"/>
    </row>
    <row r="1025" spans="1:48" ht="18" customHeight="1">
      <c r="A1025" s="44">
        <v>1023</v>
      </c>
      <c r="B1025" s="52" t="s">
        <v>2702</v>
      </c>
      <c r="C1025" s="71" t="s">
        <v>3654</v>
      </c>
      <c r="D1025" s="54" t="s">
        <v>3655</v>
      </c>
      <c r="E1025" s="46" t="s">
        <v>72</v>
      </c>
      <c r="F1025" s="44" t="s">
        <v>3666</v>
      </c>
      <c r="G1025" s="44"/>
      <c r="H1025" s="44"/>
      <c r="I1025" s="44"/>
      <c r="J1025" s="47" t="s">
        <v>35</v>
      </c>
      <c r="K1025" s="47"/>
      <c r="L1025" s="47"/>
      <c r="M1025" s="47"/>
      <c r="N1025" s="47"/>
      <c r="O1025" s="44"/>
      <c r="P1025" s="44"/>
      <c r="Q1025" s="48" t="e">
        <f>VLOOKUP(E1025,sheet1!$B$2:$D$3209,3,FALSE)</f>
        <v>#N/A</v>
      </c>
      <c r="R1025" s="47" t="s">
        <v>35</v>
      </c>
      <c r="S1025" s="47" t="s">
        <v>296</v>
      </c>
      <c r="T1025" s="47"/>
      <c r="U1025" s="47" t="s">
        <v>35</v>
      </c>
      <c r="V1025" s="47" t="s">
        <v>296</v>
      </c>
      <c r="W1025" s="47" t="s">
        <v>296</v>
      </c>
      <c r="X1025" s="47" t="s">
        <v>296</v>
      </c>
      <c r="Y1025" s="47"/>
      <c r="Z1025" s="47" t="s">
        <v>296</v>
      </c>
      <c r="AA1025" s="47" t="s">
        <v>296</v>
      </c>
      <c r="AB1025" s="47"/>
      <c r="AC1025" s="47" t="s">
        <v>35</v>
      </c>
      <c r="AD1025" s="75"/>
      <c r="AE1025" s="49"/>
      <c r="AF1025" s="51" t="s">
        <v>3678</v>
      </c>
      <c r="AG1025" s="51"/>
      <c r="AH1025" s="49" t="str">
        <f t="shared" si="58"/>
        <v>勤怠データ更新前復元（個人）</v>
      </c>
      <c r="AI1025" s="49"/>
      <c r="AJ1025" s="49"/>
      <c r="AK1025" s="49"/>
      <c r="AL1025" s="49"/>
      <c r="AM1025" s="49"/>
      <c r="AN1025" s="49"/>
      <c r="AO1025" s="51" t="str">
        <f t="shared" si="54"/>
        <v/>
      </c>
      <c r="AP1025" s="51" t="str">
        <f t="shared" si="55"/>
        <v/>
      </c>
      <c r="AQ1025" s="49"/>
      <c r="AR1025" s="49"/>
      <c r="AS1025" s="49" t="str">
        <f t="shared" si="56"/>
        <v>代休失効処理（前日まで）</v>
      </c>
      <c r="AT1025" s="49" t="str">
        <f t="shared" si="57"/>
        <v/>
      </c>
      <c r="AU1025" s="51" t="s">
        <v>3663</v>
      </c>
    </row>
    <row r="1026" spans="1:48" ht="18" customHeight="1">
      <c r="A1026" s="44">
        <v>1024</v>
      </c>
      <c r="B1026" s="52" t="s">
        <v>2702</v>
      </c>
      <c r="C1026" s="71" t="s">
        <v>3654</v>
      </c>
      <c r="D1026" s="77" t="s">
        <v>3655</v>
      </c>
      <c r="E1026" s="46" t="s">
        <v>72</v>
      </c>
      <c r="F1026" s="44" t="s">
        <v>3671</v>
      </c>
      <c r="G1026" s="44"/>
      <c r="H1026" s="44"/>
      <c r="I1026" s="44"/>
      <c r="J1026" s="47" t="s">
        <v>35</v>
      </c>
      <c r="K1026" s="47"/>
      <c r="L1026" s="47"/>
      <c r="M1026" s="47"/>
      <c r="N1026" s="47"/>
      <c r="O1026" s="44"/>
      <c r="P1026" s="44"/>
      <c r="Q1026" s="48" t="e">
        <f>VLOOKUP(E1026,sheet1!$B$2:$D$3209,3,FALSE)</f>
        <v>#N/A</v>
      </c>
      <c r="R1026" s="47" t="s">
        <v>35</v>
      </c>
      <c r="S1026" s="47" t="s">
        <v>296</v>
      </c>
      <c r="T1026" s="47"/>
      <c r="U1026" s="47" t="s">
        <v>35</v>
      </c>
      <c r="V1026" s="47" t="s">
        <v>296</v>
      </c>
      <c r="W1026" s="47" t="s">
        <v>296</v>
      </c>
      <c r="X1026" s="47" t="s">
        <v>296</v>
      </c>
      <c r="Y1026" s="47"/>
      <c r="Z1026" s="47" t="s">
        <v>296</v>
      </c>
      <c r="AA1026" s="47" t="s">
        <v>296</v>
      </c>
      <c r="AB1026" s="47"/>
      <c r="AC1026" s="47" t="s">
        <v>35</v>
      </c>
      <c r="AD1026" s="75"/>
      <c r="AE1026" s="49"/>
      <c r="AF1026" s="51" t="s">
        <v>3679</v>
      </c>
      <c r="AG1026" s="51"/>
      <c r="AH1026" s="49" t="str">
        <f t="shared" si="58"/>
        <v>勤怠及び残業管理</v>
      </c>
      <c r="AI1026" s="49"/>
      <c r="AJ1026" s="49"/>
      <c r="AK1026" s="49"/>
      <c r="AL1026" s="49"/>
      <c r="AM1026" s="49"/>
      <c r="AN1026" s="49"/>
      <c r="AO1026" s="51" t="str">
        <f t="shared" si="54"/>
        <v/>
      </c>
      <c r="AP1026" s="51" t="str">
        <f t="shared" si="55"/>
        <v/>
      </c>
      <c r="AQ1026" s="49"/>
      <c r="AR1026" s="49"/>
      <c r="AS1026" s="49" t="str">
        <f t="shared" si="56"/>
        <v>月次勤怠データ入力</v>
      </c>
      <c r="AT1026" s="49" t="str">
        <f t="shared" si="57"/>
        <v>Query</v>
      </c>
      <c r="AU1026" s="49" t="s">
        <v>3665</v>
      </c>
      <c r="AV1026" s="49" t="s">
        <v>344</v>
      </c>
    </row>
    <row r="1027" spans="1:48" ht="18" customHeight="1">
      <c r="A1027" s="44">
        <v>1025</v>
      </c>
      <c r="B1027" s="52" t="s">
        <v>2702</v>
      </c>
      <c r="C1027" s="71" t="s">
        <v>3654</v>
      </c>
      <c r="D1027" s="46" t="s">
        <v>72</v>
      </c>
      <c r="E1027" s="44" t="s">
        <v>344</v>
      </c>
      <c r="F1027" s="44" t="s">
        <v>3680</v>
      </c>
      <c r="G1027" s="44"/>
      <c r="H1027" s="44"/>
      <c r="I1027" s="44"/>
      <c r="J1027" s="47"/>
      <c r="K1027" s="47" t="s">
        <v>35</v>
      </c>
      <c r="L1027" s="47"/>
      <c r="M1027" s="47"/>
      <c r="N1027" s="47"/>
      <c r="O1027" s="44"/>
      <c r="P1027" s="44"/>
      <c r="Q1027" s="48" t="e">
        <f>VLOOKUP(E1027,sheet1!$B$2:$D$3209,3,FALSE)</f>
        <v>#N/A</v>
      </c>
      <c r="R1027" s="47" t="s">
        <v>35</v>
      </c>
      <c r="S1027" s="47" t="s">
        <v>296</v>
      </c>
      <c r="T1027" s="47"/>
      <c r="U1027" s="47" t="s">
        <v>35</v>
      </c>
      <c r="V1027" s="47" t="s">
        <v>296</v>
      </c>
      <c r="W1027" s="47" t="s">
        <v>296</v>
      </c>
      <c r="X1027" s="47" t="s">
        <v>296</v>
      </c>
      <c r="Y1027" s="47"/>
      <c r="Z1027" s="47" t="s">
        <v>296</v>
      </c>
      <c r="AA1027" s="47" t="s">
        <v>296</v>
      </c>
      <c r="AB1027" s="47"/>
      <c r="AC1027" s="47" t="s">
        <v>35</v>
      </c>
      <c r="AD1027" s="75"/>
      <c r="AE1027" s="49"/>
      <c r="AF1027" s="51" t="s">
        <v>3681</v>
      </c>
      <c r="AH1027" s="49" t="str">
        <f t="shared" si="58"/>
        <v>通産省　生産動態統計調査</v>
      </c>
      <c r="AI1027" s="49"/>
      <c r="AJ1027" s="49"/>
      <c r="AK1027" s="49"/>
      <c r="AL1027" s="49"/>
      <c r="AM1027" s="49"/>
      <c r="AN1027" s="49"/>
      <c r="AO1027" s="51" t="str">
        <f t="shared" si="54"/>
        <v/>
      </c>
      <c r="AP1027" s="51" t="str">
        <f t="shared" si="55"/>
        <v/>
      </c>
      <c r="AQ1027" s="49"/>
      <c r="AR1027" s="49"/>
      <c r="AS1027" s="49" t="str">
        <f t="shared" si="56"/>
        <v>入力一覧表　：所属・社員順</v>
      </c>
      <c r="AT1027" s="49" t="str">
        <f t="shared" si="57"/>
        <v>PRPR04</v>
      </c>
      <c r="AU1027" s="49" t="s">
        <v>3667</v>
      </c>
      <c r="AV1027" s="49" t="s">
        <v>3668</v>
      </c>
    </row>
    <row r="1028" spans="1:48" ht="18" customHeight="1">
      <c r="A1028" s="44">
        <v>1026</v>
      </c>
      <c r="B1028" s="52" t="s">
        <v>2702</v>
      </c>
      <c r="C1028" s="71" t="s">
        <v>3654</v>
      </c>
      <c r="D1028" s="46" t="s">
        <v>72</v>
      </c>
      <c r="E1028" s="44" t="s">
        <v>3668</v>
      </c>
      <c r="F1028" s="44" t="s">
        <v>3682</v>
      </c>
      <c r="G1028" s="44"/>
      <c r="H1028" s="44"/>
      <c r="I1028" s="44"/>
      <c r="J1028" s="47" t="s">
        <v>35</v>
      </c>
      <c r="K1028" s="47"/>
      <c r="L1028" s="47"/>
      <c r="M1028" s="47"/>
      <c r="N1028" s="47"/>
      <c r="O1028" s="44"/>
      <c r="P1028" s="44"/>
      <c r="Q1028" s="48">
        <f>VLOOKUP(E1028,sheet1!$B$2:$D$3209,3,FALSE)</f>
        <v>185</v>
      </c>
      <c r="R1028" s="47" t="s">
        <v>35</v>
      </c>
      <c r="S1028" s="47" t="s">
        <v>296</v>
      </c>
      <c r="T1028" s="47"/>
      <c r="U1028" s="47" t="s">
        <v>35</v>
      </c>
      <c r="V1028" s="47" t="s">
        <v>296</v>
      </c>
      <c r="W1028" s="47" t="s">
        <v>296</v>
      </c>
      <c r="X1028" s="47" t="s">
        <v>296</v>
      </c>
      <c r="Y1028" s="47"/>
      <c r="Z1028" s="47" t="s">
        <v>296</v>
      </c>
      <c r="AA1028" s="47" t="s">
        <v>296</v>
      </c>
      <c r="AB1028" s="47"/>
      <c r="AC1028" s="47" t="s">
        <v>35</v>
      </c>
      <c r="AD1028" s="75"/>
      <c r="AE1028" s="49"/>
      <c r="AF1028" s="51" t="s">
        <v>3683</v>
      </c>
      <c r="AG1028" s="51" t="s">
        <v>3684</v>
      </c>
      <c r="AH1028" s="49" t="str">
        <f t="shared" si="58"/>
        <v>部課別按分率保守</v>
      </c>
      <c r="AI1028" s="49"/>
      <c r="AJ1028" s="49"/>
      <c r="AK1028" s="49"/>
      <c r="AL1028" s="49"/>
      <c r="AM1028" s="49"/>
      <c r="AN1028" s="49"/>
      <c r="AO1028" s="51" t="str">
        <f t="shared" si="54"/>
        <v/>
      </c>
      <c r="AP1028" s="51" t="str">
        <f t="shared" si="55"/>
        <v/>
      </c>
      <c r="AQ1028" s="49"/>
      <c r="AR1028" s="49"/>
      <c r="AS1028" s="49" t="str">
        <f t="shared" si="56"/>
        <v>勤怠データ給与計算反映</v>
      </c>
      <c r="AT1028" s="49" t="str">
        <f t="shared" si="57"/>
        <v/>
      </c>
      <c r="AU1028" s="49" t="s">
        <v>3670</v>
      </c>
      <c r="AV1028" s="49"/>
    </row>
    <row r="1029" spans="1:48" ht="18" customHeight="1">
      <c r="A1029" s="44">
        <v>1027</v>
      </c>
      <c r="B1029" s="52" t="s">
        <v>2702</v>
      </c>
      <c r="C1029" s="71" t="s">
        <v>3654</v>
      </c>
      <c r="D1029" s="46" t="s">
        <v>72</v>
      </c>
      <c r="E1029" s="46" t="s">
        <v>72</v>
      </c>
      <c r="F1029" s="44" t="s">
        <v>3685</v>
      </c>
      <c r="G1029" s="44"/>
      <c r="H1029" s="44"/>
      <c r="I1029" s="44"/>
      <c r="J1029" s="47" t="s">
        <v>35</v>
      </c>
      <c r="K1029" s="47"/>
      <c r="L1029" s="47"/>
      <c r="M1029" s="47"/>
      <c r="N1029" s="47"/>
      <c r="O1029" s="44"/>
      <c r="P1029" s="44"/>
      <c r="Q1029" s="48" t="e">
        <f>VLOOKUP(E1029,sheet1!$B$2:$D$3209,3,FALSE)</f>
        <v>#N/A</v>
      </c>
      <c r="R1029" s="47" t="s">
        <v>35</v>
      </c>
      <c r="S1029" s="47" t="s">
        <v>296</v>
      </c>
      <c r="T1029" s="47"/>
      <c r="U1029" s="47" t="s">
        <v>35</v>
      </c>
      <c r="V1029" s="47" t="s">
        <v>296</v>
      </c>
      <c r="W1029" s="47" t="s">
        <v>296</v>
      </c>
      <c r="X1029" s="47" t="s">
        <v>296</v>
      </c>
      <c r="Y1029" s="47"/>
      <c r="Z1029" s="47" t="s">
        <v>296</v>
      </c>
      <c r="AA1029" s="47" t="s">
        <v>296</v>
      </c>
      <c r="AB1029" s="47"/>
      <c r="AC1029" s="47" t="s">
        <v>35</v>
      </c>
      <c r="AD1029" s="75"/>
      <c r="AE1029" s="49"/>
      <c r="AF1029" s="51" t="s">
        <v>3686</v>
      </c>
      <c r="AG1029" s="51" t="s">
        <v>3687</v>
      </c>
      <c r="AH1029" s="49" t="str">
        <f t="shared" si="58"/>
        <v>部課別使用量保守（コピー）</v>
      </c>
      <c r="AI1029" s="49"/>
      <c r="AJ1029" s="49"/>
      <c r="AK1029" s="49"/>
      <c r="AL1029" s="49"/>
      <c r="AM1029" s="49"/>
      <c r="AN1029" s="49"/>
      <c r="AO1029" s="51" t="str">
        <f t="shared" si="54"/>
        <v/>
      </c>
      <c r="AP1029" s="51" t="str">
        <f t="shared" si="55"/>
        <v/>
      </c>
      <c r="AQ1029" s="49"/>
      <c r="AR1029" s="49"/>
      <c r="AS1029" s="49" t="str">
        <f t="shared" si="56"/>
        <v>勤怠データ環境変更</v>
      </c>
      <c r="AT1029" s="49" t="str">
        <f t="shared" si="57"/>
        <v/>
      </c>
      <c r="AU1029" s="49" t="s">
        <v>3672</v>
      </c>
      <c r="AV1029" s="49"/>
    </row>
    <row r="1030" spans="1:48" ht="18" customHeight="1">
      <c r="A1030" s="44">
        <v>1028</v>
      </c>
      <c r="B1030" s="52" t="s">
        <v>2702</v>
      </c>
      <c r="C1030" s="71" t="s">
        <v>3654</v>
      </c>
      <c r="D1030" s="46" t="s">
        <v>72</v>
      </c>
      <c r="E1030" s="46" t="s">
        <v>72</v>
      </c>
      <c r="F1030" s="44" t="s">
        <v>3688</v>
      </c>
      <c r="G1030" s="44"/>
      <c r="H1030" s="44"/>
      <c r="I1030" s="44"/>
      <c r="J1030" s="47" t="s">
        <v>35</v>
      </c>
      <c r="K1030" s="47"/>
      <c r="L1030" s="47"/>
      <c r="M1030" s="47"/>
      <c r="N1030" s="47"/>
      <c r="O1030" s="44"/>
      <c r="P1030" s="44"/>
      <c r="Q1030" s="48" t="e">
        <f>VLOOKUP(E1030,sheet1!$B$2:$D$3209,3,FALSE)</f>
        <v>#N/A</v>
      </c>
      <c r="R1030" s="47" t="s">
        <v>35</v>
      </c>
      <c r="S1030" s="47" t="s">
        <v>296</v>
      </c>
      <c r="T1030" s="47"/>
      <c r="U1030" s="47" t="s">
        <v>35</v>
      </c>
      <c r="V1030" s="47" t="s">
        <v>296</v>
      </c>
      <c r="W1030" s="47" t="s">
        <v>296</v>
      </c>
      <c r="X1030" s="47" t="s">
        <v>296</v>
      </c>
      <c r="Y1030" s="47"/>
      <c r="Z1030" s="47" t="s">
        <v>296</v>
      </c>
      <c r="AA1030" s="47" t="s">
        <v>296</v>
      </c>
      <c r="AB1030" s="47"/>
      <c r="AC1030" s="47" t="s">
        <v>35</v>
      </c>
      <c r="AD1030" s="75"/>
      <c r="AE1030" s="49"/>
      <c r="AF1030" s="51" t="s">
        <v>3689</v>
      </c>
      <c r="AG1030" s="51" t="s">
        <v>3690</v>
      </c>
      <c r="AH1030" s="49" t="str">
        <f t="shared" si="58"/>
        <v>部課別件数保守（ヤマト）</v>
      </c>
      <c r="AI1030" s="49"/>
      <c r="AJ1030" s="49"/>
      <c r="AK1030" s="49"/>
      <c r="AL1030" s="49"/>
      <c r="AM1030" s="49"/>
      <c r="AN1030" s="49"/>
      <c r="AO1030" s="51" t="str">
        <f t="shared" si="54"/>
        <v/>
      </c>
      <c r="AP1030" s="51" t="str">
        <f t="shared" si="55"/>
        <v/>
      </c>
      <c r="AQ1030" s="49"/>
      <c r="AR1030" s="49"/>
      <c r="AS1030" s="49" t="str">
        <f t="shared" si="56"/>
        <v>勤務先マスターメンテ</v>
      </c>
      <c r="AT1030" s="49" t="str">
        <f t="shared" si="57"/>
        <v/>
      </c>
      <c r="AU1030" s="49" t="s">
        <v>3673</v>
      </c>
      <c r="AV1030" s="49"/>
    </row>
    <row r="1031" spans="1:48" ht="18" customHeight="1">
      <c r="A1031" s="44">
        <v>1029</v>
      </c>
      <c r="B1031" s="52" t="s">
        <v>2702</v>
      </c>
      <c r="C1031" s="71" t="s">
        <v>3654</v>
      </c>
      <c r="D1031" s="46" t="s">
        <v>72</v>
      </c>
      <c r="E1031" s="46" t="s">
        <v>72</v>
      </c>
      <c r="F1031" s="44" t="s">
        <v>3691</v>
      </c>
      <c r="G1031" s="44"/>
      <c r="H1031" s="44"/>
      <c r="I1031" s="44"/>
      <c r="J1031" s="47" t="s">
        <v>35</v>
      </c>
      <c r="K1031" s="47"/>
      <c r="L1031" s="47"/>
      <c r="M1031" s="47"/>
      <c r="N1031" s="47"/>
      <c r="O1031" s="44"/>
      <c r="P1031" s="44"/>
      <c r="Q1031" s="48" t="e">
        <f>VLOOKUP(E1031,sheet1!$B$2:$D$3209,3,FALSE)</f>
        <v>#N/A</v>
      </c>
      <c r="R1031" s="47" t="s">
        <v>35</v>
      </c>
      <c r="S1031" s="47" t="s">
        <v>296</v>
      </c>
      <c r="T1031" s="47"/>
      <c r="U1031" s="47" t="s">
        <v>35</v>
      </c>
      <c r="V1031" s="47" t="s">
        <v>296</v>
      </c>
      <c r="W1031" s="47" t="s">
        <v>296</v>
      </c>
      <c r="X1031" s="47" t="s">
        <v>296</v>
      </c>
      <c r="Y1031" s="47"/>
      <c r="Z1031" s="47" t="s">
        <v>296</v>
      </c>
      <c r="AA1031" s="47" t="s">
        <v>296</v>
      </c>
      <c r="AB1031" s="47"/>
      <c r="AC1031" s="47" t="s">
        <v>35</v>
      </c>
      <c r="AD1031" s="75"/>
      <c r="AE1031" s="49"/>
      <c r="AF1031" s="51" t="s">
        <v>3692</v>
      </c>
      <c r="AG1031" s="51" t="s">
        <v>3693</v>
      </c>
      <c r="AH1031" s="49" t="str">
        <f t="shared" si="58"/>
        <v>按分基本金額入力</v>
      </c>
      <c r="AI1031" s="49"/>
      <c r="AJ1031" s="49"/>
      <c r="AK1031" s="49"/>
      <c r="AL1031" s="49"/>
      <c r="AM1031" s="49"/>
      <c r="AN1031" s="49"/>
      <c r="AO1031" s="51" t="str">
        <f t="shared" si="54"/>
        <v/>
      </c>
      <c r="AP1031" s="51" t="str">
        <f t="shared" si="55"/>
        <v/>
      </c>
      <c r="AQ1031" s="49"/>
      <c r="AR1031" s="49"/>
      <c r="AS1031" s="49" t="str">
        <f t="shared" si="56"/>
        <v>勤怠一覧表</v>
      </c>
      <c r="AT1031" s="49" t="str">
        <f t="shared" si="57"/>
        <v/>
      </c>
      <c r="AU1031" s="49" t="s">
        <v>3674</v>
      </c>
      <c r="AV1031" s="49"/>
    </row>
    <row r="1032" spans="1:48" ht="18" customHeight="1">
      <c r="A1032" s="44">
        <v>1030</v>
      </c>
      <c r="B1032" s="52" t="s">
        <v>2702</v>
      </c>
      <c r="C1032" s="71" t="s">
        <v>3654</v>
      </c>
      <c r="D1032" s="46" t="s">
        <v>72</v>
      </c>
      <c r="E1032" s="46" t="s">
        <v>72</v>
      </c>
      <c r="F1032" s="44" t="s">
        <v>3694</v>
      </c>
      <c r="G1032" s="44"/>
      <c r="H1032" s="44"/>
      <c r="I1032" s="44"/>
      <c r="J1032" s="47" t="s">
        <v>35</v>
      </c>
      <c r="K1032" s="47"/>
      <c r="L1032" s="47"/>
      <c r="M1032" s="47"/>
      <c r="N1032" s="47"/>
      <c r="O1032" s="44"/>
      <c r="P1032" s="44"/>
      <c r="Q1032" s="48" t="e">
        <f>VLOOKUP(E1032,sheet1!$B$2:$D$3209,3,FALSE)</f>
        <v>#N/A</v>
      </c>
      <c r="R1032" s="47" t="s">
        <v>35</v>
      </c>
      <c r="S1032" s="47" t="s">
        <v>296</v>
      </c>
      <c r="T1032" s="47"/>
      <c r="U1032" s="47" t="s">
        <v>35</v>
      </c>
      <c r="V1032" s="47" t="s">
        <v>296</v>
      </c>
      <c r="W1032" s="47" t="s">
        <v>296</v>
      </c>
      <c r="X1032" s="47" t="s">
        <v>296</v>
      </c>
      <c r="Y1032" s="47"/>
      <c r="Z1032" s="47" t="s">
        <v>296</v>
      </c>
      <c r="AA1032" s="47" t="s">
        <v>296</v>
      </c>
      <c r="AB1032" s="47"/>
      <c r="AC1032" s="47" t="s">
        <v>35</v>
      </c>
      <c r="AD1032" s="75"/>
      <c r="AE1032" s="49"/>
      <c r="AF1032" s="51" t="s">
        <v>3695</v>
      </c>
      <c r="AG1032" s="51" t="s">
        <v>3696</v>
      </c>
      <c r="AH1032" s="49" t="str">
        <f t="shared" si="58"/>
        <v>振替処理完了月度更新</v>
      </c>
      <c r="AI1032" s="49"/>
      <c r="AJ1032" s="49"/>
      <c r="AK1032" s="49"/>
      <c r="AL1032" s="49"/>
      <c r="AM1032" s="49"/>
      <c r="AN1032" s="49"/>
      <c r="AO1032" s="51" t="str">
        <f t="shared" si="54"/>
        <v/>
      </c>
      <c r="AP1032" s="51" t="str">
        <f t="shared" si="55"/>
        <v/>
      </c>
      <c r="AQ1032" s="49"/>
      <c r="AR1032" s="49"/>
      <c r="AS1032" s="49" t="str">
        <f t="shared" si="56"/>
        <v>勤怠データ年次更新（全体）</v>
      </c>
      <c r="AT1032" s="49" t="str">
        <f t="shared" si="57"/>
        <v/>
      </c>
      <c r="AU1032" s="49" t="s">
        <v>3675</v>
      </c>
      <c r="AV1032" s="49"/>
    </row>
    <row r="1033" spans="1:48" ht="18" customHeight="1">
      <c r="A1033" s="44">
        <v>1031</v>
      </c>
      <c r="B1033" s="52" t="s">
        <v>2702</v>
      </c>
      <c r="C1033" s="71" t="s">
        <v>3654</v>
      </c>
      <c r="D1033" s="46" t="s">
        <v>72</v>
      </c>
      <c r="E1033" s="46" t="s">
        <v>72</v>
      </c>
      <c r="F1033" s="44" t="s">
        <v>3697</v>
      </c>
      <c r="G1033" s="44"/>
      <c r="H1033" s="44"/>
      <c r="I1033" s="44"/>
      <c r="J1033" s="47" t="s">
        <v>35</v>
      </c>
      <c r="K1033" s="47"/>
      <c r="L1033" s="47"/>
      <c r="M1033" s="47"/>
      <c r="N1033" s="47"/>
      <c r="O1033" s="44"/>
      <c r="P1033" s="44"/>
      <c r="Q1033" s="48" t="e">
        <f>VLOOKUP(E1033,sheet1!$B$2:$D$3209,3,FALSE)</f>
        <v>#N/A</v>
      </c>
      <c r="R1033" s="47" t="s">
        <v>35</v>
      </c>
      <c r="S1033" s="47" t="s">
        <v>296</v>
      </c>
      <c r="T1033" s="47"/>
      <c r="U1033" s="47" t="s">
        <v>35</v>
      </c>
      <c r="V1033" s="47" t="s">
        <v>296</v>
      </c>
      <c r="W1033" s="47" t="s">
        <v>296</v>
      </c>
      <c r="X1033" s="47" t="s">
        <v>296</v>
      </c>
      <c r="Y1033" s="47"/>
      <c r="Z1033" s="47" t="s">
        <v>296</v>
      </c>
      <c r="AA1033" s="47" t="s">
        <v>296</v>
      </c>
      <c r="AB1033" s="47"/>
      <c r="AC1033" s="47" t="s">
        <v>35</v>
      </c>
      <c r="AD1033" s="75"/>
      <c r="AE1033" s="49"/>
      <c r="AF1033" s="51" t="s">
        <v>3698</v>
      </c>
      <c r="AG1033" s="51" t="s">
        <v>3699</v>
      </c>
      <c r="AH1033" s="49" t="str">
        <f t="shared" si="58"/>
        <v>総務自動振替データ作成</v>
      </c>
      <c r="AI1033" s="49"/>
      <c r="AJ1033" s="49"/>
      <c r="AK1033" s="49"/>
      <c r="AL1033" s="49"/>
      <c r="AM1033" s="49"/>
      <c r="AN1033" s="49"/>
      <c r="AO1033" s="51" t="str">
        <f t="shared" si="54"/>
        <v/>
      </c>
      <c r="AP1033" s="51" t="str">
        <f t="shared" si="55"/>
        <v/>
      </c>
      <c r="AQ1033" s="49"/>
      <c r="AR1033" s="49"/>
      <c r="AS1033" s="49" t="str">
        <f t="shared" si="56"/>
        <v>勤怠データ更新前復元（全体）</v>
      </c>
      <c r="AT1033" s="49" t="str">
        <f t="shared" si="57"/>
        <v/>
      </c>
      <c r="AU1033" s="49" t="s">
        <v>3676</v>
      </c>
      <c r="AV1033" s="49"/>
    </row>
    <row r="1034" spans="1:48" ht="18" customHeight="1">
      <c r="A1034" s="44">
        <v>1032</v>
      </c>
      <c r="B1034" s="52" t="s">
        <v>2702</v>
      </c>
      <c r="C1034" s="71" t="s">
        <v>3654</v>
      </c>
      <c r="D1034" s="46" t="s">
        <v>72</v>
      </c>
      <c r="E1034" s="46" t="s">
        <v>72</v>
      </c>
      <c r="F1034" s="44" t="s">
        <v>3700</v>
      </c>
      <c r="G1034" s="44"/>
      <c r="H1034" s="44"/>
      <c r="I1034" s="44"/>
      <c r="J1034" s="47" t="s">
        <v>35</v>
      </c>
      <c r="K1034" s="47"/>
      <c r="L1034" s="47"/>
      <c r="M1034" s="47"/>
      <c r="N1034" s="47"/>
      <c r="O1034" s="44"/>
      <c r="P1034" s="44"/>
      <c r="Q1034" s="48" t="e">
        <f>VLOOKUP(E1034,sheet1!$B$2:$D$3209,3,FALSE)</f>
        <v>#N/A</v>
      </c>
      <c r="R1034" s="47" t="s">
        <v>35</v>
      </c>
      <c r="S1034" s="47" t="s">
        <v>296</v>
      </c>
      <c r="T1034" s="47"/>
      <c r="U1034" s="47" t="s">
        <v>35</v>
      </c>
      <c r="V1034" s="47" t="s">
        <v>296</v>
      </c>
      <c r="W1034" s="47" t="s">
        <v>296</v>
      </c>
      <c r="X1034" s="47" t="s">
        <v>296</v>
      </c>
      <c r="Y1034" s="47"/>
      <c r="Z1034" s="47" t="s">
        <v>296</v>
      </c>
      <c r="AA1034" s="47" t="s">
        <v>296</v>
      </c>
      <c r="AB1034" s="47"/>
      <c r="AC1034" s="47" t="s">
        <v>35</v>
      </c>
      <c r="AD1034" s="75"/>
      <c r="AE1034" s="49"/>
      <c r="AF1034" s="51" t="s">
        <v>3701</v>
      </c>
      <c r="AG1034" s="51" t="s">
        <v>3702</v>
      </c>
      <c r="AH1034" s="49" t="str">
        <f t="shared" si="58"/>
        <v>総務振替伝票付加情報入力</v>
      </c>
      <c r="AI1034" s="49"/>
      <c r="AJ1034" s="49"/>
      <c r="AK1034" s="49"/>
      <c r="AL1034" s="49"/>
      <c r="AM1034" s="49"/>
      <c r="AN1034" s="49"/>
      <c r="AO1034" s="51" t="str">
        <f t="shared" si="54"/>
        <v/>
      </c>
      <c r="AP1034" s="51" t="str">
        <f t="shared" si="55"/>
        <v/>
      </c>
      <c r="AQ1034" s="49"/>
      <c r="AR1034" s="49"/>
      <c r="AS1034" s="49" t="str">
        <f t="shared" si="56"/>
        <v>勤怠データ年次更新（個人）</v>
      </c>
      <c r="AT1034" s="49" t="str">
        <f t="shared" si="57"/>
        <v/>
      </c>
      <c r="AU1034" s="49" t="s">
        <v>3677</v>
      </c>
      <c r="AV1034" s="49"/>
    </row>
    <row r="1035" spans="1:48" ht="18" customHeight="1">
      <c r="A1035" s="44">
        <v>1033</v>
      </c>
      <c r="B1035" s="52" t="s">
        <v>2702</v>
      </c>
      <c r="C1035" s="71" t="s">
        <v>3654</v>
      </c>
      <c r="D1035" s="46" t="s">
        <v>72</v>
      </c>
      <c r="E1035" s="46" t="s">
        <v>72</v>
      </c>
      <c r="F1035" s="44" t="s">
        <v>3703</v>
      </c>
      <c r="G1035" s="44"/>
      <c r="H1035" s="44"/>
      <c r="I1035" s="44"/>
      <c r="J1035" s="47" t="s">
        <v>35</v>
      </c>
      <c r="K1035" s="47"/>
      <c r="L1035" s="47"/>
      <c r="M1035" s="47"/>
      <c r="N1035" s="47"/>
      <c r="O1035" s="44"/>
      <c r="P1035" s="44"/>
      <c r="Q1035" s="48" t="e">
        <f>VLOOKUP(E1035,sheet1!$B$2:$D$3209,3,FALSE)</f>
        <v>#N/A</v>
      </c>
      <c r="R1035" s="47" t="s">
        <v>35</v>
      </c>
      <c r="S1035" s="47" t="s">
        <v>296</v>
      </c>
      <c r="T1035" s="47"/>
      <c r="U1035" s="47" t="s">
        <v>35</v>
      </c>
      <c r="V1035" s="47" t="s">
        <v>296</v>
      </c>
      <c r="W1035" s="47" t="s">
        <v>296</v>
      </c>
      <c r="X1035" s="47" t="s">
        <v>296</v>
      </c>
      <c r="Y1035" s="47"/>
      <c r="Z1035" s="47" t="s">
        <v>296</v>
      </c>
      <c r="AA1035" s="47" t="s">
        <v>296</v>
      </c>
      <c r="AB1035" s="47"/>
      <c r="AC1035" s="47" t="s">
        <v>35</v>
      </c>
      <c r="AD1035" s="75"/>
      <c r="AE1035" s="49"/>
      <c r="AF1035" s="51" t="s">
        <v>3704</v>
      </c>
      <c r="AG1035" s="51" t="s">
        <v>3705</v>
      </c>
      <c r="AH1035" s="49" t="str">
        <f t="shared" si="58"/>
        <v>総務振替データ一覧</v>
      </c>
      <c r="AI1035" s="49"/>
      <c r="AJ1035" s="49"/>
      <c r="AK1035" s="49"/>
      <c r="AL1035" s="49"/>
      <c r="AM1035" s="49"/>
      <c r="AN1035" s="49"/>
      <c r="AO1035" s="51" t="str">
        <f t="shared" si="54"/>
        <v/>
      </c>
      <c r="AP1035" s="51" t="str">
        <f t="shared" si="55"/>
        <v/>
      </c>
      <c r="AQ1035" s="49"/>
      <c r="AR1035" s="49"/>
      <c r="AS1035" s="49" t="str">
        <f t="shared" si="56"/>
        <v>勤怠データ更新前復元（個人）</v>
      </c>
      <c r="AT1035" s="49" t="str">
        <f t="shared" si="57"/>
        <v/>
      </c>
      <c r="AU1035" s="49" t="s">
        <v>3678</v>
      </c>
      <c r="AV1035" s="49"/>
    </row>
    <row r="1036" spans="1:48" ht="18" customHeight="1">
      <c r="A1036" s="44">
        <v>1034</v>
      </c>
      <c r="B1036" s="52" t="s">
        <v>2702</v>
      </c>
      <c r="C1036" s="71" t="s">
        <v>3654</v>
      </c>
      <c r="D1036" s="46" t="s">
        <v>72</v>
      </c>
      <c r="E1036" s="46" t="s">
        <v>72</v>
      </c>
      <c r="F1036" s="44" t="s">
        <v>3706</v>
      </c>
      <c r="G1036" s="44"/>
      <c r="H1036" s="44"/>
      <c r="I1036" s="44"/>
      <c r="J1036" s="47" t="s">
        <v>35</v>
      </c>
      <c r="K1036" s="47"/>
      <c r="L1036" s="47"/>
      <c r="M1036" s="47"/>
      <c r="N1036" s="47"/>
      <c r="O1036" s="44"/>
      <c r="P1036" s="44"/>
      <c r="Q1036" s="48" t="e">
        <f>VLOOKUP(E1036,sheet1!$B$2:$D$3209,3,FALSE)</f>
        <v>#N/A</v>
      </c>
      <c r="R1036" s="47" t="s">
        <v>35</v>
      </c>
      <c r="S1036" s="47" t="s">
        <v>296</v>
      </c>
      <c r="T1036" s="47"/>
      <c r="U1036" s="47" t="s">
        <v>35</v>
      </c>
      <c r="V1036" s="47" t="s">
        <v>296</v>
      </c>
      <c r="W1036" s="47" t="s">
        <v>296</v>
      </c>
      <c r="X1036" s="47" t="s">
        <v>296</v>
      </c>
      <c r="Y1036" s="47"/>
      <c r="Z1036" s="47" t="s">
        <v>296</v>
      </c>
      <c r="AA1036" s="47" t="s">
        <v>296</v>
      </c>
      <c r="AB1036" s="47"/>
      <c r="AC1036" s="47" t="s">
        <v>35</v>
      </c>
      <c r="AD1036" s="75"/>
      <c r="AE1036" s="49"/>
      <c r="AF1036" s="51" t="s">
        <v>3707</v>
      </c>
      <c r="AG1036" s="51" t="s">
        <v>3708</v>
      </c>
      <c r="AH1036" s="49" t="str">
        <f t="shared" si="58"/>
        <v>業務別経費割振部課別一覧</v>
      </c>
      <c r="AI1036" s="49"/>
      <c r="AJ1036" s="49"/>
      <c r="AK1036" s="49"/>
      <c r="AL1036" s="49"/>
      <c r="AM1036" s="49"/>
      <c r="AN1036" s="49"/>
      <c r="AO1036" s="51" t="str">
        <f t="shared" si="54"/>
        <v/>
      </c>
      <c r="AP1036" s="51" t="str">
        <f t="shared" si="55"/>
        <v/>
      </c>
      <c r="AQ1036" s="49"/>
      <c r="AR1036" s="49"/>
      <c r="AS1036" s="49" t="str">
        <f t="shared" si="56"/>
        <v>勤怠及び残業管理</v>
      </c>
      <c r="AT1036" s="49" t="str">
        <f t="shared" si="57"/>
        <v/>
      </c>
      <c r="AU1036" s="49" t="s">
        <v>3679</v>
      </c>
      <c r="AV1036" s="49"/>
    </row>
    <row r="1037" spans="1:48" ht="18" customHeight="1">
      <c r="A1037" s="44">
        <v>1035</v>
      </c>
      <c r="B1037" s="52" t="s">
        <v>2702</v>
      </c>
      <c r="C1037" s="71" t="s">
        <v>3654</v>
      </c>
      <c r="D1037" s="46" t="s">
        <v>72</v>
      </c>
      <c r="E1037" s="46" t="s">
        <v>72</v>
      </c>
      <c r="F1037" s="44" t="s">
        <v>3709</v>
      </c>
      <c r="G1037" s="44"/>
      <c r="H1037" s="44"/>
      <c r="I1037" s="44"/>
      <c r="J1037" s="47" t="s">
        <v>35</v>
      </c>
      <c r="K1037" s="47"/>
      <c r="L1037" s="47"/>
      <c r="M1037" s="47"/>
      <c r="N1037" s="47"/>
      <c r="O1037" s="44"/>
      <c r="P1037" s="44"/>
      <c r="Q1037" s="48" t="e">
        <f>VLOOKUP(E1037,sheet1!$B$2:$D$3209,3,FALSE)</f>
        <v>#N/A</v>
      </c>
      <c r="R1037" s="47" t="s">
        <v>35</v>
      </c>
      <c r="S1037" s="47" t="s">
        <v>296</v>
      </c>
      <c r="T1037" s="47"/>
      <c r="U1037" s="47" t="s">
        <v>35</v>
      </c>
      <c r="V1037" s="47" t="s">
        <v>296</v>
      </c>
      <c r="W1037" s="47" t="s">
        <v>296</v>
      </c>
      <c r="X1037" s="47" t="s">
        <v>296</v>
      </c>
      <c r="Y1037" s="47"/>
      <c r="Z1037" s="47" t="s">
        <v>296</v>
      </c>
      <c r="AA1037" s="47" t="s">
        <v>296</v>
      </c>
      <c r="AB1037" s="47"/>
      <c r="AC1037" s="47" t="s">
        <v>35</v>
      </c>
      <c r="AD1037" s="75"/>
      <c r="AE1037" s="49"/>
      <c r="AF1037" s="51" t="s">
        <v>3710</v>
      </c>
      <c r="AG1037" s="51" t="s">
        <v>3711</v>
      </c>
      <c r="AH1037" s="49" t="str">
        <f t="shared" si="58"/>
        <v>自動仕訳データ転送（総務）</v>
      </c>
      <c r="AI1037" s="49"/>
      <c r="AJ1037" s="49"/>
      <c r="AK1037" s="49"/>
      <c r="AL1037" s="49"/>
      <c r="AM1037" s="49"/>
      <c r="AN1037" s="49"/>
      <c r="AO1037" s="51" t="str">
        <f t="shared" si="54"/>
        <v/>
      </c>
      <c r="AP1037" s="51" t="str">
        <f t="shared" si="55"/>
        <v/>
      </c>
      <c r="AQ1037" s="49"/>
      <c r="AR1037" s="49"/>
      <c r="AS1037" s="49" t="str">
        <f t="shared" si="56"/>
        <v>通産省　生産動態統計調査</v>
      </c>
      <c r="AT1037" s="49" t="str">
        <f t="shared" si="57"/>
        <v/>
      </c>
      <c r="AU1037" s="49" t="s">
        <v>3681</v>
      </c>
      <c r="AV1037" s="49"/>
    </row>
    <row r="1038" spans="1:48" ht="18" customHeight="1">
      <c r="A1038" s="44">
        <v>1036</v>
      </c>
      <c r="B1038" s="52" t="s">
        <v>2702</v>
      </c>
      <c r="C1038" s="71" t="s">
        <v>3654</v>
      </c>
      <c r="D1038" s="46" t="s">
        <v>72</v>
      </c>
      <c r="E1038" s="46" t="s">
        <v>72</v>
      </c>
      <c r="F1038" s="44" t="s">
        <v>3712</v>
      </c>
      <c r="G1038" s="44"/>
      <c r="H1038" s="44"/>
      <c r="I1038" s="44"/>
      <c r="J1038" s="47" t="s">
        <v>35</v>
      </c>
      <c r="K1038" s="47"/>
      <c r="L1038" s="47"/>
      <c r="M1038" s="47"/>
      <c r="N1038" s="47"/>
      <c r="O1038" s="44"/>
      <c r="P1038" s="44"/>
      <c r="Q1038" s="48" t="e">
        <f>VLOOKUP(E1038,sheet1!$B$2:$D$3209,3,FALSE)</f>
        <v>#N/A</v>
      </c>
      <c r="R1038" s="47" t="s">
        <v>35</v>
      </c>
      <c r="S1038" s="47" t="s">
        <v>296</v>
      </c>
      <c r="T1038" s="47"/>
      <c r="U1038" s="47" t="s">
        <v>35</v>
      </c>
      <c r="V1038" s="47" t="s">
        <v>296</v>
      </c>
      <c r="W1038" s="47" t="s">
        <v>296</v>
      </c>
      <c r="X1038" s="47" t="s">
        <v>296</v>
      </c>
      <c r="Y1038" s="47"/>
      <c r="Z1038" s="47" t="s">
        <v>296</v>
      </c>
      <c r="AA1038" s="47" t="s">
        <v>296</v>
      </c>
      <c r="AB1038" s="47"/>
      <c r="AC1038" s="47" t="s">
        <v>35</v>
      </c>
      <c r="AD1038" s="75"/>
      <c r="AE1038" s="49"/>
      <c r="AF1038" s="51" t="s">
        <v>3595</v>
      </c>
      <c r="AG1038" s="51" t="s">
        <v>3596</v>
      </c>
      <c r="AH1038" s="49" t="str">
        <f t="shared" si="58"/>
        <v>自動仕訳データ伝票発行</v>
      </c>
      <c r="AI1038" s="49"/>
      <c r="AJ1038" s="49"/>
      <c r="AK1038" s="49"/>
      <c r="AL1038" s="49"/>
      <c r="AM1038" s="49"/>
      <c r="AN1038" s="49"/>
      <c r="AO1038" s="51" t="str">
        <f t="shared" si="54"/>
        <v/>
      </c>
      <c r="AP1038" s="51" t="str">
        <f t="shared" si="55"/>
        <v/>
      </c>
      <c r="AQ1038" s="49"/>
      <c r="AR1038" s="49"/>
      <c r="AS1038" s="49" t="str">
        <f t="shared" si="56"/>
        <v/>
      </c>
      <c r="AT1038" s="49" t="str">
        <f t="shared" si="57"/>
        <v/>
      </c>
      <c r="AU1038" s="49"/>
      <c r="AV1038" s="49"/>
    </row>
    <row r="1039" spans="1:48" ht="18" customHeight="1">
      <c r="A1039" s="44">
        <v>1037</v>
      </c>
      <c r="B1039" s="52" t="s">
        <v>2702</v>
      </c>
      <c r="C1039" s="75" t="s">
        <v>3713</v>
      </c>
      <c r="D1039" s="46" t="s">
        <v>72</v>
      </c>
      <c r="E1039" s="44" t="s">
        <v>3684</v>
      </c>
      <c r="F1039" s="44" t="s">
        <v>3714</v>
      </c>
      <c r="G1039" s="44"/>
      <c r="H1039" s="44"/>
      <c r="I1039" s="44"/>
      <c r="J1039" s="47" t="s">
        <v>35</v>
      </c>
      <c r="K1039" s="47"/>
      <c r="L1039" s="47"/>
      <c r="M1039" s="47"/>
      <c r="N1039" s="47"/>
      <c r="O1039" s="44"/>
      <c r="P1039" s="44"/>
      <c r="Q1039" s="48">
        <f>VLOOKUP(E1039,sheet1!$B$2:$D$3209,3,FALSE)</f>
        <v>848</v>
      </c>
      <c r="R1039" s="47" t="s">
        <v>35</v>
      </c>
      <c r="S1039" s="47" t="s">
        <v>296</v>
      </c>
      <c r="T1039" s="47"/>
      <c r="U1039" s="47" t="s">
        <v>296</v>
      </c>
      <c r="V1039" s="47" t="s">
        <v>35</v>
      </c>
      <c r="W1039" s="47" t="s">
        <v>296</v>
      </c>
      <c r="X1039" s="47" t="s">
        <v>296</v>
      </c>
      <c r="Y1039" s="47"/>
      <c r="Z1039" s="47" t="s">
        <v>296</v>
      </c>
      <c r="AA1039" s="47" t="s">
        <v>296</v>
      </c>
      <c r="AB1039" s="47"/>
      <c r="AC1039" s="47" t="s">
        <v>35</v>
      </c>
      <c r="AD1039" s="75"/>
      <c r="AE1039" s="49"/>
      <c r="AF1039" s="36" t="s">
        <v>3715</v>
      </c>
      <c r="AG1039" s="49" t="s">
        <v>3716</v>
      </c>
      <c r="AH1039" s="49" t="str">
        <f t="shared" si="58"/>
        <v>開発機種ﾏｽﾀｰﾒﾝﾃﾅﾝｽ</v>
      </c>
      <c r="AI1039" s="49"/>
      <c r="AJ1039" s="49"/>
      <c r="AK1039" s="49"/>
      <c r="AL1039" s="49"/>
      <c r="AM1039" s="49"/>
      <c r="AN1039" s="49"/>
      <c r="AO1039" s="51" t="str">
        <f t="shared" si="54"/>
        <v/>
      </c>
      <c r="AP1039" s="51" t="str">
        <f t="shared" si="55"/>
        <v/>
      </c>
      <c r="AQ1039" s="49"/>
      <c r="AR1039" s="49"/>
      <c r="AS1039" s="49" t="str">
        <f t="shared" si="56"/>
        <v/>
      </c>
      <c r="AT1039" s="49" t="str">
        <f t="shared" si="57"/>
        <v/>
      </c>
      <c r="AU1039" s="49"/>
      <c r="AV1039" s="49"/>
    </row>
    <row r="1040" spans="1:48" ht="18" customHeight="1">
      <c r="A1040" s="44">
        <v>1038</v>
      </c>
      <c r="B1040" s="52" t="s">
        <v>2702</v>
      </c>
      <c r="C1040" s="80" t="s">
        <v>3713</v>
      </c>
      <c r="D1040" s="46" t="s">
        <v>72</v>
      </c>
      <c r="E1040" s="44" t="s">
        <v>3687</v>
      </c>
      <c r="F1040" s="44" t="s">
        <v>3717</v>
      </c>
      <c r="G1040" s="44"/>
      <c r="H1040" s="44"/>
      <c r="I1040" s="44"/>
      <c r="J1040" s="47" t="s">
        <v>35</v>
      </c>
      <c r="K1040" s="47"/>
      <c r="L1040" s="47"/>
      <c r="M1040" s="47"/>
      <c r="N1040" s="47"/>
      <c r="O1040" s="44"/>
      <c r="P1040" s="44"/>
      <c r="Q1040" s="48">
        <f>VLOOKUP(E1040,sheet1!$B$2:$D$3209,3,FALSE)</f>
        <v>672</v>
      </c>
      <c r="R1040" s="47" t="s">
        <v>35</v>
      </c>
      <c r="S1040" s="47" t="s">
        <v>296</v>
      </c>
      <c r="T1040" s="47"/>
      <c r="U1040" s="47" t="s">
        <v>296</v>
      </c>
      <c r="V1040" s="47" t="s">
        <v>35</v>
      </c>
      <c r="W1040" s="47" t="s">
        <v>296</v>
      </c>
      <c r="X1040" s="47" t="s">
        <v>296</v>
      </c>
      <c r="Y1040" s="47"/>
      <c r="Z1040" s="47" t="s">
        <v>296</v>
      </c>
      <c r="AA1040" s="47" t="s">
        <v>296</v>
      </c>
      <c r="AB1040" s="47"/>
      <c r="AC1040" s="47" t="s">
        <v>35</v>
      </c>
      <c r="AD1040" s="75"/>
      <c r="AE1040" s="49"/>
      <c r="AF1040" s="49" t="s">
        <v>3718</v>
      </c>
      <c r="AG1040" s="49" t="s">
        <v>3719</v>
      </c>
      <c r="AH1040" s="49" t="str">
        <f t="shared" si="58"/>
        <v>開発工数入力</v>
      </c>
      <c r="AI1040" s="49"/>
      <c r="AJ1040" s="49"/>
      <c r="AK1040" s="49"/>
      <c r="AL1040" s="49"/>
      <c r="AM1040" s="49"/>
      <c r="AN1040" s="49"/>
      <c r="AO1040" s="51" t="str">
        <f t="shared" si="54"/>
        <v/>
      </c>
      <c r="AP1040" s="51" t="str">
        <f t="shared" si="55"/>
        <v/>
      </c>
      <c r="AQ1040" s="49"/>
      <c r="AR1040" s="49"/>
      <c r="AS1040" s="49" t="str">
        <f t="shared" si="56"/>
        <v/>
      </c>
      <c r="AT1040" s="49" t="str">
        <f t="shared" si="57"/>
        <v/>
      </c>
      <c r="AU1040" s="49"/>
      <c r="AV1040" s="49"/>
    </row>
    <row r="1041" spans="1:48" ht="18" customHeight="1">
      <c r="A1041" s="44">
        <v>1039</v>
      </c>
      <c r="B1041" s="52" t="s">
        <v>2702</v>
      </c>
      <c r="C1041" s="80" t="s">
        <v>3713</v>
      </c>
      <c r="D1041" s="46" t="s">
        <v>72</v>
      </c>
      <c r="E1041" s="44" t="s">
        <v>3690</v>
      </c>
      <c r="F1041" s="44" t="s">
        <v>3720</v>
      </c>
      <c r="G1041" s="44"/>
      <c r="H1041" s="44"/>
      <c r="I1041" s="44"/>
      <c r="J1041" s="47" t="s">
        <v>35</v>
      </c>
      <c r="K1041" s="47"/>
      <c r="L1041" s="47"/>
      <c r="M1041" s="47"/>
      <c r="N1041" s="47"/>
      <c r="O1041" s="44"/>
      <c r="P1041" s="44"/>
      <c r="Q1041" s="48">
        <f>VLOOKUP(E1041,sheet1!$B$2:$D$3209,3,FALSE)</f>
        <v>663</v>
      </c>
      <c r="R1041" s="47" t="s">
        <v>35</v>
      </c>
      <c r="S1041" s="47" t="s">
        <v>296</v>
      </c>
      <c r="T1041" s="47"/>
      <c r="U1041" s="47" t="s">
        <v>296</v>
      </c>
      <c r="V1041" s="47" t="s">
        <v>35</v>
      </c>
      <c r="W1041" s="47" t="s">
        <v>296</v>
      </c>
      <c r="X1041" s="47" t="s">
        <v>296</v>
      </c>
      <c r="Y1041" s="47"/>
      <c r="Z1041" s="47" t="s">
        <v>296</v>
      </c>
      <c r="AA1041" s="47" t="s">
        <v>296</v>
      </c>
      <c r="AB1041" s="47"/>
      <c r="AC1041" s="47" t="s">
        <v>35</v>
      </c>
      <c r="AD1041" s="75"/>
      <c r="AE1041" s="49"/>
      <c r="AF1041" s="49" t="s">
        <v>3721</v>
      </c>
      <c r="AG1041" s="49" t="s">
        <v>3722</v>
      </c>
      <c r="AH1041" s="49" t="str">
        <f t="shared" si="58"/>
        <v>ﾌﾟﾛｼﾞｪｸﾄｺｰﾄﾞﾏｽﾀｰ照会</v>
      </c>
      <c r="AI1041" s="49"/>
      <c r="AJ1041" s="49"/>
      <c r="AK1041" s="49"/>
      <c r="AL1041" s="49"/>
      <c r="AM1041" s="49"/>
      <c r="AN1041" s="49"/>
      <c r="AO1041" s="51" t="str">
        <f t="shared" si="54"/>
        <v/>
      </c>
      <c r="AP1041" s="51" t="str">
        <f t="shared" si="55"/>
        <v/>
      </c>
      <c r="AQ1041" s="49"/>
      <c r="AR1041" s="49"/>
      <c r="AS1041" s="49" t="str">
        <f t="shared" si="56"/>
        <v/>
      </c>
      <c r="AT1041" s="49" t="str">
        <f t="shared" si="57"/>
        <v/>
      </c>
      <c r="AU1041" s="49"/>
      <c r="AV1041" s="49"/>
    </row>
    <row r="1042" spans="1:48" ht="18" customHeight="1">
      <c r="A1042" s="44">
        <v>1040</v>
      </c>
      <c r="B1042" s="52" t="s">
        <v>2702</v>
      </c>
      <c r="C1042" s="80" t="s">
        <v>3713</v>
      </c>
      <c r="D1042" s="46" t="s">
        <v>72</v>
      </c>
      <c r="E1042" s="44" t="s">
        <v>3693</v>
      </c>
      <c r="F1042" s="44" t="s">
        <v>3723</v>
      </c>
      <c r="G1042" s="44"/>
      <c r="H1042" s="44"/>
      <c r="I1042" s="44"/>
      <c r="J1042" s="47" t="s">
        <v>35</v>
      </c>
      <c r="K1042" s="47"/>
      <c r="L1042" s="47"/>
      <c r="M1042" s="47"/>
      <c r="N1042" s="47"/>
      <c r="O1042" s="44"/>
      <c r="P1042" s="44"/>
      <c r="Q1042" s="48">
        <f>VLOOKUP(E1042,sheet1!$B$2:$D$3209,3,FALSE)</f>
        <v>579</v>
      </c>
      <c r="R1042" s="47" t="s">
        <v>35</v>
      </c>
      <c r="S1042" s="47" t="s">
        <v>296</v>
      </c>
      <c r="T1042" s="47"/>
      <c r="U1042" s="47" t="s">
        <v>296</v>
      </c>
      <c r="V1042" s="47" t="s">
        <v>35</v>
      </c>
      <c r="W1042" s="47" t="s">
        <v>296</v>
      </c>
      <c r="X1042" s="47" t="s">
        <v>296</v>
      </c>
      <c r="Y1042" s="47"/>
      <c r="Z1042" s="47" t="s">
        <v>296</v>
      </c>
      <c r="AA1042" s="47" t="s">
        <v>296</v>
      </c>
      <c r="AB1042" s="47"/>
      <c r="AC1042" s="47" t="s">
        <v>35</v>
      </c>
      <c r="AD1042" s="75"/>
      <c r="AE1042" s="49"/>
      <c r="AF1042" s="49" t="s">
        <v>3724</v>
      </c>
      <c r="AG1042" s="49" t="s">
        <v>3725</v>
      </c>
      <c r="AH1042" s="49" t="str">
        <f t="shared" si="58"/>
        <v>ﾌﾟﾛｼﾞｪｸﾄｺｰﾄﾞ付移動実績抽出</v>
      </c>
      <c r="AI1042" s="49"/>
      <c r="AJ1042" s="49"/>
      <c r="AK1042" s="49"/>
      <c r="AL1042" s="49"/>
      <c r="AM1042" s="49"/>
      <c r="AN1042" s="49"/>
      <c r="AO1042" s="51" t="str">
        <f t="shared" si="54"/>
        <v/>
      </c>
      <c r="AP1042" s="51" t="str">
        <f t="shared" si="55"/>
        <v/>
      </c>
      <c r="AQ1042" s="49"/>
      <c r="AR1042" s="49"/>
      <c r="AS1042" s="49" t="str">
        <f t="shared" si="56"/>
        <v/>
      </c>
      <c r="AT1042" s="49" t="str">
        <f t="shared" si="57"/>
        <v/>
      </c>
      <c r="AU1042" s="49"/>
      <c r="AV1042" s="49"/>
    </row>
    <row r="1043" spans="1:48" ht="18" customHeight="1">
      <c r="A1043" s="44">
        <v>1041</v>
      </c>
      <c r="B1043" s="52" t="s">
        <v>2702</v>
      </c>
      <c r="C1043" s="80" t="s">
        <v>3713</v>
      </c>
      <c r="D1043" s="46" t="s">
        <v>72</v>
      </c>
      <c r="E1043" s="44" t="s">
        <v>3696</v>
      </c>
      <c r="F1043" s="44" t="s">
        <v>3604</v>
      </c>
      <c r="G1043" s="44"/>
      <c r="H1043" s="44"/>
      <c r="I1043" s="44"/>
      <c r="J1043" s="47" t="s">
        <v>35</v>
      </c>
      <c r="K1043" s="47"/>
      <c r="L1043" s="47"/>
      <c r="M1043" s="47"/>
      <c r="N1043" s="47"/>
      <c r="O1043" s="44"/>
      <c r="P1043" s="44"/>
      <c r="Q1043" s="48">
        <f>VLOOKUP(E1043,sheet1!$B$2:$D$3209,3,FALSE)</f>
        <v>144</v>
      </c>
      <c r="R1043" s="47" t="s">
        <v>35</v>
      </c>
      <c r="S1043" s="47" t="s">
        <v>296</v>
      </c>
      <c r="T1043" s="47"/>
      <c r="U1043" s="47" t="s">
        <v>296</v>
      </c>
      <c r="V1043" s="47" t="s">
        <v>35</v>
      </c>
      <c r="W1043" s="47" t="s">
        <v>296</v>
      </c>
      <c r="X1043" s="47" t="s">
        <v>296</v>
      </c>
      <c r="Y1043" s="47"/>
      <c r="Z1043" s="47" t="s">
        <v>296</v>
      </c>
      <c r="AA1043" s="47" t="s">
        <v>296</v>
      </c>
      <c r="AB1043" s="47"/>
      <c r="AC1043" s="47" t="s">
        <v>35</v>
      </c>
      <c r="AD1043" s="75"/>
      <c r="AE1043" s="49"/>
      <c r="AF1043" s="49" t="s">
        <v>3726</v>
      </c>
      <c r="AG1043" s="49" t="s">
        <v>3727</v>
      </c>
      <c r="AH1043" s="49" t="str">
        <f t="shared" si="58"/>
        <v>ﾌﾟﾛｼﾞｪｸﾄｺｰﾄﾞﾏｽﾀﾒﾝﾃﾅﾝｽ</v>
      </c>
      <c r="AI1043" s="49"/>
      <c r="AJ1043" s="49"/>
      <c r="AK1043" s="49"/>
      <c r="AL1043" s="49"/>
      <c r="AM1043" s="49"/>
      <c r="AN1043" s="49"/>
      <c r="AO1043" s="51" t="str">
        <f t="shared" si="54"/>
        <v/>
      </c>
      <c r="AP1043" s="51" t="str">
        <f t="shared" si="55"/>
        <v/>
      </c>
      <c r="AQ1043" s="49"/>
      <c r="AR1043" s="49"/>
      <c r="AS1043" s="49" t="str">
        <f t="shared" si="56"/>
        <v/>
      </c>
      <c r="AT1043" s="49" t="str">
        <f t="shared" si="57"/>
        <v/>
      </c>
      <c r="AU1043" s="49"/>
      <c r="AV1043" s="49"/>
    </row>
    <row r="1044" spans="1:48" ht="18" customHeight="1">
      <c r="A1044" s="44">
        <v>1042</v>
      </c>
      <c r="B1044" s="52" t="s">
        <v>2702</v>
      </c>
      <c r="C1044" s="80" t="s">
        <v>3713</v>
      </c>
      <c r="D1044" s="46" t="s">
        <v>72</v>
      </c>
      <c r="E1044" s="44" t="s">
        <v>3699</v>
      </c>
      <c r="F1044" s="44" t="s">
        <v>3728</v>
      </c>
      <c r="G1044" s="44"/>
      <c r="H1044" s="44"/>
      <c r="I1044" s="44"/>
      <c r="J1044" s="47" t="s">
        <v>35</v>
      </c>
      <c r="K1044" s="47"/>
      <c r="L1044" s="47"/>
      <c r="M1044" s="47"/>
      <c r="N1044" s="47"/>
      <c r="O1044" s="44"/>
      <c r="P1044" s="44"/>
      <c r="Q1044" s="48">
        <f>VLOOKUP(E1044,sheet1!$B$2:$D$3209,3,FALSE)</f>
        <v>151</v>
      </c>
      <c r="R1044" s="47" t="s">
        <v>35</v>
      </c>
      <c r="S1044" s="47" t="s">
        <v>296</v>
      </c>
      <c r="T1044" s="47"/>
      <c r="U1044" s="47" t="s">
        <v>296</v>
      </c>
      <c r="V1044" s="47" t="s">
        <v>35</v>
      </c>
      <c r="W1044" s="47" t="s">
        <v>296</v>
      </c>
      <c r="X1044" s="47" t="s">
        <v>296</v>
      </c>
      <c r="Y1044" s="47"/>
      <c r="Z1044" s="47" t="s">
        <v>296</v>
      </c>
      <c r="AA1044" s="47" t="s">
        <v>296</v>
      </c>
      <c r="AB1044" s="47"/>
      <c r="AC1044" s="47" t="s">
        <v>35</v>
      </c>
      <c r="AD1044" s="75"/>
      <c r="AE1044" s="49"/>
      <c r="AF1044" s="49" t="s">
        <v>3729</v>
      </c>
      <c r="AG1044" s="49" t="s">
        <v>3730</v>
      </c>
      <c r="AH1044" s="49" t="str">
        <f t="shared" si="58"/>
        <v>部課別個人別業務内容集計表</v>
      </c>
      <c r="AI1044" s="49"/>
      <c r="AJ1044" s="49"/>
      <c r="AK1044" s="49"/>
      <c r="AL1044" s="49"/>
      <c r="AM1044" s="49"/>
      <c r="AN1044" s="49"/>
      <c r="AO1044" s="51" t="str">
        <f t="shared" si="54"/>
        <v/>
      </c>
      <c r="AP1044" s="51" t="str">
        <f t="shared" si="55"/>
        <v/>
      </c>
      <c r="AQ1044" s="49"/>
      <c r="AR1044" s="49"/>
      <c r="AS1044" s="49" t="str">
        <f t="shared" si="56"/>
        <v/>
      </c>
      <c r="AT1044" s="49" t="str">
        <f t="shared" si="57"/>
        <v/>
      </c>
      <c r="AU1044" s="49"/>
      <c r="AV1044" s="49"/>
    </row>
    <row r="1045" spans="1:48" ht="18" customHeight="1">
      <c r="A1045" s="44">
        <v>1043</v>
      </c>
      <c r="B1045" s="52" t="s">
        <v>2702</v>
      </c>
      <c r="C1045" s="80" t="s">
        <v>3713</v>
      </c>
      <c r="D1045" s="46" t="s">
        <v>72</v>
      </c>
      <c r="E1045" s="44" t="s">
        <v>3702</v>
      </c>
      <c r="F1045" s="44" t="s">
        <v>3731</v>
      </c>
      <c r="G1045" s="44"/>
      <c r="H1045" s="44"/>
      <c r="I1045" s="44"/>
      <c r="J1045" s="47" t="s">
        <v>35</v>
      </c>
      <c r="K1045" s="47"/>
      <c r="L1045" s="47"/>
      <c r="M1045" s="47"/>
      <c r="N1045" s="47"/>
      <c r="O1045" s="44"/>
      <c r="P1045" s="44"/>
      <c r="Q1045" s="48">
        <f>VLOOKUP(E1045,sheet1!$B$2:$D$3209,3,FALSE)</f>
        <v>1191</v>
      </c>
      <c r="R1045" s="47" t="s">
        <v>35</v>
      </c>
      <c r="S1045" s="47" t="s">
        <v>296</v>
      </c>
      <c r="T1045" s="47"/>
      <c r="U1045" s="47" t="s">
        <v>296</v>
      </c>
      <c r="V1045" s="47" t="s">
        <v>35</v>
      </c>
      <c r="W1045" s="47" t="s">
        <v>296</v>
      </c>
      <c r="X1045" s="47" t="s">
        <v>296</v>
      </c>
      <c r="Y1045" s="47"/>
      <c r="Z1045" s="47" t="s">
        <v>296</v>
      </c>
      <c r="AA1045" s="47" t="s">
        <v>296</v>
      </c>
      <c r="AB1045" s="47"/>
      <c r="AC1045" s="47" t="s">
        <v>35</v>
      </c>
      <c r="AD1045" s="75"/>
      <c r="AE1045" s="49"/>
      <c r="AF1045" s="49" t="s">
        <v>3732</v>
      </c>
      <c r="AG1045" s="49" t="s">
        <v>3733</v>
      </c>
      <c r="AH1045" s="49" t="str">
        <f t="shared" si="58"/>
        <v>機種別業務時間集計表</v>
      </c>
      <c r="AI1045" s="49"/>
      <c r="AJ1045" s="49"/>
      <c r="AK1045" s="49"/>
      <c r="AL1045" s="49"/>
      <c r="AM1045" s="49"/>
      <c r="AN1045" s="49"/>
      <c r="AO1045" s="51" t="str">
        <f t="shared" si="54"/>
        <v/>
      </c>
      <c r="AP1045" s="51" t="str">
        <f t="shared" si="55"/>
        <v/>
      </c>
      <c r="AQ1045" s="49"/>
      <c r="AR1045" s="49"/>
      <c r="AS1045" s="49" t="str">
        <f t="shared" si="56"/>
        <v/>
      </c>
      <c r="AT1045" s="49" t="str">
        <f t="shared" si="57"/>
        <v/>
      </c>
      <c r="AU1045" s="49"/>
      <c r="AV1045" s="49"/>
    </row>
    <row r="1046" spans="1:48" ht="18" customHeight="1">
      <c r="A1046" s="44">
        <v>1044</v>
      </c>
      <c r="B1046" s="52" t="s">
        <v>2702</v>
      </c>
      <c r="C1046" s="80" t="s">
        <v>3713</v>
      </c>
      <c r="D1046" s="46" t="s">
        <v>72</v>
      </c>
      <c r="E1046" s="44" t="s">
        <v>3705</v>
      </c>
      <c r="F1046" s="44" t="s">
        <v>3734</v>
      </c>
      <c r="G1046" s="44"/>
      <c r="H1046" s="44"/>
      <c r="I1046" s="44"/>
      <c r="J1046" s="47" t="s">
        <v>35</v>
      </c>
      <c r="K1046" s="47"/>
      <c r="L1046" s="47"/>
      <c r="M1046" s="47"/>
      <c r="N1046" s="47"/>
      <c r="O1046" s="44"/>
      <c r="P1046" s="44"/>
      <c r="Q1046" s="48">
        <f>VLOOKUP(E1046,sheet1!$B$2:$D$3209,3,FALSE)</f>
        <v>470</v>
      </c>
      <c r="R1046" s="47" t="s">
        <v>35</v>
      </c>
      <c r="S1046" s="47" t="s">
        <v>296</v>
      </c>
      <c r="T1046" s="47"/>
      <c r="U1046" s="47" t="s">
        <v>296</v>
      </c>
      <c r="V1046" s="47" t="s">
        <v>35</v>
      </c>
      <c r="W1046" s="47" t="s">
        <v>296</v>
      </c>
      <c r="X1046" s="47" t="s">
        <v>296</v>
      </c>
      <c r="Y1046" s="47"/>
      <c r="Z1046" s="47" t="s">
        <v>296</v>
      </c>
      <c r="AA1046" s="47" t="s">
        <v>296</v>
      </c>
      <c r="AB1046" s="47"/>
      <c r="AC1046" s="47" t="s">
        <v>35</v>
      </c>
      <c r="AD1046" s="75"/>
      <c r="AE1046" s="49"/>
      <c r="AF1046" s="49" t="s">
        <v>3735</v>
      </c>
      <c r="AG1046" s="49" t="s">
        <v>3736</v>
      </c>
      <c r="AH1046" s="49" t="str">
        <f t="shared" si="58"/>
        <v>機種別業務時間期別累計表</v>
      </c>
      <c r="AI1046" s="49"/>
      <c r="AJ1046" s="49"/>
      <c r="AK1046" s="49"/>
      <c r="AL1046" s="49"/>
      <c r="AM1046" s="49"/>
      <c r="AN1046" s="49"/>
      <c r="AO1046" s="51" t="str">
        <f t="shared" si="54"/>
        <v/>
      </c>
      <c r="AP1046" s="51" t="str">
        <f t="shared" si="55"/>
        <v/>
      </c>
      <c r="AQ1046" s="49"/>
      <c r="AR1046" s="49"/>
      <c r="AS1046" s="49" t="str">
        <f t="shared" si="56"/>
        <v/>
      </c>
      <c r="AT1046" s="49" t="str">
        <f t="shared" si="57"/>
        <v/>
      </c>
      <c r="AU1046" s="49"/>
      <c r="AV1046" s="49"/>
    </row>
    <row r="1047" spans="1:48" ht="18" customHeight="1">
      <c r="A1047" s="44">
        <v>1045</v>
      </c>
      <c r="B1047" s="52" t="s">
        <v>2702</v>
      </c>
      <c r="C1047" s="80" t="s">
        <v>3713</v>
      </c>
      <c r="D1047" s="46" t="s">
        <v>72</v>
      </c>
      <c r="E1047" s="44" t="s">
        <v>3708</v>
      </c>
      <c r="F1047" s="44" t="s">
        <v>3737</v>
      </c>
      <c r="G1047" s="44"/>
      <c r="H1047" s="44"/>
      <c r="I1047" s="44"/>
      <c r="J1047" s="47" t="s">
        <v>35</v>
      </c>
      <c r="K1047" s="47"/>
      <c r="L1047" s="47"/>
      <c r="M1047" s="47"/>
      <c r="N1047" s="47"/>
      <c r="O1047" s="44"/>
      <c r="P1047" s="44"/>
      <c r="Q1047" s="48">
        <f>VLOOKUP(E1047,sheet1!$B$2:$D$3209,3,FALSE)</f>
        <v>120</v>
      </c>
      <c r="R1047" s="47" t="s">
        <v>35</v>
      </c>
      <c r="S1047" s="47" t="s">
        <v>296</v>
      </c>
      <c r="T1047" s="47"/>
      <c r="U1047" s="47" t="s">
        <v>296</v>
      </c>
      <c r="V1047" s="47" t="s">
        <v>35</v>
      </c>
      <c r="W1047" s="47" t="s">
        <v>296</v>
      </c>
      <c r="X1047" s="47" t="s">
        <v>296</v>
      </c>
      <c r="Y1047" s="47"/>
      <c r="Z1047" s="47" t="s">
        <v>296</v>
      </c>
      <c r="AA1047" s="47" t="s">
        <v>296</v>
      </c>
      <c r="AB1047" s="47"/>
      <c r="AC1047" s="47" t="s">
        <v>35</v>
      </c>
      <c r="AD1047" s="75"/>
      <c r="AE1047" s="49"/>
      <c r="AF1047" s="49" t="s">
        <v>3738</v>
      </c>
      <c r="AG1047" s="49" t="s">
        <v>3739</v>
      </c>
      <c r="AH1047" s="49" t="str">
        <f t="shared" si="58"/>
        <v>月別部門別工数集計表</v>
      </c>
      <c r="AI1047" s="49"/>
      <c r="AJ1047" s="49"/>
      <c r="AK1047" s="49"/>
      <c r="AL1047" s="49"/>
      <c r="AM1047" s="49"/>
      <c r="AN1047" s="49"/>
      <c r="AO1047" s="51" t="str">
        <f t="shared" si="54"/>
        <v/>
      </c>
      <c r="AP1047" s="51" t="str">
        <f t="shared" si="55"/>
        <v/>
      </c>
      <c r="AQ1047" s="49"/>
      <c r="AR1047" s="49"/>
      <c r="AS1047" s="49" t="str">
        <f t="shared" si="56"/>
        <v/>
      </c>
      <c r="AT1047" s="49" t="str">
        <f t="shared" si="57"/>
        <v/>
      </c>
      <c r="AU1047" s="49"/>
      <c r="AV1047" s="49"/>
    </row>
    <row r="1048" spans="1:48" ht="18" customHeight="1">
      <c r="A1048" s="44">
        <v>1046</v>
      </c>
      <c r="B1048" s="52" t="s">
        <v>2702</v>
      </c>
      <c r="C1048" s="80" t="s">
        <v>3713</v>
      </c>
      <c r="D1048" s="46" t="s">
        <v>72</v>
      </c>
      <c r="E1048" s="44" t="s">
        <v>3711</v>
      </c>
      <c r="F1048" s="44" t="s">
        <v>3740</v>
      </c>
      <c r="G1048" s="44"/>
      <c r="H1048" s="44"/>
      <c r="I1048" s="44"/>
      <c r="J1048" s="47" t="s">
        <v>35</v>
      </c>
      <c r="K1048" s="47"/>
      <c r="L1048" s="47"/>
      <c r="M1048" s="47"/>
      <c r="N1048" s="47"/>
      <c r="O1048" s="44"/>
      <c r="P1048" s="44"/>
      <c r="Q1048" s="48">
        <f>VLOOKUP(E1048,sheet1!$B$2:$D$3209,3,FALSE)</f>
        <v>414</v>
      </c>
      <c r="R1048" s="47" t="s">
        <v>35</v>
      </c>
      <c r="S1048" s="47" t="s">
        <v>296</v>
      </c>
      <c r="T1048" s="47"/>
      <c r="U1048" s="47" t="s">
        <v>296</v>
      </c>
      <c r="V1048" s="47" t="s">
        <v>35</v>
      </c>
      <c r="W1048" s="47" t="s">
        <v>296</v>
      </c>
      <c r="X1048" s="47" t="s">
        <v>296</v>
      </c>
      <c r="Y1048" s="47"/>
      <c r="Z1048" s="47" t="s">
        <v>296</v>
      </c>
      <c r="AA1048" s="47" t="s">
        <v>296</v>
      </c>
      <c r="AB1048" s="47"/>
      <c r="AC1048" s="47" t="s">
        <v>35</v>
      </c>
      <c r="AD1048" s="73" t="str">
        <f>VLOOKUP(E1059,sheet1!$B$2:$C$3209,2,FALSE)</f>
        <v>経費明細書部門別印刷指定</v>
      </c>
      <c r="AE1048" s="49"/>
      <c r="AF1048" s="49"/>
      <c r="AG1048" s="49"/>
      <c r="AH1048" s="49" t="str">
        <f t="shared" si="58"/>
        <v/>
      </c>
      <c r="AI1048" s="49"/>
      <c r="AJ1048" s="49"/>
      <c r="AK1048" s="49"/>
      <c r="AL1048" s="49" t="str">
        <f t="shared" ref="AL1048:AL1064" si="59">TRIM(AN1048)</f>
        <v>経費明細書（部門長別）</v>
      </c>
      <c r="AM1048" s="49" t="s">
        <v>35</v>
      </c>
      <c r="AN1048" s="49" t="s">
        <v>3256</v>
      </c>
      <c r="AO1048" s="51" t="str">
        <f t="shared" si="54"/>
        <v/>
      </c>
      <c r="AP1048" s="51" t="str">
        <f t="shared" si="55"/>
        <v/>
      </c>
      <c r="AQ1048" s="49"/>
      <c r="AR1048" s="49"/>
      <c r="AS1048" s="49" t="str">
        <f t="shared" si="56"/>
        <v/>
      </c>
      <c r="AT1048" s="49" t="str">
        <f t="shared" si="57"/>
        <v/>
      </c>
      <c r="AU1048" s="49"/>
      <c r="AV1048" s="49"/>
    </row>
    <row r="1049" spans="1:48" ht="18" customHeight="1">
      <c r="A1049" s="44">
        <v>1047</v>
      </c>
      <c r="B1049" s="52" t="s">
        <v>2702</v>
      </c>
      <c r="C1049" s="80" t="s">
        <v>3713</v>
      </c>
      <c r="D1049" s="46" t="s">
        <v>72</v>
      </c>
      <c r="E1049" s="44" t="s">
        <v>3596</v>
      </c>
      <c r="F1049" s="44" t="s">
        <v>2899</v>
      </c>
      <c r="G1049" s="44"/>
      <c r="H1049" s="44"/>
      <c r="I1049" s="44"/>
      <c r="J1049" s="47" t="s">
        <v>35</v>
      </c>
      <c r="K1049" s="47"/>
      <c r="L1049" s="47"/>
      <c r="M1049" s="47"/>
      <c r="N1049" s="47"/>
      <c r="O1049" s="44"/>
      <c r="P1049" s="44"/>
      <c r="Q1049" s="48">
        <f>VLOOKUP(E1049,sheet1!$B$2:$D$3209,3,FALSE)</f>
        <v>702</v>
      </c>
      <c r="R1049" s="47" t="s">
        <v>35</v>
      </c>
      <c r="S1049" s="47" t="s">
        <v>296</v>
      </c>
      <c r="T1049" s="47"/>
      <c r="U1049" s="47" t="s">
        <v>296</v>
      </c>
      <c r="V1049" s="47" t="s">
        <v>35</v>
      </c>
      <c r="W1049" s="47" t="s">
        <v>296</v>
      </c>
      <c r="X1049" s="47" t="s">
        <v>296</v>
      </c>
      <c r="Y1049" s="47"/>
      <c r="Z1049" s="47" t="s">
        <v>296</v>
      </c>
      <c r="AA1049" s="47" t="s">
        <v>296</v>
      </c>
      <c r="AB1049" s="47"/>
      <c r="AC1049" s="47" t="s">
        <v>35</v>
      </c>
      <c r="AD1049" s="73" t="str">
        <f>VLOOKUP(E1060,sheet1!$B$2:$C$3209,2,FALSE)</f>
        <v>部課元帳データ入力一部変更</v>
      </c>
      <c r="AE1049" s="49"/>
      <c r="AF1049" s="49"/>
      <c r="AG1049" s="49"/>
      <c r="AH1049" s="49" t="str">
        <f t="shared" si="58"/>
        <v/>
      </c>
      <c r="AI1049" s="49"/>
      <c r="AJ1049" s="49"/>
      <c r="AK1049" s="49"/>
      <c r="AL1049" s="49" t="str">
        <f t="shared" si="59"/>
        <v>経費　部課元帳</v>
      </c>
      <c r="AM1049" s="49" t="s">
        <v>35</v>
      </c>
      <c r="AN1049" s="49" t="s">
        <v>3741</v>
      </c>
      <c r="AO1049" s="51" t="str">
        <f t="shared" si="54"/>
        <v>開発機種ﾏｽﾀｰﾒﾝﾃﾅﾝｽ</v>
      </c>
      <c r="AP1049" s="51" t="str">
        <f t="shared" si="55"/>
        <v>DV0001</v>
      </c>
      <c r="AQ1049" s="51" t="s">
        <v>3715</v>
      </c>
      <c r="AR1049" s="51" t="s">
        <v>3716</v>
      </c>
      <c r="AS1049" s="49" t="str">
        <f t="shared" si="56"/>
        <v/>
      </c>
      <c r="AT1049" s="49" t="str">
        <f t="shared" si="57"/>
        <v/>
      </c>
      <c r="AU1049" s="49"/>
      <c r="AV1049" s="49"/>
    </row>
    <row r="1050" spans="1:48" ht="18" customHeight="1">
      <c r="A1050" s="44">
        <v>1048</v>
      </c>
      <c r="B1050" s="52" t="s">
        <v>2702</v>
      </c>
      <c r="C1050" s="75" t="s">
        <v>3742</v>
      </c>
      <c r="D1050" s="46" t="s">
        <v>72</v>
      </c>
      <c r="E1050" s="44" t="s">
        <v>3716</v>
      </c>
      <c r="F1050" s="44" t="s">
        <v>3743</v>
      </c>
      <c r="G1050" s="44"/>
      <c r="H1050" s="44"/>
      <c r="I1050" s="44"/>
      <c r="J1050" s="47" t="s">
        <v>35</v>
      </c>
      <c r="K1050" s="47"/>
      <c r="L1050" s="47"/>
      <c r="M1050" s="47"/>
      <c r="N1050" s="47"/>
      <c r="O1050" s="44"/>
      <c r="P1050" s="44"/>
      <c r="Q1050" s="48">
        <f>VLOOKUP(E1050,sheet1!$B$2:$D$3209,3,FALSE)</f>
        <v>426</v>
      </c>
      <c r="R1050" s="47" t="s">
        <v>35</v>
      </c>
      <c r="S1050" s="47" t="s">
        <v>35</v>
      </c>
      <c r="T1050" s="47"/>
      <c r="U1050" s="47" t="s">
        <v>296</v>
      </c>
      <c r="V1050" s="47" t="s">
        <v>35</v>
      </c>
      <c r="W1050" s="47" t="s">
        <v>35</v>
      </c>
      <c r="X1050" s="47" t="s">
        <v>296</v>
      </c>
      <c r="Y1050" s="47"/>
      <c r="Z1050" s="47" t="s">
        <v>35</v>
      </c>
      <c r="AA1050" s="47" t="s">
        <v>296</v>
      </c>
      <c r="AB1050" s="47"/>
      <c r="AC1050" s="47" t="s">
        <v>35</v>
      </c>
      <c r="AD1050" s="73" t="str">
        <f>VLOOKUP(E1061,sheet1!$B$2:$C$3209,2,FALSE)</f>
        <v>総勘定元帳～画面入力一部変更</v>
      </c>
      <c r="AE1050" s="49"/>
      <c r="AF1050" s="49"/>
      <c r="AG1050" s="49"/>
      <c r="AH1050" s="49" t="str">
        <f t="shared" si="58"/>
        <v/>
      </c>
      <c r="AI1050" s="49"/>
      <c r="AJ1050" s="49"/>
      <c r="AK1050" s="49"/>
      <c r="AL1050" s="49" t="str">
        <f t="shared" si="59"/>
        <v>相手先元帳</v>
      </c>
      <c r="AM1050" s="49" t="s">
        <v>35</v>
      </c>
      <c r="AN1050" s="49" t="s">
        <v>3744</v>
      </c>
      <c r="AO1050" s="51" t="str">
        <f t="shared" si="54"/>
        <v>開発工数入力</v>
      </c>
      <c r="AP1050" s="51" t="str">
        <f t="shared" si="55"/>
        <v>DV0005</v>
      </c>
      <c r="AQ1050" s="51" t="s">
        <v>3718</v>
      </c>
      <c r="AR1050" s="51" t="s">
        <v>3719</v>
      </c>
      <c r="AS1050" s="49" t="str">
        <f t="shared" si="56"/>
        <v/>
      </c>
      <c r="AT1050" s="49" t="str">
        <f t="shared" si="57"/>
        <v/>
      </c>
      <c r="AU1050" s="49"/>
      <c r="AV1050" s="49"/>
    </row>
    <row r="1051" spans="1:48" ht="18" customHeight="1">
      <c r="A1051" s="44">
        <v>1049</v>
      </c>
      <c r="B1051" s="52" t="s">
        <v>2702</v>
      </c>
      <c r="C1051" s="80" t="s">
        <v>3742</v>
      </c>
      <c r="D1051" s="46" t="s">
        <v>72</v>
      </c>
      <c r="E1051" s="44" t="s">
        <v>3719</v>
      </c>
      <c r="F1051" s="44" t="s">
        <v>3745</v>
      </c>
      <c r="G1051" s="44"/>
      <c r="H1051" s="44"/>
      <c r="I1051" s="44"/>
      <c r="J1051" s="47" t="s">
        <v>35</v>
      </c>
      <c r="K1051" s="47"/>
      <c r="L1051" s="47"/>
      <c r="M1051" s="47"/>
      <c r="N1051" s="47"/>
      <c r="O1051" s="44"/>
      <c r="P1051" s="44"/>
      <c r="Q1051" s="48">
        <f>VLOOKUP(E1051,sheet1!$B$2:$D$3209,3,FALSE)</f>
        <v>984</v>
      </c>
      <c r="R1051" s="47" t="s">
        <v>35</v>
      </c>
      <c r="S1051" s="47" t="s">
        <v>35</v>
      </c>
      <c r="T1051" s="47"/>
      <c r="U1051" s="47" t="s">
        <v>296</v>
      </c>
      <c r="V1051" s="47" t="s">
        <v>35</v>
      </c>
      <c r="W1051" s="47" t="s">
        <v>35</v>
      </c>
      <c r="X1051" s="47" t="s">
        <v>296</v>
      </c>
      <c r="Y1051" s="47"/>
      <c r="Z1051" s="47" t="s">
        <v>35</v>
      </c>
      <c r="AA1051" s="47" t="s">
        <v>296</v>
      </c>
      <c r="AB1051" s="47"/>
      <c r="AC1051" s="47" t="s">
        <v>35</v>
      </c>
      <c r="AD1051" s="73" t="str">
        <f>VLOOKUP(E1062,sheet1!$B$2:$C$3209,2,FALSE)</f>
        <v>相手先元帳データ入力 一部変更</v>
      </c>
      <c r="AE1051" s="49"/>
      <c r="AF1051" s="49"/>
      <c r="AG1051" s="49"/>
      <c r="AH1051" s="49" t="str">
        <f t="shared" si="58"/>
        <v/>
      </c>
      <c r="AI1051" s="49"/>
      <c r="AJ1051" s="49"/>
      <c r="AK1051" s="49"/>
      <c r="AL1051" s="49" t="str">
        <f t="shared" si="59"/>
        <v>予算申請入力</v>
      </c>
      <c r="AM1051" s="49" t="s">
        <v>35</v>
      </c>
      <c r="AN1051" s="49" t="s">
        <v>3746</v>
      </c>
      <c r="AO1051" s="51" t="str">
        <f t="shared" si="54"/>
        <v>ﾌﾟﾛｼﾞｪｸﾄｺｰﾄﾞﾏｽﾀｰ照会</v>
      </c>
      <c r="AP1051" s="51" t="str">
        <f t="shared" si="55"/>
        <v>PD2380</v>
      </c>
      <c r="AQ1051" s="51" t="s">
        <v>3721</v>
      </c>
      <c r="AR1051" s="51" t="s">
        <v>3722</v>
      </c>
      <c r="AS1051" s="49" t="str">
        <f t="shared" si="56"/>
        <v/>
      </c>
      <c r="AT1051" s="49" t="str">
        <f t="shared" si="57"/>
        <v/>
      </c>
      <c r="AU1051" s="49"/>
      <c r="AV1051" s="49"/>
    </row>
    <row r="1052" spans="1:48" ht="18" customHeight="1">
      <c r="A1052" s="44">
        <v>1050</v>
      </c>
      <c r="B1052" s="52" t="s">
        <v>2702</v>
      </c>
      <c r="C1052" s="80" t="s">
        <v>3742</v>
      </c>
      <c r="D1052" s="46" t="s">
        <v>72</v>
      </c>
      <c r="E1052" s="44" t="s">
        <v>3722</v>
      </c>
      <c r="F1052" s="44" t="s">
        <v>3747</v>
      </c>
      <c r="G1052" s="44"/>
      <c r="H1052" s="44"/>
      <c r="I1052" s="44"/>
      <c r="J1052" s="47" t="s">
        <v>35</v>
      </c>
      <c r="K1052" s="47"/>
      <c r="L1052" s="47"/>
      <c r="M1052" s="47"/>
      <c r="N1052" s="47"/>
      <c r="O1052" s="44"/>
      <c r="P1052" s="44"/>
      <c r="Q1052" s="48">
        <f>VLOOKUP(E1052,sheet1!$B$2:$D$3209,3,FALSE)</f>
        <v>204</v>
      </c>
      <c r="R1052" s="47" t="s">
        <v>35</v>
      </c>
      <c r="S1052" s="47" t="s">
        <v>35</v>
      </c>
      <c r="T1052" s="47"/>
      <c r="U1052" s="47" t="s">
        <v>296</v>
      </c>
      <c r="V1052" s="47" t="s">
        <v>35</v>
      </c>
      <c r="W1052" s="47" t="s">
        <v>35</v>
      </c>
      <c r="X1052" s="47" t="s">
        <v>296</v>
      </c>
      <c r="Y1052" s="47"/>
      <c r="Z1052" s="47" t="s">
        <v>35</v>
      </c>
      <c r="AA1052" s="47" t="s">
        <v>296</v>
      </c>
      <c r="AB1052" s="47"/>
      <c r="AC1052" s="47" t="s">
        <v>35</v>
      </c>
      <c r="AD1052" s="73" t="str">
        <f>VLOOKUP(E1063,sheet1!$B$2:$C$3209,2,FALSE)</f>
        <v>摘要元帳～画面入力ﾁｪｯｸ 一部変更</v>
      </c>
      <c r="AE1052" s="49"/>
      <c r="AF1052" s="49"/>
      <c r="AG1052" s="49"/>
      <c r="AH1052" s="49" t="str">
        <f t="shared" si="58"/>
        <v/>
      </c>
      <c r="AI1052" s="49"/>
      <c r="AJ1052" s="49"/>
      <c r="AK1052" s="49"/>
      <c r="AL1052" s="49" t="str">
        <f t="shared" si="59"/>
        <v>予算申請一覧</v>
      </c>
      <c r="AM1052" s="49" t="s">
        <v>35</v>
      </c>
      <c r="AN1052" s="49" t="s">
        <v>3748</v>
      </c>
      <c r="AO1052" s="51" t="str">
        <f t="shared" si="54"/>
        <v>ﾌﾟﾛｼﾞｪｸﾄｺｰﾄﾞ付移動実績抽出</v>
      </c>
      <c r="AP1052" s="51" t="str">
        <f t="shared" si="55"/>
        <v>PD4650</v>
      </c>
      <c r="AQ1052" s="51" t="s">
        <v>3724</v>
      </c>
      <c r="AR1052" s="51" t="s">
        <v>3725</v>
      </c>
      <c r="AS1052" s="49" t="str">
        <f t="shared" si="56"/>
        <v/>
      </c>
      <c r="AT1052" s="49" t="str">
        <f t="shared" si="57"/>
        <v/>
      </c>
      <c r="AU1052" s="49"/>
      <c r="AV1052" s="49"/>
    </row>
    <row r="1053" spans="1:48" ht="18" customHeight="1">
      <c r="A1053" s="44">
        <v>1051</v>
      </c>
      <c r="B1053" s="52" t="s">
        <v>2702</v>
      </c>
      <c r="C1053" s="80" t="s">
        <v>3742</v>
      </c>
      <c r="D1053" s="46" t="s">
        <v>72</v>
      </c>
      <c r="E1053" s="44" t="s">
        <v>3725</v>
      </c>
      <c r="F1053" s="44" t="s">
        <v>3749</v>
      </c>
      <c r="G1053" s="44"/>
      <c r="H1053" s="44"/>
      <c r="I1053" s="44"/>
      <c r="J1053" s="47" t="s">
        <v>35</v>
      </c>
      <c r="K1053" s="47"/>
      <c r="L1053" s="47"/>
      <c r="M1053" s="47"/>
      <c r="N1053" s="47"/>
      <c r="O1053" s="44"/>
      <c r="P1053" s="44"/>
      <c r="Q1053" s="48">
        <f>VLOOKUP(E1053,sheet1!$B$2:$D$3209,3,FALSE)</f>
        <v>691</v>
      </c>
      <c r="R1053" s="47" t="s">
        <v>35</v>
      </c>
      <c r="S1053" s="47" t="s">
        <v>35</v>
      </c>
      <c r="T1053" s="47"/>
      <c r="U1053" s="47" t="s">
        <v>296</v>
      </c>
      <c r="V1053" s="47" t="s">
        <v>35</v>
      </c>
      <c r="W1053" s="47" t="s">
        <v>35</v>
      </c>
      <c r="X1053" s="47" t="s">
        <v>296</v>
      </c>
      <c r="Y1053" s="47"/>
      <c r="Z1053" s="47" t="s">
        <v>35</v>
      </c>
      <c r="AA1053" s="47" t="s">
        <v>296</v>
      </c>
      <c r="AB1053" s="47"/>
      <c r="AC1053" s="47" t="s">
        <v>35</v>
      </c>
      <c r="AD1053" s="73" t="str">
        <f>VLOOKUP(E1064,sheet1!$B$2:$C$3209,2,FALSE)</f>
        <v>勘定科目残高内訳表～画面入力</v>
      </c>
      <c r="AE1053" s="49"/>
      <c r="AF1053" s="49"/>
      <c r="AG1053" s="49"/>
      <c r="AH1053" s="49" t="str">
        <f t="shared" si="58"/>
        <v/>
      </c>
      <c r="AI1053" s="49"/>
      <c r="AJ1053" s="49"/>
      <c r="AK1053" s="49"/>
      <c r="AL1053" s="49" t="str">
        <f t="shared" si="59"/>
        <v>経費予算集計</v>
      </c>
      <c r="AM1053" s="49" t="s">
        <v>35</v>
      </c>
      <c r="AN1053" s="49" t="s">
        <v>3750</v>
      </c>
      <c r="AO1053" s="51" t="str">
        <f t="shared" si="54"/>
        <v>ﾌﾟﾛｼﾞｪｸﾄｺｰﾄﾞﾏｽﾀﾒﾝﾃﾅﾝｽ</v>
      </c>
      <c r="AP1053" s="51" t="str">
        <f t="shared" si="55"/>
        <v>PD0340</v>
      </c>
      <c r="AQ1053" s="51" t="s">
        <v>3726</v>
      </c>
      <c r="AR1053" s="51" t="s">
        <v>3727</v>
      </c>
      <c r="AS1053" s="49" t="str">
        <f t="shared" si="56"/>
        <v/>
      </c>
      <c r="AT1053" s="49" t="str">
        <f t="shared" si="57"/>
        <v/>
      </c>
      <c r="AU1053" s="49"/>
      <c r="AV1053" s="49"/>
    </row>
    <row r="1054" spans="1:48" ht="18" customHeight="1">
      <c r="A1054" s="44">
        <v>1052</v>
      </c>
      <c r="B1054" s="52" t="s">
        <v>2702</v>
      </c>
      <c r="C1054" s="80" t="s">
        <v>3742</v>
      </c>
      <c r="D1054" s="46" t="s">
        <v>72</v>
      </c>
      <c r="E1054" s="44" t="s">
        <v>3727</v>
      </c>
      <c r="F1054" s="44" t="s">
        <v>3751</v>
      </c>
      <c r="G1054" s="44"/>
      <c r="H1054" s="44"/>
      <c r="I1054" s="44"/>
      <c r="J1054" s="47" t="s">
        <v>35</v>
      </c>
      <c r="K1054" s="47"/>
      <c r="L1054" s="47"/>
      <c r="M1054" s="47"/>
      <c r="N1054" s="47"/>
      <c r="O1054" s="44"/>
      <c r="P1054" s="44"/>
      <c r="Q1054" s="48">
        <f>VLOOKUP(E1054,sheet1!$B$2:$D$3209,3,FALSE)</f>
        <v>408</v>
      </c>
      <c r="R1054" s="47" t="s">
        <v>35</v>
      </c>
      <c r="S1054" s="47" t="s">
        <v>35</v>
      </c>
      <c r="T1054" s="47"/>
      <c r="U1054" s="47" t="s">
        <v>296</v>
      </c>
      <c r="V1054" s="47" t="s">
        <v>35</v>
      </c>
      <c r="W1054" s="47" t="s">
        <v>35</v>
      </c>
      <c r="X1054" s="47" t="s">
        <v>296</v>
      </c>
      <c r="Y1054" s="47"/>
      <c r="Z1054" s="47" t="s">
        <v>35</v>
      </c>
      <c r="AA1054" s="47" t="s">
        <v>296</v>
      </c>
      <c r="AB1054" s="47"/>
      <c r="AC1054" s="47" t="s">
        <v>35</v>
      </c>
      <c r="AD1054" s="73" t="str">
        <f>VLOOKUP(E1065,sheet1!$B$2:$C$3209,2,FALSE)</f>
        <v>振替伝票明細（勘定科目・部課）～画面入力</v>
      </c>
      <c r="AE1054" s="49"/>
      <c r="AF1054" s="49"/>
      <c r="AG1054" s="49"/>
      <c r="AH1054" s="49" t="str">
        <f t="shared" si="58"/>
        <v/>
      </c>
      <c r="AI1054" s="49"/>
      <c r="AJ1054" s="49"/>
      <c r="AK1054" s="49"/>
      <c r="AL1054" s="49" t="str">
        <f t="shared" si="59"/>
        <v>試験用仮払現金実査表</v>
      </c>
      <c r="AM1054" s="49" t="s">
        <v>35</v>
      </c>
      <c r="AN1054" s="49" t="s">
        <v>3362</v>
      </c>
      <c r="AO1054" s="51" t="str">
        <f t="shared" si="54"/>
        <v>部課別個人別業務内容集計表</v>
      </c>
      <c r="AP1054" s="51" t="str">
        <f t="shared" si="55"/>
        <v>DV0010I</v>
      </c>
      <c r="AQ1054" s="51" t="s">
        <v>3729</v>
      </c>
      <c r="AR1054" s="51" t="s">
        <v>3730</v>
      </c>
      <c r="AS1054" s="49" t="str">
        <f t="shared" si="56"/>
        <v/>
      </c>
      <c r="AT1054" s="49" t="str">
        <f t="shared" si="57"/>
        <v/>
      </c>
      <c r="AU1054" s="49"/>
      <c r="AV1054" s="49"/>
    </row>
    <row r="1055" spans="1:48" ht="18" customHeight="1">
      <c r="A1055" s="44">
        <v>1053</v>
      </c>
      <c r="B1055" s="52" t="s">
        <v>2702</v>
      </c>
      <c r="C1055" s="80" t="s">
        <v>3742</v>
      </c>
      <c r="D1055" s="46" t="s">
        <v>72</v>
      </c>
      <c r="E1055" s="44" t="s">
        <v>3730</v>
      </c>
      <c r="F1055" s="44" t="s">
        <v>3752</v>
      </c>
      <c r="G1055" s="44"/>
      <c r="H1055" s="44"/>
      <c r="I1055" s="44"/>
      <c r="J1055" s="47" t="s">
        <v>35</v>
      </c>
      <c r="K1055" s="47"/>
      <c r="L1055" s="47"/>
      <c r="M1055" s="47"/>
      <c r="N1055" s="47"/>
      <c r="O1055" s="44"/>
      <c r="P1055" s="44"/>
      <c r="Q1055" s="48">
        <f>VLOOKUP(E1055,sheet1!$B$2:$D$3209,3,FALSE)</f>
        <v>147</v>
      </c>
      <c r="R1055" s="47" t="s">
        <v>35</v>
      </c>
      <c r="S1055" s="47" t="s">
        <v>35</v>
      </c>
      <c r="T1055" s="47"/>
      <c r="U1055" s="47" t="s">
        <v>296</v>
      </c>
      <c r="V1055" s="47" t="s">
        <v>35</v>
      </c>
      <c r="W1055" s="47" t="s">
        <v>35</v>
      </c>
      <c r="X1055" s="47" t="s">
        <v>296</v>
      </c>
      <c r="Y1055" s="47"/>
      <c r="Z1055" s="47" t="s">
        <v>35</v>
      </c>
      <c r="AA1055" s="47" t="s">
        <v>296</v>
      </c>
      <c r="AB1055" s="47"/>
      <c r="AC1055" s="47" t="s">
        <v>35</v>
      </c>
      <c r="AD1055" s="73" t="str">
        <f>VLOOKUP(E1066,sheet1!$B$2:$C$3209,2,FALSE)</f>
        <v>振替伝票明細（勘定科目・相手先）～画面入力</v>
      </c>
      <c r="AE1055" s="49"/>
      <c r="AF1055" s="49"/>
      <c r="AG1055" s="49"/>
      <c r="AH1055" s="49" t="str">
        <f t="shared" si="58"/>
        <v/>
      </c>
      <c r="AI1055" s="49"/>
      <c r="AJ1055" s="49"/>
      <c r="AK1055" s="49"/>
      <c r="AL1055" s="49" t="str">
        <f t="shared" si="59"/>
        <v>部課別・品目別　売上明細表</v>
      </c>
      <c r="AM1055" s="49" t="s">
        <v>35</v>
      </c>
      <c r="AN1055" s="49" t="s">
        <v>3753</v>
      </c>
      <c r="AO1055" s="51" t="str">
        <f t="shared" si="54"/>
        <v>機種別業務時間集計表</v>
      </c>
      <c r="AP1055" s="51" t="str">
        <f t="shared" si="55"/>
        <v>DV0011</v>
      </c>
      <c r="AQ1055" s="51" t="s">
        <v>3732</v>
      </c>
      <c r="AR1055" s="51" t="s">
        <v>3733</v>
      </c>
      <c r="AS1055" s="49" t="str">
        <f t="shared" si="56"/>
        <v/>
      </c>
      <c r="AT1055" s="49" t="str">
        <f t="shared" si="57"/>
        <v/>
      </c>
      <c r="AU1055" s="49"/>
      <c r="AV1055" s="49"/>
    </row>
    <row r="1056" spans="1:48" ht="18" customHeight="1">
      <c r="A1056" s="44">
        <v>1054</v>
      </c>
      <c r="B1056" s="52" t="s">
        <v>2702</v>
      </c>
      <c r="C1056" s="80" t="s">
        <v>3742</v>
      </c>
      <c r="D1056" s="46" t="s">
        <v>72</v>
      </c>
      <c r="E1056" s="44" t="s">
        <v>3733</v>
      </c>
      <c r="F1056" s="44" t="s">
        <v>3754</v>
      </c>
      <c r="G1056" s="44"/>
      <c r="H1056" s="44"/>
      <c r="I1056" s="44"/>
      <c r="J1056" s="47" t="s">
        <v>35</v>
      </c>
      <c r="K1056" s="47"/>
      <c r="L1056" s="47"/>
      <c r="M1056" s="47"/>
      <c r="N1056" s="47"/>
      <c r="O1056" s="44"/>
      <c r="P1056" s="44"/>
      <c r="Q1056" s="48">
        <f>VLOOKUP(E1056,sheet1!$B$2:$D$3209,3,FALSE)</f>
        <v>432</v>
      </c>
      <c r="R1056" s="47" t="s">
        <v>35</v>
      </c>
      <c r="S1056" s="47" t="s">
        <v>35</v>
      </c>
      <c r="T1056" s="47"/>
      <c r="U1056" s="47" t="s">
        <v>296</v>
      </c>
      <c r="V1056" s="47" t="s">
        <v>35</v>
      </c>
      <c r="W1056" s="47" t="s">
        <v>35</v>
      </c>
      <c r="X1056" s="47" t="s">
        <v>296</v>
      </c>
      <c r="Y1056" s="47"/>
      <c r="Z1056" s="47" t="s">
        <v>35</v>
      </c>
      <c r="AA1056" s="47" t="s">
        <v>296</v>
      </c>
      <c r="AB1056" s="47"/>
      <c r="AC1056" s="47" t="s">
        <v>35</v>
      </c>
      <c r="AD1056" s="73" t="str">
        <f>VLOOKUP(E1067,sheet1!$B$2:$C$3209,2,FALSE)</f>
        <v>振替伝票明細（勘定科目・摘要）～画面入力</v>
      </c>
      <c r="AE1056" s="49"/>
      <c r="AF1056" s="49"/>
      <c r="AG1056" s="49"/>
      <c r="AH1056" s="49" t="str">
        <f t="shared" si="58"/>
        <v/>
      </c>
      <c r="AI1056" s="49"/>
      <c r="AJ1056" s="49"/>
      <c r="AK1056" s="49"/>
      <c r="AL1056" s="49" t="str">
        <f t="shared" si="59"/>
        <v>固定振替申請入力</v>
      </c>
      <c r="AM1056" s="49" t="s">
        <v>35</v>
      </c>
      <c r="AN1056" s="49" t="s">
        <v>3755</v>
      </c>
      <c r="AO1056" s="51" t="str">
        <f t="shared" si="54"/>
        <v>機種別業務時間期別累計表</v>
      </c>
      <c r="AP1056" s="51" t="str">
        <f t="shared" si="55"/>
        <v>DV0012</v>
      </c>
      <c r="AQ1056" s="51" t="s">
        <v>3735</v>
      </c>
      <c r="AR1056" s="51" t="s">
        <v>3736</v>
      </c>
      <c r="AS1056" s="49" t="str">
        <f t="shared" si="56"/>
        <v/>
      </c>
      <c r="AT1056" s="49" t="str">
        <f t="shared" si="57"/>
        <v/>
      </c>
      <c r="AU1056" s="49"/>
      <c r="AV1056" s="49"/>
    </row>
    <row r="1057" spans="1:48" ht="18" customHeight="1">
      <c r="A1057" s="44">
        <v>1055</v>
      </c>
      <c r="B1057" s="52" t="s">
        <v>2702</v>
      </c>
      <c r="C1057" s="80" t="s">
        <v>3742</v>
      </c>
      <c r="D1057" s="46" t="s">
        <v>72</v>
      </c>
      <c r="E1057" s="44" t="s">
        <v>3736</v>
      </c>
      <c r="F1057" s="44" t="s">
        <v>3756</v>
      </c>
      <c r="G1057" s="44"/>
      <c r="H1057" s="44"/>
      <c r="I1057" s="44"/>
      <c r="J1057" s="47" t="s">
        <v>35</v>
      </c>
      <c r="K1057" s="47"/>
      <c r="L1057" s="47"/>
      <c r="M1057" s="47"/>
      <c r="N1057" s="47"/>
      <c r="O1057" s="44"/>
      <c r="P1057" s="44"/>
      <c r="Q1057" s="48">
        <f>VLOOKUP(E1057,sheet1!$B$2:$D$3209,3,FALSE)</f>
        <v>132</v>
      </c>
      <c r="R1057" s="47" t="s">
        <v>35</v>
      </c>
      <c r="S1057" s="47" t="s">
        <v>35</v>
      </c>
      <c r="T1057" s="47"/>
      <c r="U1057" s="47" t="s">
        <v>296</v>
      </c>
      <c r="V1057" s="47" t="s">
        <v>35</v>
      </c>
      <c r="W1057" s="47" t="s">
        <v>35</v>
      </c>
      <c r="X1057" s="47" t="s">
        <v>296</v>
      </c>
      <c r="Y1057" s="47"/>
      <c r="Z1057" s="47" t="s">
        <v>35</v>
      </c>
      <c r="AA1057" s="47" t="s">
        <v>296</v>
      </c>
      <c r="AB1057" s="47"/>
      <c r="AC1057" s="47" t="s">
        <v>35</v>
      </c>
      <c r="AD1057" s="73" t="str">
        <f>VLOOKUP(E1068,sheet1!$B$2:$C$3209,2,FALSE)</f>
        <v>予算申請入力</v>
      </c>
      <c r="AE1057" s="49"/>
      <c r="AF1057" s="49"/>
      <c r="AG1057" s="49"/>
      <c r="AH1057" s="49" t="str">
        <f t="shared" si="58"/>
        <v/>
      </c>
      <c r="AI1057" s="49"/>
      <c r="AJ1057" s="49"/>
      <c r="AK1057" s="49"/>
      <c r="AL1057" s="49" t="str">
        <f t="shared" si="59"/>
        <v>定型振替申請入力</v>
      </c>
      <c r="AM1057" s="49" t="s">
        <v>35</v>
      </c>
      <c r="AN1057" s="49" t="s">
        <v>3757</v>
      </c>
      <c r="AO1057" s="51" t="str">
        <f t="shared" si="54"/>
        <v>月別部門別工数集計表</v>
      </c>
      <c r="AP1057" s="51" t="str">
        <f t="shared" si="55"/>
        <v>DV0017</v>
      </c>
      <c r="AQ1057" s="51" t="s">
        <v>3738</v>
      </c>
      <c r="AR1057" s="51" t="s">
        <v>3739</v>
      </c>
      <c r="AS1057" s="49" t="str">
        <f t="shared" si="56"/>
        <v/>
      </c>
      <c r="AT1057" s="49" t="str">
        <f t="shared" si="57"/>
        <v/>
      </c>
      <c r="AU1057" s="49"/>
      <c r="AV1057" s="49"/>
    </row>
    <row r="1058" spans="1:48" ht="18" customHeight="1">
      <c r="A1058" s="44">
        <v>1056</v>
      </c>
      <c r="B1058" s="52" t="s">
        <v>2702</v>
      </c>
      <c r="C1058" s="80" t="s">
        <v>3742</v>
      </c>
      <c r="D1058" s="46" t="s">
        <v>72</v>
      </c>
      <c r="E1058" s="44" t="s">
        <v>3739</v>
      </c>
      <c r="F1058" s="44" t="s">
        <v>3758</v>
      </c>
      <c r="G1058" s="44"/>
      <c r="H1058" s="44"/>
      <c r="I1058" s="44"/>
      <c r="J1058" s="47" t="s">
        <v>35</v>
      </c>
      <c r="K1058" s="47"/>
      <c r="L1058" s="47"/>
      <c r="M1058" s="47"/>
      <c r="N1058" s="47"/>
      <c r="O1058" s="44"/>
      <c r="P1058" s="44"/>
      <c r="Q1058" s="48" t="e">
        <f>VLOOKUP(E1058,sheet1!$B$2:$D$3209,3,FALSE)</f>
        <v>#N/A</v>
      </c>
      <c r="R1058" s="47" t="s">
        <v>35</v>
      </c>
      <c r="S1058" s="47" t="s">
        <v>35</v>
      </c>
      <c r="T1058" s="47"/>
      <c r="U1058" s="47" t="s">
        <v>296</v>
      </c>
      <c r="V1058" s="47" t="s">
        <v>35</v>
      </c>
      <c r="W1058" s="47" t="s">
        <v>35</v>
      </c>
      <c r="X1058" s="47" t="s">
        <v>296</v>
      </c>
      <c r="Y1058" s="47"/>
      <c r="Z1058" s="47" t="s">
        <v>35</v>
      </c>
      <c r="AA1058" s="47" t="s">
        <v>296</v>
      </c>
      <c r="AB1058" s="47"/>
      <c r="AC1058" s="47" t="s">
        <v>35</v>
      </c>
      <c r="AD1058" s="73" t="str">
        <f>VLOOKUP(E1069,sheet1!$B$2:$C$3209,2,FALSE)</f>
        <v>経費予算・実績対比/申請ｼｰﾄ～画面入力</v>
      </c>
      <c r="AE1058" s="49"/>
      <c r="AF1058" s="49"/>
      <c r="AG1058" s="49"/>
      <c r="AH1058" s="49" t="str">
        <f t="shared" si="58"/>
        <v/>
      </c>
      <c r="AI1058" s="49"/>
      <c r="AJ1058" s="49"/>
      <c r="AK1058" s="49"/>
      <c r="AL1058" s="49" t="str">
        <f t="shared" si="59"/>
        <v>定型振替伝票入力</v>
      </c>
      <c r="AM1058" s="49" t="s">
        <v>35</v>
      </c>
      <c r="AN1058" s="49" t="s">
        <v>3759</v>
      </c>
      <c r="AO1058" s="51" t="str">
        <f t="shared" si="54"/>
        <v/>
      </c>
      <c r="AP1058" s="51" t="str">
        <f t="shared" si="55"/>
        <v/>
      </c>
      <c r="AQ1058" s="49"/>
      <c r="AR1058" s="49"/>
      <c r="AS1058" s="49" t="str">
        <f t="shared" si="56"/>
        <v/>
      </c>
      <c r="AT1058" s="49" t="str">
        <f t="shared" si="57"/>
        <v/>
      </c>
      <c r="AU1058" s="49"/>
      <c r="AV1058" s="49"/>
    </row>
    <row r="1059" spans="1:48" ht="18" customHeight="1">
      <c r="A1059" s="44">
        <v>1057</v>
      </c>
      <c r="B1059" s="52" t="s">
        <v>2702</v>
      </c>
      <c r="C1059" s="75" t="s">
        <v>3760</v>
      </c>
      <c r="D1059" s="46" t="s">
        <v>72</v>
      </c>
      <c r="E1059" s="44" t="s">
        <v>3231</v>
      </c>
      <c r="F1059" s="44" t="s">
        <v>3256</v>
      </c>
      <c r="G1059" s="44"/>
      <c r="H1059" s="44"/>
      <c r="I1059" s="44"/>
      <c r="J1059" s="47" t="s">
        <v>35</v>
      </c>
      <c r="K1059" s="47"/>
      <c r="L1059" s="47"/>
      <c r="M1059" s="47"/>
      <c r="N1059" s="47"/>
      <c r="O1059" s="44"/>
      <c r="P1059" s="44"/>
      <c r="Q1059" s="48">
        <f>VLOOKUP(E1059,sheet1!$B$2:$D$3209,3,FALSE)</f>
        <v>247</v>
      </c>
      <c r="R1059" s="47"/>
      <c r="S1059" s="47" t="s">
        <v>296</v>
      </c>
      <c r="T1059" s="47" t="s">
        <v>35</v>
      </c>
      <c r="U1059" s="47" t="s">
        <v>35</v>
      </c>
      <c r="V1059" s="47" t="s">
        <v>35</v>
      </c>
      <c r="W1059" s="47" t="s">
        <v>35</v>
      </c>
      <c r="X1059" s="47" t="s">
        <v>35</v>
      </c>
      <c r="Y1059" s="47" t="s">
        <v>35</v>
      </c>
      <c r="Z1059" s="47" t="s">
        <v>35</v>
      </c>
      <c r="AA1059" s="47" t="s">
        <v>35</v>
      </c>
      <c r="AB1059" s="47" t="s">
        <v>35</v>
      </c>
      <c r="AC1059" s="47" t="s">
        <v>296</v>
      </c>
      <c r="AD1059" s="73" t="str">
        <f>VLOOKUP(E1070,sheet1!$B$2:$C$3209,2,FALSE)</f>
        <v>販売計画数入力</v>
      </c>
      <c r="AE1059" s="49"/>
      <c r="AF1059" s="49"/>
      <c r="AG1059" s="49"/>
      <c r="AH1059" s="49" t="str">
        <f t="shared" si="58"/>
        <v/>
      </c>
      <c r="AI1059" s="49"/>
      <c r="AJ1059" s="49"/>
      <c r="AK1059" s="49"/>
      <c r="AL1059" s="49" t="str">
        <f t="shared" si="59"/>
        <v>固定定型振替伝票リスト</v>
      </c>
      <c r="AM1059" s="49" t="s">
        <v>35</v>
      </c>
      <c r="AN1059" s="49" t="s">
        <v>3761</v>
      </c>
      <c r="AO1059" s="51" t="str">
        <f t="shared" si="54"/>
        <v/>
      </c>
      <c r="AP1059" s="51" t="str">
        <f t="shared" si="55"/>
        <v/>
      </c>
      <c r="AQ1059" s="49"/>
      <c r="AR1059" s="49"/>
      <c r="AS1059" s="49" t="str">
        <f t="shared" si="56"/>
        <v/>
      </c>
      <c r="AT1059" s="49" t="str">
        <f t="shared" si="57"/>
        <v/>
      </c>
      <c r="AU1059" s="49"/>
      <c r="AV1059" s="49"/>
    </row>
    <row r="1060" spans="1:48" ht="18" customHeight="1">
      <c r="A1060" s="44">
        <v>1058</v>
      </c>
      <c r="B1060" s="52" t="s">
        <v>2702</v>
      </c>
      <c r="C1060" s="80" t="s">
        <v>3760</v>
      </c>
      <c r="D1060" s="46" t="s">
        <v>72</v>
      </c>
      <c r="E1060" s="44" t="s">
        <v>2929</v>
      </c>
      <c r="F1060" s="44" t="s">
        <v>3762</v>
      </c>
      <c r="G1060" s="44"/>
      <c r="H1060" s="44"/>
      <c r="I1060" s="44"/>
      <c r="J1060" s="47" t="s">
        <v>35</v>
      </c>
      <c r="K1060" s="47"/>
      <c r="L1060" s="47"/>
      <c r="M1060" s="47"/>
      <c r="N1060" s="47"/>
      <c r="O1060" s="44"/>
      <c r="P1060" s="44"/>
      <c r="Q1060" s="48">
        <f>VLOOKUP(E1060,sheet1!$B$2:$D$3209,3,FALSE)</f>
        <v>351</v>
      </c>
      <c r="R1060" s="47"/>
      <c r="S1060" s="47" t="s">
        <v>296</v>
      </c>
      <c r="T1060" s="47" t="s">
        <v>35</v>
      </c>
      <c r="U1060" s="47" t="s">
        <v>35</v>
      </c>
      <c r="V1060" s="47" t="s">
        <v>35</v>
      </c>
      <c r="W1060" s="47" t="s">
        <v>35</v>
      </c>
      <c r="X1060" s="47" t="s">
        <v>35</v>
      </c>
      <c r="Y1060" s="47" t="s">
        <v>35</v>
      </c>
      <c r="Z1060" s="47" t="s">
        <v>35</v>
      </c>
      <c r="AA1060" s="47" t="s">
        <v>35</v>
      </c>
      <c r="AB1060" s="47" t="s">
        <v>35</v>
      </c>
      <c r="AC1060" s="47" t="s">
        <v>296</v>
      </c>
      <c r="AD1060" s="73" t="str">
        <f>VLOOKUP(E1071,sheet1!$B$2:$C$3209,2,FALSE)</f>
        <v>販売在庫数入力 　　　　　</v>
      </c>
      <c r="AE1060" s="49"/>
      <c r="AF1060" s="49"/>
      <c r="AG1060" s="49"/>
      <c r="AH1060" s="49" t="str">
        <f t="shared" si="58"/>
        <v/>
      </c>
      <c r="AI1060" s="49"/>
      <c r="AJ1060" s="49"/>
      <c r="AK1060" s="49"/>
      <c r="AL1060" s="49" t="str">
        <f t="shared" si="59"/>
        <v>固定定型振替申請No.振替No.照会</v>
      </c>
      <c r="AM1060" s="49" t="s">
        <v>35</v>
      </c>
      <c r="AN1060" s="49" t="s">
        <v>2836</v>
      </c>
      <c r="AO1060" s="51" t="str">
        <f t="shared" si="54"/>
        <v/>
      </c>
      <c r="AP1060" s="51" t="str">
        <f t="shared" si="55"/>
        <v/>
      </c>
      <c r="AQ1060" s="49"/>
      <c r="AR1060" s="49"/>
      <c r="AS1060" s="49" t="str">
        <f t="shared" si="56"/>
        <v/>
      </c>
      <c r="AT1060" s="49" t="str">
        <f t="shared" si="57"/>
        <v/>
      </c>
      <c r="AU1060" s="49"/>
      <c r="AV1060" s="49"/>
    </row>
    <row r="1061" spans="1:48" ht="18" customHeight="1">
      <c r="A1061" s="44">
        <v>1059</v>
      </c>
      <c r="B1061" s="52" t="s">
        <v>2702</v>
      </c>
      <c r="C1061" s="80" t="s">
        <v>3760</v>
      </c>
      <c r="D1061" s="46" t="s">
        <v>72</v>
      </c>
      <c r="E1061" s="44" t="s">
        <v>2919</v>
      </c>
      <c r="F1061" s="44" t="s">
        <v>2952</v>
      </c>
      <c r="G1061" s="44"/>
      <c r="H1061" s="44"/>
      <c r="I1061" s="44"/>
      <c r="J1061" s="47" t="s">
        <v>35</v>
      </c>
      <c r="K1061" s="47"/>
      <c r="L1061" s="47"/>
      <c r="M1061" s="47"/>
      <c r="N1061" s="47"/>
      <c r="O1061" s="44"/>
      <c r="P1061" s="44"/>
      <c r="Q1061" s="48">
        <f>VLOOKUP(E1061,sheet1!$B$2:$D$3209,3,FALSE)</f>
        <v>307</v>
      </c>
      <c r="R1061" s="47"/>
      <c r="S1061" s="47" t="s">
        <v>296</v>
      </c>
      <c r="T1061" s="47" t="s">
        <v>35</v>
      </c>
      <c r="U1061" s="47" t="s">
        <v>35</v>
      </c>
      <c r="V1061" s="47" t="s">
        <v>35</v>
      </c>
      <c r="W1061" s="47" t="s">
        <v>296</v>
      </c>
      <c r="X1061" s="47" t="s">
        <v>296</v>
      </c>
      <c r="Y1061" s="47"/>
      <c r="Z1061" s="47" t="s">
        <v>35</v>
      </c>
      <c r="AA1061" s="47" t="s">
        <v>296</v>
      </c>
      <c r="AB1061" s="47"/>
      <c r="AC1061" s="47" t="s">
        <v>296</v>
      </c>
      <c r="AD1061" s="73" t="str">
        <f>VLOOKUP(E1072,sheet1!$B$2:$C$3209,2,FALSE)</f>
        <v>予算販売計画数リスト 　　</v>
      </c>
      <c r="AE1061" s="49"/>
      <c r="AF1061" s="49"/>
      <c r="AG1061" s="49"/>
      <c r="AH1061" s="49" t="str">
        <f t="shared" si="58"/>
        <v/>
      </c>
      <c r="AI1061" s="49"/>
      <c r="AJ1061" s="49"/>
      <c r="AK1061" s="49"/>
      <c r="AL1061" s="49" t="str">
        <f t="shared" si="59"/>
        <v>振替伝票雛型入力</v>
      </c>
      <c r="AM1061" s="49" t="s">
        <v>35</v>
      </c>
      <c r="AN1061" s="49" t="s">
        <v>3763</v>
      </c>
      <c r="AO1061" s="51" t="str">
        <f t="shared" si="54"/>
        <v/>
      </c>
      <c r="AP1061" s="51" t="str">
        <f t="shared" si="55"/>
        <v/>
      </c>
      <c r="AQ1061" s="49"/>
      <c r="AR1061" s="49"/>
      <c r="AS1061" s="49" t="str">
        <f t="shared" si="56"/>
        <v/>
      </c>
      <c r="AT1061" s="49" t="str">
        <f t="shared" si="57"/>
        <v/>
      </c>
      <c r="AU1061" s="49"/>
      <c r="AV1061" s="49"/>
    </row>
    <row r="1062" spans="1:48" ht="18" customHeight="1">
      <c r="A1062" s="44">
        <v>1060</v>
      </c>
      <c r="B1062" s="52" t="s">
        <v>2702</v>
      </c>
      <c r="C1062" s="80" t="s">
        <v>3760</v>
      </c>
      <c r="D1062" s="46" t="s">
        <v>72</v>
      </c>
      <c r="E1062" s="44" t="s">
        <v>2923</v>
      </c>
      <c r="F1062" s="44" t="s">
        <v>2955</v>
      </c>
      <c r="G1062" s="44"/>
      <c r="H1062" s="44"/>
      <c r="I1062" s="44"/>
      <c r="J1062" s="47" t="s">
        <v>35</v>
      </c>
      <c r="K1062" s="47"/>
      <c r="L1062" s="47"/>
      <c r="M1062" s="47"/>
      <c r="N1062" s="47"/>
      <c r="O1062" s="44"/>
      <c r="P1062" s="44"/>
      <c r="Q1062" s="48">
        <f>VLOOKUP(E1062,sheet1!$B$2:$D$3209,3,FALSE)</f>
        <v>387</v>
      </c>
      <c r="R1062" s="47"/>
      <c r="S1062" s="47" t="s">
        <v>296</v>
      </c>
      <c r="T1062" s="47" t="s">
        <v>35</v>
      </c>
      <c r="U1062" s="47" t="s">
        <v>35</v>
      </c>
      <c r="V1062" s="47" t="s">
        <v>35</v>
      </c>
      <c r="W1062" s="47" t="s">
        <v>296</v>
      </c>
      <c r="X1062" s="47" t="s">
        <v>35</v>
      </c>
      <c r="Y1062" s="47" t="s">
        <v>35</v>
      </c>
      <c r="Z1062" s="47" t="s">
        <v>35</v>
      </c>
      <c r="AA1062" s="47" t="s">
        <v>296</v>
      </c>
      <c r="AB1062" s="47" t="s">
        <v>35</v>
      </c>
      <c r="AC1062" s="47" t="s">
        <v>296</v>
      </c>
      <c r="AD1062" s="73" t="str">
        <f>VLOOKUP(E1073,sheet1!$B$2:$C$3209,2,FALSE)</f>
        <v>予算在庫計画数リスト 　　</v>
      </c>
      <c r="AE1062" s="49"/>
      <c r="AF1062" s="49"/>
      <c r="AG1062" s="49"/>
      <c r="AH1062" s="49" t="str">
        <f t="shared" si="58"/>
        <v/>
      </c>
      <c r="AI1062" s="49"/>
      <c r="AJ1062" s="49"/>
      <c r="AK1062" s="49"/>
      <c r="AL1062" s="49" t="str">
        <f t="shared" si="59"/>
        <v>振替伝票申請入力</v>
      </c>
      <c r="AM1062" s="49" t="s">
        <v>35</v>
      </c>
      <c r="AN1062" s="49" t="s">
        <v>3764</v>
      </c>
      <c r="AO1062" s="51" t="str">
        <f t="shared" si="54"/>
        <v/>
      </c>
      <c r="AP1062" s="51" t="str">
        <f t="shared" si="55"/>
        <v/>
      </c>
      <c r="AQ1062" s="49"/>
      <c r="AR1062" s="49"/>
      <c r="AS1062" s="49" t="str">
        <f t="shared" si="56"/>
        <v/>
      </c>
      <c r="AT1062" s="49" t="str">
        <f t="shared" si="57"/>
        <v/>
      </c>
      <c r="AU1062" s="49"/>
      <c r="AV1062" s="49"/>
    </row>
    <row r="1063" spans="1:48" ht="18" customHeight="1">
      <c r="A1063" s="44">
        <v>1061</v>
      </c>
      <c r="B1063" s="52" t="s">
        <v>2702</v>
      </c>
      <c r="C1063" s="80" t="s">
        <v>3760</v>
      </c>
      <c r="D1063" s="46" t="s">
        <v>72</v>
      </c>
      <c r="E1063" s="44" t="s">
        <v>2926</v>
      </c>
      <c r="F1063" s="44" t="s">
        <v>2958</v>
      </c>
      <c r="G1063" s="44"/>
      <c r="H1063" s="44"/>
      <c r="I1063" s="44"/>
      <c r="J1063" s="47" t="s">
        <v>35</v>
      </c>
      <c r="K1063" s="47"/>
      <c r="L1063" s="47"/>
      <c r="M1063" s="47"/>
      <c r="N1063" s="47"/>
      <c r="O1063" s="44"/>
      <c r="P1063" s="44"/>
      <c r="Q1063" s="48">
        <f>VLOOKUP(E1063,sheet1!$B$2:$D$3209,3,FALSE)</f>
        <v>435</v>
      </c>
      <c r="R1063" s="47"/>
      <c r="S1063" s="47" t="s">
        <v>296</v>
      </c>
      <c r="T1063" s="47" t="s">
        <v>35</v>
      </c>
      <c r="U1063" s="47" t="s">
        <v>35</v>
      </c>
      <c r="V1063" s="47" t="s">
        <v>35</v>
      </c>
      <c r="W1063" s="47" t="s">
        <v>296</v>
      </c>
      <c r="X1063" s="47" t="s">
        <v>296</v>
      </c>
      <c r="Y1063" s="47"/>
      <c r="Z1063" s="47" t="s">
        <v>35</v>
      </c>
      <c r="AA1063" s="47" t="s">
        <v>296</v>
      </c>
      <c r="AB1063" s="47"/>
      <c r="AC1063" s="47" t="s">
        <v>296</v>
      </c>
      <c r="AD1063" s="73" t="str">
        <f>VLOOKUP(E1074,sheet1!$B$2:$C$3209,2,FALSE)</f>
        <v>製品別売上予算印刷</v>
      </c>
      <c r="AE1063" s="49"/>
      <c r="AF1063" s="49"/>
      <c r="AG1063" s="49"/>
      <c r="AH1063" s="49" t="str">
        <f t="shared" si="58"/>
        <v/>
      </c>
      <c r="AI1063" s="49"/>
      <c r="AJ1063" s="49"/>
      <c r="AK1063" s="49"/>
      <c r="AL1063" s="49" t="str">
        <f t="shared" si="59"/>
        <v>振替申請No.振替No.照会</v>
      </c>
      <c r="AM1063" s="49" t="s">
        <v>35</v>
      </c>
      <c r="AN1063" s="49" t="s">
        <v>3765</v>
      </c>
      <c r="AO1063" s="51" t="str">
        <f t="shared" si="54"/>
        <v/>
      </c>
      <c r="AP1063" s="51" t="str">
        <f t="shared" si="55"/>
        <v/>
      </c>
      <c r="AQ1063" s="49"/>
      <c r="AR1063" s="49"/>
      <c r="AS1063" s="49" t="str">
        <f t="shared" si="56"/>
        <v/>
      </c>
      <c r="AT1063" s="49" t="str">
        <f t="shared" si="57"/>
        <v/>
      </c>
      <c r="AU1063" s="49"/>
      <c r="AV1063" s="49"/>
    </row>
    <row r="1064" spans="1:48" ht="18" customHeight="1">
      <c r="A1064" s="44">
        <v>1062</v>
      </c>
      <c r="B1064" s="52" t="s">
        <v>2702</v>
      </c>
      <c r="C1064" s="80" t="s">
        <v>3760</v>
      </c>
      <c r="D1064" s="46" t="s">
        <v>72</v>
      </c>
      <c r="E1064" s="44" t="s">
        <v>2939</v>
      </c>
      <c r="F1064" s="44" t="s">
        <v>2967</v>
      </c>
      <c r="G1064" s="44"/>
      <c r="H1064" s="44"/>
      <c r="I1064" s="44"/>
      <c r="J1064" s="47" t="s">
        <v>35</v>
      </c>
      <c r="K1064" s="47"/>
      <c r="L1064" s="47"/>
      <c r="M1064" s="47"/>
      <c r="N1064" s="47"/>
      <c r="O1064" s="44"/>
      <c r="P1064" s="44"/>
      <c r="Q1064" s="48">
        <f>VLOOKUP(E1064,sheet1!$B$2:$D$3209,3,FALSE)</f>
        <v>169</v>
      </c>
      <c r="R1064" s="47"/>
      <c r="S1064" s="47" t="s">
        <v>296</v>
      </c>
      <c r="T1064" s="47" t="s">
        <v>35</v>
      </c>
      <c r="U1064" s="47" t="s">
        <v>296</v>
      </c>
      <c r="V1064" s="47" t="s">
        <v>35</v>
      </c>
      <c r="W1064" s="47" t="s">
        <v>296</v>
      </c>
      <c r="X1064" s="47" t="s">
        <v>296</v>
      </c>
      <c r="Y1064" s="47"/>
      <c r="Z1064" s="47" t="s">
        <v>35</v>
      </c>
      <c r="AA1064" s="47" t="s">
        <v>296</v>
      </c>
      <c r="AB1064" s="47"/>
      <c r="AC1064" s="47" t="s">
        <v>296</v>
      </c>
      <c r="AD1064" s="73" t="str">
        <f>VLOOKUP(E1075,sheet1!$B$2:$C$3209,2,FALSE)</f>
        <v>売上予算～画面入力</v>
      </c>
      <c r="AE1064" s="49"/>
      <c r="AF1064" s="49"/>
      <c r="AG1064" s="49"/>
      <c r="AH1064" s="49" t="str">
        <f t="shared" si="58"/>
        <v/>
      </c>
      <c r="AI1064" s="49"/>
      <c r="AJ1064" s="49"/>
      <c r="AK1064" s="49"/>
      <c r="AL1064" s="49" t="str">
        <f t="shared" si="59"/>
        <v>雛型・振替伝票リスト</v>
      </c>
      <c r="AM1064" s="49" t="s">
        <v>35</v>
      </c>
      <c r="AN1064" s="49" t="s">
        <v>3766</v>
      </c>
      <c r="AO1064" s="51" t="str">
        <f t="shared" si="54"/>
        <v/>
      </c>
      <c r="AP1064" s="51" t="str">
        <f t="shared" si="55"/>
        <v/>
      </c>
      <c r="AQ1064" s="49"/>
      <c r="AR1064" s="49"/>
      <c r="AS1064" s="49" t="str">
        <f t="shared" si="56"/>
        <v/>
      </c>
      <c r="AT1064" s="49" t="str">
        <f t="shared" si="57"/>
        <v/>
      </c>
      <c r="AU1064" s="49"/>
      <c r="AV1064" s="49"/>
    </row>
    <row r="1065" spans="1:48" ht="18" customHeight="1">
      <c r="A1065" s="44">
        <v>1063</v>
      </c>
      <c r="B1065" s="52" t="s">
        <v>2702</v>
      </c>
      <c r="C1065" s="80" t="s">
        <v>3760</v>
      </c>
      <c r="D1065" s="46" t="s">
        <v>72</v>
      </c>
      <c r="E1065" s="44" t="s">
        <v>2945</v>
      </c>
      <c r="F1065" s="44" t="s">
        <v>2973</v>
      </c>
      <c r="G1065" s="44"/>
      <c r="H1065" s="44"/>
      <c r="I1065" s="44"/>
      <c r="J1065" s="47" t="s">
        <v>35</v>
      </c>
      <c r="K1065" s="47"/>
      <c r="L1065" s="47"/>
      <c r="M1065" s="47"/>
      <c r="N1065" s="47"/>
      <c r="O1065" s="44"/>
      <c r="P1065" s="44"/>
      <c r="Q1065" s="48">
        <f>VLOOKUP(E1065,sheet1!$B$2:$D$3209,3,FALSE)</f>
        <v>484</v>
      </c>
      <c r="R1065" s="47"/>
      <c r="S1065" s="47" t="s">
        <v>296</v>
      </c>
      <c r="T1065" s="47" t="s">
        <v>35</v>
      </c>
      <c r="U1065" s="47" t="s">
        <v>35</v>
      </c>
      <c r="V1065" s="47" t="s">
        <v>35</v>
      </c>
      <c r="W1065" s="47" t="s">
        <v>296</v>
      </c>
      <c r="X1065" s="47" t="s">
        <v>296</v>
      </c>
      <c r="Y1065" s="47"/>
      <c r="Z1065" s="47" t="s">
        <v>35</v>
      </c>
      <c r="AA1065" s="47" t="s">
        <v>296</v>
      </c>
      <c r="AB1065" s="47"/>
      <c r="AC1065" s="47" t="s">
        <v>296</v>
      </c>
      <c r="AD1065" s="73" t="str">
        <f>VLOOKUP(E1076,sheet1!$B$2:$C$3209,2,FALSE)</f>
        <v>生産（仕入）・販売・在庫予算</v>
      </c>
      <c r="AE1065" s="49"/>
      <c r="AF1065" s="49"/>
      <c r="AG1065" s="49"/>
      <c r="AH1065" s="49" t="str">
        <f t="shared" si="58"/>
        <v/>
      </c>
      <c r="AI1065" s="49"/>
      <c r="AJ1065" s="49"/>
      <c r="AK1065" s="49"/>
      <c r="AL1065" s="49"/>
      <c r="AM1065" s="49"/>
      <c r="AN1065" s="49"/>
      <c r="AO1065" s="51" t="str">
        <f t="shared" si="54"/>
        <v/>
      </c>
      <c r="AP1065" s="51" t="str">
        <f t="shared" si="55"/>
        <v/>
      </c>
      <c r="AQ1065" s="49"/>
      <c r="AR1065" s="49"/>
      <c r="AS1065" s="49" t="str">
        <f t="shared" si="56"/>
        <v/>
      </c>
      <c r="AT1065" s="49" t="str">
        <f t="shared" si="57"/>
        <v/>
      </c>
      <c r="AU1065" s="49"/>
      <c r="AV1065" s="49"/>
    </row>
    <row r="1066" spans="1:48" ht="18" customHeight="1">
      <c r="A1066" s="44">
        <v>1064</v>
      </c>
      <c r="B1066" s="52" t="s">
        <v>2702</v>
      </c>
      <c r="C1066" s="80" t="s">
        <v>3760</v>
      </c>
      <c r="D1066" s="46" t="s">
        <v>72</v>
      </c>
      <c r="E1066" s="44" t="s">
        <v>2947</v>
      </c>
      <c r="F1066" s="44" t="s">
        <v>2976</v>
      </c>
      <c r="G1066" s="44"/>
      <c r="H1066" s="44"/>
      <c r="I1066" s="44"/>
      <c r="J1066" s="47" t="s">
        <v>35</v>
      </c>
      <c r="K1066" s="47"/>
      <c r="L1066" s="47"/>
      <c r="M1066" s="47"/>
      <c r="N1066" s="47"/>
      <c r="O1066" s="44"/>
      <c r="P1066" s="44"/>
      <c r="Q1066" s="48">
        <f>VLOOKUP(E1066,sheet1!$B$2:$D$3209,3,FALSE)</f>
        <v>380</v>
      </c>
      <c r="R1066" s="47"/>
      <c r="S1066" s="47" t="s">
        <v>296</v>
      </c>
      <c r="T1066" s="47" t="s">
        <v>35</v>
      </c>
      <c r="U1066" s="47" t="s">
        <v>35</v>
      </c>
      <c r="V1066" s="47" t="s">
        <v>35</v>
      </c>
      <c r="W1066" s="47" t="s">
        <v>296</v>
      </c>
      <c r="X1066" s="47" t="s">
        <v>296</v>
      </c>
      <c r="Y1066" s="47"/>
      <c r="Z1066" s="47" t="s">
        <v>35</v>
      </c>
      <c r="AA1066" s="47" t="s">
        <v>296</v>
      </c>
      <c r="AB1066" s="47"/>
      <c r="AC1066" s="47" t="s">
        <v>296</v>
      </c>
      <c r="AD1066" s="73" t="str">
        <f>VLOOKUP(E1077,sheet1!$B$2:$C$3209,2,FALSE)</f>
        <v>売上・原価予算ﾘｽﾄ～画面入力</v>
      </c>
      <c r="AE1066" s="49"/>
      <c r="AF1066" s="49"/>
      <c r="AG1066" s="49"/>
      <c r="AH1066" s="49" t="str">
        <f t="shared" si="58"/>
        <v/>
      </c>
      <c r="AI1066" s="49"/>
      <c r="AJ1066" s="49"/>
      <c r="AK1066" s="49"/>
      <c r="AL1066" s="49"/>
      <c r="AM1066" s="49"/>
      <c r="AN1066" s="49"/>
      <c r="AO1066" s="51" t="str">
        <f t="shared" si="54"/>
        <v/>
      </c>
      <c r="AP1066" s="51" t="str">
        <f t="shared" si="55"/>
        <v/>
      </c>
      <c r="AQ1066" s="49"/>
      <c r="AR1066" s="49"/>
      <c r="AS1066" s="49" t="str">
        <f t="shared" si="56"/>
        <v/>
      </c>
      <c r="AT1066" s="49" t="str">
        <f t="shared" si="57"/>
        <v/>
      </c>
      <c r="AU1066" s="49"/>
      <c r="AV1066" s="49"/>
    </row>
    <row r="1067" spans="1:48" ht="18" customHeight="1">
      <c r="A1067" s="44">
        <v>1065</v>
      </c>
      <c r="B1067" s="52" t="s">
        <v>2702</v>
      </c>
      <c r="C1067" s="80" t="s">
        <v>3760</v>
      </c>
      <c r="D1067" s="46" t="s">
        <v>72</v>
      </c>
      <c r="E1067" s="44" t="s">
        <v>2950</v>
      </c>
      <c r="F1067" s="44" t="s">
        <v>2979</v>
      </c>
      <c r="G1067" s="44"/>
      <c r="H1067" s="44"/>
      <c r="I1067" s="44"/>
      <c r="J1067" s="47" t="s">
        <v>35</v>
      </c>
      <c r="K1067" s="47"/>
      <c r="L1067" s="47"/>
      <c r="M1067" s="47"/>
      <c r="N1067" s="47"/>
      <c r="O1067" s="44"/>
      <c r="P1067" s="44"/>
      <c r="Q1067" s="48">
        <f>VLOOKUP(E1067,sheet1!$B$2:$D$3209,3,FALSE)</f>
        <v>380</v>
      </c>
      <c r="R1067" s="47"/>
      <c r="S1067" s="47" t="s">
        <v>296</v>
      </c>
      <c r="T1067" s="47" t="s">
        <v>35</v>
      </c>
      <c r="U1067" s="47" t="s">
        <v>35</v>
      </c>
      <c r="V1067" s="47"/>
      <c r="W1067" s="47" t="s">
        <v>296</v>
      </c>
      <c r="X1067" s="47" t="s">
        <v>296</v>
      </c>
      <c r="Y1067" s="47"/>
      <c r="Z1067" s="47" t="s">
        <v>35</v>
      </c>
      <c r="AA1067" s="47" t="s">
        <v>296</v>
      </c>
      <c r="AB1067" s="47"/>
      <c r="AC1067" s="47" t="s">
        <v>296</v>
      </c>
      <c r="AD1067" s="73" t="str">
        <f>VLOOKUP(E1078,sheet1!$B$2:$C$3209,2,FALSE)</f>
        <v>経費予算集計表～画面</v>
      </c>
      <c r="AE1067" s="49"/>
      <c r="AF1067" s="49"/>
      <c r="AG1067" s="49"/>
      <c r="AH1067" s="49" t="str">
        <f t="shared" si="58"/>
        <v/>
      </c>
      <c r="AI1067" s="49"/>
      <c r="AJ1067" s="49"/>
      <c r="AK1067" s="49"/>
      <c r="AL1067" s="49"/>
      <c r="AM1067" s="49"/>
      <c r="AN1067" s="49"/>
      <c r="AO1067" s="51" t="str">
        <f t="shared" si="54"/>
        <v/>
      </c>
      <c r="AP1067" s="51" t="str">
        <f t="shared" si="55"/>
        <v/>
      </c>
      <c r="AQ1067" s="49"/>
      <c r="AR1067" s="49"/>
      <c r="AS1067" s="49" t="str">
        <f t="shared" si="56"/>
        <v/>
      </c>
      <c r="AT1067" s="49" t="str">
        <f t="shared" si="57"/>
        <v/>
      </c>
      <c r="AU1067" s="49"/>
      <c r="AV1067" s="49"/>
    </row>
    <row r="1068" spans="1:48" ht="18" customHeight="1">
      <c r="A1068" s="44">
        <v>1066</v>
      </c>
      <c r="B1068" s="52" t="s">
        <v>2702</v>
      </c>
      <c r="C1068" s="80" t="s">
        <v>3760</v>
      </c>
      <c r="D1068" s="46" t="s">
        <v>72</v>
      </c>
      <c r="E1068" s="44" t="s">
        <v>3166</v>
      </c>
      <c r="F1068" s="44" t="s">
        <v>3767</v>
      </c>
      <c r="G1068" s="44"/>
      <c r="H1068" s="44"/>
      <c r="I1068" s="44"/>
      <c r="J1068" s="47" t="s">
        <v>35</v>
      </c>
      <c r="K1068" s="47"/>
      <c r="L1068" s="47"/>
      <c r="M1068" s="47"/>
      <c r="N1068" s="47"/>
      <c r="O1068" s="44"/>
      <c r="P1068" s="44"/>
      <c r="Q1068" s="48">
        <f>VLOOKUP(E1068,sheet1!$B$2:$D$3209,3,FALSE)</f>
        <v>558</v>
      </c>
      <c r="R1068" s="47"/>
      <c r="S1068" s="47" t="s">
        <v>296</v>
      </c>
      <c r="T1068" s="47" t="s">
        <v>35</v>
      </c>
      <c r="U1068" s="47" t="s">
        <v>296</v>
      </c>
      <c r="V1068" s="47" t="s">
        <v>35</v>
      </c>
      <c r="W1068" s="47" t="s">
        <v>35</v>
      </c>
      <c r="X1068" s="47" t="s">
        <v>35</v>
      </c>
      <c r="Y1068" s="47" t="s">
        <v>35</v>
      </c>
      <c r="Z1068" s="47" t="s">
        <v>35</v>
      </c>
      <c r="AA1068" s="47" t="s">
        <v>35</v>
      </c>
      <c r="AB1068" s="47" t="s">
        <v>35</v>
      </c>
      <c r="AC1068" s="47" t="s">
        <v>296</v>
      </c>
      <c r="AD1068" s="73" t="str">
        <f>VLOOKUP(E1079,sheet1!$B$2:$C$3209,2,FALSE)</f>
        <v>試験用仮払現金実査表～画面チェック</v>
      </c>
      <c r="AE1068" s="49"/>
      <c r="AF1068" s="49"/>
      <c r="AG1068" s="49"/>
      <c r="AH1068" s="49" t="str">
        <f t="shared" si="58"/>
        <v/>
      </c>
      <c r="AI1068" s="49"/>
      <c r="AJ1068" s="49"/>
      <c r="AK1068" s="49"/>
      <c r="AL1068" s="49"/>
      <c r="AM1068" s="49"/>
      <c r="AN1068" s="49"/>
      <c r="AO1068" s="51" t="str">
        <f t="shared" si="54"/>
        <v/>
      </c>
      <c r="AP1068" s="51" t="str">
        <f t="shared" si="55"/>
        <v/>
      </c>
      <c r="AQ1068" s="49"/>
      <c r="AR1068" s="49"/>
      <c r="AS1068" s="49" t="str">
        <f t="shared" si="56"/>
        <v/>
      </c>
      <c r="AT1068" s="49" t="str">
        <f t="shared" si="57"/>
        <v/>
      </c>
      <c r="AU1068" s="49"/>
      <c r="AV1068" s="49"/>
    </row>
    <row r="1069" spans="1:48" ht="18" customHeight="1">
      <c r="A1069" s="44">
        <v>1067</v>
      </c>
      <c r="B1069" s="52" t="s">
        <v>2702</v>
      </c>
      <c r="C1069" s="82" t="s">
        <v>3760</v>
      </c>
      <c r="D1069" s="46" t="s">
        <v>72</v>
      </c>
      <c r="E1069" s="44" t="s">
        <v>3213</v>
      </c>
      <c r="F1069" s="44" t="s">
        <v>3242</v>
      </c>
      <c r="G1069" s="44"/>
      <c r="H1069" s="44"/>
      <c r="I1069" s="44"/>
      <c r="J1069" s="47" t="s">
        <v>35</v>
      </c>
      <c r="K1069" s="47"/>
      <c r="L1069" s="47"/>
      <c r="M1069" s="47"/>
      <c r="N1069" s="47"/>
      <c r="O1069" s="44"/>
      <c r="P1069" s="44"/>
      <c r="Q1069" s="48">
        <f>VLOOKUP(E1069,sheet1!$B$2:$D$3209,3,FALSE)</f>
        <v>174</v>
      </c>
      <c r="R1069" s="47"/>
      <c r="S1069" s="47" t="s">
        <v>296</v>
      </c>
      <c r="T1069" s="47" t="s">
        <v>35</v>
      </c>
      <c r="U1069" s="47" t="s">
        <v>296</v>
      </c>
      <c r="V1069" s="47" t="s">
        <v>35</v>
      </c>
      <c r="W1069" s="47" t="s">
        <v>35</v>
      </c>
      <c r="X1069" s="47" t="s">
        <v>35</v>
      </c>
      <c r="Y1069" s="47" t="s">
        <v>35</v>
      </c>
      <c r="Z1069" s="47" t="s">
        <v>35</v>
      </c>
      <c r="AA1069" s="47" t="s">
        <v>35</v>
      </c>
      <c r="AB1069" s="47" t="s">
        <v>35</v>
      </c>
      <c r="AC1069" s="47" t="s">
        <v>296</v>
      </c>
      <c r="AD1069" s="73" t="str">
        <f>VLOOKUP(E1080,sheet1!$B$2:$C$3209,2,FALSE)</f>
        <v>財務会計　新・振替伝票データ照会</v>
      </c>
      <c r="AE1069" s="49"/>
      <c r="AF1069" s="49"/>
      <c r="AG1069" s="49"/>
      <c r="AH1069" s="49" t="str">
        <f t="shared" si="58"/>
        <v/>
      </c>
      <c r="AI1069" s="49"/>
      <c r="AJ1069" s="49"/>
      <c r="AK1069" s="49"/>
      <c r="AL1069" s="49" t="s">
        <v>838</v>
      </c>
      <c r="AM1069" s="49"/>
      <c r="AN1069" s="49"/>
      <c r="AO1069" s="51" t="str">
        <f t="shared" si="54"/>
        <v/>
      </c>
      <c r="AP1069" s="51" t="str">
        <f t="shared" si="55"/>
        <v/>
      </c>
      <c r="AQ1069" s="49"/>
      <c r="AR1069" s="49"/>
      <c r="AS1069" s="49" t="str">
        <f t="shared" si="56"/>
        <v/>
      </c>
      <c r="AT1069" s="49" t="str">
        <f t="shared" si="57"/>
        <v/>
      </c>
      <c r="AU1069" s="49"/>
      <c r="AV1069" s="49"/>
    </row>
    <row r="1070" spans="1:48" ht="18" customHeight="1">
      <c r="A1070" s="44">
        <v>1068</v>
      </c>
      <c r="B1070" s="52" t="s">
        <v>2702</v>
      </c>
      <c r="C1070" s="75" t="s">
        <v>3768</v>
      </c>
      <c r="D1070" s="46" t="s">
        <v>72</v>
      </c>
      <c r="E1070" s="44" t="s">
        <v>3367</v>
      </c>
      <c r="F1070" s="44" t="s">
        <v>3400</v>
      </c>
      <c r="G1070" s="44"/>
      <c r="H1070" s="44"/>
      <c r="I1070" s="44"/>
      <c r="J1070" s="47" t="s">
        <v>35</v>
      </c>
      <c r="K1070" s="47"/>
      <c r="L1070" s="47"/>
      <c r="M1070" s="47"/>
      <c r="N1070" s="47"/>
      <c r="O1070" s="44"/>
      <c r="P1070" s="44"/>
      <c r="Q1070" s="48">
        <f>VLOOKUP(E1070,sheet1!$B$2:$D$3209,3,FALSE)</f>
        <v>981</v>
      </c>
      <c r="R1070" s="47"/>
      <c r="S1070" s="47" t="s">
        <v>296</v>
      </c>
      <c r="T1070" s="47" t="s">
        <v>35</v>
      </c>
      <c r="U1070" s="47" t="s">
        <v>296</v>
      </c>
      <c r="V1070" s="47" t="s">
        <v>296</v>
      </c>
      <c r="W1070" s="47" t="s">
        <v>296</v>
      </c>
      <c r="X1070" s="47" t="s">
        <v>296</v>
      </c>
      <c r="Y1070" s="47"/>
      <c r="Z1070" s="47" t="s">
        <v>35</v>
      </c>
      <c r="AA1070" s="47" t="s">
        <v>296</v>
      </c>
      <c r="AB1070" s="47"/>
      <c r="AC1070" s="47" t="s">
        <v>296</v>
      </c>
      <c r="AD1070" s="73" t="str">
        <f>VLOOKUP(E1081,sheet1!$B$2:$C$3209,2,FALSE)</f>
        <v>部門別ｲﾝﾎﾞｲｽNO別月別明細表　画面チェック</v>
      </c>
      <c r="AE1070" s="49"/>
      <c r="AF1070" s="56"/>
      <c r="AG1070" s="56"/>
      <c r="AH1070" s="49"/>
      <c r="AI1070" s="49"/>
      <c r="AJ1070" s="49"/>
      <c r="AK1070" s="49"/>
      <c r="AL1070" s="49" t="s">
        <v>3769</v>
      </c>
      <c r="AM1070" s="49"/>
      <c r="AN1070" s="49"/>
      <c r="AO1070" s="51" t="str">
        <f t="shared" si="54"/>
        <v/>
      </c>
      <c r="AP1070" s="51" t="str">
        <f t="shared" si="55"/>
        <v/>
      </c>
      <c r="AQ1070" s="49"/>
      <c r="AR1070" s="49"/>
      <c r="AS1070" s="49" t="str">
        <f t="shared" si="56"/>
        <v/>
      </c>
      <c r="AT1070" s="49" t="str">
        <f t="shared" si="57"/>
        <v/>
      </c>
      <c r="AU1070" s="49"/>
      <c r="AV1070" s="49"/>
    </row>
    <row r="1071" spans="1:48" ht="18" customHeight="1">
      <c r="A1071" s="44">
        <v>1069</v>
      </c>
      <c r="B1071" s="52" t="s">
        <v>2702</v>
      </c>
      <c r="C1071" s="80" t="s">
        <v>3768</v>
      </c>
      <c r="D1071" s="46" t="s">
        <v>72</v>
      </c>
      <c r="E1071" s="44" t="s">
        <v>3371</v>
      </c>
      <c r="F1071" s="44" t="s">
        <v>3403</v>
      </c>
      <c r="G1071" s="44"/>
      <c r="H1071" s="44"/>
      <c r="I1071" s="44"/>
      <c r="J1071" s="47" t="s">
        <v>35</v>
      </c>
      <c r="K1071" s="47"/>
      <c r="L1071" s="47"/>
      <c r="M1071" s="47"/>
      <c r="N1071" s="47"/>
      <c r="O1071" s="44"/>
      <c r="P1071" s="44"/>
      <c r="Q1071" s="48">
        <f>VLOOKUP(E1071,sheet1!$B$2:$D$3209,3,FALSE)</f>
        <v>752</v>
      </c>
      <c r="R1071" s="47"/>
      <c r="S1071" s="47" t="s">
        <v>296</v>
      </c>
      <c r="T1071" s="47" t="s">
        <v>35</v>
      </c>
      <c r="U1071" s="47" t="s">
        <v>296</v>
      </c>
      <c r="V1071" s="47" t="s">
        <v>296</v>
      </c>
      <c r="W1071" s="47" t="s">
        <v>296</v>
      </c>
      <c r="X1071" s="47" t="s">
        <v>296</v>
      </c>
      <c r="Y1071" s="47"/>
      <c r="Z1071" s="47" t="s">
        <v>35</v>
      </c>
      <c r="AA1071" s="47" t="s">
        <v>296</v>
      </c>
      <c r="AB1071" s="47"/>
      <c r="AC1071" s="47" t="s">
        <v>296</v>
      </c>
      <c r="AD1071" s="73" t="str">
        <f>VLOOKUP(E1082,sheet1!$B$2:$C$3209,2,FALSE)</f>
        <v>売掛金入金状況表選択画面</v>
      </c>
      <c r="AE1071" s="49"/>
      <c r="AF1071" s="56"/>
      <c r="AG1071" s="56"/>
      <c r="AH1071" s="49"/>
      <c r="AI1071" s="49"/>
      <c r="AJ1071" s="49"/>
      <c r="AK1071" s="49"/>
      <c r="AL1071" s="49" t="s">
        <v>2883</v>
      </c>
      <c r="AM1071" s="49"/>
      <c r="AN1071" s="49"/>
      <c r="AO1071" s="51" t="str">
        <f t="shared" si="54"/>
        <v/>
      </c>
      <c r="AP1071" s="51" t="str">
        <f t="shared" si="55"/>
        <v/>
      </c>
      <c r="AQ1071" s="49"/>
      <c r="AR1071" s="49"/>
      <c r="AS1071" s="49" t="str">
        <f t="shared" si="56"/>
        <v/>
      </c>
      <c r="AT1071" s="49" t="str">
        <f t="shared" si="57"/>
        <v/>
      </c>
      <c r="AU1071" s="49"/>
      <c r="AV1071" s="49"/>
    </row>
    <row r="1072" spans="1:48" ht="18" customHeight="1">
      <c r="A1072" s="44">
        <v>1070</v>
      </c>
      <c r="B1072" s="52" t="s">
        <v>2702</v>
      </c>
      <c r="C1072" s="80" t="s">
        <v>3768</v>
      </c>
      <c r="D1072" s="46" t="s">
        <v>72</v>
      </c>
      <c r="E1072" s="44" t="s">
        <v>3377</v>
      </c>
      <c r="F1072" s="44" t="s">
        <v>3409</v>
      </c>
      <c r="G1072" s="44"/>
      <c r="H1072" s="44"/>
      <c r="I1072" s="44"/>
      <c r="J1072" s="47" t="s">
        <v>35</v>
      </c>
      <c r="K1072" s="47"/>
      <c r="L1072" s="47"/>
      <c r="M1072" s="47"/>
      <c r="N1072" s="47"/>
      <c r="O1072" s="44"/>
      <c r="P1072" s="44"/>
      <c r="Q1072" s="48">
        <f>VLOOKUP(E1072,sheet1!$B$2:$D$3209,3,FALSE)</f>
        <v>658</v>
      </c>
      <c r="R1072" s="47"/>
      <c r="S1072" s="47" t="s">
        <v>296</v>
      </c>
      <c r="T1072" s="47" t="s">
        <v>35</v>
      </c>
      <c r="U1072" s="47" t="s">
        <v>296</v>
      </c>
      <c r="V1072" s="47" t="s">
        <v>296</v>
      </c>
      <c r="W1072" s="47" t="s">
        <v>296</v>
      </c>
      <c r="X1072" s="47" t="s">
        <v>296</v>
      </c>
      <c r="Y1072" s="47"/>
      <c r="Z1072" s="47" t="s">
        <v>35</v>
      </c>
      <c r="AA1072" s="47" t="s">
        <v>296</v>
      </c>
      <c r="AB1072" s="47"/>
      <c r="AC1072" s="47" t="s">
        <v>296</v>
      </c>
      <c r="AD1072" s="73" t="str">
        <f>VLOOKUP(E1083,sheet1!$B$2:$C$3209,2,FALSE)</f>
        <v>売掛金管理表（ファイル変更）～画面入力</v>
      </c>
      <c r="AE1072" s="49"/>
      <c r="AF1072" s="56"/>
      <c r="AG1072" s="37"/>
      <c r="AH1072" s="49"/>
      <c r="AI1072" s="49"/>
      <c r="AJ1072" s="49"/>
      <c r="AK1072" s="49"/>
      <c r="AL1072" s="49"/>
      <c r="AM1072" s="49"/>
      <c r="AN1072" s="49"/>
      <c r="AO1072" s="51" t="str">
        <f t="shared" si="54"/>
        <v/>
      </c>
      <c r="AP1072" s="51" t="str">
        <f t="shared" si="55"/>
        <v/>
      </c>
      <c r="AQ1072" s="49"/>
      <c r="AR1072" s="49"/>
      <c r="AS1072" s="49" t="str">
        <f t="shared" si="56"/>
        <v/>
      </c>
      <c r="AT1072" s="49" t="str">
        <f t="shared" si="57"/>
        <v/>
      </c>
      <c r="AU1072" s="49"/>
      <c r="AV1072" s="49"/>
    </row>
    <row r="1073" spans="1:48" ht="18" customHeight="1">
      <c r="A1073" s="44">
        <v>1071</v>
      </c>
      <c r="B1073" s="52" t="s">
        <v>2702</v>
      </c>
      <c r="C1073" s="80" t="s">
        <v>3768</v>
      </c>
      <c r="D1073" s="46" t="s">
        <v>72</v>
      </c>
      <c r="E1073" s="44" t="s">
        <v>3380</v>
      </c>
      <c r="F1073" s="44" t="s">
        <v>3412</v>
      </c>
      <c r="G1073" s="44"/>
      <c r="H1073" s="44"/>
      <c r="I1073" s="44"/>
      <c r="J1073" s="47" t="s">
        <v>35</v>
      </c>
      <c r="K1073" s="47"/>
      <c r="L1073" s="47"/>
      <c r="M1073" s="47"/>
      <c r="N1073" s="47"/>
      <c r="O1073" s="44"/>
      <c r="P1073" s="44"/>
      <c r="Q1073" s="48">
        <f>VLOOKUP(E1073,sheet1!$B$2:$D$3209,3,FALSE)</f>
        <v>520</v>
      </c>
      <c r="R1073" s="47"/>
      <c r="S1073" s="47" t="s">
        <v>296</v>
      </c>
      <c r="T1073" s="47" t="s">
        <v>35</v>
      </c>
      <c r="U1073" s="47" t="s">
        <v>296</v>
      </c>
      <c r="V1073" s="47" t="s">
        <v>296</v>
      </c>
      <c r="W1073" s="47" t="s">
        <v>296</v>
      </c>
      <c r="X1073" s="47" t="s">
        <v>296</v>
      </c>
      <c r="Y1073" s="47"/>
      <c r="Z1073" s="47" t="s">
        <v>35</v>
      </c>
      <c r="AA1073" s="47" t="s">
        <v>296</v>
      </c>
      <c r="AB1073" s="47"/>
      <c r="AC1073" s="47" t="s">
        <v>296</v>
      </c>
      <c r="AD1073" s="73" t="str">
        <f>VLOOKUP(E1084,sheet1!$B$2:$C$3209,2,FALSE)</f>
        <v>売掛金入金状況表（ファイル変更）</v>
      </c>
      <c r="AE1073" s="49"/>
      <c r="AF1073" s="56"/>
      <c r="AG1073" s="56"/>
      <c r="AH1073" s="49"/>
      <c r="AI1073" s="49"/>
      <c r="AJ1073" s="49"/>
      <c r="AK1073" s="49"/>
      <c r="AL1073" s="49"/>
      <c r="AM1073" s="49"/>
      <c r="AN1073" s="49"/>
      <c r="AO1073" s="51" t="str">
        <f t="shared" si="54"/>
        <v/>
      </c>
      <c r="AP1073" s="51" t="str">
        <f t="shared" si="55"/>
        <v/>
      </c>
      <c r="AQ1073" s="49"/>
      <c r="AR1073" s="49"/>
      <c r="AS1073" s="49" t="str">
        <f t="shared" si="56"/>
        <v/>
      </c>
      <c r="AT1073" s="49" t="str">
        <f t="shared" si="57"/>
        <v/>
      </c>
      <c r="AU1073" s="49"/>
      <c r="AV1073" s="49"/>
    </row>
    <row r="1074" spans="1:48" ht="18" customHeight="1">
      <c r="A1074" s="44">
        <v>1072</v>
      </c>
      <c r="B1074" s="52" t="s">
        <v>2702</v>
      </c>
      <c r="C1074" s="80" t="s">
        <v>3768</v>
      </c>
      <c r="D1074" s="46" t="s">
        <v>72</v>
      </c>
      <c r="E1074" s="44" t="s">
        <v>3386</v>
      </c>
      <c r="F1074" s="44" t="s">
        <v>3418</v>
      </c>
      <c r="G1074" s="44"/>
      <c r="H1074" s="44"/>
      <c r="I1074" s="44"/>
      <c r="J1074" s="47" t="s">
        <v>35</v>
      </c>
      <c r="K1074" s="47"/>
      <c r="L1074" s="47"/>
      <c r="M1074" s="47"/>
      <c r="N1074" s="47"/>
      <c r="O1074" s="44"/>
      <c r="P1074" s="44"/>
      <c r="Q1074" s="48">
        <f>VLOOKUP(E1074,sheet1!$B$2:$D$3209,3,FALSE)</f>
        <v>1700</v>
      </c>
      <c r="R1074" s="47"/>
      <c r="S1074" s="47" t="s">
        <v>296</v>
      </c>
      <c r="T1074" s="47" t="s">
        <v>35</v>
      </c>
      <c r="U1074" s="47" t="s">
        <v>296</v>
      </c>
      <c r="V1074" s="47" t="s">
        <v>296</v>
      </c>
      <c r="W1074" s="47" t="s">
        <v>296</v>
      </c>
      <c r="X1074" s="47" t="s">
        <v>296</v>
      </c>
      <c r="Y1074" s="47"/>
      <c r="Z1074" s="47" t="s">
        <v>35</v>
      </c>
      <c r="AA1074" s="47" t="s">
        <v>296</v>
      </c>
      <c r="AB1074" s="47"/>
      <c r="AC1074" s="47" t="s">
        <v>296</v>
      </c>
      <c r="AD1074" s="73" t="str">
        <f>VLOOKUP(E1085,sheet1!$B$2:$C$3209,2,FALSE)</f>
        <v>経費差異分析・集計データ作成／全社・部門別・当月</v>
      </c>
      <c r="AE1074" s="49"/>
      <c r="AF1074" s="56"/>
      <c r="AG1074" s="56"/>
      <c r="AH1074" s="49"/>
      <c r="AI1074" s="49"/>
      <c r="AJ1074" s="49"/>
      <c r="AK1074" s="49"/>
      <c r="AL1074" s="49"/>
      <c r="AM1074" s="49"/>
      <c r="AN1074" s="49"/>
      <c r="AO1074" s="51" t="str">
        <f t="shared" si="54"/>
        <v/>
      </c>
      <c r="AP1074" s="51" t="str">
        <f t="shared" si="55"/>
        <v/>
      </c>
      <c r="AQ1074" s="49"/>
      <c r="AR1074" s="49"/>
      <c r="AS1074" s="49" t="str">
        <f t="shared" si="56"/>
        <v/>
      </c>
      <c r="AT1074" s="49" t="str">
        <f t="shared" si="57"/>
        <v/>
      </c>
      <c r="AU1074" s="49"/>
      <c r="AV1074" s="49"/>
    </row>
    <row r="1075" spans="1:48" ht="18" customHeight="1">
      <c r="A1075" s="44">
        <v>1073</v>
      </c>
      <c r="B1075" s="52" t="s">
        <v>2702</v>
      </c>
      <c r="C1075" s="80" t="s">
        <v>3768</v>
      </c>
      <c r="D1075" s="46" t="s">
        <v>72</v>
      </c>
      <c r="E1075" s="44" t="s">
        <v>3389</v>
      </c>
      <c r="F1075" s="44" t="s">
        <v>3421</v>
      </c>
      <c r="G1075" s="44"/>
      <c r="H1075" s="44"/>
      <c r="I1075" s="44"/>
      <c r="J1075" s="47" t="s">
        <v>35</v>
      </c>
      <c r="K1075" s="47"/>
      <c r="L1075" s="47"/>
      <c r="M1075" s="47"/>
      <c r="N1075" s="47"/>
      <c r="O1075" s="44"/>
      <c r="P1075" s="44"/>
      <c r="Q1075" s="48">
        <f>VLOOKUP(E1075,sheet1!$B$2:$D$3209,3,FALSE)</f>
        <v>204</v>
      </c>
      <c r="R1075" s="47"/>
      <c r="S1075" s="47" t="s">
        <v>296</v>
      </c>
      <c r="T1075" s="47" t="s">
        <v>35</v>
      </c>
      <c r="U1075" s="47" t="s">
        <v>296</v>
      </c>
      <c r="V1075" s="47" t="s">
        <v>296</v>
      </c>
      <c r="W1075" s="47" t="s">
        <v>296</v>
      </c>
      <c r="X1075" s="47" t="s">
        <v>296</v>
      </c>
      <c r="Y1075" s="47"/>
      <c r="Z1075" s="47" t="s">
        <v>35</v>
      </c>
      <c r="AA1075" s="47" t="s">
        <v>296</v>
      </c>
      <c r="AB1075" s="47"/>
      <c r="AC1075" s="47" t="s">
        <v>296</v>
      </c>
      <c r="AD1075" s="73" t="str">
        <f>VLOOKUP(E1086,sheet1!$B$2:$C$3209,2,FALSE)</f>
        <v>経費差異分析・集計データ作成／全社・部門別・累計</v>
      </c>
      <c r="AE1075" s="49"/>
      <c r="AF1075" s="49"/>
      <c r="AG1075" s="49"/>
      <c r="AH1075" s="49"/>
      <c r="AI1075" s="49"/>
      <c r="AJ1075" s="49"/>
      <c r="AK1075" s="49"/>
      <c r="AL1075" s="49"/>
      <c r="AM1075" s="49"/>
      <c r="AN1075" s="49"/>
      <c r="AO1075" s="51" t="str">
        <f t="shared" si="54"/>
        <v/>
      </c>
      <c r="AP1075" s="51" t="str">
        <f t="shared" si="55"/>
        <v/>
      </c>
      <c r="AQ1075" s="49"/>
      <c r="AR1075" s="49"/>
      <c r="AS1075" s="49" t="str">
        <f t="shared" si="56"/>
        <v/>
      </c>
      <c r="AT1075" s="49" t="str">
        <f t="shared" si="57"/>
        <v/>
      </c>
      <c r="AU1075" s="49"/>
      <c r="AV1075" s="49"/>
    </row>
    <row r="1076" spans="1:48" ht="18" customHeight="1">
      <c r="A1076" s="44">
        <v>1074</v>
      </c>
      <c r="B1076" s="52" t="s">
        <v>2702</v>
      </c>
      <c r="C1076" s="80" t="s">
        <v>3768</v>
      </c>
      <c r="D1076" s="46" t="s">
        <v>72</v>
      </c>
      <c r="E1076" s="44" t="s">
        <v>3392</v>
      </c>
      <c r="F1076" s="44" t="s">
        <v>3423</v>
      </c>
      <c r="G1076" s="44"/>
      <c r="H1076" s="44"/>
      <c r="I1076" s="44"/>
      <c r="J1076" s="47" t="s">
        <v>35</v>
      </c>
      <c r="K1076" s="47"/>
      <c r="L1076" s="47"/>
      <c r="M1076" s="47"/>
      <c r="N1076" s="47"/>
      <c r="O1076" s="44"/>
      <c r="P1076" s="44"/>
      <c r="Q1076" s="48">
        <f>VLOOKUP(E1076,sheet1!$B$2:$D$3209,3,FALSE)</f>
        <v>1262</v>
      </c>
      <c r="R1076" s="47"/>
      <c r="S1076" s="47" t="s">
        <v>296</v>
      </c>
      <c r="T1076" s="47" t="s">
        <v>35</v>
      </c>
      <c r="U1076" s="47" t="s">
        <v>296</v>
      </c>
      <c r="V1076" s="47" t="s">
        <v>296</v>
      </c>
      <c r="W1076" s="47" t="s">
        <v>296</v>
      </c>
      <c r="X1076" s="47" t="s">
        <v>296</v>
      </c>
      <c r="Y1076" s="47"/>
      <c r="Z1076" s="47" t="s">
        <v>35</v>
      </c>
      <c r="AA1076" s="47" t="s">
        <v>296</v>
      </c>
      <c r="AB1076" s="47"/>
      <c r="AC1076" s="47" t="s">
        <v>296</v>
      </c>
      <c r="AD1076" s="73" t="str">
        <f>VLOOKUP(E1087,sheet1!$B$2:$C$3209,2,FALSE)</f>
        <v>定型振替申請入力   　　　</v>
      </c>
      <c r="AE1076" s="49"/>
      <c r="AF1076" s="49"/>
      <c r="AG1076" s="49"/>
      <c r="AH1076" s="49"/>
      <c r="AI1076" s="49"/>
      <c r="AJ1076" s="49"/>
      <c r="AK1076" s="49"/>
      <c r="AL1076" s="49"/>
      <c r="AM1076" s="49"/>
      <c r="AN1076" s="49"/>
      <c r="AO1076" s="51" t="str">
        <f t="shared" si="54"/>
        <v/>
      </c>
      <c r="AP1076" s="51" t="str">
        <f t="shared" si="55"/>
        <v/>
      </c>
      <c r="AQ1076" s="49"/>
      <c r="AR1076" s="49"/>
      <c r="AS1076" s="49" t="str">
        <f t="shared" si="56"/>
        <v/>
      </c>
      <c r="AT1076" s="49" t="str">
        <f t="shared" si="57"/>
        <v/>
      </c>
      <c r="AU1076" s="49"/>
      <c r="AV1076" s="49"/>
    </row>
    <row r="1077" spans="1:48" ht="18" customHeight="1">
      <c r="A1077" s="44">
        <v>1075</v>
      </c>
      <c r="B1077" s="52" t="s">
        <v>2702</v>
      </c>
      <c r="C1077" s="80" t="s">
        <v>3768</v>
      </c>
      <c r="D1077" s="46" t="s">
        <v>72</v>
      </c>
      <c r="E1077" s="44" t="s">
        <v>3398</v>
      </c>
      <c r="F1077" s="44" t="s">
        <v>3428</v>
      </c>
      <c r="G1077" s="44"/>
      <c r="H1077" s="44"/>
      <c r="I1077" s="44"/>
      <c r="J1077" s="47" t="s">
        <v>35</v>
      </c>
      <c r="K1077" s="47"/>
      <c r="L1077" s="47"/>
      <c r="M1077" s="47"/>
      <c r="N1077" s="47"/>
      <c r="O1077" s="44"/>
      <c r="P1077" s="44"/>
      <c r="Q1077" s="48">
        <f>VLOOKUP(E1077,sheet1!$B$2:$D$3209,3,FALSE)</f>
        <v>205</v>
      </c>
      <c r="R1077" s="47"/>
      <c r="S1077" s="47" t="s">
        <v>296</v>
      </c>
      <c r="T1077" s="47" t="s">
        <v>35</v>
      </c>
      <c r="U1077" s="47" t="s">
        <v>296</v>
      </c>
      <c r="V1077" s="47" t="s">
        <v>296</v>
      </c>
      <c r="W1077" s="47" t="s">
        <v>296</v>
      </c>
      <c r="X1077" s="47" t="s">
        <v>296</v>
      </c>
      <c r="Y1077" s="47"/>
      <c r="Z1077" s="47" t="s">
        <v>35</v>
      </c>
      <c r="AA1077" s="47" t="s">
        <v>296</v>
      </c>
      <c r="AB1077" s="47"/>
      <c r="AC1077" s="47" t="s">
        <v>296</v>
      </c>
      <c r="AD1077" s="73" t="str">
        <f>VLOOKUP(E1088,sheet1!$B$2:$C$3209,2,FALSE)</f>
        <v>定型振替申請入力   　　　</v>
      </c>
      <c r="AE1077" s="49"/>
      <c r="AF1077" s="49"/>
      <c r="AG1077" s="49"/>
      <c r="AH1077" s="49"/>
      <c r="AI1077" s="49"/>
      <c r="AJ1077" s="49"/>
      <c r="AK1077" s="49"/>
      <c r="AL1077" s="49"/>
      <c r="AM1077" s="49"/>
      <c r="AN1077" s="49"/>
      <c r="AO1077" s="51" t="str">
        <f t="shared" si="54"/>
        <v/>
      </c>
      <c r="AP1077" s="51" t="str">
        <f t="shared" si="55"/>
        <v/>
      </c>
      <c r="AQ1077" s="49"/>
      <c r="AR1077" s="49"/>
      <c r="AS1077" s="49" t="str">
        <f t="shared" si="56"/>
        <v/>
      </c>
      <c r="AT1077" s="49" t="str">
        <f t="shared" si="57"/>
        <v/>
      </c>
      <c r="AU1077" s="49"/>
      <c r="AV1077" s="49"/>
    </row>
    <row r="1078" spans="1:48" ht="18" customHeight="1">
      <c r="A1078" s="44">
        <v>1076</v>
      </c>
      <c r="B1078" s="52" t="s">
        <v>2702</v>
      </c>
      <c r="C1078" s="80" t="s">
        <v>3768</v>
      </c>
      <c r="D1078" s="46" t="s">
        <v>72</v>
      </c>
      <c r="E1078" s="44" t="s">
        <v>3195</v>
      </c>
      <c r="F1078" s="44" t="s">
        <v>3770</v>
      </c>
      <c r="G1078" s="44"/>
      <c r="H1078" s="44"/>
      <c r="I1078" s="44"/>
      <c r="J1078" s="47" t="s">
        <v>35</v>
      </c>
      <c r="K1078" s="47"/>
      <c r="L1078" s="47"/>
      <c r="M1078" s="47"/>
      <c r="N1078" s="47"/>
      <c r="O1078" s="44"/>
      <c r="P1078" s="44"/>
      <c r="Q1078" s="48">
        <f>VLOOKUP(E1078,sheet1!$B$2:$D$3209,3,FALSE)</f>
        <v>254</v>
      </c>
      <c r="R1078" s="47"/>
      <c r="S1078" s="47" t="s">
        <v>296</v>
      </c>
      <c r="T1078" s="47" t="s">
        <v>35</v>
      </c>
      <c r="U1078" s="47" t="s">
        <v>35</v>
      </c>
      <c r="V1078" s="47" t="s">
        <v>35</v>
      </c>
      <c r="W1078" s="47" t="s">
        <v>35</v>
      </c>
      <c r="X1078" s="47" t="s">
        <v>35</v>
      </c>
      <c r="Y1078" s="47" t="s">
        <v>35</v>
      </c>
      <c r="Z1078" s="47" t="s">
        <v>35</v>
      </c>
      <c r="AA1078" s="47" t="s">
        <v>35</v>
      </c>
      <c r="AB1078" s="47" t="s">
        <v>35</v>
      </c>
      <c r="AC1078" s="47" t="s">
        <v>296</v>
      </c>
      <c r="AD1078" s="73" t="str">
        <f>VLOOKUP(E1089,sheet1!$B$2:$C$3209,2,FALSE)</f>
        <v>定型振替伝票入力   　　　</v>
      </c>
      <c r="AE1078" s="49"/>
      <c r="AF1078" s="49"/>
      <c r="AG1078" s="49"/>
      <c r="AH1078" s="49"/>
      <c r="AI1078" s="49"/>
      <c r="AJ1078" s="49"/>
      <c r="AK1078" s="49"/>
      <c r="AL1078" s="49"/>
      <c r="AM1078" s="49"/>
      <c r="AN1078" s="49"/>
      <c r="AO1078" s="51" t="str">
        <f t="shared" si="54"/>
        <v/>
      </c>
      <c r="AP1078" s="51" t="str">
        <f t="shared" si="55"/>
        <v/>
      </c>
      <c r="AQ1078" s="49"/>
      <c r="AR1078" s="49"/>
      <c r="AS1078" s="49" t="str">
        <f t="shared" si="56"/>
        <v/>
      </c>
      <c r="AT1078" s="49" t="str">
        <f t="shared" si="57"/>
        <v/>
      </c>
      <c r="AU1078" s="49"/>
      <c r="AV1078" s="49"/>
    </row>
    <row r="1079" spans="1:48" ht="18" customHeight="1">
      <c r="A1079" s="44">
        <v>1077</v>
      </c>
      <c r="B1079" s="52" t="s">
        <v>2702</v>
      </c>
      <c r="C1079" s="80" t="s">
        <v>3768</v>
      </c>
      <c r="D1079" s="46" t="s">
        <v>72</v>
      </c>
      <c r="E1079" s="44" t="s">
        <v>3330</v>
      </c>
      <c r="F1079" s="44" t="s">
        <v>3362</v>
      </c>
      <c r="G1079" s="44"/>
      <c r="H1079" s="44"/>
      <c r="I1079" s="44"/>
      <c r="J1079" s="47" t="s">
        <v>35</v>
      </c>
      <c r="K1079" s="47"/>
      <c r="L1079" s="47"/>
      <c r="M1079" s="47"/>
      <c r="N1079" s="47"/>
      <c r="O1079" s="44"/>
      <c r="P1079" s="44"/>
      <c r="Q1079" s="48">
        <f>VLOOKUP(E1079,sheet1!$B$2:$D$3209,3,FALSE)</f>
        <v>178</v>
      </c>
      <c r="R1079" s="47"/>
      <c r="S1079" s="47" t="s">
        <v>296</v>
      </c>
      <c r="T1079" s="47" t="s">
        <v>35</v>
      </c>
      <c r="U1079" s="47" t="s">
        <v>296</v>
      </c>
      <c r="V1079" s="47" t="s">
        <v>35</v>
      </c>
      <c r="W1079" s="47" t="s">
        <v>35</v>
      </c>
      <c r="X1079" s="47" t="s">
        <v>35</v>
      </c>
      <c r="Y1079" s="47" t="s">
        <v>35</v>
      </c>
      <c r="Z1079" s="47" t="s">
        <v>35</v>
      </c>
      <c r="AA1079" s="47" t="s">
        <v>35</v>
      </c>
      <c r="AB1079" s="47" t="s">
        <v>35</v>
      </c>
      <c r="AC1079" s="47" t="s">
        <v>296</v>
      </c>
      <c r="AD1079" s="73" t="str">
        <f>VLOOKUP(E1090,sheet1!$B$2:$C$3209,2,FALSE)</f>
        <v>固定定型振替伝票リスト  　　</v>
      </c>
      <c r="AE1079" s="49"/>
      <c r="AF1079" s="49"/>
      <c r="AG1079" s="49"/>
      <c r="AH1079" s="49"/>
      <c r="AI1079" s="49"/>
      <c r="AJ1079" s="49"/>
      <c r="AK1079" s="49"/>
      <c r="AL1079" s="49"/>
      <c r="AM1079" s="49"/>
      <c r="AN1079" s="49"/>
      <c r="AO1079" s="51" t="str">
        <f t="shared" si="54"/>
        <v/>
      </c>
      <c r="AP1079" s="51" t="str">
        <f t="shared" si="55"/>
        <v/>
      </c>
      <c r="AQ1079" s="49"/>
      <c r="AR1079" s="49"/>
      <c r="AS1079" s="49" t="str">
        <f t="shared" si="56"/>
        <v/>
      </c>
      <c r="AT1079" s="49" t="str">
        <f t="shared" si="57"/>
        <v/>
      </c>
      <c r="AU1079" s="49"/>
      <c r="AV1079" s="49"/>
    </row>
    <row r="1080" spans="1:48" ht="18" customHeight="1">
      <c r="A1080" s="44">
        <v>1078</v>
      </c>
      <c r="B1080" s="52" t="s">
        <v>2702</v>
      </c>
      <c r="C1080" s="80" t="s">
        <v>3768</v>
      </c>
      <c r="D1080" s="46" t="s">
        <v>72</v>
      </c>
      <c r="E1080" s="44" t="s">
        <v>2808</v>
      </c>
      <c r="F1080" s="44" t="s">
        <v>2842</v>
      </c>
      <c r="G1080" s="44"/>
      <c r="H1080" s="44"/>
      <c r="I1080" s="44"/>
      <c r="J1080" s="47" t="s">
        <v>35</v>
      </c>
      <c r="K1080" s="47"/>
      <c r="L1080" s="47"/>
      <c r="M1080" s="47"/>
      <c r="N1080" s="47"/>
      <c r="O1080" s="44"/>
      <c r="P1080" s="44"/>
      <c r="Q1080" s="48">
        <f>VLOOKUP(E1080,sheet1!$B$2:$D$3209,3,FALSE)</f>
        <v>382</v>
      </c>
      <c r="R1080" s="47"/>
      <c r="S1080" s="47" t="s">
        <v>296</v>
      </c>
      <c r="T1080" s="47" t="s">
        <v>35</v>
      </c>
      <c r="U1080" s="47" t="s">
        <v>35</v>
      </c>
      <c r="V1080" s="47" t="s">
        <v>35</v>
      </c>
      <c r="W1080" s="47" t="s">
        <v>296</v>
      </c>
      <c r="X1080" s="47" t="s">
        <v>296</v>
      </c>
      <c r="Y1080" s="47"/>
      <c r="Z1080" s="47" t="s">
        <v>35</v>
      </c>
      <c r="AA1080" s="47" t="s">
        <v>296</v>
      </c>
      <c r="AB1080" s="47"/>
      <c r="AC1080" s="47" t="s">
        <v>296</v>
      </c>
      <c r="AD1080" s="73" t="str">
        <f>VLOOKUP(E1091,sheet1!$B$2:$C$3209,2,FALSE)</f>
        <v>固定・定型振替申請№・振替№照会</v>
      </c>
      <c r="AE1080" s="49"/>
      <c r="AF1080" s="49"/>
      <c r="AG1080" s="49"/>
      <c r="AH1080" s="49"/>
      <c r="AI1080" s="49"/>
      <c r="AJ1080" s="49"/>
      <c r="AK1080" s="49"/>
      <c r="AL1080" s="49"/>
      <c r="AM1080" s="49"/>
      <c r="AN1080" s="49"/>
      <c r="AO1080" s="51" t="str">
        <f t="shared" si="54"/>
        <v/>
      </c>
      <c r="AP1080" s="51" t="str">
        <f t="shared" si="55"/>
        <v/>
      </c>
      <c r="AQ1080" s="49"/>
      <c r="AR1080" s="49"/>
      <c r="AS1080" s="49" t="str">
        <f t="shared" si="56"/>
        <v/>
      </c>
      <c r="AT1080" s="49" t="str">
        <f t="shared" si="57"/>
        <v/>
      </c>
      <c r="AU1080" s="49"/>
      <c r="AV1080" s="49"/>
    </row>
    <row r="1081" spans="1:48" ht="18" customHeight="1">
      <c r="A1081" s="44">
        <v>1079</v>
      </c>
      <c r="B1081" s="52" t="s">
        <v>2702</v>
      </c>
      <c r="C1081" s="80" t="s">
        <v>3768</v>
      </c>
      <c r="D1081" s="46" t="s">
        <v>72</v>
      </c>
      <c r="E1081" s="44" t="s">
        <v>3358</v>
      </c>
      <c r="F1081" s="44" t="s">
        <v>3390</v>
      </c>
      <c r="G1081" s="44"/>
      <c r="H1081" s="44"/>
      <c r="I1081" s="44"/>
      <c r="J1081" s="47" t="s">
        <v>35</v>
      </c>
      <c r="K1081" s="47"/>
      <c r="L1081" s="47"/>
      <c r="M1081" s="47"/>
      <c r="N1081" s="47"/>
      <c r="O1081" s="44"/>
      <c r="P1081" s="44"/>
      <c r="Q1081" s="48">
        <f>VLOOKUP(E1081,sheet1!$B$2:$D$3209,3,FALSE)</f>
        <v>353</v>
      </c>
      <c r="R1081" s="47"/>
      <c r="S1081" s="47" t="s">
        <v>296</v>
      </c>
      <c r="T1081" s="47" t="s">
        <v>35</v>
      </c>
      <c r="U1081" s="47" t="s">
        <v>296</v>
      </c>
      <c r="V1081" s="47" t="s">
        <v>296</v>
      </c>
      <c r="W1081" s="47" t="s">
        <v>296</v>
      </c>
      <c r="X1081" s="47" t="s">
        <v>296</v>
      </c>
      <c r="Y1081" s="47"/>
      <c r="Z1081" s="47" t="s">
        <v>35</v>
      </c>
      <c r="AA1081" s="47" t="s">
        <v>296</v>
      </c>
      <c r="AB1081" s="47"/>
      <c r="AC1081" s="47" t="s">
        <v>296</v>
      </c>
      <c r="AD1081" s="73" t="str">
        <f>VLOOKUP(E1092,sheet1!$B$2:$C$3209,2,FALSE)</f>
        <v>雛型振替伝票入力   　　　</v>
      </c>
      <c r="AE1081" s="49"/>
      <c r="AF1081" s="49"/>
      <c r="AG1081" s="49"/>
      <c r="AH1081" s="49"/>
      <c r="AI1081" s="49"/>
      <c r="AJ1081" s="49"/>
      <c r="AK1081" s="49"/>
      <c r="AL1081" s="49"/>
      <c r="AM1081" s="49"/>
      <c r="AN1081" s="49"/>
      <c r="AO1081" s="51" t="str">
        <f t="shared" si="54"/>
        <v/>
      </c>
      <c r="AP1081" s="51" t="str">
        <f t="shared" si="55"/>
        <v/>
      </c>
      <c r="AQ1081" s="49"/>
      <c r="AR1081" s="49"/>
      <c r="AS1081" s="49" t="str">
        <f t="shared" si="56"/>
        <v/>
      </c>
      <c r="AT1081" s="49" t="str">
        <f t="shared" si="57"/>
        <v/>
      </c>
      <c r="AU1081" s="49"/>
      <c r="AV1081" s="49"/>
    </row>
    <row r="1082" spans="1:48" ht="18" customHeight="1">
      <c r="A1082" s="44">
        <v>1080</v>
      </c>
      <c r="B1082" s="52" t="s">
        <v>2702</v>
      </c>
      <c r="C1082" s="80" t="s">
        <v>3768</v>
      </c>
      <c r="D1082" s="46" t="s">
        <v>72</v>
      </c>
      <c r="E1082" s="44" t="s">
        <v>3336</v>
      </c>
      <c r="F1082" s="44" t="s">
        <v>3369</v>
      </c>
      <c r="G1082" s="44"/>
      <c r="H1082" s="44"/>
      <c r="I1082" s="44"/>
      <c r="J1082" s="47" t="s">
        <v>35</v>
      </c>
      <c r="K1082" s="47"/>
      <c r="L1082" s="47"/>
      <c r="M1082" s="47"/>
      <c r="N1082" s="47"/>
      <c r="O1082" s="44"/>
      <c r="P1082" s="44"/>
      <c r="Q1082" s="48">
        <f>VLOOKUP(E1082,sheet1!$B$2:$D$3209,3,FALSE)</f>
        <v>80</v>
      </c>
      <c r="R1082" s="47"/>
      <c r="S1082" s="47" t="s">
        <v>296</v>
      </c>
      <c r="T1082" s="47" t="s">
        <v>35</v>
      </c>
      <c r="U1082" s="47" t="s">
        <v>296</v>
      </c>
      <c r="V1082" s="47" t="s">
        <v>35</v>
      </c>
      <c r="W1082" s="47" t="s">
        <v>296</v>
      </c>
      <c r="X1082" s="47" t="s">
        <v>296</v>
      </c>
      <c r="Y1082" s="47"/>
      <c r="Z1082" s="47" t="s">
        <v>35</v>
      </c>
      <c r="AA1082" s="47" t="s">
        <v>296</v>
      </c>
      <c r="AB1082" s="47"/>
      <c r="AC1082" s="47" t="s">
        <v>296</v>
      </c>
      <c r="AD1082" s="73" t="str">
        <f>VLOOKUP(E1093,sheet1!$B$2:$C$3209,2,FALSE)</f>
        <v>振替伝票申請入力</v>
      </c>
      <c r="AE1082" s="49"/>
      <c r="AF1082" s="49"/>
      <c r="AG1082" s="49"/>
      <c r="AH1082" s="49"/>
      <c r="AI1082" s="49"/>
      <c r="AJ1082" s="49"/>
      <c r="AK1082" s="49"/>
      <c r="AL1082" s="49"/>
      <c r="AM1082" s="49"/>
      <c r="AN1082" s="49"/>
      <c r="AO1082" s="51" t="str">
        <f t="shared" si="54"/>
        <v/>
      </c>
      <c r="AP1082" s="51" t="str">
        <f t="shared" si="55"/>
        <v/>
      </c>
      <c r="AQ1082" s="49"/>
      <c r="AR1082" s="49"/>
      <c r="AS1082" s="49" t="str">
        <f t="shared" si="56"/>
        <v/>
      </c>
      <c r="AT1082" s="49" t="str">
        <f t="shared" si="57"/>
        <v/>
      </c>
      <c r="AU1082" s="49"/>
      <c r="AV1082" s="49"/>
    </row>
    <row r="1083" spans="1:48" ht="18" customHeight="1">
      <c r="A1083" s="44">
        <v>1081</v>
      </c>
      <c r="B1083" s="52" t="s">
        <v>2702</v>
      </c>
      <c r="C1083" s="80" t="s">
        <v>3768</v>
      </c>
      <c r="D1083" s="46" t="s">
        <v>72</v>
      </c>
      <c r="E1083" s="44" t="s">
        <v>3771</v>
      </c>
      <c r="F1083" s="44" t="s">
        <v>3372</v>
      </c>
      <c r="G1083" s="44"/>
      <c r="H1083" s="44"/>
      <c r="I1083" s="44"/>
      <c r="J1083" s="47" t="s">
        <v>35</v>
      </c>
      <c r="K1083" s="47"/>
      <c r="L1083" s="47"/>
      <c r="M1083" s="47"/>
      <c r="N1083" s="47"/>
      <c r="O1083" s="44"/>
      <c r="P1083" s="44"/>
      <c r="Q1083" s="48">
        <f>VLOOKUP(E1083,sheet1!$B$2:$D$3209,3,FALSE)</f>
        <v>423</v>
      </c>
      <c r="R1083" s="47"/>
      <c r="S1083" s="47" t="s">
        <v>296</v>
      </c>
      <c r="T1083" s="47" t="s">
        <v>35</v>
      </c>
      <c r="U1083" s="47" t="s">
        <v>296</v>
      </c>
      <c r="V1083" s="47" t="s">
        <v>296</v>
      </c>
      <c r="W1083" s="47" t="s">
        <v>296</v>
      </c>
      <c r="X1083" s="47" t="s">
        <v>296</v>
      </c>
      <c r="Y1083" s="47"/>
      <c r="Z1083" s="47" t="s">
        <v>35</v>
      </c>
      <c r="AA1083" s="47" t="s">
        <v>296</v>
      </c>
      <c r="AB1083" s="47"/>
      <c r="AC1083" s="47" t="s">
        <v>296</v>
      </c>
      <c r="AD1083" s="75"/>
      <c r="AE1083" s="49"/>
      <c r="AF1083" s="49"/>
      <c r="AG1083" s="49"/>
      <c r="AH1083" s="49"/>
      <c r="AI1083" s="49"/>
      <c r="AJ1083" s="49"/>
      <c r="AK1083" s="49"/>
      <c r="AL1083" s="49"/>
      <c r="AM1083" s="49"/>
      <c r="AN1083" s="49"/>
      <c r="AO1083" s="51" t="str">
        <f t="shared" si="54"/>
        <v/>
      </c>
      <c r="AP1083" s="51" t="str">
        <f t="shared" si="55"/>
        <v/>
      </c>
      <c r="AQ1083" s="49"/>
      <c r="AR1083" s="49"/>
      <c r="AS1083" s="49" t="str">
        <f t="shared" si="56"/>
        <v/>
      </c>
      <c r="AT1083" s="49" t="str">
        <f t="shared" si="57"/>
        <v/>
      </c>
      <c r="AU1083" s="49"/>
      <c r="AV1083" s="49"/>
    </row>
    <row r="1084" spans="1:48" ht="18" customHeight="1">
      <c r="A1084" s="44">
        <v>1082</v>
      </c>
      <c r="B1084" s="52" t="s">
        <v>2702</v>
      </c>
      <c r="C1084" s="80" t="s">
        <v>3768</v>
      </c>
      <c r="D1084" s="46" t="s">
        <v>72</v>
      </c>
      <c r="E1084" s="44" t="s">
        <v>3343</v>
      </c>
      <c r="F1084" s="44" t="s">
        <v>3375</v>
      </c>
      <c r="G1084" s="44"/>
      <c r="H1084" s="44"/>
      <c r="I1084" s="44"/>
      <c r="J1084" s="47" t="s">
        <v>35</v>
      </c>
      <c r="K1084" s="47"/>
      <c r="L1084" s="47"/>
      <c r="M1084" s="47"/>
      <c r="N1084" s="47"/>
      <c r="O1084" s="44"/>
      <c r="P1084" s="44"/>
      <c r="Q1084" s="48">
        <f>VLOOKUP(E1084,sheet1!$B$2:$D$3209,3,FALSE)</f>
        <v>1238</v>
      </c>
      <c r="R1084" s="47"/>
      <c r="S1084" s="47" t="s">
        <v>296</v>
      </c>
      <c r="T1084" s="47" t="s">
        <v>35</v>
      </c>
      <c r="U1084" s="47" t="s">
        <v>296</v>
      </c>
      <c r="V1084" s="47" t="s">
        <v>35</v>
      </c>
      <c r="W1084" s="47" t="s">
        <v>296</v>
      </c>
      <c r="X1084" s="47" t="s">
        <v>296</v>
      </c>
      <c r="Y1084" s="47"/>
      <c r="Z1084" s="47" t="s">
        <v>35</v>
      </c>
      <c r="AA1084" s="47" t="s">
        <v>296</v>
      </c>
      <c r="AB1084" s="47"/>
      <c r="AC1084" s="47" t="s">
        <v>296</v>
      </c>
      <c r="AD1084" s="75"/>
      <c r="AE1084" s="49"/>
      <c r="AF1084" s="49"/>
      <c r="AG1084" s="49"/>
      <c r="AH1084" s="49"/>
      <c r="AI1084" s="49"/>
      <c r="AJ1084" s="49"/>
      <c r="AK1084" s="49"/>
      <c r="AL1084" s="49"/>
      <c r="AM1084" s="49"/>
      <c r="AN1084" s="49"/>
      <c r="AO1084" s="51" t="str">
        <f t="shared" si="54"/>
        <v/>
      </c>
      <c r="AP1084" s="51" t="str">
        <f t="shared" si="55"/>
        <v/>
      </c>
      <c r="AQ1084" s="49"/>
      <c r="AR1084" s="49"/>
      <c r="AS1084" s="49" t="str">
        <f t="shared" si="56"/>
        <v/>
      </c>
      <c r="AT1084" s="49" t="str">
        <f t="shared" si="57"/>
        <v/>
      </c>
      <c r="AU1084" s="49"/>
      <c r="AV1084" s="49"/>
    </row>
    <row r="1085" spans="1:48" ht="18" customHeight="1">
      <c r="A1085" s="44">
        <v>1083</v>
      </c>
      <c r="B1085" s="52" t="s">
        <v>2702</v>
      </c>
      <c r="C1085" s="80" t="s">
        <v>3768</v>
      </c>
      <c r="D1085" s="46" t="s">
        <v>72</v>
      </c>
      <c r="E1085" s="44" t="s">
        <v>3219</v>
      </c>
      <c r="F1085" s="44" t="s">
        <v>3247</v>
      </c>
      <c r="G1085" s="44"/>
      <c r="H1085" s="44"/>
      <c r="I1085" s="44"/>
      <c r="J1085" s="47" t="s">
        <v>35</v>
      </c>
      <c r="K1085" s="47"/>
      <c r="L1085" s="47"/>
      <c r="M1085" s="47"/>
      <c r="N1085" s="47"/>
      <c r="O1085" s="44"/>
      <c r="P1085" s="44"/>
      <c r="Q1085" s="48">
        <f>VLOOKUP(E1085,sheet1!$B$2:$D$3209,3,FALSE)</f>
        <v>425</v>
      </c>
      <c r="R1085" s="47"/>
      <c r="S1085" s="47" t="s">
        <v>296</v>
      </c>
      <c r="T1085" s="47" t="s">
        <v>35</v>
      </c>
      <c r="U1085" s="47" t="s">
        <v>296</v>
      </c>
      <c r="V1085" s="47" t="s">
        <v>296</v>
      </c>
      <c r="W1085" s="47" t="s">
        <v>296</v>
      </c>
      <c r="X1085" s="47" t="s">
        <v>296</v>
      </c>
      <c r="Y1085" s="47"/>
      <c r="Z1085" s="47" t="s">
        <v>35</v>
      </c>
      <c r="AA1085" s="47" t="s">
        <v>296</v>
      </c>
      <c r="AB1085" s="47"/>
      <c r="AC1085" s="47" t="s">
        <v>296</v>
      </c>
      <c r="AD1085" s="75"/>
      <c r="AE1085" s="49"/>
      <c r="AF1085" s="49"/>
      <c r="AG1085" s="49"/>
      <c r="AH1085" s="49"/>
      <c r="AI1085" s="49"/>
      <c r="AJ1085" s="49"/>
      <c r="AK1085" s="49"/>
      <c r="AL1085" s="49"/>
      <c r="AM1085" s="49"/>
      <c r="AN1085" s="49"/>
      <c r="AO1085" s="51" t="str">
        <f t="shared" si="54"/>
        <v/>
      </c>
      <c r="AP1085" s="51" t="str">
        <f t="shared" si="55"/>
        <v/>
      </c>
      <c r="AQ1085" s="49"/>
      <c r="AR1085" s="49"/>
      <c r="AS1085" s="49" t="str">
        <f t="shared" si="56"/>
        <v/>
      </c>
      <c r="AT1085" s="49" t="str">
        <f t="shared" si="57"/>
        <v/>
      </c>
      <c r="AU1085" s="49"/>
      <c r="AV1085" s="49"/>
    </row>
    <row r="1086" spans="1:48" ht="18" customHeight="1">
      <c r="A1086" s="44">
        <v>1084</v>
      </c>
      <c r="B1086" s="52" t="s">
        <v>2702</v>
      </c>
      <c r="C1086" s="80" t="s">
        <v>3768</v>
      </c>
      <c r="D1086" s="46" t="s">
        <v>72</v>
      </c>
      <c r="E1086" s="44" t="s">
        <v>3222</v>
      </c>
      <c r="F1086" s="44" t="s">
        <v>3249</v>
      </c>
      <c r="G1086" s="44"/>
      <c r="H1086" s="44"/>
      <c r="I1086" s="44"/>
      <c r="J1086" s="47" t="s">
        <v>35</v>
      </c>
      <c r="K1086" s="47"/>
      <c r="L1086" s="47"/>
      <c r="M1086" s="47"/>
      <c r="N1086" s="47"/>
      <c r="O1086" s="44"/>
      <c r="P1086" s="44"/>
      <c r="Q1086" s="48">
        <f>VLOOKUP(E1086,sheet1!$B$2:$D$3209,3,FALSE)</f>
        <v>420</v>
      </c>
      <c r="R1086" s="47"/>
      <c r="S1086" s="47" t="s">
        <v>296</v>
      </c>
      <c r="T1086" s="47" t="s">
        <v>35</v>
      </c>
      <c r="U1086" s="47" t="s">
        <v>296</v>
      </c>
      <c r="V1086" s="47" t="s">
        <v>296</v>
      </c>
      <c r="W1086" s="47" t="s">
        <v>296</v>
      </c>
      <c r="X1086" s="47" t="s">
        <v>296</v>
      </c>
      <c r="Y1086" s="47"/>
      <c r="Z1086" s="47" t="s">
        <v>35</v>
      </c>
      <c r="AA1086" s="47" t="s">
        <v>296</v>
      </c>
      <c r="AB1086" s="47"/>
      <c r="AC1086" s="47" t="s">
        <v>296</v>
      </c>
      <c r="AD1086" s="75"/>
      <c r="AE1086" s="49"/>
      <c r="AF1086" s="49"/>
      <c r="AG1086" s="49"/>
      <c r="AH1086" s="49"/>
      <c r="AI1086" s="49"/>
      <c r="AJ1086" s="49"/>
      <c r="AK1086" s="49"/>
      <c r="AL1086" s="49"/>
      <c r="AM1086" s="49"/>
      <c r="AN1086" s="49"/>
      <c r="AO1086" s="51" t="str">
        <f t="shared" si="54"/>
        <v/>
      </c>
      <c r="AP1086" s="51" t="str">
        <f t="shared" si="55"/>
        <v/>
      </c>
      <c r="AQ1086" s="49"/>
      <c r="AR1086" s="49"/>
      <c r="AS1086" s="49" t="str">
        <f t="shared" si="56"/>
        <v>固定振替申請入力</v>
      </c>
      <c r="AT1086" s="49" t="str">
        <f t="shared" si="57"/>
        <v>ZM3030</v>
      </c>
      <c r="AU1086" s="51" t="s">
        <v>2845</v>
      </c>
      <c r="AV1086" s="51" t="s">
        <v>2811</v>
      </c>
    </row>
    <row r="1087" spans="1:48" ht="18" customHeight="1">
      <c r="A1087" s="44">
        <v>1085</v>
      </c>
      <c r="B1087" s="52" t="s">
        <v>2702</v>
      </c>
      <c r="C1087" s="80" t="s">
        <v>3768</v>
      </c>
      <c r="D1087" s="46" t="s">
        <v>72</v>
      </c>
      <c r="E1087" s="44" t="s">
        <v>2811</v>
      </c>
      <c r="F1087" s="44" t="s">
        <v>2846</v>
      </c>
      <c r="G1087" s="44"/>
      <c r="H1087" s="44"/>
      <c r="I1087" s="44"/>
      <c r="J1087" s="47" t="s">
        <v>35</v>
      </c>
      <c r="K1087" s="47"/>
      <c r="L1087" s="47"/>
      <c r="M1087" s="47"/>
      <c r="N1087" s="47"/>
      <c r="O1087" s="44"/>
      <c r="P1087" s="44"/>
      <c r="Q1087" s="48">
        <f>VLOOKUP(E1087,sheet1!$B$2:$D$3209,3,FALSE)</f>
        <v>1800</v>
      </c>
      <c r="R1087" s="47"/>
      <c r="S1087" s="47" t="s">
        <v>296</v>
      </c>
      <c r="T1087" s="47" t="s">
        <v>35</v>
      </c>
      <c r="U1087" s="47" t="s">
        <v>35</v>
      </c>
      <c r="V1087" s="47" t="s">
        <v>35</v>
      </c>
      <c r="W1087" s="47" t="s">
        <v>35</v>
      </c>
      <c r="X1087" s="47" t="s">
        <v>35</v>
      </c>
      <c r="Y1087" s="47" t="s">
        <v>35</v>
      </c>
      <c r="Z1087" s="47" t="s">
        <v>35</v>
      </c>
      <c r="AA1087" s="47" t="s">
        <v>35</v>
      </c>
      <c r="AB1087" s="47" t="s">
        <v>35</v>
      </c>
      <c r="AC1087" s="47" t="s">
        <v>296</v>
      </c>
      <c r="AD1087" s="75"/>
      <c r="AE1087" s="49"/>
      <c r="AF1087" s="49"/>
      <c r="AG1087" s="49"/>
      <c r="AH1087" s="49"/>
      <c r="AI1087" s="49"/>
      <c r="AJ1087" s="49"/>
      <c r="AK1087" s="49"/>
      <c r="AL1087" s="49"/>
      <c r="AM1087" s="49"/>
      <c r="AN1087" s="49"/>
      <c r="AO1087" s="51" t="str">
        <f t="shared" si="54"/>
        <v/>
      </c>
      <c r="AP1087" s="51" t="str">
        <f t="shared" si="55"/>
        <v/>
      </c>
      <c r="AQ1087" s="49"/>
      <c r="AR1087" s="49"/>
      <c r="AS1087" s="49" t="str">
        <f t="shared" si="56"/>
        <v>定型振替申請入力</v>
      </c>
      <c r="AT1087" s="49" t="str">
        <f t="shared" si="57"/>
        <v>ZM3030</v>
      </c>
      <c r="AU1087" s="51" t="s">
        <v>2860</v>
      </c>
      <c r="AV1087" s="51" t="s">
        <v>2811</v>
      </c>
    </row>
    <row r="1088" spans="1:48" ht="18" customHeight="1">
      <c r="A1088" s="44">
        <v>1086</v>
      </c>
      <c r="B1088" s="52" t="s">
        <v>2702</v>
      </c>
      <c r="C1088" s="80" t="s">
        <v>3768</v>
      </c>
      <c r="D1088" s="46" t="s">
        <v>72</v>
      </c>
      <c r="E1088" s="44" t="s">
        <v>2811</v>
      </c>
      <c r="F1088" s="44" t="s">
        <v>2861</v>
      </c>
      <c r="G1088" s="44"/>
      <c r="H1088" s="44"/>
      <c r="I1088" s="44"/>
      <c r="J1088" s="47" t="s">
        <v>35</v>
      </c>
      <c r="K1088" s="47"/>
      <c r="L1088" s="47"/>
      <c r="M1088" s="47"/>
      <c r="N1088" s="47"/>
      <c r="O1088" s="44"/>
      <c r="P1088" s="44"/>
      <c r="Q1088" s="48">
        <f>VLOOKUP(E1088,sheet1!$B$2:$D$3209,3,FALSE)</f>
        <v>1800</v>
      </c>
      <c r="R1088" s="47"/>
      <c r="S1088" s="47" t="s">
        <v>296</v>
      </c>
      <c r="T1088" s="47" t="s">
        <v>35</v>
      </c>
      <c r="U1088" s="47" t="s">
        <v>35</v>
      </c>
      <c r="V1088" s="47" t="s">
        <v>35</v>
      </c>
      <c r="W1088" s="47" t="s">
        <v>35</v>
      </c>
      <c r="X1088" s="47" t="s">
        <v>35</v>
      </c>
      <c r="Y1088" s="47" t="s">
        <v>35</v>
      </c>
      <c r="Z1088" s="47" t="s">
        <v>35</v>
      </c>
      <c r="AA1088" s="47" t="s">
        <v>35</v>
      </c>
      <c r="AB1088" s="47" t="s">
        <v>35</v>
      </c>
      <c r="AC1088" s="47" t="s">
        <v>296</v>
      </c>
      <c r="AD1088" s="75"/>
      <c r="AE1088" s="49"/>
      <c r="AF1088" s="49"/>
      <c r="AG1088" s="49"/>
      <c r="AH1088" s="49"/>
      <c r="AI1088" s="49"/>
      <c r="AJ1088" s="49"/>
      <c r="AK1088" s="49"/>
      <c r="AL1088" s="49"/>
      <c r="AM1088" s="49"/>
      <c r="AN1088" s="49"/>
      <c r="AO1088" s="51" t="str">
        <f t="shared" si="54"/>
        <v/>
      </c>
      <c r="AP1088" s="51" t="str">
        <f t="shared" si="55"/>
        <v/>
      </c>
      <c r="AQ1088" s="49"/>
      <c r="AR1088" s="49"/>
      <c r="AS1088" s="49" t="str">
        <f t="shared" si="56"/>
        <v>定型振替伝票入力</v>
      </c>
      <c r="AT1088" s="49" t="str">
        <f t="shared" si="57"/>
        <v>ZM3050</v>
      </c>
      <c r="AU1088" s="51" t="s">
        <v>2868</v>
      </c>
      <c r="AV1088" s="51" t="s">
        <v>2818</v>
      </c>
    </row>
    <row r="1089" spans="1:48" ht="18" customHeight="1">
      <c r="A1089" s="44">
        <v>1087</v>
      </c>
      <c r="B1089" s="52" t="s">
        <v>2702</v>
      </c>
      <c r="C1089" s="80" t="s">
        <v>3768</v>
      </c>
      <c r="D1089" s="46" t="s">
        <v>72</v>
      </c>
      <c r="E1089" s="44" t="s">
        <v>2818</v>
      </c>
      <c r="F1089" s="44" t="s">
        <v>2869</v>
      </c>
      <c r="G1089" s="44"/>
      <c r="H1089" s="44"/>
      <c r="I1089" s="44"/>
      <c r="J1089" s="47" t="s">
        <v>35</v>
      </c>
      <c r="K1089" s="47"/>
      <c r="L1089" s="47"/>
      <c r="M1089" s="47"/>
      <c r="N1089" s="47"/>
      <c r="O1089" s="44"/>
      <c r="P1089" s="44"/>
      <c r="Q1089" s="48">
        <f>VLOOKUP(E1089,sheet1!$B$2:$D$3209,3,FALSE)</f>
        <v>1156</v>
      </c>
      <c r="R1089" s="47"/>
      <c r="S1089" s="47" t="s">
        <v>296</v>
      </c>
      <c r="T1089" s="47" t="s">
        <v>35</v>
      </c>
      <c r="U1089" s="47" t="s">
        <v>35</v>
      </c>
      <c r="V1089" s="47" t="s">
        <v>35</v>
      </c>
      <c r="W1089" s="47" t="s">
        <v>35</v>
      </c>
      <c r="X1089" s="47" t="s">
        <v>35</v>
      </c>
      <c r="Y1089" s="47" t="s">
        <v>35</v>
      </c>
      <c r="Z1089" s="47" t="s">
        <v>35</v>
      </c>
      <c r="AA1089" s="47" t="s">
        <v>35</v>
      </c>
      <c r="AB1089" s="47" t="s">
        <v>35</v>
      </c>
      <c r="AC1089" s="47" t="s">
        <v>296</v>
      </c>
      <c r="AD1089" s="75"/>
      <c r="AE1089" s="49"/>
      <c r="AF1089" s="49"/>
      <c r="AG1089" s="49"/>
      <c r="AH1089" s="49"/>
      <c r="AI1089" s="49"/>
      <c r="AJ1089" s="49"/>
      <c r="AK1089" s="49"/>
      <c r="AL1089" s="49"/>
      <c r="AM1089" s="49"/>
      <c r="AN1089" s="49"/>
      <c r="AO1089" s="51" t="str">
        <f t="shared" si="54"/>
        <v/>
      </c>
      <c r="AP1089" s="51" t="str">
        <f t="shared" si="55"/>
        <v/>
      </c>
      <c r="AQ1089" s="49"/>
      <c r="AR1089" s="49"/>
      <c r="AS1089" s="49" t="str">
        <f t="shared" si="56"/>
        <v>固定定型振替伝票リスト</v>
      </c>
      <c r="AT1089" s="49" t="str">
        <f t="shared" si="57"/>
        <v>ZM5060</v>
      </c>
      <c r="AU1089" s="51" t="s">
        <v>2872</v>
      </c>
      <c r="AV1089" s="51" t="s">
        <v>2832</v>
      </c>
    </row>
    <row r="1090" spans="1:48" ht="18" customHeight="1">
      <c r="A1090" s="44">
        <v>1088</v>
      </c>
      <c r="B1090" s="52" t="s">
        <v>2702</v>
      </c>
      <c r="C1090" s="80" t="s">
        <v>3768</v>
      </c>
      <c r="D1090" s="46" t="s">
        <v>72</v>
      </c>
      <c r="E1090" s="44" t="s">
        <v>2832</v>
      </c>
      <c r="F1090" s="44" t="s">
        <v>2873</v>
      </c>
      <c r="G1090" s="44"/>
      <c r="H1090" s="44"/>
      <c r="I1090" s="44"/>
      <c r="J1090" s="47" t="s">
        <v>35</v>
      </c>
      <c r="K1090" s="47"/>
      <c r="L1090" s="47"/>
      <c r="M1090" s="47"/>
      <c r="N1090" s="47"/>
      <c r="O1090" s="44"/>
      <c r="P1090" s="44"/>
      <c r="Q1090" s="48">
        <f>VLOOKUP(E1090,sheet1!$B$2:$D$3209,3,FALSE)</f>
        <v>761</v>
      </c>
      <c r="R1090" s="47"/>
      <c r="S1090" s="47" t="s">
        <v>296</v>
      </c>
      <c r="T1090" s="47" t="s">
        <v>35</v>
      </c>
      <c r="U1090" s="47" t="s">
        <v>35</v>
      </c>
      <c r="V1090" s="47" t="s">
        <v>35</v>
      </c>
      <c r="W1090" s="47" t="s">
        <v>35</v>
      </c>
      <c r="X1090" s="47" t="s">
        <v>35</v>
      </c>
      <c r="Y1090" s="47" t="s">
        <v>35</v>
      </c>
      <c r="Z1090" s="47" t="s">
        <v>35</v>
      </c>
      <c r="AA1090" s="47" t="s">
        <v>35</v>
      </c>
      <c r="AB1090" s="47" t="s">
        <v>35</v>
      </c>
      <c r="AC1090" s="47" t="s">
        <v>296</v>
      </c>
      <c r="AD1090" s="75"/>
      <c r="AE1090" s="49"/>
      <c r="AF1090" s="49"/>
      <c r="AG1090" s="49"/>
      <c r="AH1090" s="49"/>
      <c r="AI1090" s="49"/>
      <c r="AJ1090" s="49"/>
      <c r="AK1090" s="49"/>
      <c r="AL1090" s="49"/>
      <c r="AM1090" s="49"/>
      <c r="AN1090" s="49"/>
      <c r="AO1090" s="51" t="str">
        <f t="shared" si="54"/>
        <v/>
      </c>
      <c r="AP1090" s="51" t="str">
        <f t="shared" si="55"/>
        <v/>
      </c>
      <c r="AQ1090" s="49"/>
      <c r="AR1090" s="49"/>
      <c r="AS1090" s="49" t="str">
        <f t="shared" si="56"/>
        <v>固定定型振替申請No.振替No.照会</v>
      </c>
      <c r="AT1090" s="49" t="str">
        <f t="shared" si="57"/>
        <v>ZM2020</v>
      </c>
      <c r="AU1090" s="51" t="s">
        <v>3772</v>
      </c>
      <c r="AV1090" s="51" t="s">
        <v>2835</v>
      </c>
    </row>
    <row r="1091" spans="1:48" ht="18" customHeight="1">
      <c r="A1091" s="44">
        <v>1089</v>
      </c>
      <c r="B1091" s="52" t="s">
        <v>2702</v>
      </c>
      <c r="C1091" s="80" t="s">
        <v>3768</v>
      </c>
      <c r="D1091" s="46" t="s">
        <v>72</v>
      </c>
      <c r="E1091" s="44" t="s">
        <v>2835</v>
      </c>
      <c r="F1091" s="44" t="s">
        <v>2836</v>
      </c>
      <c r="G1091" s="44"/>
      <c r="H1091" s="44"/>
      <c r="I1091" s="44"/>
      <c r="J1091" s="47" t="s">
        <v>35</v>
      </c>
      <c r="K1091" s="47"/>
      <c r="L1091" s="47"/>
      <c r="M1091" s="47"/>
      <c r="N1091" s="47"/>
      <c r="O1091" s="44"/>
      <c r="P1091" s="44"/>
      <c r="Q1091" s="48">
        <f>VLOOKUP(E1091,sheet1!$B$2:$D$3209,3,FALSE)</f>
        <v>482</v>
      </c>
      <c r="R1091" s="47"/>
      <c r="S1091" s="47" t="s">
        <v>296</v>
      </c>
      <c r="T1091" s="47" t="s">
        <v>35</v>
      </c>
      <c r="U1091" s="47" t="s">
        <v>35</v>
      </c>
      <c r="V1091" s="47" t="s">
        <v>35</v>
      </c>
      <c r="W1091" s="47" t="s">
        <v>35</v>
      </c>
      <c r="X1091" s="47" t="s">
        <v>35</v>
      </c>
      <c r="Y1091" s="47" t="s">
        <v>35</v>
      </c>
      <c r="Z1091" s="47" t="s">
        <v>35</v>
      </c>
      <c r="AA1091" s="47" t="s">
        <v>35</v>
      </c>
      <c r="AB1091" s="47" t="s">
        <v>35</v>
      </c>
      <c r="AC1091" s="47" t="s">
        <v>296</v>
      </c>
      <c r="AD1091" s="75"/>
      <c r="AE1091" s="49"/>
      <c r="AF1091" s="49"/>
      <c r="AG1091" s="49"/>
      <c r="AH1091" s="49"/>
      <c r="AI1091" s="49"/>
      <c r="AJ1091" s="49"/>
      <c r="AK1091" s="49"/>
      <c r="AL1091" s="49"/>
      <c r="AM1091" s="49"/>
      <c r="AN1091" s="49"/>
      <c r="AO1091" s="51" t="str">
        <f t="shared" si="54"/>
        <v/>
      </c>
      <c r="AP1091" s="51" t="str">
        <f t="shared" si="55"/>
        <v/>
      </c>
      <c r="AQ1091" s="49"/>
      <c r="AR1091" s="49"/>
      <c r="AS1091" s="49" t="str">
        <f t="shared" si="56"/>
        <v>振替伝票雛型入力</v>
      </c>
      <c r="AT1091" s="49" t="str">
        <f t="shared" si="57"/>
        <v>ZM3070</v>
      </c>
      <c r="AU1091" s="51" t="s">
        <v>2795</v>
      </c>
      <c r="AV1091" s="51" t="s">
        <v>2796</v>
      </c>
    </row>
    <row r="1092" spans="1:48" ht="18" customHeight="1">
      <c r="A1092" s="44">
        <v>1090</v>
      </c>
      <c r="B1092" s="52" t="s">
        <v>2702</v>
      </c>
      <c r="C1092" s="80" t="s">
        <v>3768</v>
      </c>
      <c r="D1092" s="46" t="s">
        <v>72</v>
      </c>
      <c r="E1092" s="44" t="s">
        <v>2796</v>
      </c>
      <c r="F1092" s="44" t="s">
        <v>2828</v>
      </c>
      <c r="G1092" s="44"/>
      <c r="H1092" s="44"/>
      <c r="I1092" s="44"/>
      <c r="J1092" s="47" t="s">
        <v>35</v>
      </c>
      <c r="K1092" s="47"/>
      <c r="L1092" s="47"/>
      <c r="M1092" s="47"/>
      <c r="N1092" s="47"/>
      <c r="O1092" s="44"/>
      <c r="P1092" s="44"/>
      <c r="Q1092" s="48">
        <f>VLOOKUP(E1092,sheet1!$B$2:$D$3209,3,FALSE)</f>
        <v>1524</v>
      </c>
      <c r="R1092" s="47"/>
      <c r="S1092" s="47" t="s">
        <v>296</v>
      </c>
      <c r="T1092" s="47" t="s">
        <v>35</v>
      </c>
      <c r="U1092" s="47" t="s">
        <v>35</v>
      </c>
      <c r="V1092" s="47" t="s">
        <v>35</v>
      </c>
      <c r="W1092" s="47" t="s">
        <v>35</v>
      </c>
      <c r="X1092" s="47" t="s">
        <v>35</v>
      </c>
      <c r="Y1092" s="47" t="s">
        <v>35</v>
      </c>
      <c r="Z1092" s="47" t="s">
        <v>35</v>
      </c>
      <c r="AA1092" s="47" t="s">
        <v>35</v>
      </c>
      <c r="AB1092" s="47" t="s">
        <v>35</v>
      </c>
      <c r="AC1092" s="47" t="s">
        <v>296</v>
      </c>
      <c r="AD1092" s="75"/>
      <c r="AE1092" s="49"/>
      <c r="AF1092" s="49"/>
      <c r="AG1092" s="49"/>
      <c r="AH1092" s="49"/>
      <c r="AI1092" s="49"/>
      <c r="AJ1092" s="49"/>
      <c r="AK1092" s="49"/>
      <c r="AL1092" s="49"/>
      <c r="AM1092" s="49"/>
      <c r="AN1092" s="49"/>
      <c r="AO1092" s="51" t="str">
        <f t="shared" si="54"/>
        <v/>
      </c>
      <c r="AP1092" s="51" t="str">
        <f t="shared" si="55"/>
        <v/>
      </c>
      <c r="AQ1092" s="49"/>
      <c r="AR1092" s="49"/>
      <c r="AS1092" s="49" t="str">
        <f t="shared" si="56"/>
        <v>振替伝票申請入力</v>
      </c>
      <c r="AT1092" s="49" t="str">
        <f t="shared" si="57"/>
        <v>ZM3080</v>
      </c>
      <c r="AU1092" s="51" t="s">
        <v>2798</v>
      </c>
      <c r="AV1092" s="51" t="s">
        <v>2799</v>
      </c>
    </row>
    <row r="1093" spans="1:48" ht="18" customHeight="1">
      <c r="A1093" s="44">
        <v>1091</v>
      </c>
      <c r="B1093" s="52" t="s">
        <v>2702</v>
      </c>
      <c r="C1093" s="80" t="s">
        <v>3768</v>
      </c>
      <c r="D1093" s="46" t="s">
        <v>72</v>
      </c>
      <c r="E1093" s="44" t="s">
        <v>2799</v>
      </c>
      <c r="F1093" s="44" t="s">
        <v>2830</v>
      </c>
      <c r="G1093" s="44"/>
      <c r="H1093" s="44"/>
      <c r="I1093" s="44"/>
      <c r="J1093" s="47" t="s">
        <v>35</v>
      </c>
      <c r="K1093" s="47"/>
      <c r="L1093" s="47"/>
      <c r="M1093" s="47"/>
      <c r="N1093" s="47"/>
      <c r="O1093" s="44"/>
      <c r="P1093" s="44"/>
      <c r="Q1093" s="48">
        <f>VLOOKUP(E1093,sheet1!$B$2:$D$3209,3,FALSE)</f>
        <v>2773</v>
      </c>
      <c r="R1093" s="47"/>
      <c r="S1093" s="47" t="s">
        <v>296</v>
      </c>
      <c r="T1093" s="47" t="s">
        <v>35</v>
      </c>
      <c r="U1093" s="47" t="s">
        <v>35</v>
      </c>
      <c r="V1093" s="47" t="s">
        <v>35</v>
      </c>
      <c r="W1093" s="47" t="s">
        <v>35</v>
      </c>
      <c r="X1093" s="47" t="s">
        <v>35</v>
      </c>
      <c r="Y1093" s="47" t="s">
        <v>35</v>
      </c>
      <c r="Z1093" s="47" t="s">
        <v>35</v>
      </c>
      <c r="AA1093" s="47" t="s">
        <v>35</v>
      </c>
      <c r="AB1093" s="47" t="s">
        <v>35</v>
      </c>
      <c r="AC1093" s="47" t="s">
        <v>296</v>
      </c>
      <c r="AD1093" s="75"/>
      <c r="AE1093" s="49"/>
      <c r="AF1093" s="49"/>
      <c r="AG1093" s="49"/>
      <c r="AH1093" s="49"/>
      <c r="AI1093" s="49"/>
      <c r="AJ1093" s="49"/>
      <c r="AK1093" s="49"/>
      <c r="AL1093" s="49"/>
      <c r="AM1093" s="49"/>
      <c r="AN1093" s="49"/>
      <c r="AO1093" s="51" t="str">
        <f t="shared" si="54"/>
        <v/>
      </c>
      <c r="AP1093" s="51" t="str">
        <f t="shared" si="55"/>
        <v/>
      </c>
      <c r="AQ1093" s="49"/>
      <c r="AR1093" s="49"/>
      <c r="AS1093" s="49" t="str">
        <f t="shared" si="56"/>
        <v/>
      </c>
      <c r="AT1093" s="49" t="str">
        <f t="shared" si="57"/>
        <v/>
      </c>
      <c r="AU1093" s="51"/>
      <c r="AV1093" s="51"/>
    </row>
    <row r="1094" spans="1:48" ht="18" customHeight="1">
      <c r="A1094" s="44">
        <v>1092</v>
      </c>
      <c r="B1094" s="52" t="s">
        <v>2702</v>
      </c>
      <c r="C1094" s="80" t="s">
        <v>3768</v>
      </c>
      <c r="D1094" s="46" t="s">
        <v>72</v>
      </c>
      <c r="E1094" s="44" t="s">
        <v>837</v>
      </c>
      <c r="F1094" s="44" t="s">
        <v>838</v>
      </c>
      <c r="G1094" s="44"/>
      <c r="H1094" s="44"/>
      <c r="I1094" s="44"/>
      <c r="J1094" s="47" t="s">
        <v>35</v>
      </c>
      <c r="K1094" s="47"/>
      <c r="L1094" s="47"/>
      <c r="M1094" s="47"/>
      <c r="N1094" s="47"/>
      <c r="O1094" s="44"/>
      <c r="P1094" s="44"/>
      <c r="Q1094" s="48">
        <f>VLOOKUP(E1094,sheet1!$B$2:$D$3209,3,FALSE)</f>
        <v>243</v>
      </c>
      <c r="R1094" s="47"/>
      <c r="S1094" s="47" t="s">
        <v>296</v>
      </c>
      <c r="T1094" s="47"/>
      <c r="U1094" s="47" t="s">
        <v>296</v>
      </c>
      <c r="V1094" s="47" t="s">
        <v>296</v>
      </c>
      <c r="W1094" s="47" t="s">
        <v>296</v>
      </c>
      <c r="X1094" s="47" t="s">
        <v>35</v>
      </c>
      <c r="Y1094" s="47" t="s">
        <v>35</v>
      </c>
      <c r="Z1094" s="47" t="s">
        <v>296</v>
      </c>
      <c r="AA1094" s="47" t="s">
        <v>296</v>
      </c>
      <c r="AB1094" s="47" t="s">
        <v>35</v>
      </c>
      <c r="AC1094" s="47" t="s">
        <v>296</v>
      </c>
      <c r="AD1094" s="75"/>
      <c r="AE1094" s="49"/>
      <c r="AF1094" s="49"/>
      <c r="AG1094" s="49"/>
      <c r="AH1094" s="49"/>
      <c r="AI1094" s="49"/>
      <c r="AJ1094" s="49"/>
      <c r="AK1094" s="49"/>
      <c r="AL1094" s="49"/>
      <c r="AM1094" s="49"/>
      <c r="AN1094" s="49"/>
      <c r="AO1094" s="51" t="str">
        <f t="shared" si="54"/>
        <v/>
      </c>
      <c r="AP1094" s="51" t="str">
        <f t="shared" si="55"/>
        <v/>
      </c>
      <c r="AQ1094" s="49"/>
      <c r="AR1094" s="49"/>
      <c r="AS1094" s="49" t="str">
        <f t="shared" si="56"/>
        <v>振替申請No.振替No.照会</v>
      </c>
      <c r="AT1094" s="49" t="str">
        <f t="shared" si="57"/>
        <v>ZM2010</v>
      </c>
      <c r="AU1094" s="51" t="s">
        <v>3773</v>
      </c>
      <c r="AV1094" s="51" t="s">
        <v>2839</v>
      </c>
    </row>
    <row r="1095" spans="1:48" ht="18" customHeight="1">
      <c r="A1095" s="44">
        <v>1093</v>
      </c>
      <c r="B1095" s="52" t="s">
        <v>2702</v>
      </c>
      <c r="C1095" s="80" t="s">
        <v>3768</v>
      </c>
      <c r="D1095" s="46" t="s">
        <v>72</v>
      </c>
      <c r="E1095" s="44" t="s">
        <v>2839</v>
      </c>
      <c r="F1095" s="44" t="s">
        <v>3769</v>
      </c>
      <c r="G1095" s="44"/>
      <c r="H1095" s="44"/>
      <c r="I1095" s="44"/>
      <c r="J1095" s="47" t="s">
        <v>35</v>
      </c>
      <c r="K1095" s="47"/>
      <c r="L1095" s="47"/>
      <c r="M1095" s="47"/>
      <c r="N1095" s="47"/>
      <c r="O1095" s="44"/>
      <c r="P1095" s="44"/>
      <c r="Q1095" s="48">
        <f>VLOOKUP(E1095,sheet1!$B$2:$D$3209,3,FALSE)</f>
        <v>878</v>
      </c>
      <c r="R1095" s="47"/>
      <c r="S1095" s="47" t="s">
        <v>296</v>
      </c>
      <c r="T1095" s="47"/>
      <c r="U1095" s="47" t="s">
        <v>35</v>
      </c>
      <c r="V1095" s="47" t="s">
        <v>35</v>
      </c>
      <c r="W1095" s="47" t="s">
        <v>35</v>
      </c>
      <c r="X1095" s="47" t="s">
        <v>296</v>
      </c>
      <c r="Y1095" s="47" t="s">
        <v>35</v>
      </c>
      <c r="Z1095" s="47" t="s">
        <v>35</v>
      </c>
      <c r="AA1095" s="47" t="s">
        <v>296</v>
      </c>
      <c r="AB1095" s="47" t="s">
        <v>35</v>
      </c>
      <c r="AC1095" s="47" t="s">
        <v>296</v>
      </c>
      <c r="AD1095" s="75"/>
      <c r="AE1095" s="49"/>
      <c r="AF1095" s="49"/>
      <c r="AG1095" s="49"/>
      <c r="AH1095" s="49"/>
      <c r="AI1095" s="49"/>
      <c r="AJ1095" s="49"/>
      <c r="AK1095" s="49"/>
      <c r="AL1095" s="49"/>
      <c r="AM1095" s="49"/>
      <c r="AN1095" s="49"/>
      <c r="AO1095" s="51" t="str">
        <f t="shared" si="54"/>
        <v/>
      </c>
      <c r="AP1095" s="51" t="str">
        <f t="shared" si="55"/>
        <v/>
      </c>
      <c r="AQ1095" s="49"/>
      <c r="AR1095" s="49"/>
      <c r="AS1095" s="49" t="str">
        <f t="shared" si="56"/>
        <v>雛型・振替伝票リスト</v>
      </c>
      <c r="AT1095" s="49" t="str">
        <f t="shared" si="57"/>
        <v>ZM5070</v>
      </c>
      <c r="AU1095" s="51" t="s">
        <v>2843</v>
      </c>
      <c r="AV1095" s="51" t="s">
        <v>2844</v>
      </c>
    </row>
    <row r="1096" spans="1:48" ht="18" customHeight="1">
      <c r="A1096" s="44">
        <v>1094</v>
      </c>
      <c r="B1096" s="52" t="s">
        <v>2702</v>
      </c>
      <c r="C1096" s="80" t="s">
        <v>3768</v>
      </c>
      <c r="D1096" s="46" t="s">
        <v>72</v>
      </c>
      <c r="E1096" s="44" t="s">
        <v>2844</v>
      </c>
      <c r="F1096" s="44" t="s">
        <v>2883</v>
      </c>
      <c r="G1096" s="44"/>
      <c r="H1096" s="44"/>
      <c r="I1096" s="44"/>
      <c r="J1096" s="47" t="s">
        <v>35</v>
      </c>
      <c r="K1096" s="47"/>
      <c r="L1096" s="47"/>
      <c r="M1096" s="47"/>
      <c r="N1096" s="47"/>
      <c r="O1096" s="44"/>
      <c r="P1096" s="44"/>
      <c r="Q1096" s="48">
        <f>VLOOKUP(E1096,sheet1!$B$2:$D$3209,3,FALSE)</f>
        <v>717</v>
      </c>
      <c r="R1096" s="47"/>
      <c r="S1096" s="47" t="s">
        <v>296</v>
      </c>
      <c r="T1096" s="47"/>
      <c r="U1096" s="47" t="s">
        <v>35</v>
      </c>
      <c r="V1096" s="47" t="s">
        <v>35</v>
      </c>
      <c r="W1096" s="47" t="s">
        <v>35</v>
      </c>
      <c r="X1096" s="47" t="s">
        <v>35</v>
      </c>
      <c r="Y1096" s="47" t="s">
        <v>35</v>
      </c>
      <c r="Z1096" s="47" t="s">
        <v>35</v>
      </c>
      <c r="AA1096" s="47" t="s">
        <v>296</v>
      </c>
      <c r="AB1096" s="47" t="s">
        <v>35</v>
      </c>
      <c r="AC1096" s="47" t="s">
        <v>296</v>
      </c>
      <c r="AD1096" s="75"/>
      <c r="AE1096" s="49"/>
      <c r="AF1096" s="49"/>
      <c r="AG1096" s="49"/>
      <c r="AH1096" s="49"/>
      <c r="AI1096" s="49"/>
      <c r="AJ1096" s="49"/>
      <c r="AK1096" s="49"/>
      <c r="AL1096" s="49"/>
      <c r="AM1096" s="49"/>
      <c r="AN1096" s="49"/>
      <c r="AO1096" s="51" t="str">
        <f t="shared" si="54"/>
        <v/>
      </c>
      <c r="AP1096" s="51" t="str">
        <f t="shared" si="55"/>
        <v/>
      </c>
      <c r="AQ1096" s="49"/>
      <c r="AR1096" s="49"/>
      <c r="AS1096" s="49" t="str">
        <f t="shared" si="56"/>
        <v/>
      </c>
      <c r="AT1096" s="49" t="str">
        <f t="shared" si="57"/>
        <v/>
      </c>
      <c r="AU1096" s="49"/>
      <c r="AV1096" s="49"/>
    </row>
    <row r="1097" spans="1:48" ht="18" customHeight="1">
      <c r="A1097" s="44">
        <v>1095</v>
      </c>
      <c r="B1097" s="53" t="s">
        <v>3774</v>
      </c>
      <c r="C1097" s="45" t="s">
        <v>72</v>
      </c>
      <c r="D1097" s="53" t="s">
        <v>72</v>
      </c>
      <c r="E1097" s="44"/>
      <c r="F1097" s="44" t="s">
        <v>3775</v>
      </c>
      <c r="G1097" s="44"/>
      <c r="H1097" s="44"/>
      <c r="I1097" s="44"/>
      <c r="J1097" s="47" t="s">
        <v>35</v>
      </c>
      <c r="K1097" s="47"/>
      <c r="L1097" s="47"/>
      <c r="M1097" s="47"/>
      <c r="N1097" s="47"/>
      <c r="O1097" s="44"/>
      <c r="P1097" s="44"/>
      <c r="Q1097" s="48" t="e">
        <f>VLOOKUP(E1097,sheet1!$B$2:$D$3209,3,FALSE)</f>
        <v>#N/A</v>
      </c>
      <c r="R1097" s="47" t="s">
        <v>35</v>
      </c>
      <c r="S1097" s="47" t="s">
        <v>296</v>
      </c>
      <c r="T1097" s="47"/>
      <c r="U1097" s="47" t="s">
        <v>296</v>
      </c>
      <c r="V1097" s="47" t="s">
        <v>296</v>
      </c>
      <c r="W1097" s="47" t="s">
        <v>296</v>
      </c>
      <c r="X1097" s="47" t="s">
        <v>296</v>
      </c>
      <c r="Y1097" s="47"/>
      <c r="Z1097" s="47" t="s">
        <v>296</v>
      </c>
      <c r="AA1097" s="47" t="s">
        <v>296</v>
      </c>
      <c r="AB1097" s="47"/>
      <c r="AC1097" s="47" t="s">
        <v>296</v>
      </c>
      <c r="AD1097" s="75"/>
      <c r="AE1097" s="49"/>
      <c r="AF1097" s="49"/>
      <c r="AG1097" s="49"/>
      <c r="AH1097" s="49"/>
      <c r="AI1097" s="49"/>
      <c r="AJ1097" s="49"/>
      <c r="AK1097" s="49"/>
      <c r="AL1097" s="49"/>
      <c r="AM1097" s="49"/>
      <c r="AN1097" s="49"/>
      <c r="AO1097" s="51" t="str">
        <f t="shared" si="54"/>
        <v/>
      </c>
      <c r="AP1097" s="51" t="str">
        <f t="shared" si="55"/>
        <v/>
      </c>
      <c r="AQ1097" s="49"/>
      <c r="AR1097" s="49"/>
      <c r="AS1097" s="49" t="str">
        <f t="shared" si="56"/>
        <v/>
      </c>
      <c r="AT1097" s="49" t="str">
        <f t="shared" si="57"/>
        <v/>
      </c>
      <c r="AU1097" s="49"/>
      <c r="AV1097" s="49"/>
    </row>
    <row r="1098" spans="1:48" ht="18" customHeight="1">
      <c r="A1098" s="44">
        <v>1096</v>
      </c>
      <c r="B1098" s="54" t="s">
        <v>3774</v>
      </c>
      <c r="C1098" s="64" t="s">
        <v>72</v>
      </c>
      <c r="D1098" s="53" t="s">
        <v>72</v>
      </c>
      <c r="E1098" s="44"/>
      <c r="F1098" s="44" t="s">
        <v>3776</v>
      </c>
      <c r="G1098" s="44"/>
      <c r="H1098" s="44"/>
      <c r="I1098" s="44"/>
      <c r="J1098" s="47" t="s">
        <v>35</v>
      </c>
      <c r="K1098" s="47"/>
      <c r="L1098" s="47"/>
      <c r="M1098" s="47"/>
      <c r="N1098" s="47"/>
      <c r="O1098" s="44"/>
      <c r="P1098" s="44"/>
      <c r="Q1098" s="48" t="e">
        <f>VLOOKUP(E1098,sheet1!$B$2:$D$3209,3,FALSE)</f>
        <v>#N/A</v>
      </c>
      <c r="R1098" s="47" t="s">
        <v>35</v>
      </c>
      <c r="S1098" s="47" t="s">
        <v>296</v>
      </c>
      <c r="T1098" s="47"/>
      <c r="U1098" s="47" t="s">
        <v>296</v>
      </c>
      <c r="V1098" s="47" t="s">
        <v>296</v>
      </c>
      <c r="W1098" s="47" t="s">
        <v>296</v>
      </c>
      <c r="X1098" s="47" t="s">
        <v>296</v>
      </c>
      <c r="Y1098" s="47"/>
      <c r="Z1098" s="47" t="s">
        <v>296</v>
      </c>
      <c r="AA1098" s="47" t="s">
        <v>296</v>
      </c>
      <c r="AB1098" s="47"/>
      <c r="AC1098" s="47" t="s">
        <v>296</v>
      </c>
      <c r="AD1098" s="75"/>
      <c r="AE1098" s="49"/>
      <c r="AF1098" s="49"/>
      <c r="AG1098" s="49"/>
      <c r="AH1098" s="49"/>
      <c r="AI1098" s="49"/>
      <c r="AJ1098" s="49"/>
      <c r="AK1098" s="49"/>
      <c r="AL1098" s="49"/>
      <c r="AM1098" s="49"/>
      <c r="AN1098" s="49"/>
      <c r="AO1098" s="51" t="str">
        <f t="shared" si="54"/>
        <v/>
      </c>
      <c r="AP1098" s="51" t="str">
        <f t="shared" si="55"/>
        <v/>
      </c>
      <c r="AQ1098" s="49"/>
      <c r="AR1098" s="49"/>
      <c r="AS1098" s="49" t="str">
        <f t="shared" si="56"/>
        <v/>
      </c>
      <c r="AT1098" s="49" t="str">
        <f t="shared" si="57"/>
        <v/>
      </c>
      <c r="AU1098" s="49"/>
      <c r="AV1098" s="49"/>
    </row>
    <row r="1099" spans="1:48" ht="18" customHeight="1">
      <c r="A1099" s="44">
        <v>1097</v>
      </c>
      <c r="B1099" s="77" t="s">
        <v>3774</v>
      </c>
      <c r="C1099" s="66" t="s">
        <v>72</v>
      </c>
      <c r="D1099" s="46" t="s">
        <v>72</v>
      </c>
      <c r="E1099" s="44"/>
      <c r="F1099" s="44" t="s">
        <v>3777</v>
      </c>
      <c r="G1099" s="44"/>
      <c r="H1099" s="44"/>
      <c r="I1099" s="44"/>
      <c r="J1099" s="47" t="s">
        <v>35</v>
      </c>
      <c r="K1099" s="47"/>
      <c r="L1099" s="47"/>
      <c r="M1099" s="47"/>
      <c r="N1099" s="47"/>
      <c r="O1099" s="44"/>
      <c r="P1099" s="44"/>
      <c r="Q1099" s="48" t="e">
        <f>VLOOKUP(E1099,sheet1!$B$2:$D$3209,3,FALSE)</f>
        <v>#N/A</v>
      </c>
      <c r="R1099" s="47" t="s">
        <v>35</v>
      </c>
      <c r="S1099" s="47" t="s">
        <v>296</v>
      </c>
      <c r="T1099" s="47"/>
      <c r="U1099" s="47" t="s">
        <v>296</v>
      </c>
      <c r="V1099" s="47" t="s">
        <v>296</v>
      </c>
      <c r="W1099" s="47" t="s">
        <v>296</v>
      </c>
      <c r="X1099" s="47" t="s">
        <v>296</v>
      </c>
      <c r="Y1099" s="47"/>
      <c r="Z1099" s="47" t="s">
        <v>296</v>
      </c>
      <c r="AA1099" s="47" t="s">
        <v>296</v>
      </c>
      <c r="AB1099" s="47"/>
      <c r="AC1099" s="47" t="s">
        <v>296</v>
      </c>
      <c r="AD1099" s="75"/>
      <c r="AE1099" s="49"/>
      <c r="AF1099" s="49"/>
      <c r="AG1099" s="49"/>
      <c r="AH1099" s="49"/>
      <c r="AI1099" s="49"/>
      <c r="AJ1099" s="49"/>
      <c r="AK1099" s="49"/>
      <c r="AL1099" s="49"/>
      <c r="AM1099" s="49"/>
      <c r="AN1099" s="49"/>
      <c r="AO1099" s="51" t="str">
        <f t="shared" si="54"/>
        <v/>
      </c>
      <c r="AP1099" s="51" t="str">
        <f t="shared" si="55"/>
        <v/>
      </c>
      <c r="AQ1099" s="49"/>
      <c r="AR1099" s="49"/>
      <c r="AS1099" s="49" t="str">
        <f t="shared" si="56"/>
        <v/>
      </c>
      <c r="AT1099" s="49" t="str">
        <f t="shared" si="57"/>
        <v/>
      </c>
      <c r="AU1099" s="49"/>
      <c r="AV1099" s="49"/>
    </row>
    <row r="1100" spans="1:48" ht="18" customHeight="1">
      <c r="A1100" s="44">
        <v>1098</v>
      </c>
      <c r="B1100" s="45" t="s">
        <v>3778</v>
      </c>
      <c r="C1100" s="45" t="s">
        <v>72</v>
      </c>
      <c r="D1100" s="44" t="s">
        <v>72</v>
      </c>
      <c r="E1100" s="44" t="s">
        <v>344</v>
      </c>
      <c r="F1100" s="44" t="s">
        <v>3779</v>
      </c>
      <c r="G1100" s="44"/>
      <c r="H1100" s="44"/>
      <c r="I1100" s="44"/>
      <c r="J1100" s="47" t="s">
        <v>35</v>
      </c>
      <c r="K1100" s="47"/>
      <c r="L1100" s="47"/>
      <c r="M1100" s="47"/>
      <c r="N1100" s="47"/>
      <c r="O1100" s="44"/>
      <c r="P1100" s="44"/>
      <c r="Q1100" s="48" t="e">
        <f>VLOOKUP(E1100,sheet1!$B$2:$D$3209,3,FALSE)</f>
        <v>#N/A</v>
      </c>
      <c r="R1100" s="47" t="s">
        <v>35</v>
      </c>
      <c r="S1100" s="47" t="s">
        <v>296</v>
      </c>
      <c r="T1100" s="47"/>
      <c r="U1100" s="47" t="s">
        <v>296</v>
      </c>
      <c r="V1100" s="47" t="s">
        <v>296</v>
      </c>
      <c r="W1100" s="47" t="s">
        <v>296</v>
      </c>
      <c r="X1100" s="47" t="s">
        <v>296</v>
      </c>
      <c r="Y1100" s="47"/>
      <c r="Z1100" s="47" t="s">
        <v>296</v>
      </c>
      <c r="AA1100" s="47" t="s">
        <v>296</v>
      </c>
      <c r="AB1100" s="47" t="s">
        <v>35</v>
      </c>
      <c r="AC1100" s="47" t="s">
        <v>35</v>
      </c>
      <c r="AD1100" s="75"/>
      <c r="AE1100" s="49"/>
      <c r="AF1100" s="49"/>
      <c r="AG1100" s="49"/>
      <c r="AH1100" s="49"/>
      <c r="AI1100" s="49"/>
      <c r="AJ1100" s="49"/>
      <c r="AK1100" s="49"/>
      <c r="AL1100" s="49"/>
      <c r="AM1100" s="49"/>
      <c r="AN1100" s="49"/>
      <c r="AO1100" s="51" t="str">
        <f t="shared" si="54"/>
        <v/>
      </c>
      <c r="AP1100" s="51" t="str">
        <f t="shared" si="55"/>
        <v/>
      </c>
      <c r="AQ1100" s="49"/>
      <c r="AR1100" s="49"/>
      <c r="AS1100" s="49" t="str">
        <f t="shared" si="56"/>
        <v/>
      </c>
      <c r="AT1100" s="49" t="str">
        <f t="shared" si="57"/>
        <v/>
      </c>
      <c r="AU1100" s="49"/>
      <c r="AV1100" s="49"/>
    </row>
    <row r="1101" spans="1:48" ht="18" customHeight="1">
      <c r="A1101" s="44">
        <v>1099</v>
      </c>
      <c r="B1101" s="52" t="s">
        <v>3778</v>
      </c>
      <c r="C1101" s="64" t="s">
        <v>72</v>
      </c>
      <c r="D1101" s="44" t="s">
        <v>72</v>
      </c>
      <c r="E1101" s="45" t="s">
        <v>344</v>
      </c>
      <c r="F1101" s="45" t="s">
        <v>3780</v>
      </c>
      <c r="G1101" s="44"/>
      <c r="H1101" s="44"/>
      <c r="I1101" s="44"/>
      <c r="J1101" s="47" t="s">
        <v>35</v>
      </c>
      <c r="K1101" s="47"/>
      <c r="L1101" s="47"/>
      <c r="M1101" s="47"/>
      <c r="N1101" s="47"/>
      <c r="O1101" s="44"/>
      <c r="P1101" s="44"/>
      <c r="Q1101" s="48" t="e">
        <f>VLOOKUP(E1101,sheet1!$B$2:$D$3209,3,FALSE)</f>
        <v>#N/A</v>
      </c>
      <c r="R1101" s="47" t="s">
        <v>35</v>
      </c>
      <c r="S1101" s="47" t="s">
        <v>296</v>
      </c>
      <c r="T1101" s="47"/>
      <c r="U1101" s="47" t="s">
        <v>296</v>
      </c>
      <c r="V1101" s="47" t="s">
        <v>296</v>
      </c>
      <c r="W1101" s="47" t="s">
        <v>296</v>
      </c>
      <c r="X1101" s="47" t="s">
        <v>296</v>
      </c>
      <c r="Y1101" s="47"/>
      <c r="Z1101" s="47" t="s">
        <v>296</v>
      </c>
      <c r="AA1101" s="47" t="s">
        <v>296</v>
      </c>
      <c r="AB1101" s="47" t="s">
        <v>35</v>
      </c>
      <c r="AC1101" s="47" t="s">
        <v>35</v>
      </c>
      <c r="AD1101" s="75"/>
      <c r="AE1101" s="49"/>
      <c r="AF1101" s="49"/>
      <c r="AG1101" s="49"/>
      <c r="AH1101" s="49"/>
      <c r="AI1101" s="49"/>
      <c r="AJ1101" s="49"/>
      <c r="AK1101" s="49"/>
      <c r="AL1101" s="49"/>
      <c r="AM1101" s="49"/>
      <c r="AN1101" s="49"/>
      <c r="AO1101" s="51" t="str">
        <f t="shared" si="54"/>
        <v/>
      </c>
      <c r="AP1101" s="51" t="str">
        <f t="shared" si="55"/>
        <v/>
      </c>
      <c r="AQ1101" s="49"/>
      <c r="AR1101" s="49"/>
      <c r="AS1101" s="49" t="str">
        <f t="shared" si="56"/>
        <v/>
      </c>
      <c r="AT1101" s="49" t="str">
        <f t="shared" si="57"/>
        <v/>
      </c>
      <c r="AU1101" s="49"/>
      <c r="AV1101" s="49"/>
    </row>
    <row r="1102" spans="1:48" ht="18" customHeight="1">
      <c r="A1102" s="44">
        <v>1100</v>
      </c>
      <c r="B1102" s="52" t="s">
        <v>3778</v>
      </c>
      <c r="C1102" s="64" t="s">
        <v>72</v>
      </c>
      <c r="D1102" s="44" t="s">
        <v>72</v>
      </c>
      <c r="E1102" s="45" t="s">
        <v>1296</v>
      </c>
      <c r="F1102" s="45" t="s">
        <v>3781</v>
      </c>
      <c r="G1102" s="44"/>
      <c r="H1102" s="44"/>
      <c r="I1102" s="44"/>
      <c r="J1102" s="47" t="s">
        <v>35</v>
      </c>
      <c r="K1102" s="47"/>
      <c r="L1102" s="47"/>
      <c r="M1102" s="47"/>
      <c r="N1102" s="47"/>
      <c r="O1102" s="44"/>
      <c r="P1102" s="44"/>
      <c r="Q1102" s="48"/>
      <c r="R1102" s="47"/>
      <c r="S1102" s="47" t="s">
        <v>296</v>
      </c>
      <c r="T1102" s="47"/>
      <c r="U1102" s="47" t="s">
        <v>296</v>
      </c>
      <c r="V1102" s="47" t="s">
        <v>296</v>
      </c>
      <c r="W1102" s="47" t="s">
        <v>296</v>
      </c>
      <c r="X1102" s="47" t="s">
        <v>296</v>
      </c>
      <c r="Y1102" s="47"/>
      <c r="Z1102" s="47" t="s">
        <v>296</v>
      </c>
      <c r="AA1102" s="47" t="s">
        <v>296</v>
      </c>
      <c r="AB1102" s="47" t="s">
        <v>35</v>
      </c>
      <c r="AC1102" s="47" t="s">
        <v>35</v>
      </c>
      <c r="AD1102" s="75"/>
      <c r="AE1102" s="49"/>
      <c r="AF1102" s="49"/>
      <c r="AG1102" s="49"/>
      <c r="AH1102" s="49"/>
      <c r="AI1102" s="49"/>
      <c r="AJ1102" s="49"/>
      <c r="AK1102" s="49"/>
      <c r="AL1102" s="49"/>
      <c r="AM1102" s="49"/>
      <c r="AN1102" s="49"/>
      <c r="AO1102" s="51" t="str">
        <f t="shared" si="54"/>
        <v/>
      </c>
      <c r="AP1102" s="51" t="str">
        <f t="shared" si="55"/>
        <v/>
      </c>
      <c r="AQ1102" s="49"/>
      <c r="AR1102" s="49"/>
      <c r="AS1102" s="49" t="str">
        <f t="shared" si="56"/>
        <v/>
      </c>
      <c r="AT1102" s="49" t="str">
        <f t="shared" si="57"/>
        <v/>
      </c>
      <c r="AU1102" s="49"/>
      <c r="AV1102" s="49"/>
    </row>
    <row r="1103" spans="1:48" ht="18" customHeight="1">
      <c r="A1103" s="44">
        <v>1101</v>
      </c>
      <c r="B1103" s="52" t="s">
        <v>3778</v>
      </c>
      <c r="C1103" s="64" t="s">
        <v>72</v>
      </c>
      <c r="D1103" s="44" t="s">
        <v>72</v>
      </c>
      <c r="E1103" s="45" t="s">
        <v>3782</v>
      </c>
      <c r="F1103" s="45" t="s">
        <v>3783</v>
      </c>
      <c r="G1103" s="44"/>
      <c r="H1103" s="44"/>
      <c r="I1103" s="44"/>
      <c r="J1103" s="47" t="s">
        <v>35</v>
      </c>
      <c r="K1103" s="47"/>
      <c r="L1103" s="47"/>
      <c r="M1103" s="47"/>
      <c r="N1103" s="47"/>
      <c r="O1103" s="44"/>
      <c r="P1103" s="44"/>
      <c r="Q1103" s="48"/>
      <c r="R1103" s="47"/>
      <c r="S1103" s="47" t="s">
        <v>296</v>
      </c>
      <c r="T1103" s="47"/>
      <c r="U1103" s="47" t="s">
        <v>296</v>
      </c>
      <c r="V1103" s="47" t="s">
        <v>296</v>
      </c>
      <c r="W1103" s="47" t="s">
        <v>296</v>
      </c>
      <c r="X1103" s="47" t="s">
        <v>296</v>
      </c>
      <c r="Y1103" s="47"/>
      <c r="Z1103" s="47" t="s">
        <v>296</v>
      </c>
      <c r="AA1103" s="47" t="s">
        <v>296</v>
      </c>
      <c r="AB1103" s="47" t="s">
        <v>35</v>
      </c>
      <c r="AC1103" s="47" t="s">
        <v>35</v>
      </c>
      <c r="AD1103" s="75"/>
      <c r="AE1103" s="49"/>
      <c r="AF1103" s="49"/>
      <c r="AG1103" s="49"/>
      <c r="AH1103" s="49"/>
      <c r="AI1103" s="49"/>
      <c r="AJ1103" s="49"/>
      <c r="AK1103" s="49"/>
      <c r="AL1103" s="49"/>
      <c r="AM1103" s="49"/>
      <c r="AN1103" s="49"/>
      <c r="AO1103" s="51" t="str">
        <f t="shared" si="54"/>
        <v/>
      </c>
      <c r="AP1103" s="51" t="str">
        <f t="shared" si="55"/>
        <v/>
      </c>
      <c r="AQ1103" s="49"/>
      <c r="AR1103" s="49"/>
      <c r="AS1103" s="49" t="str">
        <f t="shared" si="56"/>
        <v/>
      </c>
      <c r="AT1103" s="49" t="str">
        <f t="shared" si="57"/>
        <v/>
      </c>
      <c r="AU1103" s="49"/>
      <c r="AV1103" s="49"/>
    </row>
    <row r="1104" spans="1:48" ht="18" customHeight="1">
      <c r="A1104" s="44">
        <v>1102</v>
      </c>
      <c r="B1104" s="52" t="s">
        <v>3778</v>
      </c>
      <c r="C1104" s="64" t="s">
        <v>72</v>
      </c>
      <c r="D1104" s="44" t="s">
        <v>72</v>
      </c>
      <c r="E1104" s="45" t="s">
        <v>3784</v>
      </c>
      <c r="F1104" s="45" t="s">
        <v>3785</v>
      </c>
      <c r="G1104" s="44"/>
      <c r="H1104" s="44"/>
      <c r="I1104" s="44"/>
      <c r="J1104" s="47" t="s">
        <v>35</v>
      </c>
      <c r="K1104" s="47"/>
      <c r="L1104" s="47"/>
      <c r="M1104" s="47"/>
      <c r="N1104" s="47"/>
      <c r="O1104" s="44"/>
      <c r="P1104" s="44"/>
      <c r="Q1104" s="48"/>
      <c r="R1104" s="47"/>
      <c r="S1104" s="47" t="s">
        <v>296</v>
      </c>
      <c r="T1104" s="47"/>
      <c r="U1104" s="47" t="s">
        <v>296</v>
      </c>
      <c r="V1104" s="47" t="s">
        <v>296</v>
      </c>
      <c r="W1104" s="47" t="s">
        <v>296</v>
      </c>
      <c r="X1104" s="47" t="s">
        <v>296</v>
      </c>
      <c r="Y1104" s="47"/>
      <c r="Z1104" s="47" t="s">
        <v>296</v>
      </c>
      <c r="AA1104" s="47" t="s">
        <v>296</v>
      </c>
      <c r="AB1104" s="47" t="s">
        <v>35</v>
      </c>
      <c r="AC1104" s="47" t="s">
        <v>35</v>
      </c>
      <c r="AD1104" s="75"/>
      <c r="AE1104" s="49"/>
      <c r="AF1104" s="49"/>
      <c r="AG1104" s="49"/>
      <c r="AH1104" s="49"/>
      <c r="AI1104" s="49"/>
      <c r="AJ1104" s="49"/>
      <c r="AK1104" s="49"/>
      <c r="AL1104" s="49"/>
      <c r="AM1104" s="49"/>
      <c r="AN1104" s="49"/>
      <c r="AO1104" s="51" t="str">
        <f t="shared" si="54"/>
        <v/>
      </c>
      <c r="AP1104" s="51" t="str">
        <f t="shared" si="55"/>
        <v/>
      </c>
      <c r="AQ1104" s="49"/>
      <c r="AR1104" s="49"/>
      <c r="AS1104" s="49" t="str">
        <f t="shared" si="56"/>
        <v/>
      </c>
      <c r="AT1104" s="49" t="str">
        <f t="shared" si="57"/>
        <v/>
      </c>
      <c r="AU1104" s="49"/>
      <c r="AV1104" s="49"/>
    </row>
    <row r="1105" spans="1:48" ht="18" customHeight="1">
      <c r="A1105" s="44">
        <v>1103</v>
      </c>
      <c r="B1105" s="52" t="s">
        <v>3778</v>
      </c>
      <c r="C1105" s="64" t="s">
        <v>72</v>
      </c>
      <c r="D1105" s="44" t="s">
        <v>72</v>
      </c>
      <c r="E1105" s="45" t="s">
        <v>3786</v>
      </c>
      <c r="F1105" s="45" t="s">
        <v>3787</v>
      </c>
      <c r="G1105" s="44"/>
      <c r="H1105" s="44"/>
      <c r="I1105" s="44"/>
      <c r="J1105" s="47" t="s">
        <v>35</v>
      </c>
      <c r="K1105" s="47"/>
      <c r="L1105" s="47"/>
      <c r="M1105" s="47"/>
      <c r="N1105" s="47"/>
      <c r="O1105" s="44"/>
      <c r="P1105" s="44"/>
      <c r="Q1105" s="48"/>
      <c r="R1105" s="47"/>
      <c r="S1105" s="47" t="s">
        <v>296</v>
      </c>
      <c r="T1105" s="47"/>
      <c r="U1105" s="47" t="s">
        <v>296</v>
      </c>
      <c r="V1105" s="47" t="s">
        <v>296</v>
      </c>
      <c r="W1105" s="47" t="s">
        <v>296</v>
      </c>
      <c r="X1105" s="47" t="s">
        <v>296</v>
      </c>
      <c r="Y1105" s="47"/>
      <c r="Z1105" s="47" t="s">
        <v>296</v>
      </c>
      <c r="AA1105" s="47" t="s">
        <v>296</v>
      </c>
      <c r="AB1105" s="47" t="s">
        <v>35</v>
      </c>
      <c r="AC1105" s="47" t="s">
        <v>35</v>
      </c>
      <c r="AD1105" s="75"/>
      <c r="AE1105" s="49"/>
      <c r="AF1105" s="49"/>
      <c r="AG1105" s="49"/>
      <c r="AH1105" s="49"/>
      <c r="AI1105" s="49"/>
      <c r="AJ1105" s="49"/>
      <c r="AK1105" s="49"/>
      <c r="AL1105" s="49"/>
      <c r="AM1105" s="49"/>
      <c r="AN1105" s="49"/>
      <c r="AO1105" s="51" t="str">
        <f t="shared" si="54"/>
        <v/>
      </c>
      <c r="AP1105" s="51" t="str">
        <f t="shared" si="55"/>
        <v/>
      </c>
      <c r="AQ1105" s="49"/>
      <c r="AR1105" s="49"/>
      <c r="AS1105" s="49" t="str">
        <f t="shared" si="56"/>
        <v/>
      </c>
      <c r="AT1105" s="49" t="str">
        <f t="shared" si="57"/>
        <v/>
      </c>
      <c r="AU1105" s="49"/>
      <c r="AV1105" s="49"/>
    </row>
    <row r="1106" spans="1:48" ht="18" customHeight="1">
      <c r="A1106" s="44">
        <v>1104</v>
      </c>
      <c r="B1106" s="52" t="s">
        <v>3778</v>
      </c>
      <c r="C1106" s="64" t="s">
        <v>72</v>
      </c>
      <c r="D1106" s="44" t="s">
        <v>72</v>
      </c>
      <c r="E1106" s="45" t="s">
        <v>344</v>
      </c>
      <c r="F1106" s="45" t="s">
        <v>3788</v>
      </c>
      <c r="G1106" s="44"/>
      <c r="H1106" s="44"/>
      <c r="I1106" s="44"/>
      <c r="J1106" s="47"/>
      <c r="K1106" s="47" t="s">
        <v>35</v>
      </c>
      <c r="L1106" s="47"/>
      <c r="M1106" s="47"/>
      <c r="N1106" s="47"/>
      <c r="O1106" s="44"/>
      <c r="P1106" s="44"/>
      <c r="Q1106" s="48"/>
      <c r="R1106" s="47"/>
      <c r="S1106" s="47" t="s">
        <v>296</v>
      </c>
      <c r="T1106" s="47"/>
      <c r="U1106" s="47" t="s">
        <v>296</v>
      </c>
      <c r="V1106" s="47" t="s">
        <v>296</v>
      </c>
      <c r="W1106" s="47" t="s">
        <v>296</v>
      </c>
      <c r="X1106" s="47" t="s">
        <v>296</v>
      </c>
      <c r="Y1106" s="47"/>
      <c r="Z1106" s="47" t="s">
        <v>296</v>
      </c>
      <c r="AA1106" s="47" t="s">
        <v>296</v>
      </c>
      <c r="AB1106" s="47" t="s">
        <v>35</v>
      </c>
      <c r="AC1106" s="47" t="s">
        <v>35</v>
      </c>
      <c r="AD1106" s="75"/>
      <c r="AE1106" s="49"/>
      <c r="AF1106" s="49"/>
      <c r="AG1106" s="49"/>
      <c r="AH1106" s="49"/>
      <c r="AI1106" s="49"/>
      <c r="AJ1106" s="49"/>
      <c r="AK1106" s="49"/>
      <c r="AL1106" s="49"/>
      <c r="AM1106" s="49"/>
      <c r="AN1106" s="49"/>
      <c r="AO1106" s="51" t="str">
        <f t="shared" si="54"/>
        <v/>
      </c>
      <c r="AP1106" s="51" t="str">
        <f t="shared" si="55"/>
        <v/>
      </c>
      <c r="AQ1106" s="49"/>
      <c r="AR1106" s="49"/>
      <c r="AS1106" s="49" t="str">
        <f t="shared" si="56"/>
        <v/>
      </c>
      <c r="AT1106" s="49" t="str">
        <f t="shared" si="57"/>
        <v/>
      </c>
      <c r="AU1106" s="49"/>
      <c r="AV1106" s="49"/>
    </row>
    <row r="1107" spans="1:48" ht="18" customHeight="1">
      <c r="A1107" s="44">
        <v>1105</v>
      </c>
      <c r="B1107" s="52" t="s">
        <v>3778</v>
      </c>
      <c r="C1107" s="64" t="s">
        <v>72</v>
      </c>
      <c r="D1107" s="44" t="s">
        <v>72</v>
      </c>
      <c r="E1107" s="45" t="s">
        <v>344</v>
      </c>
      <c r="F1107" s="45" t="s">
        <v>3789</v>
      </c>
      <c r="G1107" s="44"/>
      <c r="H1107" s="44"/>
      <c r="I1107" s="44"/>
      <c r="J1107" s="47"/>
      <c r="K1107" s="47" t="s">
        <v>35</v>
      </c>
      <c r="L1107" s="47"/>
      <c r="M1107" s="47"/>
      <c r="N1107" s="47"/>
      <c r="O1107" s="44"/>
      <c r="P1107" s="44"/>
      <c r="Q1107" s="48"/>
      <c r="R1107" s="47"/>
      <c r="S1107" s="47" t="s">
        <v>296</v>
      </c>
      <c r="T1107" s="47"/>
      <c r="U1107" s="47" t="s">
        <v>296</v>
      </c>
      <c r="V1107" s="47" t="s">
        <v>296</v>
      </c>
      <c r="W1107" s="47" t="s">
        <v>296</v>
      </c>
      <c r="X1107" s="47" t="s">
        <v>296</v>
      </c>
      <c r="Y1107" s="47"/>
      <c r="Z1107" s="47" t="s">
        <v>296</v>
      </c>
      <c r="AA1107" s="47" t="s">
        <v>296</v>
      </c>
      <c r="AB1107" s="47" t="s">
        <v>35</v>
      </c>
      <c r="AC1107" s="47" t="s">
        <v>35</v>
      </c>
      <c r="AD1107" s="75"/>
      <c r="AE1107" s="49"/>
      <c r="AF1107" s="49"/>
      <c r="AG1107" s="49"/>
      <c r="AH1107" s="49"/>
      <c r="AI1107" s="49"/>
      <c r="AJ1107" s="49"/>
      <c r="AK1107" s="49"/>
      <c r="AL1107" s="49"/>
      <c r="AM1107" s="49"/>
      <c r="AN1107" s="49"/>
      <c r="AO1107" s="51" t="str">
        <f t="shared" si="54"/>
        <v/>
      </c>
      <c r="AP1107" s="51" t="str">
        <f t="shared" si="55"/>
        <v/>
      </c>
      <c r="AQ1107" s="49"/>
      <c r="AR1107" s="49"/>
      <c r="AS1107" s="49" t="str">
        <f t="shared" si="56"/>
        <v/>
      </c>
      <c r="AT1107" s="49" t="str">
        <f t="shared" si="57"/>
        <v/>
      </c>
      <c r="AU1107" s="49"/>
      <c r="AV1107" s="49"/>
    </row>
    <row r="1108" spans="1:48" ht="18" customHeight="1">
      <c r="A1108" s="44">
        <v>1106</v>
      </c>
      <c r="B1108" s="52" t="s">
        <v>3778</v>
      </c>
      <c r="C1108" s="64" t="s">
        <v>72</v>
      </c>
      <c r="D1108" s="44" t="s">
        <v>72</v>
      </c>
      <c r="E1108" s="45" t="s">
        <v>344</v>
      </c>
      <c r="F1108" s="45" t="s">
        <v>3790</v>
      </c>
      <c r="G1108" s="44"/>
      <c r="H1108" s="44"/>
      <c r="I1108" s="44"/>
      <c r="J1108" s="47"/>
      <c r="K1108" s="47" t="s">
        <v>35</v>
      </c>
      <c r="L1108" s="47"/>
      <c r="M1108" s="47"/>
      <c r="N1108" s="47"/>
      <c r="O1108" s="44"/>
      <c r="P1108" s="44"/>
      <c r="Q1108" s="48"/>
      <c r="R1108" s="47"/>
      <c r="S1108" s="47" t="s">
        <v>296</v>
      </c>
      <c r="T1108" s="47"/>
      <c r="U1108" s="47" t="s">
        <v>296</v>
      </c>
      <c r="V1108" s="47" t="s">
        <v>296</v>
      </c>
      <c r="W1108" s="47" t="s">
        <v>296</v>
      </c>
      <c r="X1108" s="47" t="s">
        <v>296</v>
      </c>
      <c r="Y1108" s="47"/>
      <c r="Z1108" s="47" t="s">
        <v>296</v>
      </c>
      <c r="AA1108" s="47" t="s">
        <v>296</v>
      </c>
      <c r="AB1108" s="47" t="s">
        <v>35</v>
      </c>
      <c r="AC1108" s="47" t="s">
        <v>35</v>
      </c>
      <c r="AD1108" s="75"/>
      <c r="AE1108" s="49"/>
      <c r="AF1108" s="49"/>
      <c r="AG1108" s="49"/>
      <c r="AH1108" s="49"/>
      <c r="AI1108" s="49"/>
      <c r="AJ1108" s="49"/>
      <c r="AK1108" s="49"/>
      <c r="AL1108" s="49"/>
      <c r="AM1108" s="49"/>
      <c r="AN1108" s="49"/>
      <c r="AO1108" s="51" t="str">
        <f t="shared" si="54"/>
        <v/>
      </c>
      <c r="AP1108" s="51" t="str">
        <f t="shared" si="55"/>
        <v/>
      </c>
      <c r="AQ1108" s="49"/>
      <c r="AR1108" s="49"/>
      <c r="AS1108" s="49" t="str">
        <f t="shared" si="56"/>
        <v/>
      </c>
      <c r="AT1108" s="49" t="str">
        <f t="shared" si="57"/>
        <v/>
      </c>
      <c r="AU1108" s="49"/>
      <c r="AV1108" s="49"/>
    </row>
    <row r="1109" spans="1:48" ht="18" customHeight="1">
      <c r="A1109" s="44">
        <v>1107</v>
      </c>
      <c r="B1109" s="52" t="s">
        <v>3778</v>
      </c>
      <c r="C1109" s="64" t="s">
        <v>72</v>
      </c>
      <c r="D1109" s="44" t="s">
        <v>72</v>
      </c>
      <c r="E1109" s="45" t="s">
        <v>344</v>
      </c>
      <c r="F1109" s="45" t="s">
        <v>3791</v>
      </c>
      <c r="G1109" s="44"/>
      <c r="H1109" s="44"/>
      <c r="I1109" s="44"/>
      <c r="J1109" s="47"/>
      <c r="K1109" s="47" t="s">
        <v>35</v>
      </c>
      <c r="L1109" s="47"/>
      <c r="M1109" s="47"/>
      <c r="N1109" s="47"/>
      <c r="O1109" s="44"/>
      <c r="P1109" s="44"/>
      <c r="Q1109" s="48"/>
      <c r="R1109" s="47"/>
      <c r="S1109" s="47" t="s">
        <v>296</v>
      </c>
      <c r="T1109" s="47"/>
      <c r="U1109" s="47" t="s">
        <v>296</v>
      </c>
      <c r="V1109" s="47" t="s">
        <v>296</v>
      </c>
      <c r="W1109" s="47" t="s">
        <v>296</v>
      </c>
      <c r="X1109" s="47" t="s">
        <v>296</v>
      </c>
      <c r="Y1109" s="47"/>
      <c r="Z1109" s="47" t="s">
        <v>296</v>
      </c>
      <c r="AA1109" s="47" t="s">
        <v>296</v>
      </c>
      <c r="AB1109" s="47" t="s">
        <v>35</v>
      </c>
      <c r="AC1109" s="47" t="s">
        <v>35</v>
      </c>
      <c r="AD1109" s="75"/>
      <c r="AE1109" s="49"/>
      <c r="AF1109" s="49"/>
      <c r="AG1109" s="49"/>
      <c r="AH1109" s="49"/>
      <c r="AI1109" s="49"/>
      <c r="AJ1109" s="49"/>
      <c r="AK1109" s="49"/>
      <c r="AL1109" s="49"/>
      <c r="AM1109" s="49"/>
      <c r="AN1109" s="49"/>
      <c r="AO1109" s="51" t="str">
        <f t="shared" si="54"/>
        <v/>
      </c>
      <c r="AP1109" s="51" t="str">
        <f t="shared" si="55"/>
        <v/>
      </c>
      <c r="AQ1109" s="49"/>
      <c r="AR1109" s="49"/>
      <c r="AS1109" s="49" t="str">
        <f t="shared" si="56"/>
        <v/>
      </c>
      <c r="AT1109" s="49" t="str">
        <f t="shared" si="57"/>
        <v/>
      </c>
      <c r="AU1109" s="49"/>
      <c r="AV1109" s="49"/>
    </row>
    <row r="1110" spans="1:48" ht="18" customHeight="1">
      <c r="A1110" s="44">
        <v>1108</v>
      </c>
      <c r="B1110" s="52" t="s">
        <v>3778</v>
      </c>
      <c r="C1110" s="64" t="s">
        <v>72</v>
      </c>
      <c r="D1110" s="44" t="s">
        <v>72</v>
      </c>
      <c r="E1110" s="45" t="s">
        <v>344</v>
      </c>
      <c r="F1110" s="45" t="s">
        <v>3792</v>
      </c>
      <c r="G1110" s="44"/>
      <c r="H1110" s="44"/>
      <c r="I1110" s="44"/>
      <c r="J1110" s="47"/>
      <c r="K1110" s="47" t="s">
        <v>35</v>
      </c>
      <c r="L1110" s="47"/>
      <c r="M1110" s="47"/>
      <c r="N1110" s="47"/>
      <c r="O1110" s="44"/>
      <c r="P1110" s="44"/>
      <c r="Q1110" s="48"/>
      <c r="R1110" s="47"/>
      <c r="S1110" s="47" t="s">
        <v>296</v>
      </c>
      <c r="T1110" s="47"/>
      <c r="U1110" s="47" t="s">
        <v>296</v>
      </c>
      <c r="V1110" s="47" t="s">
        <v>296</v>
      </c>
      <c r="W1110" s="47" t="s">
        <v>296</v>
      </c>
      <c r="X1110" s="47" t="s">
        <v>296</v>
      </c>
      <c r="Y1110" s="47"/>
      <c r="Z1110" s="47" t="s">
        <v>296</v>
      </c>
      <c r="AA1110" s="47" t="s">
        <v>296</v>
      </c>
      <c r="AB1110" s="47" t="s">
        <v>35</v>
      </c>
      <c r="AC1110" s="47" t="s">
        <v>35</v>
      </c>
      <c r="AD1110" s="73"/>
      <c r="AE1110" s="49"/>
      <c r="AF1110" s="49"/>
      <c r="AG1110" s="49"/>
      <c r="AH1110" s="49"/>
      <c r="AI1110" s="49"/>
      <c r="AJ1110" s="49"/>
      <c r="AK1110" s="49"/>
      <c r="AL1110" s="49"/>
      <c r="AM1110" s="49"/>
      <c r="AN1110" s="49"/>
      <c r="AO1110" s="51" t="str">
        <f t="shared" si="54"/>
        <v/>
      </c>
      <c r="AP1110" s="51" t="str">
        <f t="shared" si="55"/>
        <v/>
      </c>
      <c r="AQ1110" s="49"/>
      <c r="AR1110" s="49"/>
      <c r="AS1110" s="49" t="str">
        <f t="shared" si="56"/>
        <v/>
      </c>
      <c r="AT1110" s="49" t="str">
        <f t="shared" si="57"/>
        <v/>
      </c>
      <c r="AU1110" s="49"/>
      <c r="AV1110" s="49"/>
    </row>
    <row r="1111" spans="1:48" ht="18" customHeight="1">
      <c r="A1111" s="44">
        <v>1109</v>
      </c>
      <c r="B1111" s="52" t="s">
        <v>3778</v>
      </c>
      <c r="C1111" s="64" t="s">
        <v>72</v>
      </c>
      <c r="D1111" s="44" t="s">
        <v>72</v>
      </c>
      <c r="E1111" s="45" t="s">
        <v>344</v>
      </c>
      <c r="F1111" s="45" t="s">
        <v>3793</v>
      </c>
      <c r="G1111" s="44"/>
      <c r="H1111" s="44"/>
      <c r="I1111" s="44"/>
      <c r="J1111" s="47"/>
      <c r="K1111" s="47" t="s">
        <v>35</v>
      </c>
      <c r="L1111" s="47"/>
      <c r="M1111" s="47"/>
      <c r="N1111" s="47"/>
      <c r="O1111" s="44"/>
      <c r="P1111" s="44"/>
      <c r="Q1111" s="48"/>
      <c r="R1111" s="47"/>
      <c r="S1111" s="47" t="s">
        <v>296</v>
      </c>
      <c r="T1111" s="47"/>
      <c r="U1111" s="47" t="s">
        <v>296</v>
      </c>
      <c r="V1111" s="47" t="s">
        <v>296</v>
      </c>
      <c r="W1111" s="47" t="s">
        <v>296</v>
      </c>
      <c r="X1111" s="47" t="s">
        <v>296</v>
      </c>
      <c r="Y1111" s="47"/>
      <c r="Z1111" s="47" t="s">
        <v>296</v>
      </c>
      <c r="AA1111" s="47" t="s">
        <v>296</v>
      </c>
      <c r="AB1111" s="47" t="s">
        <v>35</v>
      </c>
      <c r="AC1111" s="47" t="s">
        <v>35</v>
      </c>
      <c r="AD1111" s="73"/>
      <c r="AE1111" s="49"/>
      <c r="AF1111" s="49"/>
      <c r="AG1111" s="49"/>
      <c r="AH1111" s="49"/>
      <c r="AI1111" s="49"/>
      <c r="AJ1111" s="49"/>
      <c r="AK1111" s="49"/>
      <c r="AL1111" s="49"/>
      <c r="AM1111" s="49"/>
      <c r="AN1111" s="49"/>
      <c r="AO1111" s="51" t="str">
        <f t="shared" si="54"/>
        <v/>
      </c>
      <c r="AP1111" s="51" t="str">
        <f t="shared" si="55"/>
        <v/>
      </c>
      <c r="AQ1111" s="49"/>
      <c r="AR1111" s="49"/>
      <c r="AS1111" s="49" t="str">
        <f t="shared" si="56"/>
        <v/>
      </c>
      <c r="AT1111" s="49" t="str">
        <f t="shared" si="57"/>
        <v/>
      </c>
      <c r="AU1111" s="49"/>
      <c r="AV1111" s="49"/>
    </row>
    <row r="1112" spans="1:48" ht="18" customHeight="1">
      <c r="A1112" s="44">
        <v>1110</v>
      </c>
      <c r="B1112" s="52" t="s">
        <v>3778</v>
      </c>
      <c r="C1112" s="64" t="s">
        <v>72</v>
      </c>
      <c r="D1112" s="44" t="s">
        <v>72</v>
      </c>
      <c r="E1112" s="45" t="s">
        <v>344</v>
      </c>
      <c r="F1112" s="45" t="s">
        <v>3794</v>
      </c>
      <c r="G1112" s="44"/>
      <c r="H1112" s="44"/>
      <c r="I1112" s="44"/>
      <c r="J1112" s="47"/>
      <c r="K1112" s="47" t="s">
        <v>35</v>
      </c>
      <c r="L1112" s="47"/>
      <c r="M1112" s="47"/>
      <c r="N1112" s="47"/>
      <c r="O1112" s="44"/>
      <c r="P1112" s="44"/>
      <c r="Q1112" s="48"/>
      <c r="R1112" s="47"/>
      <c r="S1112" s="47" t="s">
        <v>296</v>
      </c>
      <c r="T1112" s="47"/>
      <c r="U1112" s="47" t="s">
        <v>296</v>
      </c>
      <c r="V1112" s="47" t="s">
        <v>296</v>
      </c>
      <c r="W1112" s="47" t="s">
        <v>296</v>
      </c>
      <c r="X1112" s="47" t="s">
        <v>296</v>
      </c>
      <c r="Y1112" s="47"/>
      <c r="Z1112" s="47" t="s">
        <v>296</v>
      </c>
      <c r="AA1112" s="47" t="s">
        <v>296</v>
      </c>
      <c r="AB1112" s="47" t="s">
        <v>35</v>
      </c>
      <c r="AC1112" s="47" t="s">
        <v>35</v>
      </c>
      <c r="AD1112" s="73"/>
      <c r="AE1112" s="49"/>
      <c r="AF1112" s="49"/>
      <c r="AG1112" s="49"/>
      <c r="AH1112" s="49"/>
      <c r="AI1112" s="49"/>
      <c r="AJ1112" s="49"/>
      <c r="AK1112" s="49"/>
      <c r="AL1112" s="49"/>
      <c r="AM1112" s="49"/>
      <c r="AN1112" s="49"/>
      <c r="AO1112" s="51" t="str">
        <f t="shared" si="54"/>
        <v/>
      </c>
      <c r="AP1112" s="51" t="str">
        <f t="shared" si="55"/>
        <v/>
      </c>
      <c r="AQ1112" s="49"/>
      <c r="AR1112" s="49"/>
      <c r="AS1112" s="49" t="str">
        <f t="shared" si="56"/>
        <v/>
      </c>
      <c r="AT1112" s="49" t="str">
        <f t="shared" si="57"/>
        <v/>
      </c>
      <c r="AU1112" s="49"/>
      <c r="AV1112" s="49"/>
    </row>
    <row r="1113" spans="1:48" ht="18" customHeight="1">
      <c r="A1113" s="44">
        <v>1111</v>
      </c>
      <c r="B1113" s="52" t="s">
        <v>3778</v>
      </c>
      <c r="C1113" s="64" t="s">
        <v>72</v>
      </c>
      <c r="D1113" s="44" t="s">
        <v>72</v>
      </c>
      <c r="E1113" s="45" t="s">
        <v>344</v>
      </c>
      <c r="F1113" s="45" t="s">
        <v>3795</v>
      </c>
      <c r="G1113" s="44"/>
      <c r="H1113" s="44"/>
      <c r="I1113" s="44"/>
      <c r="J1113" s="47"/>
      <c r="K1113" s="47" t="s">
        <v>35</v>
      </c>
      <c r="L1113" s="47"/>
      <c r="M1113" s="47"/>
      <c r="N1113" s="47"/>
      <c r="O1113" s="44"/>
      <c r="P1113" s="44"/>
      <c r="Q1113" s="48"/>
      <c r="R1113" s="47"/>
      <c r="S1113" s="47" t="s">
        <v>296</v>
      </c>
      <c r="T1113" s="47"/>
      <c r="U1113" s="47" t="s">
        <v>296</v>
      </c>
      <c r="V1113" s="47" t="s">
        <v>296</v>
      </c>
      <c r="W1113" s="47" t="s">
        <v>296</v>
      </c>
      <c r="X1113" s="47" t="s">
        <v>296</v>
      </c>
      <c r="Y1113" s="47"/>
      <c r="Z1113" s="47" t="s">
        <v>296</v>
      </c>
      <c r="AA1113" s="47" t="s">
        <v>296</v>
      </c>
      <c r="AB1113" s="47" t="s">
        <v>35</v>
      </c>
      <c r="AC1113" s="47" t="s">
        <v>35</v>
      </c>
      <c r="AD1113" s="73"/>
      <c r="AE1113" s="49"/>
      <c r="AF1113" s="49"/>
      <c r="AG1113" s="49"/>
      <c r="AH1113" s="49"/>
      <c r="AI1113" s="49"/>
      <c r="AJ1113" s="49"/>
      <c r="AK1113" s="49"/>
      <c r="AL1113" s="49"/>
      <c r="AM1113" s="49"/>
      <c r="AN1113" s="49"/>
      <c r="AO1113" s="51" t="str">
        <f t="shared" si="54"/>
        <v/>
      </c>
      <c r="AP1113" s="51" t="str">
        <f t="shared" si="55"/>
        <v/>
      </c>
      <c r="AQ1113" s="49"/>
      <c r="AR1113" s="49"/>
      <c r="AS1113" s="49" t="str">
        <f t="shared" si="56"/>
        <v/>
      </c>
      <c r="AT1113" s="49" t="str">
        <f t="shared" si="57"/>
        <v/>
      </c>
      <c r="AU1113" s="49"/>
      <c r="AV1113" s="49"/>
    </row>
    <row r="1114" spans="1:48" ht="18" customHeight="1">
      <c r="A1114" s="44">
        <v>1112</v>
      </c>
      <c r="B1114" s="52" t="s">
        <v>3778</v>
      </c>
      <c r="C1114" s="64" t="s">
        <v>72</v>
      </c>
      <c r="D1114" s="44" t="s">
        <v>72</v>
      </c>
      <c r="E1114" s="45" t="s">
        <v>344</v>
      </c>
      <c r="F1114" s="45" t="s">
        <v>3796</v>
      </c>
      <c r="G1114" s="44"/>
      <c r="H1114" s="44"/>
      <c r="I1114" s="44"/>
      <c r="J1114" s="47"/>
      <c r="K1114" s="47" t="s">
        <v>35</v>
      </c>
      <c r="L1114" s="47"/>
      <c r="M1114" s="47"/>
      <c r="N1114" s="47"/>
      <c r="O1114" s="44"/>
      <c r="P1114" s="44"/>
      <c r="Q1114" s="48"/>
      <c r="R1114" s="47"/>
      <c r="S1114" s="47" t="s">
        <v>296</v>
      </c>
      <c r="T1114" s="47"/>
      <c r="U1114" s="47" t="s">
        <v>296</v>
      </c>
      <c r="V1114" s="47" t="s">
        <v>296</v>
      </c>
      <c r="W1114" s="47" t="s">
        <v>296</v>
      </c>
      <c r="X1114" s="47" t="s">
        <v>296</v>
      </c>
      <c r="Y1114" s="47"/>
      <c r="Z1114" s="47" t="s">
        <v>296</v>
      </c>
      <c r="AA1114" s="47" t="s">
        <v>296</v>
      </c>
      <c r="AB1114" s="47" t="s">
        <v>35</v>
      </c>
      <c r="AC1114" s="47" t="s">
        <v>35</v>
      </c>
      <c r="AD1114" s="73"/>
      <c r="AE1114" s="49"/>
      <c r="AF1114" s="49"/>
      <c r="AG1114" s="49"/>
      <c r="AH1114" s="49"/>
      <c r="AI1114" s="49"/>
      <c r="AJ1114" s="49"/>
      <c r="AK1114" s="49"/>
      <c r="AL1114" s="49"/>
      <c r="AM1114" s="49"/>
      <c r="AN1114" s="49"/>
      <c r="AO1114" s="51" t="str">
        <f t="shared" si="54"/>
        <v/>
      </c>
      <c r="AP1114" s="51" t="str">
        <f t="shared" si="55"/>
        <v/>
      </c>
      <c r="AQ1114" s="49"/>
      <c r="AR1114" s="49"/>
      <c r="AS1114" s="49" t="str">
        <f t="shared" si="56"/>
        <v/>
      </c>
      <c r="AT1114" s="49" t="str">
        <f t="shared" si="57"/>
        <v/>
      </c>
      <c r="AU1114" s="49"/>
      <c r="AV1114" s="49"/>
    </row>
    <row r="1115" spans="1:48" ht="18" customHeight="1">
      <c r="A1115" s="44">
        <v>1113</v>
      </c>
      <c r="B1115" s="52" t="s">
        <v>3778</v>
      </c>
      <c r="C1115" s="64" t="s">
        <v>72</v>
      </c>
      <c r="D1115" s="45" t="s">
        <v>3797</v>
      </c>
      <c r="E1115" s="45" t="s">
        <v>344</v>
      </c>
      <c r="F1115" s="45" t="s">
        <v>3798</v>
      </c>
      <c r="G1115" s="44"/>
      <c r="H1115" s="44"/>
      <c r="I1115" s="44"/>
      <c r="J1115" s="47"/>
      <c r="K1115" s="47" t="s">
        <v>35</v>
      </c>
      <c r="L1115" s="47"/>
      <c r="M1115" s="47"/>
      <c r="N1115" s="47"/>
      <c r="O1115" s="44"/>
      <c r="P1115" s="44"/>
      <c r="Q1115" s="48"/>
      <c r="R1115" s="47"/>
      <c r="S1115" s="47" t="s">
        <v>296</v>
      </c>
      <c r="T1115" s="47"/>
      <c r="U1115" s="47" t="s">
        <v>296</v>
      </c>
      <c r="V1115" s="47" t="s">
        <v>296</v>
      </c>
      <c r="W1115" s="47" t="s">
        <v>296</v>
      </c>
      <c r="X1115" s="47" t="s">
        <v>296</v>
      </c>
      <c r="Y1115" s="47"/>
      <c r="Z1115" s="47" t="s">
        <v>296</v>
      </c>
      <c r="AA1115" s="47" t="s">
        <v>296</v>
      </c>
      <c r="AB1115" s="47" t="s">
        <v>35</v>
      </c>
      <c r="AC1115" s="47" t="s">
        <v>35</v>
      </c>
      <c r="AD1115" s="73"/>
      <c r="AE1115" s="49"/>
      <c r="AF1115" s="49"/>
      <c r="AG1115" s="49"/>
      <c r="AH1115" s="49"/>
      <c r="AI1115" s="49"/>
      <c r="AJ1115" s="49"/>
      <c r="AK1115" s="49"/>
      <c r="AL1115" s="49"/>
      <c r="AM1115" s="49"/>
      <c r="AN1115" s="49"/>
      <c r="AO1115" s="51" t="str">
        <f t="shared" si="54"/>
        <v/>
      </c>
      <c r="AP1115" s="51" t="str">
        <f t="shared" si="55"/>
        <v/>
      </c>
      <c r="AQ1115" s="49"/>
      <c r="AR1115" s="49"/>
      <c r="AS1115" s="49" t="str">
        <f t="shared" si="56"/>
        <v/>
      </c>
      <c r="AT1115" s="49" t="str">
        <f t="shared" si="57"/>
        <v/>
      </c>
      <c r="AU1115" s="49"/>
      <c r="AV1115" s="49"/>
    </row>
    <row r="1116" spans="1:48" ht="18" customHeight="1">
      <c r="A1116" s="44">
        <v>1114</v>
      </c>
      <c r="B1116" s="52" t="s">
        <v>3778</v>
      </c>
      <c r="C1116" s="64" t="s">
        <v>72</v>
      </c>
      <c r="D1116" s="52" t="s">
        <v>3797</v>
      </c>
      <c r="E1116" s="45" t="s">
        <v>344</v>
      </c>
      <c r="F1116" s="45" t="s">
        <v>3799</v>
      </c>
      <c r="G1116" s="44"/>
      <c r="H1116" s="44"/>
      <c r="I1116" s="44"/>
      <c r="J1116" s="47"/>
      <c r="K1116" s="47" t="s">
        <v>35</v>
      </c>
      <c r="L1116" s="47"/>
      <c r="M1116" s="47"/>
      <c r="N1116" s="47"/>
      <c r="O1116" s="44"/>
      <c r="P1116" s="44"/>
      <c r="Q1116" s="48"/>
      <c r="R1116" s="47"/>
      <c r="S1116" s="47" t="s">
        <v>296</v>
      </c>
      <c r="T1116" s="47"/>
      <c r="U1116" s="47" t="s">
        <v>296</v>
      </c>
      <c r="V1116" s="47" t="s">
        <v>296</v>
      </c>
      <c r="W1116" s="47" t="s">
        <v>296</v>
      </c>
      <c r="X1116" s="47" t="s">
        <v>296</v>
      </c>
      <c r="Y1116" s="47"/>
      <c r="Z1116" s="47" t="s">
        <v>296</v>
      </c>
      <c r="AA1116" s="47" t="s">
        <v>296</v>
      </c>
      <c r="AB1116" s="47" t="s">
        <v>35</v>
      </c>
      <c r="AC1116" s="47" t="s">
        <v>35</v>
      </c>
      <c r="AD1116" s="73"/>
      <c r="AE1116" s="49"/>
      <c r="AF1116" s="49"/>
      <c r="AG1116" s="49"/>
      <c r="AH1116" s="49"/>
      <c r="AI1116" s="49"/>
      <c r="AJ1116" s="49"/>
      <c r="AK1116" s="49"/>
      <c r="AL1116" s="49"/>
      <c r="AM1116" s="49"/>
      <c r="AN1116" s="49"/>
      <c r="AO1116" s="51" t="str">
        <f t="shared" si="54"/>
        <v/>
      </c>
      <c r="AP1116" s="51" t="str">
        <f t="shared" si="55"/>
        <v/>
      </c>
      <c r="AQ1116" s="49"/>
      <c r="AR1116" s="49"/>
      <c r="AS1116" s="49" t="str">
        <f t="shared" si="56"/>
        <v/>
      </c>
      <c r="AT1116" s="49" t="str">
        <f t="shared" si="57"/>
        <v/>
      </c>
      <c r="AU1116" s="49"/>
      <c r="AV1116" s="49"/>
    </row>
    <row r="1117" spans="1:48" ht="18" customHeight="1">
      <c r="A1117" s="44">
        <v>1115</v>
      </c>
      <c r="B1117" s="52" t="s">
        <v>3778</v>
      </c>
      <c r="C1117" s="64" t="s">
        <v>72</v>
      </c>
      <c r="D1117" s="52" t="s">
        <v>3797</v>
      </c>
      <c r="E1117" s="45" t="s">
        <v>344</v>
      </c>
      <c r="F1117" s="45" t="s">
        <v>3800</v>
      </c>
      <c r="G1117" s="44"/>
      <c r="H1117" s="44"/>
      <c r="I1117" s="44"/>
      <c r="J1117" s="47"/>
      <c r="K1117" s="47" t="s">
        <v>35</v>
      </c>
      <c r="L1117" s="47"/>
      <c r="M1117" s="47"/>
      <c r="N1117" s="47"/>
      <c r="O1117" s="44"/>
      <c r="P1117" s="44"/>
      <c r="Q1117" s="48"/>
      <c r="R1117" s="47"/>
      <c r="S1117" s="47" t="s">
        <v>296</v>
      </c>
      <c r="T1117" s="47"/>
      <c r="U1117" s="47" t="s">
        <v>296</v>
      </c>
      <c r="V1117" s="47" t="s">
        <v>296</v>
      </c>
      <c r="W1117" s="47" t="s">
        <v>296</v>
      </c>
      <c r="X1117" s="47" t="s">
        <v>296</v>
      </c>
      <c r="Y1117" s="47"/>
      <c r="Z1117" s="47" t="s">
        <v>296</v>
      </c>
      <c r="AA1117" s="47" t="s">
        <v>296</v>
      </c>
      <c r="AB1117" s="47" t="s">
        <v>35</v>
      </c>
      <c r="AC1117" s="47" t="s">
        <v>35</v>
      </c>
      <c r="AD1117" s="73"/>
      <c r="AE1117" s="49"/>
      <c r="AF1117" s="49"/>
      <c r="AG1117" s="49"/>
      <c r="AH1117" s="49"/>
      <c r="AI1117" s="49"/>
      <c r="AJ1117" s="49"/>
      <c r="AK1117" s="49"/>
      <c r="AL1117" s="49"/>
      <c r="AM1117" s="49"/>
      <c r="AN1117" s="49"/>
      <c r="AO1117" s="51" t="str">
        <f t="shared" si="54"/>
        <v/>
      </c>
      <c r="AP1117" s="51" t="str">
        <f t="shared" si="55"/>
        <v/>
      </c>
      <c r="AQ1117" s="49"/>
      <c r="AR1117" s="49"/>
      <c r="AS1117" s="49" t="str">
        <f t="shared" si="56"/>
        <v/>
      </c>
      <c r="AT1117" s="49" t="str">
        <f t="shared" si="57"/>
        <v/>
      </c>
      <c r="AU1117" s="49"/>
      <c r="AV1117" s="49"/>
    </row>
    <row r="1118" spans="1:48" ht="18" customHeight="1">
      <c r="A1118" s="44">
        <v>1116</v>
      </c>
      <c r="B1118" s="52" t="s">
        <v>3778</v>
      </c>
      <c r="C1118" s="64" t="s">
        <v>72</v>
      </c>
      <c r="D1118" s="52" t="s">
        <v>3797</v>
      </c>
      <c r="E1118" s="45" t="s">
        <v>344</v>
      </c>
      <c r="F1118" s="45" t="s">
        <v>3801</v>
      </c>
      <c r="G1118" s="44"/>
      <c r="H1118" s="44"/>
      <c r="I1118" s="44"/>
      <c r="J1118" s="47"/>
      <c r="K1118" s="47" t="s">
        <v>35</v>
      </c>
      <c r="L1118" s="47"/>
      <c r="M1118" s="47"/>
      <c r="N1118" s="47"/>
      <c r="O1118" s="44"/>
      <c r="P1118" s="44"/>
      <c r="Q1118" s="48"/>
      <c r="R1118" s="47"/>
      <c r="S1118" s="47" t="s">
        <v>296</v>
      </c>
      <c r="T1118" s="47"/>
      <c r="U1118" s="47" t="s">
        <v>296</v>
      </c>
      <c r="V1118" s="47" t="s">
        <v>296</v>
      </c>
      <c r="W1118" s="47" t="s">
        <v>296</v>
      </c>
      <c r="X1118" s="47" t="s">
        <v>296</v>
      </c>
      <c r="Y1118" s="47"/>
      <c r="Z1118" s="47" t="s">
        <v>296</v>
      </c>
      <c r="AA1118" s="47" t="s">
        <v>296</v>
      </c>
      <c r="AB1118" s="47" t="s">
        <v>35</v>
      </c>
      <c r="AC1118" s="47" t="s">
        <v>35</v>
      </c>
      <c r="AD1118" s="49"/>
      <c r="AE1118" s="49"/>
      <c r="AF1118" s="49"/>
      <c r="AG1118" s="49"/>
      <c r="AH1118" s="49"/>
      <c r="AI1118" s="49"/>
      <c r="AJ1118" s="49"/>
      <c r="AK1118" s="49"/>
      <c r="AL1118" s="49"/>
      <c r="AM1118" s="49"/>
      <c r="AN1118" s="49"/>
      <c r="AO1118" s="51" t="str">
        <f t="shared" si="54"/>
        <v/>
      </c>
      <c r="AP1118" s="51" t="str">
        <f t="shared" si="55"/>
        <v/>
      </c>
      <c r="AQ1118" s="49"/>
      <c r="AR1118" s="49"/>
      <c r="AS1118" s="49" t="str">
        <f t="shared" si="56"/>
        <v/>
      </c>
      <c r="AT1118" s="49" t="str">
        <f t="shared" si="57"/>
        <v/>
      </c>
      <c r="AU1118" s="49"/>
      <c r="AV1118" s="49"/>
    </row>
    <row r="1119" spans="1:48" ht="18" customHeight="1">
      <c r="A1119" s="44">
        <v>1117</v>
      </c>
      <c r="B1119" s="52" t="s">
        <v>3778</v>
      </c>
      <c r="C1119" s="64" t="s">
        <v>72</v>
      </c>
      <c r="D1119" s="52" t="s">
        <v>3797</v>
      </c>
      <c r="E1119" s="45" t="s">
        <v>344</v>
      </c>
      <c r="F1119" s="45" t="s">
        <v>3802</v>
      </c>
      <c r="G1119" s="44"/>
      <c r="H1119" s="44"/>
      <c r="I1119" s="44"/>
      <c r="J1119" s="47"/>
      <c r="K1119" s="47" t="s">
        <v>35</v>
      </c>
      <c r="L1119" s="47"/>
      <c r="M1119" s="47"/>
      <c r="N1119" s="47"/>
      <c r="O1119" s="44"/>
      <c r="P1119" s="44"/>
      <c r="Q1119" s="48"/>
      <c r="R1119" s="47"/>
      <c r="S1119" s="47" t="s">
        <v>296</v>
      </c>
      <c r="T1119" s="47"/>
      <c r="U1119" s="47" t="s">
        <v>296</v>
      </c>
      <c r="V1119" s="47" t="s">
        <v>296</v>
      </c>
      <c r="W1119" s="47" t="s">
        <v>296</v>
      </c>
      <c r="X1119" s="47" t="s">
        <v>296</v>
      </c>
      <c r="Y1119" s="47"/>
      <c r="Z1119" s="47" t="s">
        <v>296</v>
      </c>
      <c r="AA1119" s="47" t="s">
        <v>296</v>
      </c>
      <c r="AB1119" s="47" t="s">
        <v>35</v>
      </c>
      <c r="AC1119" s="47" t="s">
        <v>35</v>
      </c>
      <c r="AD1119" s="49"/>
      <c r="AE1119" s="49"/>
      <c r="AF1119" s="49"/>
      <c r="AG1119" s="49"/>
      <c r="AH1119" s="49"/>
      <c r="AI1119" s="49"/>
      <c r="AJ1119" s="49"/>
      <c r="AK1119" s="49"/>
      <c r="AL1119" s="49"/>
      <c r="AM1119" s="49"/>
      <c r="AN1119" s="49"/>
      <c r="AO1119" s="51" t="str">
        <f t="shared" si="54"/>
        <v/>
      </c>
      <c r="AP1119" s="51" t="str">
        <f t="shared" si="55"/>
        <v/>
      </c>
      <c r="AQ1119" s="49"/>
      <c r="AR1119" s="49"/>
      <c r="AS1119" s="49" t="str">
        <f t="shared" si="56"/>
        <v/>
      </c>
      <c r="AT1119" s="49" t="str">
        <f t="shared" si="57"/>
        <v/>
      </c>
      <c r="AU1119" s="49"/>
      <c r="AV1119" s="49"/>
    </row>
    <row r="1120" spans="1:48" ht="18" customHeight="1">
      <c r="A1120" s="44">
        <v>1118</v>
      </c>
      <c r="B1120" s="52" t="s">
        <v>3778</v>
      </c>
      <c r="C1120" s="79" t="s">
        <v>72</v>
      </c>
      <c r="D1120" s="69" t="s">
        <v>3797</v>
      </c>
      <c r="E1120" s="45" t="s">
        <v>344</v>
      </c>
      <c r="F1120" s="45" t="s">
        <v>3803</v>
      </c>
      <c r="G1120" s="44"/>
      <c r="H1120" s="44"/>
      <c r="I1120" s="44"/>
      <c r="J1120" s="47"/>
      <c r="K1120" s="47" t="s">
        <v>35</v>
      </c>
      <c r="L1120" s="47"/>
      <c r="M1120" s="47"/>
      <c r="N1120" s="47"/>
      <c r="O1120" s="44"/>
      <c r="P1120" s="44"/>
      <c r="Q1120" s="48"/>
      <c r="R1120" s="47"/>
      <c r="S1120" s="47" t="s">
        <v>296</v>
      </c>
      <c r="T1120" s="47"/>
      <c r="U1120" s="47" t="s">
        <v>296</v>
      </c>
      <c r="V1120" s="47" t="s">
        <v>296</v>
      </c>
      <c r="W1120" s="47" t="s">
        <v>296</v>
      </c>
      <c r="X1120" s="47" t="s">
        <v>296</v>
      </c>
      <c r="Y1120" s="47"/>
      <c r="Z1120" s="47" t="s">
        <v>296</v>
      </c>
      <c r="AA1120" s="47" t="s">
        <v>296</v>
      </c>
      <c r="AB1120" s="47" t="s">
        <v>35</v>
      </c>
      <c r="AC1120" s="47" t="s">
        <v>35</v>
      </c>
      <c r="AD1120" s="49"/>
      <c r="AE1120" s="49"/>
      <c r="AF1120" s="49"/>
      <c r="AG1120" s="49"/>
      <c r="AH1120" s="49"/>
      <c r="AI1120" s="49"/>
      <c r="AJ1120" s="49"/>
      <c r="AK1120" s="49"/>
      <c r="AL1120" s="49"/>
      <c r="AM1120" s="49"/>
      <c r="AN1120" s="49"/>
      <c r="AO1120" s="51" t="str">
        <f t="shared" si="54"/>
        <v/>
      </c>
      <c r="AP1120" s="51" t="str">
        <f t="shared" si="55"/>
        <v/>
      </c>
      <c r="AQ1120" s="49"/>
      <c r="AR1120" s="49"/>
      <c r="AS1120" s="49" t="str">
        <f t="shared" si="56"/>
        <v/>
      </c>
      <c r="AT1120" s="49" t="str">
        <f t="shared" si="57"/>
        <v/>
      </c>
      <c r="AU1120" s="49"/>
      <c r="AV1120" s="49"/>
    </row>
    <row r="1121" spans="1:48" ht="18" customHeight="1">
      <c r="A1121" s="44">
        <v>1119</v>
      </c>
      <c r="B1121" s="45" t="s">
        <v>3804</v>
      </c>
      <c r="C1121" s="45" t="s">
        <v>3805</v>
      </c>
      <c r="D1121" s="64" t="s">
        <v>3806</v>
      </c>
      <c r="E1121" s="44" t="s">
        <v>116</v>
      </c>
      <c r="F1121" s="44" t="s">
        <v>3807</v>
      </c>
      <c r="G1121" s="44"/>
      <c r="H1121" s="44"/>
      <c r="I1121" s="44"/>
      <c r="J1121" s="47" t="s">
        <v>35</v>
      </c>
      <c r="K1121" s="47"/>
      <c r="L1121" s="47"/>
      <c r="M1121" s="47"/>
      <c r="N1121" s="47"/>
      <c r="O1121" s="44"/>
      <c r="P1121" s="44"/>
      <c r="Q1121" s="48"/>
      <c r="R1121" s="44"/>
      <c r="S1121" s="47" t="s">
        <v>296</v>
      </c>
      <c r="T1121" s="44"/>
      <c r="U1121" s="47" t="s">
        <v>296</v>
      </c>
      <c r="V1121" s="47" t="s">
        <v>296</v>
      </c>
      <c r="W1121" s="47" t="s">
        <v>296</v>
      </c>
      <c r="X1121" s="47" t="s">
        <v>296</v>
      </c>
      <c r="Y1121" s="47"/>
      <c r="Z1121" s="47" t="s">
        <v>296</v>
      </c>
      <c r="AA1121" s="47" t="s">
        <v>296</v>
      </c>
      <c r="AB1121" s="47" t="s">
        <v>35</v>
      </c>
      <c r="AC1121" s="47" t="s">
        <v>296</v>
      </c>
      <c r="AD1121" s="49"/>
      <c r="AE1121" s="49"/>
      <c r="AF1121" s="49"/>
      <c r="AG1121" s="49"/>
      <c r="AH1121" s="49"/>
      <c r="AI1121" s="49"/>
      <c r="AJ1121" s="49"/>
      <c r="AK1121" s="49"/>
      <c r="AL1121" s="49"/>
      <c r="AM1121" s="49"/>
      <c r="AN1121" s="49"/>
      <c r="AO1121" s="51" t="str">
        <f t="shared" si="54"/>
        <v/>
      </c>
      <c r="AP1121" s="51" t="str">
        <f t="shared" si="55"/>
        <v/>
      </c>
      <c r="AQ1121" s="49"/>
      <c r="AR1121" s="49"/>
      <c r="AS1121" s="49" t="str">
        <f t="shared" si="56"/>
        <v/>
      </c>
      <c r="AT1121" s="49" t="str">
        <f t="shared" si="57"/>
        <v/>
      </c>
      <c r="AU1121" s="49"/>
      <c r="AV1121" s="49"/>
    </row>
    <row r="1122" spans="1:48" ht="18" customHeight="1">
      <c r="A1122" s="44">
        <v>1120</v>
      </c>
      <c r="B1122" s="52" t="s">
        <v>3804</v>
      </c>
      <c r="C1122" s="52" t="s">
        <v>3805</v>
      </c>
      <c r="D1122" s="52" t="s">
        <v>3806</v>
      </c>
      <c r="E1122" s="44" t="s">
        <v>116</v>
      </c>
      <c r="F1122" s="44" t="s">
        <v>3808</v>
      </c>
      <c r="G1122" s="44"/>
      <c r="H1122" s="44"/>
      <c r="I1122" s="44"/>
      <c r="J1122" s="47" t="s">
        <v>35</v>
      </c>
      <c r="K1122" s="47"/>
      <c r="L1122" s="47"/>
      <c r="M1122" s="47"/>
      <c r="N1122" s="47"/>
      <c r="O1122" s="44"/>
      <c r="P1122" s="44"/>
      <c r="Q1122" s="48"/>
      <c r="R1122" s="44"/>
      <c r="S1122" s="47" t="s">
        <v>296</v>
      </c>
      <c r="T1122" s="44"/>
      <c r="U1122" s="47" t="s">
        <v>296</v>
      </c>
      <c r="V1122" s="47" t="s">
        <v>296</v>
      </c>
      <c r="W1122" s="47" t="s">
        <v>296</v>
      </c>
      <c r="X1122" s="47" t="s">
        <v>296</v>
      </c>
      <c r="Y1122" s="47"/>
      <c r="Z1122" s="47" t="s">
        <v>296</v>
      </c>
      <c r="AA1122" s="47" t="s">
        <v>296</v>
      </c>
      <c r="AB1122" s="47" t="s">
        <v>35</v>
      </c>
      <c r="AC1122" s="47" t="s">
        <v>296</v>
      </c>
      <c r="AD1122" s="49"/>
      <c r="AE1122" s="49"/>
      <c r="AF1122" s="49"/>
      <c r="AG1122" s="49"/>
      <c r="AH1122" s="49"/>
      <c r="AI1122" s="49"/>
      <c r="AJ1122" s="49"/>
      <c r="AK1122" s="49"/>
      <c r="AL1122" s="49"/>
      <c r="AM1122" s="49"/>
      <c r="AN1122" s="49"/>
      <c r="AO1122" s="51" t="str">
        <f t="shared" si="54"/>
        <v/>
      </c>
      <c r="AP1122" s="51" t="str">
        <f t="shared" si="55"/>
        <v/>
      </c>
      <c r="AQ1122" s="49"/>
      <c r="AR1122" s="49"/>
      <c r="AS1122" s="49" t="str">
        <f t="shared" si="56"/>
        <v/>
      </c>
      <c r="AT1122" s="49" t="str">
        <f t="shared" si="57"/>
        <v/>
      </c>
      <c r="AU1122" s="49"/>
      <c r="AV1122" s="49"/>
    </row>
    <row r="1123" spans="1:48" ht="18" customHeight="1">
      <c r="A1123" s="44">
        <v>1121</v>
      </c>
      <c r="B1123" s="52" t="s">
        <v>3804</v>
      </c>
      <c r="C1123" s="52" t="s">
        <v>3805</v>
      </c>
      <c r="D1123" s="52" t="s">
        <v>3806</v>
      </c>
      <c r="E1123" s="44" t="s">
        <v>116</v>
      </c>
      <c r="F1123" s="44" t="s">
        <v>3809</v>
      </c>
      <c r="G1123" s="44"/>
      <c r="H1123" s="44"/>
      <c r="I1123" s="44"/>
      <c r="J1123" s="47" t="s">
        <v>35</v>
      </c>
      <c r="K1123" s="47"/>
      <c r="L1123" s="47"/>
      <c r="M1123" s="47"/>
      <c r="N1123" s="47"/>
      <c r="O1123" s="44"/>
      <c r="P1123" s="44"/>
      <c r="Q1123" s="48"/>
      <c r="R1123" s="44"/>
      <c r="S1123" s="47" t="s">
        <v>296</v>
      </c>
      <c r="T1123" s="44"/>
      <c r="U1123" s="47" t="s">
        <v>296</v>
      </c>
      <c r="V1123" s="47" t="s">
        <v>296</v>
      </c>
      <c r="W1123" s="47" t="s">
        <v>296</v>
      </c>
      <c r="X1123" s="47" t="s">
        <v>296</v>
      </c>
      <c r="Y1123" s="47"/>
      <c r="Z1123" s="47" t="s">
        <v>296</v>
      </c>
      <c r="AA1123" s="47" t="s">
        <v>296</v>
      </c>
      <c r="AB1123" s="47" t="s">
        <v>35</v>
      </c>
      <c r="AC1123" s="47" t="s">
        <v>296</v>
      </c>
      <c r="AD1123" s="49"/>
      <c r="AE1123" s="49"/>
      <c r="AF1123" s="49"/>
      <c r="AG1123" s="49"/>
      <c r="AH1123" s="49"/>
      <c r="AI1123" s="49"/>
      <c r="AJ1123" s="49"/>
      <c r="AK1123" s="49"/>
      <c r="AL1123" s="49"/>
      <c r="AM1123" s="49"/>
      <c r="AN1123" s="49"/>
      <c r="AO1123" s="51" t="str">
        <f t="shared" si="54"/>
        <v/>
      </c>
      <c r="AP1123" s="51" t="str">
        <f t="shared" si="55"/>
        <v/>
      </c>
      <c r="AQ1123" s="49"/>
      <c r="AR1123" s="49"/>
      <c r="AS1123" s="49" t="str">
        <f t="shared" si="56"/>
        <v/>
      </c>
      <c r="AT1123" s="49" t="str">
        <f t="shared" si="57"/>
        <v/>
      </c>
      <c r="AU1123" s="49"/>
      <c r="AV1123" s="49"/>
    </row>
    <row r="1124" spans="1:48" ht="18" customHeight="1">
      <c r="A1124" s="44">
        <v>1122</v>
      </c>
      <c r="B1124" s="52" t="s">
        <v>3804</v>
      </c>
      <c r="C1124" s="52" t="s">
        <v>3805</v>
      </c>
      <c r="D1124" s="52" t="s">
        <v>3806</v>
      </c>
      <c r="E1124" s="44" t="s">
        <v>116</v>
      </c>
      <c r="F1124" s="44" t="s">
        <v>3810</v>
      </c>
      <c r="G1124" s="44"/>
      <c r="H1124" s="44"/>
      <c r="I1124" s="44"/>
      <c r="J1124" s="47" t="s">
        <v>35</v>
      </c>
      <c r="K1124" s="47"/>
      <c r="L1124" s="47"/>
      <c r="M1124" s="47"/>
      <c r="N1124" s="47"/>
      <c r="O1124" s="44"/>
      <c r="P1124" s="44"/>
      <c r="Q1124" s="48"/>
      <c r="R1124" s="44"/>
      <c r="S1124" s="47" t="s">
        <v>296</v>
      </c>
      <c r="T1124" s="44"/>
      <c r="U1124" s="47" t="s">
        <v>296</v>
      </c>
      <c r="V1124" s="47" t="s">
        <v>296</v>
      </c>
      <c r="W1124" s="47" t="s">
        <v>296</v>
      </c>
      <c r="X1124" s="47" t="s">
        <v>296</v>
      </c>
      <c r="Y1124" s="47"/>
      <c r="Z1124" s="47" t="s">
        <v>296</v>
      </c>
      <c r="AA1124" s="47" t="s">
        <v>296</v>
      </c>
      <c r="AB1124" s="47" t="s">
        <v>35</v>
      </c>
      <c r="AC1124" s="47" t="s">
        <v>296</v>
      </c>
      <c r="AD1124" s="49"/>
      <c r="AE1124" s="49"/>
      <c r="AF1124" s="49"/>
      <c r="AG1124" s="49"/>
      <c r="AH1124" s="49"/>
      <c r="AI1124" s="49"/>
      <c r="AJ1124" s="49"/>
      <c r="AK1124" s="49"/>
      <c r="AL1124" s="49"/>
      <c r="AM1124" s="49"/>
      <c r="AN1124" s="49"/>
      <c r="AO1124" s="51" t="str">
        <f t="shared" si="54"/>
        <v/>
      </c>
      <c r="AP1124" s="51" t="str">
        <f t="shared" si="55"/>
        <v/>
      </c>
      <c r="AQ1124" s="49"/>
      <c r="AR1124" s="49"/>
      <c r="AS1124" s="49" t="str">
        <f t="shared" si="56"/>
        <v/>
      </c>
      <c r="AT1124" s="49" t="str">
        <f t="shared" si="57"/>
        <v/>
      </c>
      <c r="AU1124" s="49"/>
      <c r="AV1124" s="49"/>
    </row>
    <row r="1125" spans="1:48" ht="18" customHeight="1">
      <c r="A1125" s="44">
        <v>1123</v>
      </c>
      <c r="B1125" s="52" t="s">
        <v>3804</v>
      </c>
      <c r="C1125" s="52" t="s">
        <v>3805</v>
      </c>
      <c r="D1125" s="52" t="s">
        <v>3806</v>
      </c>
      <c r="E1125" s="44" t="s">
        <v>116</v>
      </c>
      <c r="F1125" s="44" t="s">
        <v>3811</v>
      </c>
      <c r="G1125" s="44"/>
      <c r="H1125" s="44"/>
      <c r="I1125" s="44"/>
      <c r="J1125" s="47" t="s">
        <v>35</v>
      </c>
      <c r="K1125" s="47"/>
      <c r="L1125" s="47"/>
      <c r="M1125" s="47"/>
      <c r="N1125" s="47"/>
      <c r="O1125" s="44"/>
      <c r="P1125" s="44"/>
      <c r="Q1125" s="48"/>
      <c r="R1125" s="44"/>
      <c r="S1125" s="47" t="s">
        <v>296</v>
      </c>
      <c r="T1125" s="44"/>
      <c r="U1125" s="47" t="s">
        <v>296</v>
      </c>
      <c r="V1125" s="47" t="s">
        <v>296</v>
      </c>
      <c r="W1125" s="47" t="s">
        <v>296</v>
      </c>
      <c r="X1125" s="47" t="s">
        <v>296</v>
      </c>
      <c r="Y1125" s="47"/>
      <c r="Z1125" s="47" t="s">
        <v>296</v>
      </c>
      <c r="AA1125" s="47" t="s">
        <v>296</v>
      </c>
      <c r="AB1125" s="47" t="s">
        <v>35</v>
      </c>
      <c r="AC1125" s="47" t="s">
        <v>296</v>
      </c>
      <c r="AD1125" s="49"/>
      <c r="AE1125" s="49"/>
      <c r="AF1125" s="49"/>
      <c r="AG1125" s="49"/>
      <c r="AH1125" s="49"/>
      <c r="AI1125" s="49"/>
      <c r="AJ1125" s="49"/>
      <c r="AK1125" s="49"/>
      <c r="AL1125" s="49"/>
      <c r="AM1125" s="49"/>
      <c r="AN1125" s="49"/>
      <c r="AO1125" s="51" t="str">
        <f t="shared" si="54"/>
        <v/>
      </c>
      <c r="AP1125" s="51" t="str">
        <f t="shared" si="55"/>
        <v/>
      </c>
      <c r="AQ1125" s="49"/>
      <c r="AR1125" s="49"/>
      <c r="AS1125" s="49" t="str">
        <f t="shared" si="56"/>
        <v/>
      </c>
      <c r="AT1125" s="49" t="str">
        <f t="shared" si="57"/>
        <v/>
      </c>
      <c r="AU1125" s="49"/>
      <c r="AV1125" s="49"/>
    </row>
    <row r="1126" spans="1:48" ht="18" customHeight="1">
      <c r="A1126" s="44">
        <v>1124</v>
      </c>
      <c r="B1126" s="52" t="s">
        <v>3804</v>
      </c>
      <c r="C1126" s="52" t="s">
        <v>3805</v>
      </c>
      <c r="D1126" s="52" t="s">
        <v>3806</v>
      </c>
      <c r="E1126" s="44" t="s">
        <v>116</v>
      </c>
      <c r="F1126" s="44" t="s">
        <v>3812</v>
      </c>
      <c r="G1126" s="44"/>
      <c r="H1126" s="44"/>
      <c r="I1126" s="44"/>
      <c r="J1126" s="47" t="s">
        <v>35</v>
      </c>
      <c r="K1126" s="47"/>
      <c r="L1126" s="47"/>
      <c r="M1126" s="47"/>
      <c r="N1126" s="47"/>
      <c r="O1126" s="44"/>
      <c r="P1126" s="44"/>
      <c r="Q1126" s="48"/>
      <c r="R1126" s="44"/>
      <c r="S1126" s="47" t="s">
        <v>296</v>
      </c>
      <c r="T1126" s="44"/>
      <c r="U1126" s="47" t="s">
        <v>296</v>
      </c>
      <c r="V1126" s="47" t="s">
        <v>296</v>
      </c>
      <c r="W1126" s="47" t="s">
        <v>296</v>
      </c>
      <c r="X1126" s="47" t="s">
        <v>296</v>
      </c>
      <c r="Y1126" s="47"/>
      <c r="Z1126" s="47" t="s">
        <v>296</v>
      </c>
      <c r="AA1126" s="47" t="s">
        <v>296</v>
      </c>
      <c r="AB1126" s="47" t="s">
        <v>35</v>
      </c>
      <c r="AC1126" s="47" t="s">
        <v>296</v>
      </c>
      <c r="AD1126" s="49"/>
      <c r="AE1126" s="49"/>
      <c r="AF1126" s="49"/>
      <c r="AG1126" s="49"/>
      <c r="AH1126" s="49"/>
      <c r="AI1126" s="49"/>
      <c r="AJ1126" s="49"/>
      <c r="AK1126" s="49"/>
      <c r="AL1126" s="49"/>
      <c r="AM1126" s="49"/>
      <c r="AN1126" s="49"/>
      <c r="AO1126" s="51" t="str">
        <f t="shared" si="54"/>
        <v/>
      </c>
      <c r="AP1126" s="51" t="str">
        <f t="shared" si="55"/>
        <v/>
      </c>
      <c r="AQ1126" s="49"/>
      <c r="AR1126" s="49"/>
      <c r="AS1126" s="49" t="str">
        <f t="shared" si="56"/>
        <v/>
      </c>
      <c r="AT1126" s="49" t="str">
        <f t="shared" si="57"/>
        <v/>
      </c>
      <c r="AU1126" s="49"/>
      <c r="AV1126" s="49"/>
    </row>
    <row r="1127" spans="1:48" ht="18" customHeight="1">
      <c r="A1127" s="44">
        <v>1125</v>
      </c>
      <c r="B1127" s="52" t="s">
        <v>3804</v>
      </c>
      <c r="C1127" s="52" t="s">
        <v>3805</v>
      </c>
      <c r="D1127" s="52" t="s">
        <v>3806</v>
      </c>
      <c r="E1127" s="44" t="s">
        <v>116</v>
      </c>
      <c r="F1127" s="44" t="s">
        <v>3813</v>
      </c>
      <c r="G1127" s="44"/>
      <c r="H1127" s="44"/>
      <c r="I1127" s="44"/>
      <c r="J1127" s="47" t="s">
        <v>35</v>
      </c>
      <c r="K1127" s="47"/>
      <c r="L1127" s="47"/>
      <c r="M1127" s="47"/>
      <c r="N1127" s="47"/>
      <c r="O1127" s="44"/>
      <c r="P1127" s="44"/>
      <c r="Q1127" s="48"/>
      <c r="R1127" s="44"/>
      <c r="S1127" s="47" t="s">
        <v>296</v>
      </c>
      <c r="T1127" s="44"/>
      <c r="U1127" s="47" t="s">
        <v>296</v>
      </c>
      <c r="V1127" s="47" t="s">
        <v>296</v>
      </c>
      <c r="W1127" s="47" t="s">
        <v>296</v>
      </c>
      <c r="X1127" s="47" t="s">
        <v>296</v>
      </c>
      <c r="Y1127" s="47"/>
      <c r="Z1127" s="47" t="s">
        <v>296</v>
      </c>
      <c r="AA1127" s="47" t="s">
        <v>296</v>
      </c>
      <c r="AB1127" s="47" t="s">
        <v>35</v>
      </c>
      <c r="AC1127" s="47" t="s">
        <v>296</v>
      </c>
      <c r="AD1127" s="49"/>
      <c r="AE1127" s="49"/>
      <c r="AF1127" s="49"/>
      <c r="AG1127" s="49"/>
      <c r="AH1127" s="49"/>
      <c r="AI1127" s="49"/>
      <c r="AJ1127" s="49"/>
      <c r="AK1127" s="49"/>
      <c r="AL1127" s="49"/>
      <c r="AM1127" s="49"/>
      <c r="AN1127" s="49"/>
      <c r="AO1127" s="51" t="str">
        <f t="shared" si="54"/>
        <v/>
      </c>
      <c r="AP1127" s="51" t="str">
        <f t="shared" si="55"/>
        <v/>
      </c>
      <c r="AQ1127" s="49"/>
      <c r="AR1127" s="49"/>
      <c r="AS1127" s="49" t="str">
        <f t="shared" si="56"/>
        <v/>
      </c>
      <c r="AT1127" s="49" t="str">
        <f t="shared" si="57"/>
        <v/>
      </c>
      <c r="AU1127" s="49"/>
      <c r="AV1127" s="49"/>
    </row>
    <row r="1128" spans="1:48" ht="18" customHeight="1">
      <c r="A1128" s="44">
        <v>1126</v>
      </c>
      <c r="B1128" s="52" t="s">
        <v>3804</v>
      </c>
      <c r="C1128" s="52" t="s">
        <v>3805</v>
      </c>
      <c r="D1128" s="69" t="s">
        <v>3806</v>
      </c>
      <c r="E1128" s="44" t="s">
        <v>116</v>
      </c>
      <c r="F1128" s="44" t="s">
        <v>3814</v>
      </c>
      <c r="G1128" s="44"/>
      <c r="H1128" s="44"/>
      <c r="I1128" s="44"/>
      <c r="J1128" s="47" t="s">
        <v>35</v>
      </c>
      <c r="K1128" s="47"/>
      <c r="L1128" s="47"/>
      <c r="M1128" s="47"/>
      <c r="N1128" s="47"/>
      <c r="O1128" s="44"/>
      <c r="P1128" s="44"/>
      <c r="Q1128" s="48"/>
      <c r="R1128" s="44"/>
      <c r="S1128" s="47" t="s">
        <v>296</v>
      </c>
      <c r="T1128" s="44"/>
      <c r="U1128" s="47" t="s">
        <v>296</v>
      </c>
      <c r="V1128" s="47" t="s">
        <v>296</v>
      </c>
      <c r="W1128" s="47" t="s">
        <v>296</v>
      </c>
      <c r="X1128" s="47" t="s">
        <v>296</v>
      </c>
      <c r="Y1128" s="47"/>
      <c r="Z1128" s="47" t="s">
        <v>296</v>
      </c>
      <c r="AA1128" s="47" t="s">
        <v>296</v>
      </c>
      <c r="AB1128" s="47" t="s">
        <v>35</v>
      </c>
      <c r="AC1128" s="47" t="s">
        <v>296</v>
      </c>
      <c r="AD1128" s="49"/>
      <c r="AE1128" s="49"/>
      <c r="AF1128" s="49"/>
      <c r="AG1128" s="49"/>
      <c r="AH1128" s="49"/>
      <c r="AI1128" s="49"/>
      <c r="AJ1128" s="49"/>
      <c r="AK1128" s="49"/>
      <c r="AL1128" s="49"/>
      <c r="AM1128" s="49"/>
      <c r="AN1128" s="49"/>
      <c r="AO1128" s="51" t="str">
        <f t="shared" si="54"/>
        <v/>
      </c>
      <c r="AP1128" s="51" t="str">
        <f t="shared" si="55"/>
        <v/>
      </c>
      <c r="AQ1128" s="49"/>
      <c r="AR1128" s="49"/>
      <c r="AS1128" s="49" t="str">
        <f t="shared" si="56"/>
        <v/>
      </c>
      <c r="AT1128" s="49" t="str">
        <f t="shared" si="57"/>
        <v/>
      </c>
      <c r="AU1128" s="49"/>
      <c r="AV1128" s="49"/>
    </row>
    <row r="1129" spans="1:48" ht="18" customHeight="1">
      <c r="A1129" s="44">
        <v>1127</v>
      </c>
      <c r="B1129" s="52" t="s">
        <v>3804</v>
      </c>
      <c r="C1129" s="52" t="s">
        <v>3805</v>
      </c>
      <c r="D1129" s="45" t="s">
        <v>3815</v>
      </c>
      <c r="E1129" s="44" t="s">
        <v>116</v>
      </c>
      <c r="F1129" s="44" t="s">
        <v>132</v>
      </c>
      <c r="G1129" s="44"/>
      <c r="H1129" s="44"/>
      <c r="I1129" s="44"/>
      <c r="J1129" s="47" t="s">
        <v>35</v>
      </c>
      <c r="K1129" s="47"/>
      <c r="L1129" s="47"/>
      <c r="M1129" s="47"/>
      <c r="N1129" s="47"/>
      <c r="O1129" s="44"/>
      <c r="P1129" s="44"/>
      <c r="Q1129" s="48"/>
      <c r="R1129" s="44"/>
      <c r="S1129" s="47" t="s">
        <v>296</v>
      </c>
      <c r="T1129" s="44"/>
      <c r="U1129" s="47" t="s">
        <v>296</v>
      </c>
      <c r="V1129" s="47" t="s">
        <v>296</v>
      </c>
      <c r="W1129" s="47" t="s">
        <v>296</v>
      </c>
      <c r="X1129" s="47" t="s">
        <v>296</v>
      </c>
      <c r="Y1129" s="47"/>
      <c r="Z1129" s="47" t="s">
        <v>296</v>
      </c>
      <c r="AA1129" s="47" t="s">
        <v>296</v>
      </c>
      <c r="AB1129" s="47" t="s">
        <v>35</v>
      </c>
      <c r="AC1129" s="47" t="s">
        <v>296</v>
      </c>
      <c r="AD1129" s="49"/>
      <c r="AE1129" s="49"/>
      <c r="AF1129" s="49"/>
      <c r="AG1129" s="49"/>
      <c r="AH1129" s="49"/>
      <c r="AI1129" s="49"/>
      <c r="AJ1129" s="49"/>
      <c r="AK1129" s="49"/>
      <c r="AL1129" s="49"/>
      <c r="AM1129" s="49"/>
      <c r="AN1129" s="49"/>
      <c r="AO1129" s="51" t="str">
        <f t="shared" si="54"/>
        <v/>
      </c>
      <c r="AP1129" s="51" t="str">
        <f t="shared" si="55"/>
        <v/>
      </c>
      <c r="AQ1129" s="49"/>
      <c r="AR1129" s="49"/>
      <c r="AS1129" s="49" t="str">
        <f t="shared" si="56"/>
        <v/>
      </c>
      <c r="AT1129" s="49" t="str">
        <f t="shared" si="57"/>
        <v/>
      </c>
      <c r="AU1129" s="49"/>
      <c r="AV1129" s="49"/>
    </row>
    <row r="1130" spans="1:48" ht="18" customHeight="1">
      <c r="A1130" s="44">
        <v>1128</v>
      </c>
      <c r="B1130" s="52" t="s">
        <v>3804</v>
      </c>
      <c r="C1130" s="52" t="s">
        <v>3805</v>
      </c>
      <c r="D1130" s="69" t="s">
        <v>3815</v>
      </c>
      <c r="E1130" s="44" t="s">
        <v>116</v>
      </c>
      <c r="F1130" s="44" t="s">
        <v>3816</v>
      </c>
      <c r="G1130" s="44"/>
      <c r="H1130" s="44"/>
      <c r="I1130" s="44"/>
      <c r="J1130" s="47" t="s">
        <v>35</v>
      </c>
      <c r="K1130" s="47"/>
      <c r="L1130" s="47"/>
      <c r="M1130" s="47"/>
      <c r="N1130" s="47"/>
      <c r="O1130" s="44"/>
      <c r="P1130" s="44"/>
      <c r="Q1130" s="48"/>
      <c r="R1130" s="44"/>
      <c r="S1130" s="47" t="s">
        <v>296</v>
      </c>
      <c r="T1130" s="44"/>
      <c r="U1130" s="47" t="s">
        <v>296</v>
      </c>
      <c r="V1130" s="47" t="s">
        <v>296</v>
      </c>
      <c r="W1130" s="47" t="s">
        <v>296</v>
      </c>
      <c r="X1130" s="47" t="s">
        <v>296</v>
      </c>
      <c r="Y1130" s="47"/>
      <c r="Z1130" s="47" t="s">
        <v>296</v>
      </c>
      <c r="AA1130" s="47" t="s">
        <v>296</v>
      </c>
      <c r="AB1130" s="47" t="s">
        <v>35</v>
      </c>
      <c r="AC1130" s="47" t="s">
        <v>296</v>
      </c>
      <c r="AD1130" s="49"/>
      <c r="AE1130" s="49"/>
      <c r="AF1130" s="49"/>
      <c r="AG1130" s="49"/>
      <c r="AH1130" s="49"/>
      <c r="AI1130" s="49"/>
      <c r="AJ1130" s="49"/>
      <c r="AK1130" s="49"/>
      <c r="AL1130" s="49"/>
      <c r="AM1130" s="49"/>
      <c r="AN1130" s="49"/>
      <c r="AO1130" s="51" t="str">
        <f t="shared" si="54"/>
        <v/>
      </c>
      <c r="AP1130" s="51" t="str">
        <f t="shared" si="55"/>
        <v/>
      </c>
      <c r="AQ1130" s="49"/>
      <c r="AR1130" s="49"/>
      <c r="AS1130" s="49" t="str">
        <f t="shared" si="56"/>
        <v/>
      </c>
      <c r="AT1130" s="49" t="str">
        <f t="shared" si="57"/>
        <v/>
      </c>
      <c r="AU1130" s="49"/>
      <c r="AV1130" s="49"/>
    </row>
    <row r="1131" spans="1:48" ht="18" customHeight="1">
      <c r="A1131" s="44">
        <v>1129</v>
      </c>
      <c r="B1131" s="52" t="s">
        <v>3804</v>
      </c>
      <c r="C1131" s="52" t="s">
        <v>3805</v>
      </c>
      <c r="D1131" s="45" t="s">
        <v>3817</v>
      </c>
      <c r="E1131" s="44" t="s">
        <v>116</v>
      </c>
      <c r="F1131" s="44" t="s">
        <v>132</v>
      </c>
      <c r="G1131" s="44"/>
      <c r="H1131" s="44"/>
      <c r="I1131" s="44"/>
      <c r="J1131" s="47" t="s">
        <v>35</v>
      </c>
      <c r="K1131" s="47"/>
      <c r="L1131" s="47"/>
      <c r="M1131" s="47"/>
      <c r="N1131" s="47"/>
      <c r="O1131" s="44"/>
      <c r="P1131" s="44"/>
      <c r="Q1131" s="48"/>
      <c r="R1131" s="44"/>
      <c r="S1131" s="47" t="s">
        <v>296</v>
      </c>
      <c r="T1131" s="44"/>
      <c r="U1131" s="47" t="s">
        <v>296</v>
      </c>
      <c r="V1131" s="47" t="s">
        <v>296</v>
      </c>
      <c r="W1131" s="47" t="s">
        <v>296</v>
      </c>
      <c r="X1131" s="47" t="s">
        <v>296</v>
      </c>
      <c r="Y1131" s="47"/>
      <c r="Z1131" s="47" t="s">
        <v>296</v>
      </c>
      <c r="AA1131" s="47" t="s">
        <v>296</v>
      </c>
      <c r="AB1131" s="47" t="s">
        <v>35</v>
      </c>
      <c r="AC1131" s="47" t="s">
        <v>296</v>
      </c>
      <c r="AD1131" s="49"/>
      <c r="AE1131" s="49"/>
      <c r="AF1131" s="49"/>
      <c r="AG1131" s="49"/>
      <c r="AH1131" s="49"/>
      <c r="AI1131" s="49"/>
      <c r="AJ1131" s="49"/>
      <c r="AK1131" s="49"/>
      <c r="AL1131" s="49"/>
      <c r="AM1131" s="49"/>
      <c r="AN1131" s="49"/>
      <c r="AO1131" s="51" t="str">
        <f t="shared" si="54"/>
        <v/>
      </c>
      <c r="AP1131" s="51" t="str">
        <f t="shared" si="55"/>
        <v/>
      </c>
      <c r="AQ1131" s="49"/>
      <c r="AR1131" s="49"/>
      <c r="AS1131" s="49" t="str">
        <f t="shared" si="56"/>
        <v/>
      </c>
      <c r="AT1131" s="49" t="str">
        <f t="shared" si="57"/>
        <v/>
      </c>
      <c r="AU1131" s="49"/>
      <c r="AV1131" s="49"/>
    </row>
    <row r="1132" spans="1:48" ht="18" customHeight="1">
      <c r="A1132" s="44">
        <v>1130</v>
      </c>
      <c r="B1132" s="52" t="s">
        <v>3804</v>
      </c>
      <c r="C1132" s="52" t="s">
        <v>3805</v>
      </c>
      <c r="D1132" s="69" t="s">
        <v>3817</v>
      </c>
      <c r="E1132" s="44" t="s">
        <v>116</v>
      </c>
      <c r="F1132" s="44" t="s">
        <v>3816</v>
      </c>
      <c r="G1132" s="44"/>
      <c r="H1132" s="44"/>
      <c r="I1132" s="44"/>
      <c r="J1132" s="47" t="s">
        <v>35</v>
      </c>
      <c r="K1132" s="47"/>
      <c r="L1132" s="47"/>
      <c r="M1132" s="47"/>
      <c r="N1132" s="47"/>
      <c r="O1132" s="44"/>
      <c r="P1132" s="44"/>
      <c r="Q1132" s="48"/>
      <c r="R1132" s="44"/>
      <c r="S1132" s="47" t="s">
        <v>296</v>
      </c>
      <c r="T1132" s="44"/>
      <c r="U1132" s="47" t="s">
        <v>296</v>
      </c>
      <c r="V1132" s="47" t="s">
        <v>296</v>
      </c>
      <c r="W1132" s="47" t="s">
        <v>296</v>
      </c>
      <c r="X1132" s="47" t="s">
        <v>296</v>
      </c>
      <c r="Y1132" s="47"/>
      <c r="Z1132" s="47" t="s">
        <v>296</v>
      </c>
      <c r="AA1132" s="47" t="s">
        <v>296</v>
      </c>
      <c r="AB1132" s="47" t="s">
        <v>35</v>
      </c>
      <c r="AC1132" s="47" t="s">
        <v>296</v>
      </c>
      <c r="AD1132" s="49"/>
      <c r="AE1132" s="49"/>
      <c r="AF1132" s="49"/>
      <c r="AG1132" s="49"/>
      <c r="AH1132" s="49"/>
      <c r="AI1132" s="49"/>
      <c r="AJ1132" s="49"/>
      <c r="AK1132" s="49"/>
      <c r="AL1132" s="49"/>
      <c r="AM1132" s="49"/>
      <c r="AN1132" s="49"/>
      <c r="AO1132" s="51" t="str">
        <f t="shared" si="54"/>
        <v/>
      </c>
      <c r="AP1132" s="51" t="str">
        <f t="shared" si="55"/>
        <v/>
      </c>
      <c r="AQ1132" s="49"/>
      <c r="AR1132" s="49"/>
      <c r="AS1132" s="49" t="str">
        <f t="shared" si="56"/>
        <v/>
      </c>
      <c r="AT1132" s="49" t="str">
        <f t="shared" si="57"/>
        <v/>
      </c>
      <c r="AU1132" s="49"/>
      <c r="AV1132" s="49"/>
    </row>
    <row r="1133" spans="1:48" ht="18" customHeight="1">
      <c r="A1133" s="44">
        <v>1131</v>
      </c>
      <c r="B1133" s="52" t="s">
        <v>3804</v>
      </c>
      <c r="C1133" s="52" t="s">
        <v>3805</v>
      </c>
      <c r="D1133" s="45" t="s">
        <v>3818</v>
      </c>
      <c r="E1133" s="44" t="s">
        <v>116</v>
      </c>
      <c r="F1133" s="44" t="s">
        <v>3819</v>
      </c>
      <c r="G1133" s="44"/>
      <c r="H1133" s="44"/>
      <c r="I1133" s="44"/>
      <c r="J1133" s="47" t="s">
        <v>35</v>
      </c>
      <c r="K1133" s="47"/>
      <c r="L1133" s="47"/>
      <c r="M1133" s="47"/>
      <c r="N1133" s="47"/>
      <c r="O1133" s="44"/>
      <c r="P1133" s="44"/>
      <c r="Q1133" s="48"/>
      <c r="R1133" s="44"/>
      <c r="S1133" s="47" t="s">
        <v>296</v>
      </c>
      <c r="T1133" s="44"/>
      <c r="U1133" s="47" t="s">
        <v>296</v>
      </c>
      <c r="V1133" s="47" t="s">
        <v>296</v>
      </c>
      <c r="W1133" s="47" t="s">
        <v>296</v>
      </c>
      <c r="X1133" s="47" t="s">
        <v>296</v>
      </c>
      <c r="Y1133" s="47"/>
      <c r="Z1133" s="47" t="s">
        <v>296</v>
      </c>
      <c r="AA1133" s="47" t="s">
        <v>296</v>
      </c>
      <c r="AB1133" s="47" t="s">
        <v>35</v>
      </c>
      <c r="AC1133" s="47" t="s">
        <v>296</v>
      </c>
      <c r="AD1133" s="49"/>
      <c r="AE1133" s="49"/>
      <c r="AF1133" s="49"/>
      <c r="AG1133" s="49"/>
      <c r="AH1133" s="49"/>
      <c r="AI1133" s="49"/>
      <c r="AJ1133" s="49"/>
      <c r="AK1133" s="49"/>
      <c r="AL1133" s="49"/>
      <c r="AM1133" s="49"/>
      <c r="AN1133" s="49"/>
      <c r="AO1133" s="51" t="str">
        <f t="shared" si="54"/>
        <v/>
      </c>
      <c r="AP1133" s="51" t="str">
        <f t="shared" si="55"/>
        <v/>
      </c>
      <c r="AQ1133" s="49"/>
      <c r="AR1133" s="49"/>
      <c r="AS1133" s="49" t="str">
        <f t="shared" si="56"/>
        <v/>
      </c>
      <c r="AT1133" s="49" t="str">
        <f t="shared" si="57"/>
        <v/>
      </c>
      <c r="AU1133" s="49"/>
      <c r="AV1133" s="49"/>
    </row>
    <row r="1134" spans="1:48" ht="18" customHeight="1">
      <c r="A1134" s="44">
        <v>1132</v>
      </c>
      <c r="B1134" s="52" t="s">
        <v>3804</v>
      </c>
      <c r="C1134" s="52" t="s">
        <v>3805</v>
      </c>
      <c r="D1134" s="52" t="s">
        <v>3818</v>
      </c>
      <c r="E1134" s="44" t="s">
        <v>116</v>
      </c>
      <c r="F1134" s="44" t="s">
        <v>3820</v>
      </c>
      <c r="G1134" s="44"/>
      <c r="H1134" s="44"/>
      <c r="I1134" s="44"/>
      <c r="J1134" s="47" t="s">
        <v>35</v>
      </c>
      <c r="K1134" s="47"/>
      <c r="L1134" s="47"/>
      <c r="M1134" s="47"/>
      <c r="N1134" s="47"/>
      <c r="O1134" s="44"/>
      <c r="P1134" s="44"/>
      <c r="Q1134" s="48"/>
      <c r="R1134" s="44"/>
      <c r="S1134" s="47" t="s">
        <v>296</v>
      </c>
      <c r="T1134" s="44"/>
      <c r="U1134" s="47" t="s">
        <v>296</v>
      </c>
      <c r="V1134" s="47" t="s">
        <v>296</v>
      </c>
      <c r="W1134" s="47" t="s">
        <v>296</v>
      </c>
      <c r="X1134" s="47" t="s">
        <v>296</v>
      </c>
      <c r="Y1134" s="47"/>
      <c r="Z1134" s="47" t="s">
        <v>296</v>
      </c>
      <c r="AA1134" s="47" t="s">
        <v>296</v>
      </c>
      <c r="AB1134" s="47" t="s">
        <v>35</v>
      </c>
      <c r="AC1134" s="47" t="s">
        <v>296</v>
      </c>
      <c r="AD1134" s="49"/>
      <c r="AE1134" s="49"/>
      <c r="AF1134" s="49"/>
      <c r="AG1134" s="49"/>
      <c r="AH1134" s="49"/>
      <c r="AI1134" s="49"/>
      <c r="AJ1134" s="49"/>
      <c r="AK1134" s="49"/>
      <c r="AL1134" s="49"/>
      <c r="AM1134" s="49"/>
      <c r="AN1134" s="49"/>
      <c r="AO1134" s="51" t="str">
        <f t="shared" si="54"/>
        <v/>
      </c>
      <c r="AP1134" s="51" t="str">
        <f t="shared" si="55"/>
        <v/>
      </c>
      <c r="AQ1134" s="49"/>
      <c r="AR1134" s="49"/>
      <c r="AS1134" s="49" t="str">
        <f t="shared" si="56"/>
        <v/>
      </c>
      <c r="AT1134" s="49" t="str">
        <f t="shared" si="57"/>
        <v/>
      </c>
      <c r="AU1134" s="49"/>
      <c r="AV1134" s="49"/>
    </row>
    <row r="1135" spans="1:48" ht="18" customHeight="1">
      <c r="A1135" s="44">
        <v>1133</v>
      </c>
      <c r="B1135" s="52" t="s">
        <v>3804</v>
      </c>
      <c r="C1135" s="52" t="s">
        <v>3805</v>
      </c>
      <c r="D1135" s="52" t="s">
        <v>3818</v>
      </c>
      <c r="E1135" s="44" t="s">
        <v>116</v>
      </c>
      <c r="F1135" s="44" t="s">
        <v>3821</v>
      </c>
      <c r="G1135" s="44"/>
      <c r="H1135" s="44"/>
      <c r="I1135" s="44"/>
      <c r="J1135" s="47" t="s">
        <v>35</v>
      </c>
      <c r="K1135" s="47"/>
      <c r="L1135" s="47"/>
      <c r="M1135" s="47"/>
      <c r="N1135" s="47"/>
      <c r="O1135" s="44"/>
      <c r="P1135" s="44"/>
      <c r="Q1135" s="48"/>
      <c r="R1135" s="44"/>
      <c r="S1135" s="47" t="s">
        <v>296</v>
      </c>
      <c r="T1135" s="44"/>
      <c r="U1135" s="47" t="s">
        <v>296</v>
      </c>
      <c r="V1135" s="47" t="s">
        <v>296</v>
      </c>
      <c r="W1135" s="47" t="s">
        <v>296</v>
      </c>
      <c r="X1135" s="47" t="s">
        <v>296</v>
      </c>
      <c r="Y1135" s="47"/>
      <c r="Z1135" s="47" t="s">
        <v>296</v>
      </c>
      <c r="AA1135" s="47" t="s">
        <v>296</v>
      </c>
      <c r="AB1135" s="47" t="s">
        <v>35</v>
      </c>
      <c r="AC1135" s="47" t="s">
        <v>296</v>
      </c>
      <c r="AD1135" s="49"/>
      <c r="AE1135" s="49"/>
      <c r="AF1135" s="49"/>
      <c r="AG1135" s="49"/>
      <c r="AH1135" s="49"/>
      <c r="AI1135" s="49"/>
      <c r="AJ1135" s="49"/>
      <c r="AK1135" s="49"/>
      <c r="AL1135" s="49"/>
      <c r="AM1135" s="49"/>
      <c r="AN1135" s="49"/>
      <c r="AO1135" s="51" t="str">
        <f t="shared" si="54"/>
        <v/>
      </c>
      <c r="AP1135" s="51" t="str">
        <f t="shared" si="55"/>
        <v/>
      </c>
      <c r="AQ1135" s="49"/>
      <c r="AR1135" s="49"/>
      <c r="AS1135" s="49" t="str">
        <f t="shared" si="56"/>
        <v/>
      </c>
      <c r="AT1135" s="49" t="str">
        <f t="shared" si="57"/>
        <v/>
      </c>
      <c r="AU1135" s="49"/>
      <c r="AV1135" s="49"/>
    </row>
    <row r="1136" spans="1:48" ht="18" customHeight="1">
      <c r="A1136" s="44">
        <v>1134</v>
      </c>
      <c r="B1136" s="52" t="s">
        <v>3804</v>
      </c>
      <c r="C1136" s="52" t="s">
        <v>3805</v>
      </c>
      <c r="D1136" s="45" t="s">
        <v>3822</v>
      </c>
      <c r="E1136" s="44" t="s">
        <v>116</v>
      </c>
      <c r="F1136" s="44" t="s">
        <v>3823</v>
      </c>
      <c r="G1136" s="44"/>
      <c r="H1136" s="44"/>
      <c r="I1136" s="44"/>
      <c r="J1136" s="47" t="s">
        <v>35</v>
      </c>
      <c r="K1136" s="47"/>
      <c r="L1136" s="47"/>
      <c r="M1136" s="47"/>
      <c r="N1136" s="47"/>
      <c r="O1136" s="44"/>
      <c r="P1136" s="44"/>
      <c r="Q1136" s="48"/>
      <c r="R1136" s="44"/>
      <c r="S1136" s="47" t="s">
        <v>296</v>
      </c>
      <c r="T1136" s="44"/>
      <c r="U1136" s="47" t="s">
        <v>296</v>
      </c>
      <c r="V1136" s="47" t="s">
        <v>296</v>
      </c>
      <c r="W1136" s="47" t="s">
        <v>296</v>
      </c>
      <c r="X1136" s="47" t="s">
        <v>296</v>
      </c>
      <c r="Y1136" s="47"/>
      <c r="Z1136" s="47" t="s">
        <v>296</v>
      </c>
      <c r="AA1136" s="47" t="s">
        <v>296</v>
      </c>
      <c r="AB1136" s="47" t="s">
        <v>35</v>
      </c>
      <c r="AC1136" s="47" t="s">
        <v>296</v>
      </c>
      <c r="AD1136" s="49"/>
      <c r="AE1136" s="49"/>
      <c r="AF1136" s="49"/>
      <c r="AG1136" s="49"/>
      <c r="AH1136" s="49"/>
      <c r="AI1136" s="49"/>
      <c r="AJ1136" s="49"/>
      <c r="AK1136" s="49"/>
      <c r="AL1136" s="49"/>
      <c r="AM1136" s="49"/>
      <c r="AN1136" s="49"/>
      <c r="AO1136" s="51" t="str">
        <f t="shared" si="54"/>
        <v/>
      </c>
      <c r="AP1136" s="51" t="str">
        <f t="shared" si="55"/>
        <v/>
      </c>
      <c r="AQ1136" s="49"/>
      <c r="AR1136" s="49"/>
      <c r="AS1136" s="49" t="str">
        <f t="shared" si="56"/>
        <v/>
      </c>
      <c r="AT1136" s="49" t="str">
        <f t="shared" si="57"/>
        <v/>
      </c>
      <c r="AU1136" s="49"/>
      <c r="AV1136" s="49"/>
    </row>
    <row r="1137" spans="1:48" ht="18" customHeight="1">
      <c r="A1137" s="44">
        <v>1135</v>
      </c>
      <c r="B1137" s="52" t="s">
        <v>3804</v>
      </c>
      <c r="C1137" s="52" t="s">
        <v>3805</v>
      </c>
      <c r="D1137" s="52" t="s">
        <v>3822</v>
      </c>
      <c r="E1137" s="44" t="s">
        <v>116</v>
      </c>
      <c r="F1137" s="44" t="s">
        <v>3824</v>
      </c>
      <c r="G1137" s="44"/>
      <c r="H1137" s="44"/>
      <c r="I1137" s="44"/>
      <c r="J1137" s="47" t="s">
        <v>35</v>
      </c>
      <c r="K1137" s="47"/>
      <c r="L1137" s="47"/>
      <c r="M1137" s="47"/>
      <c r="N1137" s="47"/>
      <c r="O1137" s="44"/>
      <c r="P1137" s="44"/>
      <c r="Q1137" s="48"/>
      <c r="R1137" s="44"/>
      <c r="S1137" s="47" t="s">
        <v>296</v>
      </c>
      <c r="T1137" s="44"/>
      <c r="U1137" s="47" t="s">
        <v>296</v>
      </c>
      <c r="V1137" s="47" t="s">
        <v>296</v>
      </c>
      <c r="W1137" s="47" t="s">
        <v>296</v>
      </c>
      <c r="X1137" s="47" t="s">
        <v>296</v>
      </c>
      <c r="Y1137" s="47"/>
      <c r="Z1137" s="47" t="s">
        <v>296</v>
      </c>
      <c r="AA1137" s="47" t="s">
        <v>296</v>
      </c>
      <c r="AB1137" s="47" t="s">
        <v>35</v>
      </c>
      <c r="AC1137" s="47" t="s">
        <v>296</v>
      </c>
      <c r="AD1137" s="49"/>
      <c r="AE1137" s="49"/>
      <c r="AF1137" s="49"/>
      <c r="AG1137" s="49"/>
      <c r="AH1137" s="49"/>
      <c r="AI1137" s="49"/>
      <c r="AJ1137" s="49"/>
      <c r="AK1137" s="49"/>
      <c r="AL1137" s="49"/>
      <c r="AM1137" s="49"/>
      <c r="AN1137" s="49"/>
      <c r="AO1137" s="51" t="str">
        <f t="shared" si="54"/>
        <v/>
      </c>
      <c r="AP1137" s="51" t="str">
        <f t="shared" si="55"/>
        <v/>
      </c>
      <c r="AQ1137" s="49"/>
      <c r="AR1137" s="49"/>
      <c r="AS1137" s="49" t="str">
        <f t="shared" si="56"/>
        <v/>
      </c>
      <c r="AT1137" s="49" t="str">
        <f t="shared" si="57"/>
        <v/>
      </c>
      <c r="AU1137" s="49"/>
      <c r="AV1137" s="49"/>
    </row>
    <row r="1138" spans="1:48" ht="18" customHeight="1">
      <c r="A1138" s="44">
        <v>1136</v>
      </c>
      <c r="B1138" s="52" t="s">
        <v>3804</v>
      </c>
      <c r="C1138" s="52" t="s">
        <v>3805</v>
      </c>
      <c r="D1138" s="69" t="s">
        <v>3822</v>
      </c>
      <c r="E1138" s="44" t="s">
        <v>116</v>
      </c>
      <c r="F1138" s="44" t="s">
        <v>3825</v>
      </c>
      <c r="G1138" s="44"/>
      <c r="H1138" s="44"/>
      <c r="I1138" s="44"/>
      <c r="J1138" s="47" t="s">
        <v>35</v>
      </c>
      <c r="K1138" s="47"/>
      <c r="L1138" s="47"/>
      <c r="M1138" s="47"/>
      <c r="N1138" s="47"/>
      <c r="O1138" s="44"/>
      <c r="P1138" s="44"/>
      <c r="Q1138" s="48"/>
      <c r="R1138" s="44"/>
      <c r="S1138" s="47" t="s">
        <v>296</v>
      </c>
      <c r="T1138" s="44"/>
      <c r="U1138" s="47" t="s">
        <v>296</v>
      </c>
      <c r="V1138" s="47" t="s">
        <v>296</v>
      </c>
      <c r="W1138" s="47" t="s">
        <v>296</v>
      </c>
      <c r="X1138" s="47" t="s">
        <v>296</v>
      </c>
      <c r="Y1138" s="47"/>
      <c r="Z1138" s="47" t="s">
        <v>296</v>
      </c>
      <c r="AA1138" s="47" t="s">
        <v>296</v>
      </c>
      <c r="AB1138" s="47" t="s">
        <v>35</v>
      </c>
      <c r="AC1138" s="47" t="s">
        <v>296</v>
      </c>
      <c r="AD1138" s="49"/>
      <c r="AE1138" s="49"/>
      <c r="AF1138" s="49"/>
      <c r="AG1138" s="49"/>
      <c r="AH1138" s="49"/>
      <c r="AI1138" s="49"/>
      <c r="AJ1138" s="49"/>
      <c r="AK1138" s="49"/>
      <c r="AL1138" s="49"/>
      <c r="AM1138" s="49"/>
      <c r="AN1138" s="49"/>
      <c r="AO1138" s="51" t="str">
        <f t="shared" si="54"/>
        <v/>
      </c>
      <c r="AP1138" s="51" t="str">
        <f t="shared" si="55"/>
        <v/>
      </c>
      <c r="AQ1138" s="49"/>
      <c r="AR1138" s="49"/>
      <c r="AS1138" s="49" t="str">
        <f t="shared" si="56"/>
        <v/>
      </c>
      <c r="AT1138" s="49" t="str">
        <f t="shared" si="57"/>
        <v/>
      </c>
      <c r="AU1138" s="49"/>
      <c r="AV1138" s="49"/>
    </row>
    <row r="1139" spans="1:48" ht="18" customHeight="1">
      <c r="A1139" s="44">
        <v>1137</v>
      </c>
      <c r="B1139" s="52" t="s">
        <v>3804</v>
      </c>
      <c r="C1139" s="52" t="s">
        <v>3805</v>
      </c>
      <c r="D1139" s="45" t="s">
        <v>3826</v>
      </c>
      <c r="E1139" s="44" t="s">
        <v>116</v>
      </c>
      <c r="F1139" s="44" t="s">
        <v>3827</v>
      </c>
      <c r="G1139" s="44"/>
      <c r="H1139" s="44"/>
      <c r="I1139" s="44"/>
      <c r="J1139" s="47" t="s">
        <v>35</v>
      </c>
      <c r="K1139" s="47"/>
      <c r="L1139" s="47"/>
      <c r="M1139" s="47"/>
      <c r="N1139" s="47"/>
      <c r="O1139" s="44"/>
      <c r="P1139" s="44"/>
      <c r="Q1139" s="48"/>
      <c r="R1139" s="44"/>
      <c r="S1139" s="47" t="s">
        <v>296</v>
      </c>
      <c r="T1139" s="44"/>
      <c r="U1139" s="47" t="s">
        <v>296</v>
      </c>
      <c r="V1139" s="47" t="s">
        <v>296</v>
      </c>
      <c r="W1139" s="47" t="s">
        <v>296</v>
      </c>
      <c r="X1139" s="47" t="s">
        <v>296</v>
      </c>
      <c r="Y1139" s="47"/>
      <c r="Z1139" s="47" t="s">
        <v>296</v>
      </c>
      <c r="AA1139" s="47" t="s">
        <v>296</v>
      </c>
      <c r="AB1139" s="47" t="s">
        <v>35</v>
      </c>
      <c r="AC1139" s="47" t="s">
        <v>296</v>
      </c>
      <c r="AD1139" s="49"/>
      <c r="AE1139" s="49"/>
      <c r="AF1139" s="49"/>
      <c r="AG1139" s="49"/>
      <c r="AH1139" s="49"/>
      <c r="AI1139" s="49"/>
      <c r="AJ1139" s="49"/>
      <c r="AK1139" s="49"/>
      <c r="AL1139" s="49"/>
      <c r="AM1139" s="49"/>
      <c r="AN1139" s="49"/>
      <c r="AO1139" s="51" t="str">
        <f t="shared" si="54"/>
        <v/>
      </c>
      <c r="AP1139" s="51" t="str">
        <f t="shared" si="55"/>
        <v/>
      </c>
      <c r="AQ1139" s="49"/>
      <c r="AR1139" s="49"/>
      <c r="AS1139" s="49" t="str">
        <f t="shared" si="56"/>
        <v/>
      </c>
      <c r="AT1139" s="49" t="str">
        <f t="shared" si="57"/>
        <v/>
      </c>
      <c r="AU1139" s="49"/>
      <c r="AV1139" s="49"/>
    </row>
    <row r="1140" spans="1:48" ht="18" customHeight="1">
      <c r="A1140" s="44">
        <v>1138</v>
      </c>
      <c r="B1140" s="52" t="s">
        <v>3804</v>
      </c>
      <c r="C1140" s="52" t="s">
        <v>3805</v>
      </c>
      <c r="D1140" s="52" t="s">
        <v>3826</v>
      </c>
      <c r="E1140" s="44" t="s">
        <v>116</v>
      </c>
      <c r="F1140" s="44" t="s">
        <v>3828</v>
      </c>
      <c r="G1140" s="44"/>
      <c r="H1140" s="44"/>
      <c r="I1140" s="44"/>
      <c r="J1140" s="47" t="s">
        <v>35</v>
      </c>
      <c r="K1140" s="47"/>
      <c r="L1140" s="47"/>
      <c r="M1140" s="47"/>
      <c r="N1140" s="47"/>
      <c r="O1140" s="44"/>
      <c r="P1140" s="44"/>
      <c r="Q1140" s="48"/>
      <c r="R1140" s="44"/>
      <c r="S1140" s="47" t="s">
        <v>296</v>
      </c>
      <c r="T1140" s="44"/>
      <c r="U1140" s="47" t="s">
        <v>296</v>
      </c>
      <c r="V1140" s="47" t="s">
        <v>296</v>
      </c>
      <c r="W1140" s="47" t="s">
        <v>296</v>
      </c>
      <c r="X1140" s="47" t="s">
        <v>296</v>
      </c>
      <c r="Y1140" s="47"/>
      <c r="Z1140" s="47" t="s">
        <v>296</v>
      </c>
      <c r="AA1140" s="47" t="s">
        <v>296</v>
      </c>
      <c r="AB1140" s="47" t="s">
        <v>35</v>
      </c>
      <c r="AC1140" s="47" t="s">
        <v>296</v>
      </c>
      <c r="AD1140" s="49"/>
      <c r="AE1140" s="49"/>
      <c r="AF1140" s="49"/>
      <c r="AG1140" s="49"/>
      <c r="AH1140" s="49"/>
      <c r="AI1140" s="49"/>
      <c r="AJ1140" s="49"/>
      <c r="AK1140" s="49"/>
      <c r="AL1140" s="49"/>
      <c r="AM1140" s="49"/>
      <c r="AN1140" s="49"/>
      <c r="AO1140" s="51" t="str">
        <f t="shared" si="54"/>
        <v/>
      </c>
      <c r="AP1140" s="51" t="str">
        <f t="shared" si="55"/>
        <v/>
      </c>
      <c r="AQ1140" s="49"/>
      <c r="AR1140" s="49"/>
      <c r="AS1140" s="49" t="str">
        <f t="shared" si="56"/>
        <v/>
      </c>
      <c r="AT1140" s="49" t="str">
        <f t="shared" si="57"/>
        <v/>
      </c>
      <c r="AU1140" s="49"/>
      <c r="AV1140" s="49"/>
    </row>
    <row r="1141" spans="1:48" ht="18" customHeight="1">
      <c r="A1141" s="44">
        <v>1139</v>
      </c>
      <c r="B1141" s="52" t="s">
        <v>3804</v>
      </c>
      <c r="C1141" s="52" t="s">
        <v>3805</v>
      </c>
      <c r="D1141" s="52" t="s">
        <v>3826</v>
      </c>
      <c r="E1141" s="44" t="s">
        <v>116</v>
      </c>
      <c r="F1141" s="44" t="s">
        <v>132</v>
      </c>
      <c r="G1141" s="44"/>
      <c r="H1141" s="44"/>
      <c r="I1141" s="44"/>
      <c r="J1141" s="47" t="s">
        <v>35</v>
      </c>
      <c r="K1141" s="47"/>
      <c r="L1141" s="47"/>
      <c r="M1141" s="47"/>
      <c r="N1141" s="47"/>
      <c r="O1141" s="44"/>
      <c r="P1141" s="44"/>
      <c r="Q1141" s="48"/>
      <c r="R1141" s="44"/>
      <c r="S1141" s="47" t="s">
        <v>296</v>
      </c>
      <c r="T1141" s="44"/>
      <c r="U1141" s="47" t="s">
        <v>296</v>
      </c>
      <c r="V1141" s="47" t="s">
        <v>296</v>
      </c>
      <c r="W1141" s="47" t="s">
        <v>296</v>
      </c>
      <c r="X1141" s="47" t="s">
        <v>296</v>
      </c>
      <c r="Y1141" s="47"/>
      <c r="Z1141" s="47" t="s">
        <v>296</v>
      </c>
      <c r="AA1141" s="47" t="s">
        <v>296</v>
      </c>
      <c r="AB1141" s="47" t="s">
        <v>35</v>
      </c>
      <c r="AC1141" s="47" t="s">
        <v>296</v>
      </c>
      <c r="AD1141" s="49"/>
      <c r="AE1141" s="49"/>
      <c r="AF1141" s="49"/>
      <c r="AG1141" s="49"/>
      <c r="AH1141" s="49"/>
      <c r="AI1141" s="49"/>
      <c r="AJ1141" s="49"/>
      <c r="AK1141" s="49"/>
      <c r="AL1141" s="49"/>
      <c r="AM1141" s="49"/>
      <c r="AN1141" s="49"/>
      <c r="AO1141" s="51" t="str">
        <f t="shared" si="54"/>
        <v/>
      </c>
      <c r="AP1141" s="51" t="str">
        <f t="shared" si="55"/>
        <v/>
      </c>
      <c r="AQ1141" s="49"/>
      <c r="AR1141" s="49"/>
      <c r="AS1141" s="49" t="str">
        <f t="shared" si="56"/>
        <v/>
      </c>
      <c r="AT1141" s="49" t="str">
        <f t="shared" si="57"/>
        <v/>
      </c>
      <c r="AU1141" s="49"/>
      <c r="AV1141" s="49"/>
    </row>
    <row r="1142" spans="1:48" ht="18" customHeight="1">
      <c r="A1142" s="44">
        <v>1140</v>
      </c>
      <c r="B1142" s="52" t="s">
        <v>3804</v>
      </c>
      <c r="C1142" s="52" t="s">
        <v>3805</v>
      </c>
      <c r="D1142" s="52" t="s">
        <v>3826</v>
      </c>
      <c r="E1142" s="44" t="s">
        <v>116</v>
      </c>
      <c r="F1142" s="44" t="s">
        <v>3829</v>
      </c>
      <c r="G1142" s="44"/>
      <c r="H1142" s="44"/>
      <c r="I1142" s="44"/>
      <c r="J1142" s="47" t="s">
        <v>35</v>
      </c>
      <c r="K1142" s="47"/>
      <c r="L1142" s="47"/>
      <c r="M1142" s="47"/>
      <c r="N1142" s="47"/>
      <c r="O1142" s="44"/>
      <c r="P1142" s="44"/>
      <c r="Q1142" s="48"/>
      <c r="R1142" s="44"/>
      <c r="S1142" s="47" t="s">
        <v>296</v>
      </c>
      <c r="T1142" s="44"/>
      <c r="U1142" s="47" t="s">
        <v>296</v>
      </c>
      <c r="V1142" s="47" t="s">
        <v>296</v>
      </c>
      <c r="W1142" s="47" t="s">
        <v>296</v>
      </c>
      <c r="X1142" s="47" t="s">
        <v>296</v>
      </c>
      <c r="Y1142" s="47"/>
      <c r="Z1142" s="47" t="s">
        <v>296</v>
      </c>
      <c r="AA1142" s="47" t="s">
        <v>296</v>
      </c>
      <c r="AB1142" s="47" t="s">
        <v>35</v>
      </c>
      <c r="AC1142" s="47" t="s">
        <v>296</v>
      </c>
      <c r="AD1142" s="49"/>
      <c r="AE1142" s="49"/>
      <c r="AF1142" s="49"/>
      <c r="AG1142" s="49"/>
      <c r="AH1142" s="49"/>
      <c r="AI1142" s="49"/>
      <c r="AJ1142" s="49"/>
      <c r="AK1142" s="49"/>
      <c r="AL1142" s="49"/>
      <c r="AM1142" s="49"/>
      <c r="AN1142" s="49"/>
      <c r="AO1142" s="51" t="str">
        <f t="shared" si="54"/>
        <v/>
      </c>
      <c r="AP1142" s="51" t="str">
        <f t="shared" si="55"/>
        <v/>
      </c>
      <c r="AQ1142" s="49"/>
      <c r="AR1142" s="49"/>
      <c r="AS1142" s="49" t="str">
        <f t="shared" si="56"/>
        <v/>
      </c>
      <c r="AT1142" s="49" t="str">
        <f t="shared" si="57"/>
        <v/>
      </c>
      <c r="AU1142" s="49"/>
      <c r="AV1142" s="49"/>
    </row>
    <row r="1143" spans="1:48" ht="18" customHeight="1">
      <c r="A1143" s="44">
        <v>1141</v>
      </c>
      <c r="B1143" s="52" t="s">
        <v>3804</v>
      </c>
      <c r="C1143" s="52" t="s">
        <v>3805</v>
      </c>
      <c r="D1143" s="52" t="s">
        <v>3826</v>
      </c>
      <c r="E1143" s="44" t="s">
        <v>116</v>
      </c>
      <c r="F1143" s="44" t="s">
        <v>3830</v>
      </c>
      <c r="G1143" s="44"/>
      <c r="H1143" s="44"/>
      <c r="I1143" s="44"/>
      <c r="J1143" s="47" t="s">
        <v>35</v>
      </c>
      <c r="K1143" s="47"/>
      <c r="L1143" s="47"/>
      <c r="M1143" s="47"/>
      <c r="N1143" s="47"/>
      <c r="O1143" s="44"/>
      <c r="P1143" s="44"/>
      <c r="Q1143" s="48"/>
      <c r="R1143" s="44"/>
      <c r="S1143" s="47" t="s">
        <v>296</v>
      </c>
      <c r="T1143" s="44"/>
      <c r="U1143" s="47" t="s">
        <v>296</v>
      </c>
      <c r="V1143" s="47" t="s">
        <v>296</v>
      </c>
      <c r="W1143" s="47" t="s">
        <v>296</v>
      </c>
      <c r="X1143" s="47" t="s">
        <v>296</v>
      </c>
      <c r="Y1143" s="47"/>
      <c r="Z1143" s="47" t="s">
        <v>296</v>
      </c>
      <c r="AA1143" s="47" t="s">
        <v>296</v>
      </c>
      <c r="AB1143" s="47" t="s">
        <v>35</v>
      </c>
      <c r="AC1143" s="47" t="s">
        <v>296</v>
      </c>
      <c r="AD1143" s="49"/>
      <c r="AE1143" s="49"/>
      <c r="AF1143" s="49"/>
      <c r="AG1143" s="49"/>
      <c r="AH1143" s="49"/>
      <c r="AI1143" s="49"/>
      <c r="AJ1143" s="49"/>
      <c r="AK1143" s="49"/>
      <c r="AL1143" s="49"/>
      <c r="AM1143" s="49"/>
      <c r="AN1143" s="49"/>
      <c r="AO1143" s="51" t="str">
        <f t="shared" si="54"/>
        <v/>
      </c>
      <c r="AP1143" s="51" t="str">
        <f t="shared" si="55"/>
        <v/>
      </c>
      <c r="AQ1143" s="49"/>
      <c r="AR1143" s="49"/>
      <c r="AS1143" s="49" t="str">
        <f t="shared" si="56"/>
        <v/>
      </c>
      <c r="AT1143" s="49" t="str">
        <f t="shared" si="57"/>
        <v/>
      </c>
      <c r="AU1143" s="49"/>
      <c r="AV1143" s="49"/>
    </row>
    <row r="1144" spans="1:48" ht="18" customHeight="1">
      <c r="A1144" s="44">
        <v>1142</v>
      </c>
      <c r="B1144" s="52" t="s">
        <v>3804</v>
      </c>
      <c r="C1144" s="52" t="s">
        <v>3805</v>
      </c>
      <c r="D1144" s="52" t="s">
        <v>3826</v>
      </c>
      <c r="E1144" s="44" t="s">
        <v>116</v>
      </c>
      <c r="F1144" s="44" t="s">
        <v>3831</v>
      </c>
      <c r="G1144" s="44"/>
      <c r="H1144" s="44"/>
      <c r="I1144" s="44"/>
      <c r="J1144" s="47" t="s">
        <v>35</v>
      </c>
      <c r="K1144" s="47"/>
      <c r="L1144" s="47"/>
      <c r="M1144" s="47"/>
      <c r="N1144" s="47"/>
      <c r="O1144" s="44"/>
      <c r="P1144" s="44"/>
      <c r="Q1144" s="48"/>
      <c r="R1144" s="44"/>
      <c r="S1144" s="47" t="s">
        <v>296</v>
      </c>
      <c r="T1144" s="44"/>
      <c r="U1144" s="47" t="s">
        <v>296</v>
      </c>
      <c r="V1144" s="47" t="s">
        <v>296</v>
      </c>
      <c r="W1144" s="47" t="s">
        <v>296</v>
      </c>
      <c r="X1144" s="47" t="s">
        <v>296</v>
      </c>
      <c r="Y1144" s="47"/>
      <c r="Z1144" s="47" t="s">
        <v>296</v>
      </c>
      <c r="AA1144" s="47" t="s">
        <v>296</v>
      </c>
      <c r="AB1144" s="47" t="s">
        <v>35</v>
      </c>
      <c r="AC1144" s="47" t="s">
        <v>296</v>
      </c>
      <c r="AD1144" s="49"/>
      <c r="AE1144" s="49"/>
      <c r="AF1144" s="49"/>
      <c r="AG1144" s="49"/>
      <c r="AH1144" s="49"/>
      <c r="AI1144" s="49"/>
      <c r="AJ1144" s="49"/>
      <c r="AK1144" s="49"/>
      <c r="AL1144" s="49"/>
      <c r="AM1144" s="49"/>
      <c r="AN1144" s="49"/>
      <c r="AO1144" s="51" t="str">
        <f t="shared" si="54"/>
        <v/>
      </c>
      <c r="AP1144" s="51" t="str">
        <f t="shared" si="55"/>
        <v/>
      </c>
      <c r="AQ1144" s="49"/>
      <c r="AR1144" s="49"/>
      <c r="AS1144" s="49" t="str">
        <f t="shared" si="56"/>
        <v/>
      </c>
      <c r="AT1144" s="49" t="str">
        <f t="shared" si="57"/>
        <v/>
      </c>
      <c r="AU1144" s="49"/>
      <c r="AV1144" s="49"/>
    </row>
    <row r="1145" spans="1:48" ht="18" customHeight="1">
      <c r="A1145" s="44">
        <v>1143</v>
      </c>
      <c r="B1145" s="52" t="s">
        <v>3804</v>
      </c>
      <c r="C1145" s="52" t="s">
        <v>3805</v>
      </c>
      <c r="D1145" s="52" t="s">
        <v>3826</v>
      </c>
      <c r="E1145" s="44" t="s">
        <v>116</v>
      </c>
      <c r="F1145" s="44" t="s">
        <v>3832</v>
      </c>
      <c r="G1145" s="44"/>
      <c r="H1145" s="44"/>
      <c r="I1145" s="44"/>
      <c r="J1145" s="47" t="s">
        <v>35</v>
      </c>
      <c r="K1145" s="47"/>
      <c r="L1145" s="47"/>
      <c r="M1145" s="47"/>
      <c r="N1145" s="47"/>
      <c r="O1145" s="44"/>
      <c r="P1145" s="44"/>
      <c r="Q1145" s="48"/>
      <c r="R1145" s="44"/>
      <c r="S1145" s="47" t="s">
        <v>296</v>
      </c>
      <c r="T1145" s="44"/>
      <c r="U1145" s="47" t="s">
        <v>296</v>
      </c>
      <c r="V1145" s="47" t="s">
        <v>296</v>
      </c>
      <c r="W1145" s="47" t="s">
        <v>296</v>
      </c>
      <c r="X1145" s="47" t="s">
        <v>296</v>
      </c>
      <c r="Y1145" s="47"/>
      <c r="Z1145" s="47" t="s">
        <v>296</v>
      </c>
      <c r="AA1145" s="47" t="s">
        <v>296</v>
      </c>
      <c r="AB1145" s="47" t="s">
        <v>35</v>
      </c>
      <c r="AC1145" s="47" t="s">
        <v>296</v>
      </c>
      <c r="AD1145" s="49"/>
      <c r="AE1145" s="49"/>
      <c r="AF1145" s="49"/>
      <c r="AG1145" s="49"/>
      <c r="AH1145" s="49"/>
      <c r="AI1145" s="49"/>
      <c r="AJ1145" s="49"/>
      <c r="AK1145" s="49"/>
      <c r="AL1145" s="49"/>
      <c r="AM1145" s="49"/>
      <c r="AN1145" s="49"/>
      <c r="AO1145" s="51" t="str">
        <f t="shared" si="54"/>
        <v/>
      </c>
      <c r="AP1145" s="51" t="str">
        <f t="shared" si="55"/>
        <v/>
      </c>
      <c r="AQ1145" s="49"/>
      <c r="AR1145" s="49"/>
      <c r="AS1145" s="49" t="str">
        <f t="shared" si="56"/>
        <v/>
      </c>
      <c r="AT1145" s="49" t="str">
        <f t="shared" si="57"/>
        <v/>
      </c>
      <c r="AU1145" s="49"/>
      <c r="AV1145" s="49"/>
    </row>
    <row r="1146" spans="1:48" ht="18" customHeight="1">
      <c r="A1146" s="44">
        <v>1144</v>
      </c>
      <c r="B1146" s="52" t="s">
        <v>3804</v>
      </c>
      <c r="C1146" s="52" t="s">
        <v>3805</v>
      </c>
      <c r="D1146" s="52" t="s">
        <v>3826</v>
      </c>
      <c r="E1146" s="44" t="s">
        <v>116</v>
      </c>
      <c r="F1146" s="44" t="s">
        <v>3833</v>
      </c>
      <c r="G1146" s="44"/>
      <c r="H1146" s="44"/>
      <c r="I1146" s="44"/>
      <c r="J1146" s="47" t="s">
        <v>35</v>
      </c>
      <c r="K1146" s="47"/>
      <c r="L1146" s="47"/>
      <c r="M1146" s="47"/>
      <c r="N1146" s="47"/>
      <c r="O1146" s="44"/>
      <c r="P1146" s="44"/>
      <c r="Q1146" s="48"/>
      <c r="R1146" s="44"/>
      <c r="S1146" s="47" t="s">
        <v>296</v>
      </c>
      <c r="T1146" s="44"/>
      <c r="U1146" s="47" t="s">
        <v>296</v>
      </c>
      <c r="V1146" s="47" t="s">
        <v>296</v>
      </c>
      <c r="W1146" s="47" t="s">
        <v>296</v>
      </c>
      <c r="X1146" s="47" t="s">
        <v>296</v>
      </c>
      <c r="Y1146" s="47"/>
      <c r="Z1146" s="47" t="s">
        <v>296</v>
      </c>
      <c r="AA1146" s="47" t="s">
        <v>296</v>
      </c>
      <c r="AB1146" s="47" t="s">
        <v>35</v>
      </c>
      <c r="AC1146" s="47" t="s">
        <v>296</v>
      </c>
      <c r="AD1146" s="49"/>
      <c r="AE1146" s="49"/>
      <c r="AF1146" s="49"/>
      <c r="AG1146" s="49"/>
      <c r="AH1146" s="49"/>
      <c r="AI1146" s="49"/>
      <c r="AJ1146" s="49"/>
      <c r="AK1146" s="49"/>
      <c r="AL1146" s="49"/>
      <c r="AM1146" s="49"/>
      <c r="AN1146" s="49"/>
      <c r="AO1146" s="51" t="str">
        <f t="shared" si="54"/>
        <v/>
      </c>
      <c r="AP1146" s="51" t="str">
        <f t="shared" si="55"/>
        <v/>
      </c>
      <c r="AQ1146" s="49"/>
      <c r="AR1146" s="49"/>
      <c r="AS1146" s="49" t="str">
        <f t="shared" si="56"/>
        <v/>
      </c>
      <c r="AT1146" s="49" t="str">
        <f t="shared" si="57"/>
        <v/>
      </c>
      <c r="AU1146" s="49"/>
      <c r="AV1146" s="49"/>
    </row>
    <row r="1147" spans="1:48" ht="18" customHeight="1">
      <c r="A1147" s="44">
        <v>1145</v>
      </c>
      <c r="B1147" s="52" t="s">
        <v>3804</v>
      </c>
      <c r="C1147" s="52" t="s">
        <v>3805</v>
      </c>
      <c r="D1147" s="52" t="s">
        <v>3826</v>
      </c>
      <c r="E1147" s="44" t="s">
        <v>116</v>
      </c>
      <c r="F1147" s="44" t="s">
        <v>3819</v>
      </c>
      <c r="G1147" s="44"/>
      <c r="H1147" s="44"/>
      <c r="I1147" s="44"/>
      <c r="J1147" s="47" t="s">
        <v>35</v>
      </c>
      <c r="K1147" s="47"/>
      <c r="L1147" s="47"/>
      <c r="M1147" s="47"/>
      <c r="N1147" s="47"/>
      <c r="O1147" s="44"/>
      <c r="P1147" s="44"/>
      <c r="Q1147" s="48"/>
      <c r="R1147" s="44"/>
      <c r="S1147" s="47" t="s">
        <v>296</v>
      </c>
      <c r="T1147" s="44"/>
      <c r="U1147" s="47" t="s">
        <v>296</v>
      </c>
      <c r="V1147" s="47" t="s">
        <v>296</v>
      </c>
      <c r="W1147" s="47" t="s">
        <v>296</v>
      </c>
      <c r="X1147" s="47" t="s">
        <v>296</v>
      </c>
      <c r="Y1147" s="47"/>
      <c r="Z1147" s="47" t="s">
        <v>296</v>
      </c>
      <c r="AA1147" s="47" t="s">
        <v>296</v>
      </c>
      <c r="AB1147" s="47" t="s">
        <v>35</v>
      </c>
      <c r="AC1147" s="47" t="s">
        <v>296</v>
      </c>
      <c r="AD1147" s="49"/>
      <c r="AE1147" s="49"/>
      <c r="AF1147" s="49"/>
      <c r="AG1147" s="49"/>
      <c r="AH1147" s="49"/>
      <c r="AI1147" s="49"/>
      <c r="AJ1147" s="49"/>
      <c r="AK1147" s="49"/>
      <c r="AL1147" s="49"/>
      <c r="AM1147" s="49"/>
      <c r="AN1147" s="49"/>
      <c r="AO1147" s="51" t="str">
        <f t="shared" si="54"/>
        <v/>
      </c>
      <c r="AP1147" s="51" t="str">
        <f t="shared" si="55"/>
        <v/>
      </c>
      <c r="AQ1147" s="49"/>
      <c r="AR1147" s="49"/>
      <c r="AS1147" s="49" t="str">
        <f t="shared" si="56"/>
        <v/>
      </c>
      <c r="AT1147" s="49" t="str">
        <f t="shared" si="57"/>
        <v/>
      </c>
      <c r="AU1147" s="49"/>
      <c r="AV1147" s="49"/>
    </row>
    <row r="1148" spans="1:48" ht="18" customHeight="1">
      <c r="A1148" s="44">
        <v>1146</v>
      </c>
      <c r="B1148" s="52" t="s">
        <v>3804</v>
      </c>
      <c r="C1148" s="52" t="s">
        <v>3805</v>
      </c>
      <c r="D1148" s="52" t="s">
        <v>3826</v>
      </c>
      <c r="E1148" s="44" t="s">
        <v>116</v>
      </c>
      <c r="F1148" s="44" t="s">
        <v>3834</v>
      </c>
      <c r="G1148" s="44"/>
      <c r="H1148" s="44"/>
      <c r="I1148" s="44"/>
      <c r="J1148" s="47" t="s">
        <v>35</v>
      </c>
      <c r="K1148" s="47"/>
      <c r="L1148" s="47"/>
      <c r="M1148" s="47"/>
      <c r="N1148" s="47"/>
      <c r="O1148" s="44"/>
      <c r="P1148" s="44"/>
      <c r="Q1148" s="48"/>
      <c r="R1148" s="44"/>
      <c r="S1148" s="47" t="s">
        <v>296</v>
      </c>
      <c r="T1148" s="44"/>
      <c r="U1148" s="47" t="s">
        <v>296</v>
      </c>
      <c r="V1148" s="47" t="s">
        <v>296</v>
      </c>
      <c r="W1148" s="47" t="s">
        <v>296</v>
      </c>
      <c r="X1148" s="47" t="s">
        <v>296</v>
      </c>
      <c r="Y1148" s="47"/>
      <c r="Z1148" s="47" t="s">
        <v>296</v>
      </c>
      <c r="AA1148" s="47" t="s">
        <v>296</v>
      </c>
      <c r="AB1148" s="47" t="s">
        <v>35</v>
      </c>
      <c r="AC1148" s="47" t="s">
        <v>296</v>
      </c>
      <c r="AD1148" s="49"/>
      <c r="AE1148" s="49"/>
      <c r="AF1148" s="49"/>
      <c r="AG1148" s="49"/>
      <c r="AH1148" s="49"/>
      <c r="AI1148" s="49"/>
      <c r="AJ1148" s="49"/>
      <c r="AK1148" s="49"/>
      <c r="AL1148" s="49"/>
      <c r="AM1148" s="49"/>
      <c r="AN1148" s="49"/>
      <c r="AO1148" s="51" t="str">
        <f t="shared" si="54"/>
        <v/>
      </c>
      <c r="AP1148" s="51" t="str">
        <f t="shared" si="55"/>
        <v/>
      </c>
      <c r="AQ1148" s="49"/>
      <c r="AR1148" s="49"/>
      <c r="AS1148" s="49" t="str">
        <f t="shared" si="56"/>
        <v/>
      </c>
      <c r="AT1148" s="49" t="str">
        <f t="shared" si="57"/>
        <v/>
      </c>
      <c r="AU1148" s="49"/>
      <c r="AV1148" s="49"/>
    </row>
    <row r="1149" spans="1:48" ht="18" customHeight="1">
      <c r="A1149" s="44">
        <v>1147</v>
      </c>
      <c r="B1149" s="52" t="s">
        <v>3804</v>
      </c>
      <c r="C1149" s="52" t="s">
        <v>3805</v>
      </c>
      <c r="D1149" s="69" t="s">
        <v>3826</v>
      </c>
      <c r="E1149" s="44" t="s">
        <v>116</v>
      </c>
      <c r="F1149" s="44" t="s">
        <v>3835</v>
      </c>
      <c r="G1149" s="44"/>
      <c r="H1149" s="44"/>
      <c r="I1149" s="44"/>
      <c r="J1149" s="47" t="s">
        <v>35</v>
      </c>
      <c r="K1149" s="47"/>
      <c r="L1149" s="47"/>
      <c r="M1149" s="47"/>
      <c r="N1149" s="47"/>
      <c r="O1149" s="44"/>
      <c r="P1149" s="44"/>
      <c r="Q1149" s="48"/>
      <c r="R1149" s="44"/>
      <c r="S1149" s="47" t="s">
        <v>296</v>
      </c>
      <c r="T1149" s="44"/>
      <c r="U1149" s="47" t="s">
        <v>296</v>
      </c>
      <c r="V1149" s="47" t="s">
        <v>296</v>
      </c>
      <c r="W1149" s="47" t="s">
        <v>296</v>
      </c>
      <c r="X1149" s="47" t="s">
        <v>296</v>
      </c>
      <c r="Y1149" s="47"/>
      <c r="Z1149" s="47" t="s">
        <v>296</v>
      </c>
      <c r="AA1149" s="47" t="s">
        <v>296</v>
      </c>
      <c r="AB1149" s="47" t="s">
        <v>35</v>
      </c>
      <c r="AC1149" s="47" t="s">
        <v>296</v>
      </c>
      <c r="AD1149" s="49"/>
      <c r="AE1149" s="49"/>
      <c r="AF1149" s="49"/>
      <c r="AG1149" s="49"/>
      <c r="AH1149" s="49"/>
      <c r="AI1149" s="49"/>
      <c r="AJ1149" s="49"/>
      <c r="AK1149" s="49"/>
      <c r="AL1149" s="49"/>
      <c r="AM1149" s="49"/>
      <c r="AN1149" s="49"/>
      <c r="AO1149" s="51" t="str">
        <f t="shared" si="54"/>
        <v/>
      </c>
      <c r="AP1149" s="51" t="str">
        <f t="shared" si="55"/>
        <v/>
      </c>
      <c r="AQ1149" s="49"/>
      <c r="AR1149" s="49"/>
      <c r="AS1149" s="49" t="str">
        <f t="shared" si="56"/>
        <v/>
      </c>
      <c r="AT1149" s="49" t="str">
        <f t="shared" si="57"/>
        <v/>
      </c>
      <c r="AU1149" s="49"/>
      <c r="AV1149" s="49"/>
    </row>
    <row r="1150" spans="1:48" ht="18" customHeight="1">
      <c r="A1150" s="44">
        <v>1148</v>
      </c>
      <c r="B1150" s="52" t="s">
        <v>3804</v>
      </c>
      <c r="C1150" s="52" t="s">
        <v>3805</v>
      </c>
      <c r="D1150" s="45" t="s">
        <v>3836</v>
      </c>
      <c r="E1150" s="44" t="s">
        <v>116</v>
      </c>
      <c r="F1150" s="44" t="s">
        <v>3837</v>
      </c>
      <c r="G1150" s="44"/>
      <c r="H1150" s="44"/>
      <c r="I1150" s="44"/>
      <c r="J1150" s="47" t="s">
        <v>35</v>
      </c>
      <c r="K1150" s="47"/>
      <c r="L1150" s="47"/>
      <c r="M1150" s="47"/>
      <c r="N1150" s="47"/>
      <c r="O1150" s="44"/>
      <c r="P1150" s="44"/>
      <c r="Q1150" s="48"/>
      <c r="R1150" s="44"/>
      <c r="S1150" s="47" t="s">
        <v>296</v>
      </c>
      <c r="T1150" s="44"/>
      <c r="U1150" s="47" t="s">
        <v>296</v>
      </c>
      <c r="V1150" s="47" t="s">
        <v>296</v>
      </c>
      <c r="W1150" s="47" t="s">
        <v>296</v>
      </c>
      <c r="X1150" s="47" t="s">
        <v>296</v>
      </c>
      <c r="Y1150" s="47"/>
      <c r="Z1150" s="47" t="s">
        <v>296</v>
      </c>
      <c r="AA1150" s="47" t="s">
        <v>296</v>
      </c>
      <c r="AB1150" s="47" t="s">
        <v>35</v>
      </c>
      <c r="AC1150" s="47" t="s">
        <v>296</v>
      </c>
      <c r="AD1150" s="49"/>
      <c r="AE1150" s="49"/>
      <c r="AF1150" s="49"/>
      <c r="AG1150" s="49"/>
      <c r="AH1150" s="49"/>
      <c r="AI1150" s="49"/>
      <c r="AJ1150" s="49"/>
      <c r="AK1150" s="49"/>
      <c r="AL1150" s="49"/>
      <c r="AM1150" s="49"/>
      <c r="AN1150" s="49"/>
      <c r="AO1150" s="51" t="str">
        <f t="shared" si="54"/>
        <v/>
      </c>
      <c r="AP1150" s="51" t="str">
        <f t="shared" si="55"/>
        <v/>
      </c>
      <c r="AQ1150" s="49"/>
      <c r="AR1150" s="49"/>
      <c r="AS1150" s="49" t="str">
        <f t="shared" si="56"/>
        <v/>
      </c>
      <c r="AT1150" s="49" t="str">
        <f t="shared" si="57"/>
        <v/>
      </c>
      <c r="AU1150" s="49"/>
      <c r="AV1150" s="49"/>
    </row>
    <row r="1151" spans="1:48" ht="18" customHeight="1">
      <c r="A1151" s="44">
        <v>1149</v>
      </c>
      <c r="B1151" s="52" t="s">
        <v>3804</v>
      </c>
      <c r="C1151" s="52" t="s">
        <v>3805</v>
      </c>
      <c r="D1151" s="52" t="s">
        <v>3836</v>
      </c>
      <c r="E1151" s="44" t="s">
        <v>116</v>
      </c>
      <c r="F1151" s="44" t="s">
        <v>3838</v>
      </c>
      <c r="G1151" s="44"/>
      <c r="H1151" s="44"/>
      <c r="I1151" s="44"/>
      <c r="J1151" s="47" t="s">
        <v>35</v>
      </c>
      <c r="K1151" s="47"/>
      <c r="L1151" s="47"/>
      <c r="M1151" s="47"/>
      <c r="N1151" s="47"/>
      <c r="O1151" s="44"/>
      <c r="P1151" s="44"/>
      <c r="Q1151" s="48"/>
      <c r="R1151" s="44"/>
      <c r="S1151" s="47" t="s">
        <v>296</v>
      </c>
      <c r="T1151" s="44"/>
      <c r="U1151" s="47" t="s">
        <v>296</v>
      </c>
      <c r="V1151" s="47" t="s">
        <v>296</v>
      </c>
      <c r="W1151" s="47" t="s">
        <v>296</v>
      </c>
      <c r="X1151" s="47" t="s">
        <v>296</v>
      </c>
      <c r="Y1151" s="47"/>
      <c r="Z1151" s="47" t="s">
        <v>296</v>
      </c>
      <c r="AA1151" s="47" t="s">
        <v>296</v>
      </c>
      <c r="AB1151" s="47" t="s">
        <v>35</v>
      </c>
      <c r="AC1151" s="47" t="s">
        <v>296</v>
      </c>
      <c r="AD1151" s="49"/>
      <c r="AE1151" s="49"/>
      <c r="AF1151" s="49"/>
      <c r="AG1151" s="49"/>
      <c r="AH1151" s="49"/>
      <c r="AI1151" s="49"/>
      <c r="AJ1151" s="49"/>
      <c r="AK1151" s="49"/>
      <c r="AL1151" s="49"/>
      <c r="AM1151" s="49"/>
      <c r="AN1151" s="49"/>
      <c r="AO1151" s="51" t="str">
        <f t="shared" si="54"/>
        <v/>
      </c>
      <c r="AP1151" s="51" t="str">
        <f t="shared" si="55"/>
        <v/>
      </c>
      <c r="AQ1151" s="49"/>
      <c r="AR1151" s="49"/>
      <c r="AS1151" s="49" t="str">
        <f t="shared" si="56"/>
        <v/>
      </c>
      <c r="AT1151" s="49" t="str">
        <f t="shared" si="57"/>
        <v/>
      </c>
      <c r="AU1151" s="49"/>
      <c r="AV1151" s="49"/>
    </row>
    <row r="1152" spans="1:48" ht="18" customHeight="1">
      <c r="A1152" s="44">
        <v>1150</v>
      </c>
      <c r="B1152" s="52" t="s">
        <v>3804</v>
      </c>
      <c r="C1152" s="52" t="s">
        <v>3805</v>
      </c>
      <c r="D1152" s="52" t="s">
        <v>3836</v>
      </c>
      <c r="E1152" s="44" t="s">
        <v>116</v>
      </c>
      <c r="F1152" s="44" t="s">
        <v>3839</v>
      </c>
      <c r="G1152" s="44"/>
      <c r="H1152" s="44"/>
      <c r="I1152" s="44"/>
      <c r="J1152" s="47" t="s">
        <v>35</v>
      </c>
      <c r="K1152" s="47"/>
      <c r="L1152" s="47"/>
      <c r="M1152" s="47"/>
      <c r="N1152" s="47"/>
      <c r="O1152" s="44"/>
      <c r="P1152" s="44"/>
      <c r="Q1152" s="48"/>
      <c r="R1152" s="44"/>
      <c r="S1152" s="47" t="s">
        <v>296</v>
      </c>
      <c r="T1152" s="44"/>
      <c r="U1152" s="47" t="s">
        <v>296</v>
      </c>
      <c r="V1152" s="47" t="s">
        <v>296</v>
      </c>
      <c r="W1152" s="47" t="s">
        <v>296</v>
      </c>
      <c r="X1152" s="47" t="s">
        <v>296</v>
      </c>
      <c r="Y1152" s="47"/>
      <c r="Z1152" s="47" t="s">
        <v>296</v>
      </c>
      <c r="AA1152" s="47" t="s">
        <v>296</v>
      </c>
      <c r="AB1152" s="47" t="s">
        <v>35</v>
      </c>
      <c r="AC1152" s="47" t="s">
        <v>296</v>
      </c>
      <c r="AD1152" s="49"/>
      <c r="AE1152" s="49"/>
      <c r="AF1152" s="49"/>
      <c r="AG1152" s="49"/>
      <c r="AH1152" s="49"/>
      <c r="AI1152" s="49"/>
      <c r="AJ1152" s="49"/>
      <c r="AK1152" s="49"/>
      <c r="AL1152" s="49"/>
      <c r="AM1152" s="49"/>
      <c r="AN1152" s="49"/>
      <c r="AO1152" s="49"/>
      <c r="AP1152" s="49"/>
      <c r="AQ1152" s="49"/>
      <c r="AR1152" s="49"/>
      <c r="AS1152" s="49"/>
      <c r="AT1152" s="49"/>
      <c r="AU1152" s="49"/>
      <c r="AV1152" s="49"/>
    </row>
    <row r="1153" spans="1:48" ht="18" customHeight="1">
      <c r="A1153" s="44">
        <v>1151</v>
      </c>
      <c r="B1153" s="52" t="s">
        <v>3804</v>
      </c>
      <c r="C1153" s="52" t="s">
        <v>3805</v>
      </c>
      <c r="D1153" s="52" t="s">
        <v>3836</v>
      </c>
      <c r="E1153" s="44" t="s">
        <v>116</v>
      </c>
      <c r="F1153" s="44" t="s">
        <v>3840</v>
      </c>
      <c r="G1153" s="44"/>
      <c r="H1153" s="44"/>
      <c r="I1153" s="44"/>
      <c r="J1153" s="47" t="s">
        <v>35</v>
      </c>
      <c r="K1153" s="47"/>
      <c r="L1153" s="47"/>
      <c r="M1153" s="47"/>
      <c r="N1153" s="47"/>
      <c r="O1153" s="44"/>
      <c r="P1153" s="44"/>
      <c r="Q1153" s="48"/>
      <c r="R1153" s="44"/>
      <c r="S1153" s="47" t="s">
        <v>296</v>
      </c>
      <c r="T1153" s="44"/>
      <c r="U1153" s="47" t="s">
        <v>296</v>
      </c>
      <c r="V1153" s="47" t="s">
        <v>296</v>
      </c>
      <c r="W1153" s="47" t="s">
        <v>296</v>
      </c>
      <c r="X1153" s="47" t="s">
        <v>296</v>
      </c>
      <c r="Y1153" s="47"/>
      <c r="Z1153" s="47" t="s">
        <v>296</v>
      </c>
      <c r="AA1153" s="47" t="s">
        <v>296</v>
      </c>
      <c r="AB1153" s="47" t="s">
        <v>35</v>
      </c>
      <c r="AC1153" s="47" t="s">
        <v>296</v>
      </c>
      <c r="AD1153" s="49"/>
      <c r="AE1153" s="49"/>
      <c r="AF1153" s="49"/>
      <c r="AG1153" s="49"/>
      <c r="AH1153" s="49"/>
      <c r="AI1153" s="49"/>
      <c r="AJ1153" s="49"/>
      <c r="AK1153" s="49"/>
      <c r="AL1153" s="49"/>
      <c r="AM1153" s="49"/>
      <c r="AN1153" s="49"/>
      <c r="AO1153" s="49"/>
      <c r="AP1153" s="49"/>
      <c r="AQ1153" s="49"/>
      <c r="AR1153" s="49"/>
      <c r="AS1153" s="49"/>
      <c r="AT1153" s="49"/>
      <c r="AU1153" s="49"/>
      <c r="AV1153" s="49"/>
    </row>
    <row r="1154" spans="1:48" ht="18" customHeight="1">
      <c r="A1154" s="44">
        <v>1152</v>
      </c>
      <c r="B1154" s="52" t="s">
        <v>3804</v>
      </c>
      <c r="C1154" s="52" t="s">
        <v>3805</v>
      </c>
      <c r="D1154" s="52" t="s">
        <v>3836</v>
      </c>
      <c r="E1154" s="45" t="s">
        <v>116</v>
      </c>
      <c r="F1154" s="45" t="s">
        <v>3841</v>
      </c>
      <c r="G1154" s="44"/>
      <c r="H1154" s="44"/>
      <c r="I1154" s="44"/>
      <c r="J1154" s="47" t="s">
        <v>35</v>
      </c>
      <c r="K1154" s="47"/>
      <c r="L1154" s="47"/>
      <c r="M1154" s="47"/>
      <c r="N1154" s="47"/>
      <c r="O1154" s="44"/>
      <c r="P1154" s="44"/>
      <c r="Q1154" s="48"/>
      <c r="R1154" s="44"/>
      <c r="S1154" s="47" t="s">
        <v>296</v>
      </c>
      <c r="T1154" s="44"/>
      <c r="U1154" s="47" t="s">
        <v>296</v>
      </c>
      <c r="V1154" s="47" t="s">
        <v>296</v>
      </c>
      <c r="W1154" s="47" t="s">
        <v>296</v>
      </c>
      <c r="X1154" s="47" t="s">
        <v>296</v>
      </c>
      <c r="Y1154" s="47"/>
      <c r="Z1154" s="47" t="s">
        <v>296</v>
      </c>
      <c r="AA1154" s="47" t="s">
        <v>296</v>
      </c>
      <c r="AB1154" s="47" t="s">
        <v>35</v>
      </c>
      <c r="AC1154" s="47" t="s">
        <v>296</v>
      </c>
      <c r="AD1154" s="49"/>
      <c r="AE1154" s="49"/>
      <c r="AF1154" s="49"/>
      <c r="AG1154" s="49"/>
      <c r="AH1154" s="49"/>
      <c r="AI1154" s="49"/>
      <c r="AJ1154" s="49"/>
      <c r="AK1154" s="49"/>
      <c r="AL1154" s="49"/>
      <c r="AM1154" s="49"/>
      <c r="AN1154" s="49"/>
      <c r="AO1154" s="49"/>
      <c r="AP1154" s="49"/>
      <c r="AQ1154" s="49"/>
      <c r="AR1154" s="49"/>
      <c r="AS1154" s="49"/>
      <c r="AT1154" s="49"/>
      <c r="AU1154" s="49"/>
      <c r="AV1154" s="49"/>
    </row>
    <row r="1155" spans="1:48" ht="18" customHeight="1">
      <c r="A1155" s="44">
        <v>1153</v>
      </c>
      <c r="B1155" s="52" t="s">
        <v>3804</v>
      </c>
      <c r="C1155" s="45" t="s">
        <v>3842</v>
      </c>
      <c r="D1155" s="44" t="s">
        <v>116</v>
      </c>
      <c r="E1155" s="44" t="s">
        <v>116</v>
      </c>
      <c r="F1155" s="44" t="s">
        <v>3843</v>
      </c>
      <c r="G1155" s="44"/>
      <c r="H1155" s="44"/>
      <c r="I1155" s="44"/>
      <c r="J1155" s="47" t="s">
        <v>35</v>
      </c>
      <c r="K1155" s="47"/>
      <c r="L1155" s="47"/>
      <c r="M1155" s="47"/>
      <c r="N1155" s="47"/>
      <c r="O1155" s="44"/>
      <c r="P1155" s="44"/>
      <c r="Q1155" s="48"/>
      <c r="R1155" s="44"/>
      <c r="S1155" s="47" t="s">
        <v>296</v>
      </c>
      <c r="T1155" s="44"/>
      <c r="U1155" s="47" t="s">
        <v>296</v>
      </c>
      <c r="V1155" s="47" t="s">
        <v>296</v>
      </c>
      <c r="W1155" s="47" t="s">
        <v>296</v>
      </c>
      <c r="X1155" s="47" t="s">
        <v>296</v>
      </c>
      <c r="Y1155" s="47"/>
      <c r="Z1155" s="47" t="s">
        <v>296</v>
      </c>
      <c r="AA1155" s="47" t="s">
        <v>296</v>
      </c>
      <c r="AB1155" s="47" t="s">
        <v>35</v>
      </c>
      <c r="AC1155" s="47" t="s">
        <v>296</v>
      </c>
      <c r="AD1155" s="49"/>
      <c r="AE1155" s="49"/>
      <c r="AF1155" s="49"/>
      <c r="AG1155" s="49"/>
      <c r="AH1155" s="49"/>
      <c r="AI1155" s="49"/>
      <c r="AJ1155" s="49"/>
      <c r="AK1155" s="49"/>
      <c r="AL1155" s="49"/>
      <c r="AM1155" s="49"/>
      <c r="AN1155" s="49"/>
      <c r="AO1155" s="49"/>
      <c r="AP1155" s="49"/>
      <c r="AQ1155" s="49"/>
      <c r="AR1155" s="49"/>
      <c r="AS1155" s="49"/>
      <c r="AT1155" s="49"/>
      <c r="AU1155" s="49"/>
      <c r="AV1155" s="49"/>
    </row>
    <row r="1156" spans="1:48" ht="18" customHeight="1">
      <c r="A1156" s="44">
        <v>1154</v>
      </c>
      <c r="B1156" s="52" t="s">
        <v>3804</v>
      </c>
      <c r="C1156" s="52" t="s">
        <v>3842</v>
      </c>
      <c r="D1156" s="44" t="s">
        <v>116</v>
      </c>
      <c r="E1156" s="44" t="s">
        <v>116</v>
      </c>
      <c r="F1156" s="44" t="s">
        <v>3844</v>
      </c>
      <c r="G1156" s="44"/>
      <c r="H1156" s="44"/>
      <c r="I1156" s="44"/>
      <c r="J1156" s="47" t="s">
        <v>35</v>
      </c>
      <c r="K1156" s="47"/>
      <c r="L1156" s="47"/>
      <c r="M1156" s="47"/>
      <c r="N1156" s="47"/>
      <c r="O1156" s="44"/>
      <c r="P1156" s="44"/>
      <c r="Q1156" s="48"/>
      <c r="R1156" s="44"/>
      <c r="S1156" s="47" t="s">
        <v>296</v>
      </c>
      <c r="T1156" s="44"/>
      <c r="U1156" s="47" t="s">
        <v>296</v>
      </c>
      <c r="V1156" s="47" t="s">
        <v>296</v>
      </c>
      <c r="W1156" s="47" t="s">
        <v>296</v>
      </c>
      <c r="X1156" s="47" t="s">
        <v>296</v>
      </c>
      <c r="Y1156" s="47"/>
      <c r="Z1156" s="47" t="s">
        <v>296</v>
      </c>
      <c r="AA1156" s="47" t="s">
        <v>296</v>
      </c>
      <c r="AB1156" s="47" t="s">
        <v>35</v>
      </c>
      <c r="AC1156" s="47" t="s">
        <v>296</v>
      </c>
      <c r="AD1156" s="49"/>
      <c r="AE1156" s="49"/>
      <c r="AF1156" s="49"/>
      <c r="AG1156" s="49"/>
      <c r="AH1156" s="49"/>
      <c r="AI1156" s="49"/>
      <c r="AJ1156" s="49"/>
      <c r="AK1156" s="49"/>
      <c r="AL1156" s="49"/>
      <c r="AM1156" s="49"/>
      <c r="AN1156" s="49"/>
      <c r="AO1156" s="49"/>
      <c r="AP1156" s="49"/>
      <c r="AQ1156" s="49"/>
      <c r="AR1156" s="49"/>
      <c r="AS1156" s="49"/>
      <c r="AT1156" s="49"/>
      <c r="AU1156" s="49"/>
      <c r="AV1156" s="49"/>
    </row>
    <row r="1157" spans="1:48" ht="18" customHeight="1">
      <c r="A1157" s="44">
        <v>1155</v>
      </c>
      <c r="B1157" s="52" t="s">
        <v>3804</v>
      </c>
      <c r="C1157" s="52" t="s">
        <v>3842</v>
      </c>
      <c r="D1157" s="44" t="s">
        <v>116</v>
      </c>
      <c r="E1157" s="44" t="s">
        <v>116</v>
      </c>
      <c r="F1157" s="44" t="s">
        <v>3845</v>
      </c>
      <c r="G1157" s="44"/>
      <c r="H1157" s="44"/>
      <c r="I1157" s="44"/>
      <c r="J1157" s="47" t="s">
        <v>35</v>
      </c>
      <c r="K1157" s="47"/>
      <c r="L1157" s="47"/>
      <c r="M1157" s="47"/>
      <c r="N1157" s="47"/>
      <c r="O1157" s="44"/>
      <c r="P1157" s="44"/>
      <c r="Q1157" s="48"/>
      <c r="R1157" s="44"/>
      <c r="S1157" s="47" t="s">
        <v>296</v>
      </c>
      <c r="T1157" s="44"/>
      <c r="U1157" s="47" t="s">
        <v>296</v>
      </c>
      <c r="V1157" s="47" t="s">
        <v>296</v>
      </c>
      <c r="W1157" s="47" t="s">
        <v>296</v>
      </c>
      <c r="X1157" s="47" t="s">
        <v>296</v>
      </c>
      <c r="Y1157" s="47"/>
      <c r="Z1157" s="47" t="s">
        <v>296</v>
      </c>
      <c r="AA1157" s="47" t="s">
        <v>296</v>
      </c>
      <c r="AB1157" s="47" t="s">
        <v>35</v>
      </c>
      <c r="AC1157" s="47" t="s">
        <v>296</v>
      </c>
      <c r="AD1157" s="49"/>
      <c r="AE1157" s="49"/>
      <c r="AF1157" s="49"/>
      <c r="AG1157" s="49"/>
      <c r="AH1157" s="49"/>
      <c r="AI1157" s="49"/>
      <c r="AJ1157" s="49"/>
      <c r="AK1157" s="49"/>
      <c r="AL1157" s="49"/>
      <c r="AM1157" s="49"/>
      <c r="AN1157" s="49"/>
      <c r="AO1157" s="49"/>
      <c r="AP1157" s="49"/>
      <c r="AQ1157" s="49"/>
      <c r="AR1157" s="49"/>
      <c r="AS1157" s="49"/>
      <c r="AT1157" s="49"/>
      <c r="AU1157" s="49"/>
      <c r="AV1157" s="49"/>
    </row>
    <row r="1158" spans="1:48" ht="18" customHeight="1">
      <c r="A1158" s="44">
        <v>1156</v>
      </c>
      <c r="B1158" s="69" t="s">
        <v>3804</v>
      </c>
      <c r="C1158" s="69" t="s">
        <v>3842</v>
      </c>
      <c r="D1158" s="44" t="s">
        <v>116</v>
      </c>
      <c r="E1158" s="44" t="s">
        <v>116</v>
      </c>
      <c r="F1158" s="44" t="s">
        <v>435</v>
      </c>
      <c r="G1158" s="44"/>
      <c r="H1158" s="44"/>
      <c r="I1158" s="44"/>
      <c r="J1158" s="47" t="s">
        <v>35</v>
      </c>
      <c r="K1158" s="47"/>
      <c r="L1158" s="47"/>
      <c r="M1158" s="47"/>
      <c r="N1158" s="47"/>
      <c r="O1158" s="44"/>
      <c r="P1158" s="44"/>
      <c r="Q1158" s="48"/>
      <c r="R1158" s="44"/>
      <c r="S1158" s="47" t="s">
        <v>296</v>
      </c>
      <c r="T1158" s="44"/>
      <c r="U1158" s="47" t="s">
        <v>296</v>
      </c>
      <c r="V1158" s="47" t="s">
        <v>296</v>
      </c>
      <c r="W1158" s="47" t="s">
        <v>296</v>
      </c>
      <c r="X1158" s="47" t="s">
        <v>296</v>
      </c>
      <c r="Y1158" s="47"/>
      <c r="Z1158" s="47" t="s">
        <v>296</v>
      </c>
      <c r="AA1158" s="47" t="s">
        <v>296</v>
      </c>
      <c r="AB1158" s="47" t="s">
        <v>35</v>
      </c>
      <c r="AC1158" s="47" t="s">
        <v>296</v>
      </c>
      <c r="AD1158" s="49"/>
      <c r="AE1158" s="49"/>
      <c r="AF1158" s="49"/>
      <c r="AG1158" s="49"/>
      <c r="AH1158" s="49"/>
      <c r="AI1158" s="49"/>
      <c r="AJ1158" s="49"/>
      <c r="AK1158" s="49"/>
      <c r="AL1158" s="49"/>
      <c r="AM1158" s="49"/>
      <c r="AN1158" s="49"/>
      <c r="AO1158" s="49"/>
      <c r="AP1158" s="49"/>
      <c r="AQ1158" s="49"/>
      <c r="AR1158" s="49"/>
      <c r="AS1158" s="49"/>
      <c r="AT1158" s="49"/>
      <c r="AU1158" s="49"/>
      <c r="AV1158" s="49"/>
    </row>
  </sheetData>
  <autoFilter ref="A2:AJ1158" xr:uid="{00000000-0009-0000-0000-000002000000}"/>
  <mergeCells count="3">
    <mergeCell ref="B1:D1"/>
    <mergeCell ref="J1:N1"/>
    <mergeCell ref="R1:AA1"/>
  </mergeCells>
  <phoneticPr fontId="31"/>
  <pageMargins left="0.70866141732283472" right="0.70866141732283472" top="0.74803149606299213" bottom="0.74803149606299213" header="0" footer="0"/>
  <pageSetup paperSize="8" fitToHeight="0" orientation="landscape"/>
  <headerFooter>
    <oddHeader>&amp;L機能階層一覧(AS400)</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10"/>
  <sheetViews>
    <sheetView workbookViewId="0"/>
  </sheetViews>
  <sheetFormatPr baseColWidth="10" defaultColWidth="14.5" defaultRowHeight="15" customHeight="1"/>
  <cols>
    <col min="1" max="1" width="9" customWidth="1"/>
    <col min="2" max="2" width="15.5" customWidth="1"/>
    <col min="3" max="3" width="62.33203125" customWidth="1"/>
    <col min="4" max="12" width="9" customWidth="1"/>
  </cols>
  <sheetData>
    <row r="1" spans="1:12" ht="15.75" customHeight="1">
      <c r="A1" s="83" t="s">
        <v>3846</v>
      </c>
      <c r="B1" s="83" t="s">
        <v>3847</v>
      </c>
      <c r="C1" s="83" t="s">
        <v>3848</v>
      </c>
      <c r="D1" s="84" t="s">
        <v>3849</v>
      </c>
      <c r="E1" s="85" t="s">
        <v>3850</v>
      </c>
      <c r="F1" s="83" t="s">
        <v>3851</v>
      </c>
      <c r="G1" s="37"/>
      <c r="H1" s="37" t="s">
        <v>3852</v>
      </c>
      <c r="I1" s="37">
        <f>SUM(H2:H3209)</f>
        <v>920</v>
      </c>
      <c r="J1" s="86">
        <f>I1/3209</f>
        <v>0.28669367404175755</v>
      </c>
      <c r="K1" s="86">
        <f>I1/L1</f>
        <v>0.45725646123260438</v>
      </c>
      <c r="L1" s="37">
        <f>COUNTIF(A2:A3209,"RPG")</f>
        <v>2012</v>
      </c>
    </row>
    <row r="2" spans="1:12" ht="15.75" customHeight="1">
      <c r="A2" s="87" t="s">
        <v>3853</v>
      </c>
      <c r="B2" s="87" t="s">
        <v>3854</v>
      </c>
      <c r="C2" s="87" t="s">
        <v>3855</v>
      </c>
      <c r="D2" s="88">
        <v>28</v>
      </c>
      <c r="E2" s="85" t="s">
        <v>3856</v>
      </c>
      <c r="F2" s="87">
        <v>2</v>
      </c>
      <c r="G2" s="37"/>
      <c r="H2" s="37">
        <f>COUNTIF('(参考)現行システム機能階層一覧'!$E$3:$E$1048576,sheet1!B2)</f>
        <v>0</v>
      </c>
      <c r="I2" s="37"/>
      <c r="J2" s="37"/>
      <c r="K2" s="37"/>
      <c r="L2" s="37"/>
    </row>
    <row r="3" spans="1:12" ht="15.75" customHeight="1">
      <c r="A3" s="87" t="s">
        <v>3853</v>
      </c>
      <c r="B3" s="87" t="s">
        <v>3857</v>
      </c>
      <c r="C3" s="87" t="s">
        <v>3858</v>
      </c>
      <c r="D3" s="88">
        <v>22</v>
      </c>
      <c r="E3" s="85" t="s">
        <v>3859</v>
      </c>
      <c r="F3" s="87">
        <v>4</v>
      </c>
      <c r="G3" s="37"/>
      <c r="H3" s="37">
        <f>COUNTIF('(参考)現行システム機能階層一覧'!$E$3:$E$1048576,sheet1!B3)</f>
        <v>0</v>
      </c>
      <c r="I3" s="37"/>
      <c r="J3" s="37"/>
      <c r="K3" s="37"/>
      <c r="L3" s="37"/>
    </row>
    <row r="4" spans="1:12" ht="15.75" customHeight="1">
      <c r="A4" s="87" t="s">
        <v>3853</v>
      </c>
      <c r="B4" s="87" t="s">
        <v>3860</v>
      </c>
      <c r="C4" s="87" t="s">
        <v>3861</v>
      </c>
      <c r="D4" s="88">
        <v>22</v>
      </c>
      <c r="E4" s="85" t="s">
        <v>3859</v>
      </c>
      <c r="F4" s="87">
        <v>4</v>
      </c>
      <c r="G4" s="37"/>
      <c r="H4" s="37">
        <f>COUNTIF('(参考)現行システム機能階層一覧'!$E$3:$E$1048576,sheet1!B4)</f>
        <v>0</v>
      </c>
      <c r="I4" s="37"/>
      <c r="J4" s="37"/>
      <c r="K4" s="37"/>
      <c r="L4" s="37"/>
    </row>
    <row r="5" spans="1:12" ht="15.75" customHeight="1">
      <c r="A5" s="87" t="s">
        <v>3853</v>
      </c>
      <c r="B5" s="87" t="s">
        <v>3862</v>
      </c>
      <c r="C5" s="87" t="s">
        <v>3863</v>
      </c>
      <c r="D5" s="88">
        <v>75</v>
      </c>
      <c r="E5" s="85" t="s">
        <v>3859</v>
      </c>
      <c r="F5" s="87">
        <v>48</v>
      </c>
      <c r="G5" s="37"/>
      <c r="H5" s="37">
        <f>COUNTIF('(参考)現行システム機能階層一覧'!$E$3:$E$1048576,sheet1!B5)</f>
        <v>0</v>
      </c>
      <c r="I5" s="37"/>
      <c r="J5" s="37"/>
      <c r="K5" s="37"/>
      <c r="L5" s="37"/>
    </row>
    <row r="6" spans="1:12" ht="15.75" customHeight="1">
      <c r="A6" s="87" t="s">
        <v>3853</v>
      </c>
      <c r="B6" s="87" t="s">
        <v>3864</v>
      </c>
      <c r="C6" s="87" t="s">
        <v>3865</v>
      </c>
      <c r="D6" s="88">
        <v>122</v>
      </c>
      <c r="E6" s="85" t="s">
        <v>3859</v>
      </c>
      <c r="F6" s="87">
        <v>258</v>
      </c>
      <c r="G6" s="37"/>
      <c r="H6" s="37">
        <f>COUNTIF('(参考)現行システム機能階層一覧'!$E$3:$E$1048576,sheet1!B6)</f>
        <v>0</v>
      </c>
      <c r="I6" s="37"/>
      <c r="J6" s="37"/>
      <c r="K6" s="37"/>
      <c r="L6" s="37"/>
    </row>
    <row r="7" spans="1:12" ht="15.75" customHeight="1">
      <c r="A7" s="87" t="s">
        <v>3853</v>
      </c>
      <c r="B7" s="87" t="s">
        <v>3866</v>
      </c>
      <c r="C7" s="87" t="s">
        <v>3867</v>
      </c>
      <c r="D7" s="88">
        <v>85</v>
      </c>
      <c r="E7" s="85" t="s">
        <v>3859</v>
      </c>
      <c r="F7" s="87">
        <v>111</v>
      </c>
      <c r="G7" s="37"/>
      <c r="H7" s="37">
        <f>COUNTIF('(参考)現行システム機能階層一覧'!$E$3:$E$1048576,sheet1!B7)</f>
        <v>0</v>
      </c>
      <c r="I7" s="37"/>
      <c r="J7" s="37"/>
      <c r="K7" s="37"/>
      <c r="L7" s="37"/>
    </row>
    <row r="8" spans="1:12" ht="15.75" customHeight="1">
      <c r="A8" s="87" t="s">
        <v>3853</v>
      </c>
      <c r="B8" s="87" t="s">
        <v>3868</v>
      </c>
      <c r="C8" s="87" t="s">
        <v>3869</v>
      </c>
      <c r="D8" s="88">
        <v>149</v>
      </c>
      <c r="E8" s="85" t="s">
        <v>3859</v>
      </c>
      <c r="F8" s="87">
        <v>982</v>
      </c>
      <c r="G8" s="37"/>
      <c r="H8" s="37">
        <f>COUNTIF('(参考)現行システム機能階層一覧'!$E$3:$E$1048576,sheet1!B8)</f>
        <v>0</v>
      </c>
      <c r="I8" s="37"/>
      <c r="J8" s="37"/>
      <c r="K8" s="37"/>
      <c r="L8" s="37"/>
    </row>
    <row r="9" spans="1:12" ht="15.75" customHeight="1">
      <c r="A9" s="87" t="s">
        <v>3853</v>
      </c>
      <c r="B9" s="87" t="s">
        <v>3870</v>
      </c>
      <c r="C9" s="87" t="s">
        <v>3869</v>
      </c>
      <c r="D9" s="88">
        <v>142</v>
      </c>
      <c r="E9" s="85" t="s">
        <v>3859</v>
      </c>
      <c r="F9" s="87">
        <v>1</v>
      </c>
      <c r="G9" s="37"/>
      <c r="H9" s="37">
        <f>COUNTIF('(参考)現行システム機能階層一覧'!$E$3:$E$1048576,sheet1!B9)</f>
        <v>0</v>
      </c>
      <c r="I9" s="37"/>
      <c r="J9" s="37"/>
      <c r="K9" s="37"/>
      <c r="L9" s="37"/>
    </row>
    <row r="10" spans="1:12" ht="15.75" customHeight="1">
      <c r="A10" s="87" t="s">
        <v>3853</v>
      </c>
      <c r="B10" s="87" t="s">
        <v>3871</v>
      </c>
      <c r="C10" s="87" t="s">
        <v>3872</v>
      </c>
      <c r="D10" s="88">
        <v>9</v>
      </c>
      <c r="E10" s="85" t="s">
        <v>3873</v>
      </c>
      <c r="F10" s="87">
        <v>1</v>
      </c>
      <c r="G10" s="37"/>
      <c r="H10" s="37">
        <f>COUNTIF('(参考)現行システム機能階層一覧'!$E$3:$E$1048576,sheet1!B10)</f>
        <v>0</v>
      </c>
      <c r="I10" s="37"/>
      <c r="J10" s="37"/>
      <c r="K10" s="37"/>
      <c r="L10" s="37"/>
    </row>
    <row r="11" spans="1:12" ht="15.75" customHeight="1">
      <c r="A11" s="87" t="s">
        <v>3853</v>
      </c>
      <c r="B11" s="87" t="s">
        <v>3874</v>
      </c>
      <c r="C11" s="87" t="s">
        <v>3875</v>
      </c>
      <c r="D11" s="88">
        <v>14</v>
      </c>
      <c r="E11" s="85" t="s">
        <v>3876</v>
      </c>
      <c r="F11" s="87">
        <v>1682</v>
      </c>
      <c r="G11" s="37"/>
      <c r="H11" s="37">
        <f>COUNTIF('(参考)現行システム機能階層一覧'!$E$3:$E$1048576,sheet1!B11)</f>
        <v>0</v>
      </c>
      <c r="I11" s="37"/>
      <c r="J11" s="37"/>
      <c r="K11" s="37"/>
      <c r="L11" s="37"/>
    </row>
    <row r="12" spans="1:12" ht="15.75" customHeight="1">
      <c r="A12" s="87" t="s">
        <v>3853</v>
      </c>
      <c r="B12" s="87" t="s">
        <v>1077</v>
      </c>
      <c r="C12" s="87" t="s">
        <v>3877</v>
      </c>
      <c r="D12" s="88">
        <v>36</v>
      </c>
      <c r="E12" s="85" t="s">
        <v>3878</v>
      </c>
      <c r="F12" s="87">
        <v>108</v>
      </c>
      <c r="G12" s="37"/>
      <c r="H12" s="37">
        <f>COUNTIF('(参考)現行システム機能階層一覧'!$E$3:$E$1048576,sheet1!B12)</f>
        <v>2</v>
      </c>
      <c r="I12" s="37"/>
      <c r="J12" s="37"/>
      <c r="K12" s="37"/>
      <c r="L12" s="37"/>
    </row>
    <row r="13" spans="1:12" ht="15.75" customHeight="1">
      <c r="A13" s="87" t="s">
        <v>3853</v>
      </c>
      <c r="B13" s="87" t="s">
        <v>1193</v>
      </c>
      <c r="C13" s="87" t="s">
        <v>3879</v>
      </c>
      <c r="D13" s="88">
        <v>15</v>
      </c>
      <c r="E13" s="85" t="s">
        <v>3878</v>
      </c>
      <c r="F13" s="87">
        <v>443</v>
      </c>
      <c r="G13" s="37"/>
      <c r="H13" s="37">
        <f>COUNTIF('(参考)現行システム機能階層一覧'!$E$3:$E$1048576,sheet1!B13)</f>
        <v>1</v>
      </c>
      <c r="I13" s="37"/>
      <c r="J13" s="37"/>
      <c r="K13" s="37"/>
      <c r="L13" s="37"/>
    </row>
    <row r="14" spans="1:12" ht="15.75" customHeight="1">
      <c r="A14" s="87" t="s">
        <v>3853</v>
      </c>
      <c r="B14" s="87" t="s">
        <v>1120</v>
      </c>
      <c r="C14" s="87" t="s">
        <v>3880</v>
      </c>
      <c r="D14" s="88">
        <v>15</v>
      </c>
      <c r="E14" s="85" t="s">
        <v>3878</v>
      </c>
      <c r="F14" s="87">
        <v>85</v>
      </c>
      <c r="G14" s="37"/>
      <c r="H14" s="37">
        <f>COUNTIF('(参考)現行システム機能階層一覧'!$E$3:$E$1048576,sheet1!B14)</f>
        <v>2</v>
      </c>
      <c r="I14" s="37"/>
      <c r="J14" s="37"/>
      <c r="K14" s="37"/>
      <c r="L14" s="37"/>
    </row>
    <row r="15" spans="1:12" ht="15.75" customHeight="1">
      <c r="A15" s="87" t="s">
        <v>3853</v>
      </c>
      <c r="B15" s="87" t="s">
        <v>3881</v>
      </c>
      <c r="C15" s="87" t="s">
        <v>3882</v>
      </c>
      <c r="D15" s="88">
        <v>13</v>
      </c>
      <c r="E15" s="85" t="s">
        <v>3883</v>
      </c>
      <c r="F15" s="87">
        <v>2</v>
      </c>
      <c r="G15" s="37"/>
      <c r="H15" s="37">
        <f>COUNTIF('(参考)現行システム機能階層一覧'!$E$3:$E$1048576,sheet1!B15)</f>
        <v>0</v>
      </c>
      <c r="I15" s="37"/>
      <c r="J15" s="37"/>
      <c r="K15" s="37"/>
      <c r="L15" s="37"/>
    </row>
    <row r="16" spans="1:12" ht="15.75" customHeight="1">
      <c r="A16" s="87" t="s">
        <v>3853</v>
      </c>
      <c r="B16" s="87" t="s">
        <v>3884</v>
      </c>
      <c r="C16" s="87" t="s">
        <v>3885</v>
      </c>
      <c r="D16" s="88">
        <v>18</v>
      </c>
      <c r="E16" s="85" t="s">
        <v>3883</v>
      </c>
      <c r="F16" s="87">
        <v>2</v>
      </c>
      <c r="G16" s="37"/>
      <c r="H16" s="37">
        <f>COUNTIF('(参考)現行システム機能階層一覧'!$E$3:$E$1048576,sheet1!B16)</f>
        <v>0</v>
      </c>
      <c r="I16" s="37"/>
      <c r="J16" s="37"/>
      <c r="K16" s="37"/>
      <c r="L16" s="37"/>
    </row>
    <row r="17" spans="1:12" ht="15.75" customHeight="1">
      <c r="A17" s="87" t="s">
        <v>3853</v>
      </c>
      <c r="B17" s="87" t="s">
        <v>3886</v>
      </c>
      <c r="C17" s="87" t="s">
        <v>1977</v>
      </c>
      <c r="D17" s="88">
        <v>8</v>
      </c>
      <c r="E17" s="85" t="s">
        <v>3887</v>
      </c>
      <c r="F17" s="87">
        <v>233</v>
      </c>
      <c r="G17" s="37"/>
      <c r="H17" s="37">
        <f>COUNTIF('(参考)現行システム機能階層一覧'!$E$3:$E$1048576,sheet1!B17)</f>
        <v>0</v>
      </c>
      <c r="I17" s="37"/>
      <c r="J17" s="37"/>
      <c r="K17" s="37"/>
      <c r="L17" s="37"/>
    </row>
    <row r="18" spans="1:12" ht="15.75" customHeight="1">
      <c r="A18" s="87" t="s">
        <v>3853</v>
      </c>
      <c r="B18" s="87" t="s">
        <v>3888</v>
      </c>
      <c r="C18" s="87" t="s">
        <v>3889</v>
      </c>
      <c r="D18" s="88">
        <v>73</v>
      </c>
      <c r="E18" s="85" t="s">
        <v>3890</v>
      </c>
      <c r="F18" s="87">
        <v>1895</v>
      </c>
      <c r="G18" s="37"/>
      <c r="H18" s="37">
        <f>COUNTIF('(参考)現行システム機能階層一覧'!$E$3:$E$1048576,sheet1!B18)</f>
        <v>0</v>
      </c>
      <c r="I18" s="37"/>
      <c r="J18" s="37"/>
      <c r="K18" s="37"/>
      <c r="L18" s="37"/>
    </row>
    <row r="19" spans="1:12" ht="15.75" customHeight="1">
      <c r="A19" s="87" t="s">
        <v>3853</v>
      </c>
      <c r="B19" s="87" t="s">
        <v>3891</v>
      </c>
      <c r="C19" s="87" t="s">
        <v>3892</v>
      </c>
      <c r="D19" s="88">
        <v>4</v>
      </c>
      <c r="E19" s="85" t="s">
        <v>3890</v>
      </c>
      <c r="F19" s="87">
        <v>1896</v>
      </c>
      <c r="G19" s="37"/>
      <c r="H19" s="37">
        <f>COUNTIF('(参考)現行システム機能階層一覧'!$E$3:$E$1048576,sheet1!B19)</f>
        <v>0</v>
      </c>
      <c r="I19" s="37"/>
      <c r="J19" s="37"/>
      <c r="K19" s="37"/>
      <c r="L19" s="37"/>
    </row>
    <row r="20" spans="1:12" ht="15.75" customHeight="1">
      <c r="A20" s="87" t="s">
        <v>3853</v>
      </c>
      <c r="B20" s="87" t="s">
        <v>3893</v>
      </c>
      <c r="C20" s="87" t="s">
        <v>3894</v>
      </c>
      <c r="D20" s="88">
        <v>26</v>
      </c>
      <c r="E20" s="85" t="s">
        <v>3890</v>
      </c>
      <c r="F20" s="87">
        <v>1897</v>
      </c>
      <c r="G20" s="37"/>
      <c r="H20" s="37">
        <f>COUNTIF('(参考)現行システム機能階層一覧'!$E$3:$E$1048576,sheet1!B20)</f>
        <v>0</v>
      </c>
      <c r="I20" s="37"/>
      <c r="J20" s="37"/>
      <c r="K20" s="37"/>
      <c r="L20" s="37"/>
    </row>
    <row r="21" spans="1:12" ht="15.75" customHeight="1">
      <c r="A21" s="87" t="s">
        <v>3853</v>
      </c>
      <c r="B21" s="87" t="s">
        <v>3895</v>
      </c>
      <c r="C21" s="87" t="s">
        <v>3896</v>
      </c>
      <c r="D21" s="88">
        <v>26</v>
      </c>
      <c r="E21" s="85" t="s">
        <v>3890</v>
      </c>
      <c r="F21" s="87">
        <v>1895</v>
      </c>
      <c r="G21" s="37"/>
      <c r="H21" s="37">
        <f>COUNTIF('(参考)現行システム機能階層一覧'!$E$3:$E$1048576,sheet1!B21)</f>
        <v>0</v>
      </c>
      <c r="I21" s="37"/>
      <c r="J21" s="37"/>
      <c r="K21" s="37"/>
      <c r="L21" s="37"/>
    </row>
    <row r="22" spans="1:12" ht="15.75" customHeight="1">
      <c r="A22" s="87" t="s">
        <v>3853</v>
      </c>
      <c r="B22" s="87" t="s">
        <v>1160</v>
      </c>
      <c r="C22" s="87" t="s">
        <v>3897</v>
      </c>
      <c r="D22" s="88">
        <v>15</v>
      </c>
      <c r="E22" s="85" t="s">
        <v>3898</v>
      </c>
      <c r="F22" s="87">
        <v>12</v>
      </c>
      <c r="G22" s="37"/>
      <c r="H22" s="37">
        <f>COUNTIF('(参考)現行システム機能階層一覧'!$E$3:$E$1048576,sheet1!B22)</f>
        <v>2</v>
      </c>
      <c r="I22" s="37"/>
      <c r="J22" s="37"/>
      <c r="K22" s="37"/>
      <c r="L22" s="37"/>
    </row>
    <row r="23" spans="1:12" ht="15.75" customHeight="1">
      <c r="A23" s="87" t="s">
        <v>3853</v>
      </c>
      <c r="B23" s="87" t="s">
        <v>3899</v>
      </c>
      <c r="C23" s="87" t="s">
        <v>3900</v>
      </c>
      <c r="D23" s="88">
        <v>533</v>
      </c>
      <c r="E23" s="85" t="s">
        <v>3898</v>
      </c>
      <c r="F23" s="87">
        <v>3</v>
      </c>
      <c r="G23" s="37"/>
      <c r="H23" s="37">
        <f>COUNTIF('(参考)現行システム機能階層一覧'!$E$3:$E$1048576,sheet1!B23)</f>
        <v>0</v>
      </c>
      <c r="I23" s="37"/>
      <c r="J23" s="37"/>
      <c r="K23" s="37"/>
      <c r="L23" s="37"/>
    </row>
    <row r="24" spans="1:12" ht="15.75" customHeight="1">
      <c r="A24" s="87" t="s">
        <v>3853</v>
      </c>
      <c r="B24" s="87" t="s">
        <v>3901</v>
      </c>
      <c r="C24" s="87" t="s">
        <v>3900</v>
      </c>
      <c r="D24" s="88">
        <v>516</v>
      </c>
      <c r="E24" s="85" t="s">
        <v>3898</v>
      </c>
      <c r="F24" s="87">
        <v>2</v>
      </c>
      <c r="G24" s="37"/>
      <c r="H24" s="37">
        <f>COUNTIF('(参考)現行システム機能階層一覧'!$E$3:$E$1048576,sheet1!B24)</f>
        <v>0</v>
      </c>
      <c r="I24" s="37"/>
      <c r="J24" s="37"/>
      <c r="K24" s="37"/>
      <c r="L24" s="37"/>
    </row>
    <row r="25" spans="1:12" ht="15.75" customHeight="1">
      <c r="A25" s="87" t="s">
        <v>3853</v>
      </c>
      <c r="B25" s="87" t="s">
        <v>3902</v>
      </c>
      <c r="C25" s="87" t="s">
        <v>3903</v>
      </c>
      <c r="D25" s="88">
        <v>210</v>
      </c>
      <c r="E25" s="85" t="s">
        <v>3898</v>
      </c>
      <c r="F25" s="87">
        <v>1</v>
      </c>
      <c r="G25" s="37"/>
      <c r="H25" s="37">
        <f>COUNTIF('(参考)現行システム機能階層一覧'!$E$3:$E$1048576,sheet1!B25)</f>
        <v>0</v>
      </c>
      <c r="I25" s="37"/>
      <c r="J25" s="37"/>
      <c r="K25" s="37"/>
      <c r="L25" s="37"/>
    </row>
    <row r="26" spans="1:12" ht="15.75" customHeight="1">
      <c r="A26" s="87" t="s">
        <v>3853</v>
      </c>
      <c r="B26" s="87" t="s">
        <v>3904</v>
      </c>
      <c r="C26" s="87" t="s">
        <v>3905</v>
      </c>
      <c r="D26" s="88">
        <v>164</v>
      </c>
      <c r="E26" s="85" t="s">
        <v>3906</v>
      </c>
      <c r="F26" s="87">
        <v>1886</v>
      </c>
      <c r="G26" s="37"/>
      <c r="H26" s="37">
        <f>COUNTIF('(参考)現行システム機能階層一覧'!$E$3:$E$1048576,sheet1!B26)</f>
        <v>0</v>
      </c>
      <c r="I26" s="37"/>
      <c r="J26" s="37"/>
      <c r="K26" s="37"/>
      <c r="L26" s="37"/>
    </row>
    <row r="27" spans="1:12" ht="15.75" customHeight="1">
      <c r="A27" s="87" t="s">
        <v>3853</v>
      </c>
      <c r="B27" s="87" t="s">
        <v>3907</v>
      </c>
      <c r="C27" s="87" t="s">
        <v>3908</v>
      </c>
      <c r="D27" s="88">
        <v>39</v>
      </c>
      <c r="E27" s="85" t="s">
        <v>3906</v>
      </c>
      <c r="F27" s="87">
        <v>1</v>
      </c>
      <c r="G27" s="37"/>
      <c r="H27" s="37">
        <f>COUNTIF('(参考)現行システム機能階層一覧'!$E$3:$E$1048576,sheet1!B27)</f>
        <v>0</v>
      </c>
      <c r="I27" s="37"/>
      <c r="J27" s="37"/>
      <c r="K27" s="37"/>
      <c r="L27" s="37"/>
    </row>
    <row r="28" spans="1:12" ht="15.75" customHeight="1">
      <c r="A28" s="87" t="s">
        <v>3853</v>
      </c>
      <c r="B28" s="87" t="s">
        <v>3909</v>
      </c>
      <c r="C28" s="87" t="s">
        <v>3910</v>
      </c>
      <c r="D28" s="88">
        <v>38</v>
      </c>
      <c r="E28" s="85" t="s">
        <v>3906</v>
      </c>
      <c r="F28" s="87">
        <v>1</v>
      </c>
      <c r="G28" s="37"/>
      <c r="H28" s="37">
        <f>COUNTIF('(参考)現行システム機能階層一覧'!$E$3:$E$1048576,sheet1!B28)</f>
        <v>0</v>
      </c>
      <c r="I28" s="37"/>
      <c r="J28" s="37"/>
      <c r="K28" s="37"/>
      <c r="L28" s="37"/>
    </row>
    <row r="29" spans="1:12" ht="15.75" customHeight="1">
      <c r="A29" s="87" t="s">
        <v>3853</v>
      </c>
      <c r="B29" s="87" t="s">
        <v>3911</v>
      </c>
      <c r="C29" s="87" t="s">
        <v>3912</v>
      </c>
      <c r="D29" s="88">
        <v>202</v>
      </c>
      <c r="E29" s="85" t="s">
        <v>3906</v>
      </c>
      <c r="F29" s="87">
        <v>1740</v>
      </c>
      <c r="G29" s="37"/>
      <c r="H29" s="37">
        <f>COUNTIF('(参考)現行システム機能階層一覧'!$E$3:$E$1048576,sheet1!B29)</f>
        <v>0</v>
      </c>
      <c r="I29" s="37"/>
      <c r="J29" s="37"/>
      <c r="K29" s="37"/>
      <c r="L29" s="37"/>
    </row>
    <row r="30" spans="1:12" ht="15.75" customHeight="1">
      <c r="A30" s="87" t="s">
        <v>3853</v>
      </c>
      <c r="B30" s="87" t="s">
        <v>3913</v>
      </c>
      <c r="C30" s="87" t="s">
        <v>3914</v>
      </c>
      <c r="D30" s="88">
        <v>194</v>
      </c>
      <c r="E30" s="85" t="s">
        <v>3906</v>
      </c>
      <c r="F30" s="87">
        <v>1</v>
      </c>
      <c r="G30" s="37"/>
      <c r="H30" s="37">
        <f>COUNTIF('(参考)現行システム機能階層一覧'!$E$3:$E$1048576,sheet1!B30)</f>
        <v>0</v>
      </c>
      <c r="I30" s="37"/>
      <c r="J30" s="37"/>
      <c r="K30" s="37"/>
      <c r="L30" s="37"/>
    </row>
    <row r="31" spans="1:12" ht="15.75" customHeight="1">
      <c r="A31" s="87" t="s">
        <v>3853</v>
      </c>
      <c r="B31" s="87" t="s">
        <v>3915</v>
      </c>
      <c r="C31" s="87" t="s">
        <v>3914</v>
      </c>
      <c r="D31" s="88">
        <v>231</v>
      </c>
      <c r="E31" s="85" t="s">
        <v>3906</v>
      </c>
      <c r="F31" s="87">
        <v>1</v>
      </c>
      <c r="G31" s="37"/>
      <c r="H31" s="37">
        <f>COUNTIF('(参考)現行システム機能階層一覧'!$E$3:$E$1048576,sheet1!B31)</f>
        <v>0</v>
      </c>
      <c r="I31" s="37"/>
      <c r="J31" s="37"/>
      <c r="K31" s="37"/>
      <c r="L31" s="37"/>
    </row>
    <row r="32" spans="1:12" ht="15.75" customHeight="1">
      <c r="A32" s="87" t="s">
        <v>3853</v>
      </c>
      <c r="B32" s="87" t="s">
        <v>1278</v>
      </c>
      <c r="C32" s="87" t="s">
        <v>3916</v>
      </c>
      <c r="D32" s="88">
        <v>15</v>
      </c>
      <c r="E32" s="85" t="s">
        <v>3917</v>
      </c>
      <c r="F32" s="87">
        <v>41</v>
      </c>
      <c r="G32" s="37"/>
      <c r="H32" s="37">
        <f>COUNTIF('(参考)現行システム機能階層一覧'!$E$3:$E$1048576,sheet1!B32)</f>
        <v>1</v>
      </c>
      <c r="I32" s="37"/>
      <c r="J32" s="37"/>
      <c r="K32" s="37"/>
      <c r="L32" s="37"/>
    </row>
    <row r="33" spans="1:12" ht="15.75" customHeight="1">
      <c r="A33" s="87" t="s">
        <v>3853</v>
      </c>
      <c r="B33" s="87" t="s">
        <v>3918</v>
      </c>
      <c r="C33" s="87" t="s">
        <v>3919</v>
      </c>
      <c r="D33" s="88">
        <v>46</v>
      </c>
      <c r="E33" s="85" t="s">
        <v>3917</v>
      </c>
      <c r="F33" s="87">
        <v>1152</v>
      </c>
      <c r="G33" s="37"/>
      <c r="H33" s="37">
        <f>COUNTIF('(参考)現行システム機能階層一覧'!$E$3:$E$1048576,sheet1!B33)</f>
        <v>0</v>
      </c>
      <c r="I33" s="37"/>
      <c r="J33" s="37"/>
      <c r="K33" s="37"/>
      <c r="L33" s="37"/>
    </row>
    <row r="34" spans="1:12" ht="15.75" customHeight="1">
      <c r="A34" s="87" t="s">
        <v>3853</v>
      </c>
      <c r="B34" s="87" t="s">
        <v>3920</v>
      </c>
      <c r="C34" s="87" t="s">
        <v>3921</v>
      </c>
      <c r="D34" s="88">
        <v>47</v>
      </c>
      <c r="E34" s="85" t="s">
        <v>3917</v>
      </c>
      <c r="F34" s="87">
        <v>744</v>
      </c>
      <c r="G34" s="37"/>
      <c r="H34" s="37">
        <f>COUNTIF('(参考)現行システム機能階層一覧'!$E$3:$E$1048576,sheet1!B34)</f>
        <v>0</v>
      </c>
      <c r="I34" s="37"/>
      <c r="J34" s="37"/>
      <c r="K34" s="37"/>
      <c r="L34" s="37"/>
    </row>
    <row r="35" spans="1:12" ht="15.75" customHeight="1">
      <c r="A35" s="87" t="s">
        <v>3853</v>
      </c>
      <c r="B35" s="87" t="s">
        <v>3922</v>
      </c>
      <c r="C35" s="87" t="s">
        <v>3923</v>
      </c>
      <c r="D35" s="88">
        <v>12</v>
      </c>
      <c r="E35" s="85" t="s">
        <v>3917</v>
      </c>
      <c r="F35" s="87">
        <v>931</v>
      </c>
      <c r="G35" s="37"/>
      <c r="H35" s="37">
        <f>COUNTIF('(参考)現行システム機能階層一覧'!$E$3:$E$1048576,sheet1!B35)</f>
        <v>0</v>
      </c>
      <c r="I35" s="37"/>
      <c r="J35" s="37"/>
      <c r="K35" s="37"/>
      <c r="L35" s="37"/>
    </row>
    <row r="36" spans="1:12" ht="15.75" customHeight="1">
      <c r="A36" s="87" t="s">
        <v>3853</v>
      </c>
      <c r="B36" s="87" t="s">
        <v>3924</v>
      </c>
      <c r="C36" s="87" t="s">
        <v>3925</v>
      </c>
      <c r="D36" s="88">
        <v>11</v>
      </c>
      <c r="E36" s="85" t="s">
        <v>3917</v>
      </c>
      <c r="F36" s="87">
        <v>1683</v>
      </c>
      <c r="G36" s="37"/>
      <c r="H36" s="37">
        <f>COUNTIF('(参考)現行システム機能階層一覧'!$E$3:$E$1048576,sheet1!B36)</f>
        <v>0</v>
      </c>
      <c r="I36" s="37"/>
      <c r="J36" s="37"/>
      <c r="K36" s="37"/>
      <c r="L36" s="37"/>
    </row>
    <row r="37" spans="1:12" ht="15.75" customHeight="1">
      <c r="A37" s="87" t="s">
        <v>3853</v>
      </c>
      <c r="B37" s="87" t="s">
        <v>3926</v>
      </c>
      <c r="C37" s="87" t="s">
        <v>3927</v>
      </c>
      <c r="D37" s="88">
        <v>8</v>
      </c>
      <c r="E37" s="85" t="s">
        <v>3917</v>
      </c>
      <c r="F37" s="87">
        <v>1</v>
      </c>
      <c r="G37" s="37"/>
      <c r="H37" s="37">
        <f>COUNTIF('(参考)現行システム機能階層一覧'!$E$3:$E$1048576,sheet1!B37)</f>
        <v>0</v>
      </c>
      <c r="I37" s="37"/>
      <c r="J37" s="37"/>
      <c r="K37" s="37"/>
      <c r="L37" s="37"/>
    </row>
    <row r="38" spans="1:12" ht="15.75" customHeight="1">
      <c r="A38" s="87" t="s">
        <v>3853</v>
      </c>
      <c r="B38" s="87" t="s">
        <v>3928</v>
      </c>
      <c r="C38" s="87" t="s">
        <v>3929</v>
      </c>
      <c r="D38" s="88">
        <v>18</v>
      </c>
      <c r="E38" s="85" t="s">
        <v>3930</v>
      </c>
      <c r="F38" s="87">
        <v>1</v>
      </c>
      <c r="G38" s="37"/>
      <c r="H38" s="37">
        <f>COUNTIF('(参考)現行システム機能階層一覧'!$E$3:$E$1048576,sheet1!B38)</f>
        <v>0</v>
      </c>
      <c r="I38" s="37"/>
      <c r="J38" s="37"/>
      <c r="K38" s="37"/>
      <c r="L38" s="37"/>
    </row>
    <row r="39" spans="1:12" ht="15.75" customHeight="1">
      <c r="A39" s="87" t="s">
        <v>3853</v>
      </c>
      <c r="B39" s="87" t="s">
        <v>3931</v>
      </c>
      <c r="C39" s="87" t="s">
        <v>3932</v>
      </c>
      <c r="D39" s="88">
        <v>18</v>
      </c>
      <c r="E39" s="85" t="s">
        <v>3930</v>
      </c>
      <c r="F39" s="87">
        <v>3</v>
      </c>
      <c r="G39" s="37"/>
      <c r="H39" s="37">
        <f>COUNTIF('(参考)現行システム機能階層一覧'!$E$3:$E$1048576,sheet1!B39)</f>
        <v>0</v>
      </c>
      <c r="I39" s="37"/>
      <c r="J39" s="37"/>
      <c r="K39" s="37"/>
      <c r="L39" s="37"/>
    </row>
    <row r="40" spans="1:12" ht="15.75" customHeight="1">
      <c r="A40" s="87" t="s">
        <v>3853</v>
      </c>
      <c r="B40" s="87" t="s">
        <v>1275</v>
      </c>
      <c r="C40" s="87" t="s">
        <v>3933</v>
      </c>
      <c r="D40" s="88">
        <v>15</v>
      </c>
      <c r="E40" s="85" t="s">
        <v>3934</v>
      </c>
      <c r="F40" s="87">
        <v>41</v>
      </c>
      <c r="G40" s="37"/>
      <c r="H40" s="37">
        <f>COUNTIF('(参考)現行システム機能階層一覧'!$E$3:$E$1048576,sheet1!B40)</f>
        <v>1</v>
      </c>
      <c r="I40" s="37"/>
      <c r="J40" s="37"/>
      <c r="K40" s="37"/>
      <c r="L40" s="37"/>
    </row>
    <row r="41" spans="1:12" ht="15.75" customHeight="1">
      <c r="A41" s="87" t="s">
        <v>3935</v>
      </c>
      <c r="B41" s="87" t="s">
        <v>3936</v>
      </c>
      <c r="C41" s="87" t="s">
        <v>3937</v>
      </c>
      <c r="D41" s="88">
        <v>116</v>
      </c>
      <c r="E41" s="85" t="s">
        <v>3938</v>
      </c>
      <c r="F41" s="87">
        <v>4</v>
      </c>
      <c r="G41" s="37"/>
      <c r="H41" s="37">
        <f>COUNTIF('(参考)現行システム機能階層一覧'!$E$3:$E$1048576,sheet1!B41)</f>
        <v>0</v>
      </c>
      <c r="I41" s="37"/>
      <c r="J41" s="37"/>
      <c r="K41" s="37"/>
      <c r="L41" s="37"/>
    </row>
    <row r="42" spans="1:12" ht="15.75" customHeight="1">
      <c r="A42" s="87" t="s">
        <v>3935</v>
      </c>
      <c r="B42" s="87" t="s">
        <v>3939</v>
      </c>
      <c r="C42" s="87" t="s">
        <v>3940</v>
      </c>
      <c r="D42" s="88">
        <v>970</v>
      </c>
      <c r="E42" s="85" t="s">
        <v>3938</v>
      </c>
      <c r="F42" s="87">
        <v>22</v>
      </c>
      <c r="G42" s="37"/>
      <c r="H42" s="37">
        <f>COUNTIF('(参考)現行システム機能階層一覧'!$E$3:$E$1048576,sheet1!B42)</f>
        <v>0</v>
      </c>
      <c r="I42" s="37"/>
      <c r="J42" s="37"/>
      <c r="K42" s="37"/>
      <c r="L42" s="37"/>
    </row>
    <row r="43" spans="1:12" ht="15.75" customHeight="1">
      <c r="A43" s="87" t="s">
        <v>3935</v>
      </c>
      <c r="B43" s="87" t="s">
        <v>3941</v>
      </c>
      <c r="C43" s="87" t="s">
        <v>3942</v>
      </c>
      <c r="D43" s="88">
        <v>359</v>
      </c>
      <c r="E43" s="85" t="s">
        <v>3938</v>
      </c>
      <c r="F43" s="87">
        <v>126</v>
      </c>
      <c r="G43" s="37"/>
      <c r="H43" s="37">
        <f>COUNTIF('(参考)現行システム機能階層一覧'!$E$3:$E$1048576,sheet1!B43)</f>
        <v>0</v>
      </c>
      <c r="I43" s="37"/>
      <c r="J43" s="37"/>
      <c r="K43" s="37"/>
      <c r="L43" s="37"/>
    </row>
    <row r="44" spans="1:12" ht="15.75" customHeight="1">
      <c r="A44" s="87" t="s">
        <v>3853</v>
      </c>
      <c r="B44" s="87" t="s">
        <v>3943</v>
      </c>
      <c r="C44" s="87" t="s">
        <v>3940</v>
      </c>
      <c r="D44" s="88">
        <v>11</v>
      </c>
      <c r="E44" s="85" t="s">
        <v>3938</v>
      </c>
      <c r="F44" s="87">
        <v>22</v>
      </c>
      <c r="G44" s="37"/>
      <c r="H44" s="37">
        <f>COUNTIF('(参考)現行システム機能階層一覧'!$E$3:$E$1048576,sheet1!B44)</f>
        <v>0</v>
      </c>
      <c r="I44" s="37"/>
      <c r="J44" s="37"/>
      <c r="K44" s="37"/>
      <c r="L44" s="37"/>
    </row>
    <row r="45" spans="1:12" ht="15.75" customHeight="1">
      <c r="A45" s="87" t="s">
        <v>3935</v>
      </c>
      <c r="B45" s="87" t="s">
        <v>2778</v>
      </c>
      <c r="C45" s="87" t="s">
        <v>3944</v>
      </c>
      <c r="D45" s="88">
        <v>651</v>
      </c>
      <c r="E45" s="85" t="s">
        <v>3938</v>
      </c>
      <c r="F45" s="87">
        <v>32</v>
      </c>
      <c r="G45" s="37"/>
      <c r="H45" s="37">
        <f>COUNTIF('(参考)現行システム機能階層一覧'!$E$3:$E$1048576,sheet1!B45)</f>
        <v>1</v>
      </c>
      <c r="I45" s="37"/>
      <c r="J45" s="37"/>
      <c r="K45" s="37"/>
      <c r="L45" s="37"/>
    </row>
    <row r="46" spans="1:12" ht="15.75" customHeight="1">
      <c r="A46" s="87" t="s">
        <v>3853</v>
      </c>
      <c r="B46" s="87" t="s">
        <v>3945</v>
      </c>
      <c r="C46" s="87" t="s">
        <v>3946</v>
      </c>
      <c r="D46" s="88">
        <v>62</v>
      </c>
      <c r="E46" s="85" t="s">
        <v>3938</v>
      </c>
      <c r="F46" s="87">
        <v>32</v>
      </c>
      <c r="G46" s="37"/>
      <c r="H46" s="37">
        <f>COUNTIF('(参考)現行システム機能階層一覧'!$E$3:$E$1048576,sheet1!B46)</f>
        <v>0</v>
      </c>
      <c r="I46" s="37"/>
      <c r="J46" s="37"/>
      <c r="K46" s="37"/>
      <c r="L46" s="37"/>
    </row>
    <row r="47" spans="1:12" ht="15.75" customHeight="1">
      <c r="A47" s="87" t="s">
        <v>3935</v>
      </c>
      <c r="B47" s="87" t="s">
        <v>3947</v>
      </c>
      <c r="C47" s="87" t="s">
        <v>3948</v>
      </c>
      <c r="D47" s="88">
        <v>350</v>
      </c>
      <c r="E47" s="85" t="s">
        <v>3938</v>
      </c>
      <c r="F47" s="87">
        <v>257</v>
      </c>
      <c r="G47" s="37"/>
      <c r="H47" s="37">
        <f>COUNTIF('(参考)現行システム機能階層一覧'!$E$3:$E$1048576,sheet1!B47)</f>
        <v>0</v>
      </c>
      <c r="I47" s="37"/>
      <c r="J47" s="37"/>
      <c r="K47" s="37"/>
      <c r="L47" s="37"/>
    </row>
    <row r="48" spans="1:12" ht="15.75" customHeight="1">
      <c r="A48" s="87" t="s">
        <v>3935</v>
      </c>
      <c r="B48" s="87" t="s">
        <v>3949</v>
      </c>
      <c r="C48" s="87" t="s">
        <v>3950</v>
      </c>
      <c r="D48" s="88">
        <v>393</v>
      </c>
      <c r="E48" s="85" t="s">
        <v>3938</v>
      </c>
      <c r="F48" s="87">
        <v>61</v>
      </c>
      <c r="G48" s="37"/>
      <c r="H48" s="37">
        <f>COUNTIF('(参考)現行システム機能階層一覧'!$E$3:$E$1048576,sheet1!B48)</f>
        <v>0</v>
      </c>
      <c r="I48" s="37"/>
      <c r="J48" s="37"/>
      <c r="K48" s="37"/>
      <c r="L48" s="37"/>
    </row>
    <row r="49" spans="1:12" ht="15.75" customHeight="1">
      <c r="A49" s="87" t="s">
        <v>3935</v>
      </c>
      <c r="B49" s="87" t="s">
        <v>3951</v>
      </c>
      <c r="C49" s="87" t="s">
        <v>3952</v>
      </c>
      <c r="D49" s="88">
        <v>410</v>
      </c>
      <c r="E49" s="85" t="s">
        <v>3938</v>
      </c>
      <c r="F49" s="87">
        <v>58</v>
      </c>
      <c r="G49" s="37"/>
      <c r="H49" s="37">
        <f>COUNTIF('(参考)現行システム機能階層一覧'!$E$3:$E$1048576,sheet1!B49)</f>
        <v>0</v>
      </c>
      <c r="I49" s="37"/>
      <c r="J49" s="37"/>
      <c r="K49" s="37"/>
      <c r="L49" s="37"/>
    </row>
    <row r="50" spans="1:12" ht="15.75" customHeight="1">
      <c r="A50" s="87" t="s">
        <v>3935</v>
      </c>
      <c r="B50" s="87" t="s">
        <v>3472</v>
      </c>
      <c r="C50" s="87" t="s">
        <v>3953</v>
      </c>
      <c r="D50" s="88">
        <v>104</v>
      </c>
      <c r="E50" s="85" t="s">
        <v>3938</v>
      </c>
      <c r="F50" s="87">
        <v>5</v>
      </c>
      <c r="G50" s="37"/>
      <c r="H50" s="37">
        <f>COUNTIF('(参考)現行システム機能階層一覧'!$E$3:$E$1048576,sheet1!B50)</f>
        <v>1</v>
      </c>
      <c r="I50" s="37"/>
      <c r="J50" s="37"/>
      <c r="K50" s="37"/>
      <c r="L50" s="37"/>
    </row>
    <row r="51" spans="1:12" ht="15.75" customHeight="1">
      <c r="A51" s="87" t="s">
        <v>3853</v>
      </c>
      <c r="B51" s="87" t="s">
        <v>3954</v>
      </c>
      <c r="C51" s="87" t="s">
        <v>3955</v>
      </c>
      <c r="D51" s="88">
        <v>78</v>
      </c>
      <c r="E51" s="85" t="s">
        <v>3938</v>
      </c>
      <c r="F51" s="87">
        <v>5</v>
      </c>
      <c r="G51" s="37"/>
      <c r="H51" s="37">
        <f>COUNTIF('(参考)現行システム機能階層一覧'!$E$3:$E$1048576,sheet1!B51)</f>
        <v>0</v>
      </c>
      <c r="I51" s="37"/>
      <c r="J51" s="37"/>
      <c r="K51" s="37"/>
      <c r="L51" s="37"/>
    </row>
    <row r="52" spans="1:12" ht="15.75" customHeight="1">
      <c r="A52" s="87" t="s">
        <v>3935</v>
      </c>
      <c r="B52" s="87" t="s">
        <v>3956</v>
      </c>
      <c r="C52" s="87" t="s">
        <v>3957</v>
      </c>
      <c r="D52" s="88">
        <v>51</v>
      </c>
      <c r="E52" s="85" t="s">
        <v>3938</v>
      </c>
      <c r="F52" s="87">
        <v>2</v>
      </c>
      <c r="G52" s="37"/>
      <c r="H52" s="37">
        <f>COUNTIF('(参考)現行システム機能階層一覧'!$E$3:$E$1048576,sheet1!B52)</f>
        <v>0</v>
      </c>
      <c r="I52" s="37"/>
      <c r="J52" s="37"/>
      <c r="K52" s="37"/>
      <c r="L52" s="37"/>
    </row>
    <row r="53" spans="1:12" ht="15.75" customHeight="1">
      <c r="A53" s="87" t="s">
        <v>3935</v>
      </c>
      <c r="B53" s="87" t="s">
        <v>2187</v>
      </c>
      <c r="C53" s="87" t="s">
        <v>3958</v>
      </c>
      <c r="D53" s="88">
        <v>710</v>
      </c>
      <c r="E53" s="85" t="s">
        <v>3938</v>
      </c>
      <c r="F53" s="87">
        <v>2</v>
      </c>
      <c r="G53" s="37"/>
      <c r="H53" s="37">
        <f>COUNTIF('(参考)現行システム機能階層一覧'!$E$3:$E$1048576,sheet1!B53)</f>
        <v>1</v>
      </c>
      <c r="I53" s="37"/>
      <c r="J53" s="37"/>
      <c r="K53" s="37"/>
      <c r="L53" s="37"/>
    </row>
    <row r="54" spans="1:12" ht="15.75" customHeight="1">
      <c r="A54" s="87" t="s">
        <v>3935</v>
      </c>
      <c r="B54" s="87" t="s">
        <v>3446</v>
      </c>
      <c r="C54" s="87" t="s">
        <v>3959</v>
      </c>
      <c r="D54" s="88">
        <v>111</v>
      </c>
      <c r="E54" s="85" t="s">
        <v>3938</v>
      </c>
      <c r="F54" s="87">
        <v>135</v>
      </c>
      <c r="G54" s="37"/>
      <c r="H54" s="37">
        <f>COUNTIF('(参考)現行システム機能階層一覧'!$E$3:$E$1048576,sheet1!B54)</f>
        <v>1</v>
      </c>
      <c r="I54" s="37"/>
      <c r="J54" s="37"/>
      <c r="K54" s="37"/>
      <c r="L54" s="37"/>
    </row>
    <row r="55" spans="1:12" ht="15.75" customHeight="1">
      <c r="A55" s="87" t="s">
        <v>3853</v>
      </c>
      <c r="B55" s="87" t="s">
        <v>3960</v>
      </c>
      <c r="C55" s="87" t="s">
        <v>3473</v>
      </c>
      <c r="D55" s="88">
        <v>120</v>
      </c>
      <c r="E55" s="85" t="s">
        <v>3938</v>
      </c>
      <c r="F55" s="87">
        <v>135</v>
      </c>
      <c r="G55" s="37"/>
      <c r="H55" s="37">
        <f>COUNTIF('(参考)現行システム機能階層一覧'!$E$3:$E$1048576,sheet1!B55)</f>
        <v>0</v>
      </c>
      <c r="I55" s="37"/>
      <c r="J55" s="37"/>
      <c r="K55" s="37"/>
      <c r="L55" s="37"/>
    </row>
    <row r="56" spans="1:12" ht="15.75" customHeight="1">
      <c r="A56" s="87" t="s">
        <v>3935</v>
      </c>
      <c r="B56" s="87" t="s">
        <v>3961</v>
      </c>
      <c r="C56" s="87" t="s">
        <v>3962</v>
      </c>
      <c r="D56" s="88">
        <v>45</v>
      </c>
      <c r="E56" s="85" t="s">
        <v>3938</v>
      </c>
      <c r="F56" s="87">
        <v>117</v>
      </c>
      <c r="G56" s="37"/>
      <c r="H56" s="37">
        <f>COUNTIF('(参考)現行システム機能階層一覧'!$E$3:$E$1048576,sheet1!B56)</f>
        <v>0</v>
      </c>
      <c r="I56" s="37"/>
      <c r="J56" s="37"/>
      <c r="K56" s="37"/>
      <c r="L56" s="37"/>
    </row>
    <row r="57" spans="1:12" ht="15.75" customHeight="1">
      <c r="A57" s="87" t="s">
        <v>3935</v>
      </c>
      <c r="B57" s="87" t="s">
        <v>2190</v>
      </c>
      <c r="C57" s="87" t="s">
        <v>2223</v>
      </c>
      <c r="D57" s="88">
        <v>644</v>
      </c>
      <c r="E57" s="85" t="s">
        <v>3938</v>
      </c>
      <c r="F57" s="87">
        <v>4</v>
      </c>
      <c r="G57" s="37"/>
      <c r="H57" s="37">
        <f>COUNTIF('(参考)現行システム機能階層一覧'!$E$3:$E$1048576,sheet1!B57)</f>
        <v>1</v>
      </c>
      <c r="I57" s="37"/>
      <c r="J57" s="37"/>
      <c r="K57" s="37"/>
      <c r="L57" s="37"/>
    </row>
    <row r="58" spans="1:12" ht="15.75" customHeight="1">
      <c r="A58" s="87" t="s">
        <v>3853</v>
      </c>
      <c r="B58" s="87" t="s">
        <v>3963</v>
      </c>
      <c r="C58" s="87" t="s">
        <v>2223</v>
      </c>
      <c r="D58" s="88">
        <v>9</v>
      </c>
      <c r="E58" s="85" t="s">
        <v>3938</v>
      </c>
      <c r="F58" s="87">
        <v>4</v>
      </c>
      <c r="G58" s="37"/>
      <c r="H58" s="37">
        <f>COUNTIF('(参考)現行システム機能階層一覧'!$E$3:$E$1048576,sheet1!B58)</f>
        <v>0</v>
      </c>
      <c r="I58" s="37"/>
      <c r="J58" s="37"/>
      <c r="K58" s="37"/>
      <c r="L58" s="37"/>
    </row>
    <row r="59" spans="1:12" ht="15.75" customHeight="1">
      <c r="A59" s="87" t="s">
        <v>3935</v>
      </c>
      <c r="B59" s="87" t="s">
        <v>378</v>
      </c>
      <c r="C59" s="87" t="s">
        <v>3964</v>
      </c>
      <c r="D59" s="88">
        <v>563</v>
      </c>
      <c r="E59" s="85" t="s">
        <v>3938</v>
      </c>
      <c r="F59" s="87">
        <v>9</v>
      </c>
      <c r="G59" s="37"/>
      <c r="H59" s="37">
        <f>COUNTIF('(参考)現行システム機能階層一覧'!$E$3:$E$1048576,sheet1!B59)</f>
        <v>1</v>
      </c>
      <c r="I59" s="37"/>
      <c r="J59" s="37"/>
      <c r="K59" s="37"/>
      <c r="L59" s="37"/>
    </row>
    <row r="60" spans="1:12" ht="15.75" customHeight="1">
      <c r="A60" s="87" t="s">
        <v>3935</v>
      </c>
      <c r="B60" s="87" t="s">
        <v>2194</v>
      </c>
      <c r="C60" s="87" t="s">
        <v>3965</v>
      </c>
      <c r="D60" s="88">
        <v>168</v>
      </c>
      <c r="E60" s="85" t="s">
        <v>3938</v>
      </c>
      <c r="F60" s="87">
        <v>4</v>
      </c>
      <c r="G60" s="37"/>
      <c r="H60" s="37">
        <f>COUNTIF('(参考)現行システム機能階層一覧'!$E$3:$E$1048576,sheet1!B60)</f>
        <v>1</v>
      </c>
      <c r="I60" s="37"/>
      <c r="J60" s="37"/>
      <c r="K60" s="37"/>
      <c r="L60" s="37"/>
    </row>
    <row r="61" spans="1:12" ht="15.75" customHeight="1">
      <c r="A61" s="87" t="s">
        <v>3853</v>
      </c>
      <c r="B61" s="87" t="s">
        <v>3966</v>
      </c>
      <c r="C61" s="87" t="s">
        <v>3967</v>
      </c>
      <c r="D61" s="88">
        <v>52</v>
      </c>
      <c r="E61" s="85" t="s">
        <v>3938</v>
      </c>
      <c r="F61" s="87">
        <v>4</v>
      </c>
      <c r="G61" s="37"/>
      <c r="H61" s="37">
        <f>COUNTIF('(参考)現行システム機能階層一覧'!$E$3:$E$1048576,sheet1!B61)</f>
        <v>0</v>
      </c>
      <c r="I61" s="37"/>
      <c r="J61" s="37"/>
      <c r="K61" s="37"/>
      <c r="L61" s="37"/>
    </row>
    <row r="62" spans="1:12" ht="15.75" customHeight="1">
      <c r="A62" s="87" t="s">
        <v>3935</v>
      </c>
      <c r="B62" s="87" t="s">
        <v>3968</v>
      </c>
      <c r="C62" s="87" t="s">
        <v>3969</v>
      </c>
      <c r="D62" s="88">
        <v>355</v>
      </c>
      <c r="E62" s="85" t="s">
        <v>3938</v>
      </c>
      <c r="F62" s="87">
        <v>1</v>
      </c>
      <c r="G62" s="37"/>
      <c r="H62" s="37">
        <f>COUNTIF('(参考)現行システム機能階層一覧'!$E$3:$E$1048576,sheet1!B62)</f>
        <v>0</v>
      </c>
      <c r="I62" s="37"/>
      <c r="J62" s="37"/>
      <c r="K62" s="37"/>
      <c r="L62" s="37"/>
    </row>
    <row r="63" spans="1:12" ht="15.75" customHeight="1">
      <c r="A63" s="87" t="s">
        <v>3935</v>
      </c>
      <c r="B63" s="87" t="s">
        <v>3970</v>
      </c>
      <c r="C63" s="87" t="s">
        <v>3971</v>
      </c>
      <c r="D63" s="88">
        <v>483</v>
      </c>
      <c r="E63" s="85" t="s">
        <v>3938</v>
      </c>
      <c r="F63" s="87">
        <v>1</v>
      </c>
      <c r="G63" s="37"/>
      <c r="H63" s="37">
        <f>COUNTIF('(参考)現行システム機能階層一覧'!$E$3:$E$1048576,sheet1!B63)</f>
        <v>0</v>
      </c>
      <c r="I63" s="37"/>
      <c r="J63" s="37"/>
      <c r="K63" s="37"/>
      <c r="L63" s="37"/>
    </row>
    <row r="64" spans="1:12" ht="15.75" customHeight="1">
      <c r="A64" s="87" t="s">
        <v>3935</v>
      </c>
      <c r="B64" s="87" t="s">
        <v>2221</v>
      </c>
      <c r="C64" s="87" t="s">
        <v>2249</v>
      </c>
      <c r="D64" s="88">
        <v>278</v>
      </c>
      <c r="E64" s="85" t="s">
        <v>3938</v>
      </c>
      <c r="F64" s="87">
        <v>4</v>
      </c>
      <c r="G64" s="37"/>
      <c r="H64" s="37">
        <f>COUNTIF('(参考)現行システム機能階層一覧'!$E$3:$E$1048576,sheet1!B64)</f>
        <v>1</v>
      </c>
      <c r="I64" s="37"/>
      <c r="J64" s="37"/>
      <c r="K64" s="37"/>
      <c r="L64" s="37"/>
    </row>
    <row r="65" spans="1:12" ht="15.75" customHeight="1">
      <c r="A65" s="87" t="s">
        <v>3853</v>
      </c>
      <c r="B65" s="87" t="s">
        <v>3972</v>
      </c>
      <c r="C65" s="87" t="s">
        <v>2249</v>
      </c>
      <c r="D65" s="88">
        <v>24</v>
      </c>
      <c r="E65" s="85" t="s">
        <v>3938</v>
      </c>
      <c r="F65" s="87">
        <v>4</v>
      </c>
      <c r="G65" s="37"/>
      <c r="H65" s="37">
        <f>COUNTIF('(参考)現行システム機能階層一覧'!$E$3:$E$1048576,sheet1!B65)</f>
        <v>0</v>
      </c>
      <c r="I65" s="37"/>
      <c r="J65" s="37"/>
      <c r="K65" s="37"/>
      <c r="L65" s="37"/>
    </row>
    <row r="66" spans="1:12" ht="15.75" customHeight="1">
      <c r="A66" s="87" t="s">
        <v>3935</v>
      </c>
      <c r="B66" s="87" t="s">
        <v>3186</v>
      </c>
      <c r="C66" s="87" t="s">
        <v>3973</v>
      </c>
      <c r="D66" s="88">
        <v>105</v>
      </c>
      <c r="E66" s="85" t="s">
        <v>3938</v>
      </c>
      <c r="F66" s="87">
        <v>4</v>
      </c>
      <c r="G66" s="37"/>
      <c r="H66" s="37">
        <f>COUNTIF('(参考)現行システム機能階層一覧'!$E$3:$E$1048576,sheet1!B66)</f>
        <v>1</v>
      </c>
      <c r="I66" s="37"/>
      <c r="J66" s="37"/>
      <c r="K66" s="37"/>
      <c r="L66" s="37"/>
    </row>
    <row r="67" spans="1:12" ht="15.75" customHeight="1">
      <c r="A67" s="87" t="s">
        <v>3853</v>
      </c>
      <c r="B67" s="87" t="s">
        <v>3974</v>
      </c>
      <c r="C67" s="87" t="s">
        <v>3217</v>
      </c>
      <c r="D67" s="88">
        <v>43</v>
      </c>
      <c r="E67" s="85" t="s">
        <v>3938</v>
      </c>
      <c r="F67" s="87">
        <v>4</v>
      </c>
      <c r="G67" s="37"/>
      <c r="H67" s="37">
        <f>COUNTIF('(参考)現行システム機能階層一覧'!$E$3:$E$1048576,sheet1!B67)</f>
        <v>0</v>
      </c>
      <c r="I67" s="37"/>
      <c r="J67" s="37"/>
      <c r="K67" s="37"/>
      <c r="L67" s="37"/>
    </row>
    <row r="68" spans="1:12" ht="15.75" customHeight="1">
      <c r="A68" s="87" t="s">
        <v>3935</v>
      </c>
      <c r="B68" s="87" t="s">
        <v>3975</v>
      </c>
      <c r="C68" s="87" t="s">
        <v>3976</v>
      </c>
      <c r="D68" s="88">
        <v>270</v>
      </c>
      <c r="E68" s="85" t="s">
        <v>3938</v>
      </c>
      <c r="F68" s="87">
        <v>1</v>
      </c>
      <c r="G68" s="37"/>
      <c r="H68" s="37">
        <f>COUNTIF('(参考)現行システム機能階層一覧'!$E$3:$E$1048576,sheet1!B68)</f>
        <v>0</v>
      </c>
      <c r="I68" s="37"/>
      <c r="J68" s="37"/>
      <c r="K68" s="37"/>
      <c r="L68" s="37"/>
    </row>
    <row r="69" spans="1:12" ht="15.75" customHeight="1">
      <c r="A69" s="87" t="s">
        <v>3935</v>
      </c>
      <c r="B69" s="87" t="s">
        <v>3977</v>
      </c>
      <c r="C69" s="87" t="s">
        <v>3978</v>
      </c>
      <c r="D69" s="88">
        <v>518</v>
      </c>
      <c r="E69" s="85" t="s">
        <v>3938</v>
      </c>
      <c r="F69" s="87">
        <v>2</v>
      </c>
      <c r="G69" s="37"/>
      <c r="H69" s="37">
        <f>COUNTIF('(参考)現行システム機能階層一覧'!$E$3:$E$1048576,sheet1!B69)</f>
        <v>0</v>
      </c>
      <c r="I69" s="37"/>
      <c r="J69" s="37"/>
      <c r="K69" s="37"/>
      <c r="L69" s="37"/>
    </row>
    <row r="70" spans="1:12" ht="15.75" customHeight="1">
      <c r="A70" s="87" t="s">
        <v>3935</v>
      </c>
      <c r="B70" s="87" t="s">
        <v>3166</v>
      </c>
      <c r="C70" s="87" t="s">
        <v>3767</v>
      </c>
      <c r="D70" s="88">
        <v>558</v>
      </c>
      <c r="E70" s="85" t="s">
        <v>3938</v>
      </c>
      <c r="F70" s="87">
        <v>10</v>
      </c>
      <c r="G70" s="37"/>
      <c r="H70" s="37">
        <f>COUNTIF('(参考)現行システム機能階層一覧'!$E$3:$E$1048576,sheet1!B70)</f>
        <v>2</v>
      </c>
      <c r="I70" s="37"/>
      <c r="J70" s="37"/>
      <c r="K70" s="37"/>
      <c r="L70" s="37"/>
    </row>
    <row r="71" spans="1:12" ht="15.75" customHeight="1">
      <c r="A71" s="87" t="s">
        <v>3935</v>
      </c>
      <c r="B71" s="87" t="s">
        <v>3169</v>
      </c>
      <c r="C71" s="87" t="s">
        <v>3979</v>
      </c>
      <c r="D71" s="88">
        <v>520</v>
      </c>
      <c r="E71" s="85" t="s">
        <v>3938</v>
      </c>
      <c r="F71" s="87">
        <v>1</v>
      </c>
      <c r="G71" s="37"/>
      <c r="H71" s="37">
        <f>COUNTIF('(参考)現行システム機能階層一覧'!$E$3:$E$1048576,sheet1!B71)</f>
        <v>1</v>
      </c>
      <c r="I71" s="37"/>
      <c r="J71" s="37"/>
      <c r="K71" s="37"/>
      <c r="L71" s="37"/>
    </row>
    <row r="72" spans="1:12" ht="15.75" customHeight="1">
      <c r="A72" s="87" t="s">
        <v>3935</v>
      </c>
      <c r="B72" s="87" t="s">
        <v>3172</v>
      </c>
      <c r="C72" s="87" t="s">
        <v>3980</v>
      </c>
      <c r="D72" s="88">
        <v>186</v>
      </c>
      <c r="E72" s="85" t="s">
        <v>3938</v>
      </c>
      <c r="F72" s="87">
        <v>1</v>
      </c>
      <c r="G72" s="37"/>
      <c r="H72" s="37">
        <f>COUNTIF('(参考)現行システム機能階層一覧'!$E$3:$E$1048576,sheet1!B72)</f>
        <v>1</v>
      </c>
      <c r="I72" s="37"/>
      <c r="J72" s="37"/>
      <c r="K72" s="37"/>
      <c r="L72" s="37"/>
    </row>
    <row r="73" spans="1:12" ht="15.75" customHeight="1">
      <c r="A73" s="87" t="s">
        <v>3853</v>
      </c>
      <c r="B73" s="87" t="s">
        <v>3981</v>
      </c>
      <c r="C73" s="87" t="s">
        <v>3982</v>
      </c>
      <c r="D73" s="88">
        <v>32</v>
      </c>
      <c r="E73" s="85" t="s">
        <v>3938</v>
      </c>
      <c r="F73" s="87">
        <v>1</v>
      </c>
      <c r="G73" s="37"/>
      <c r="H73" s="37">
        <f>COUNTIF('(参考)現行システム機能階層一覧'!$E$3:$E$1048576,sheet1!B73)</f>
        <v>0</v>
      </c>
      <c r="I73" s="37"/>
      <c r="J73" s="37"/>
      <c r="K73" s="37"/>
      <c r="L73" s="37"/>
    </row>
    <row r="74" spans="1:12" ht="15.75" customHeight="1">
      <c r="A74" s="87" t="s">
        <v>3935</v>
      </c>
      <c r="B74" s="87" t="s">
        <v>3983</v>
      </c>
      <c r="C74" s="87" t="s">
        <v>3982</v>
      </c>
      <c r="D74" s="88">
        <v>355</v>
      </c>
      <c r="E74" s="85" t="s">
        <v>3938</v>
      </c>
      <c r="F74" s="87">
        <v>1</v>
      </c>
      <c r="G74" s="37"/>
      <c r="H74" s="37">
        <f>COUNTIF('(参考)現行システム機能階層一覧'!$E$3:$E$1048576,sheet1!B74)</f>
        <v>0</v>
      </c>
      <c r="I74" s="37"/>
      <c r="J74" s="37"/>
      <c r="K74" s="37"/>
      <c r="L74" s="37"/>
    </row>
    <row r="75" spans="1:12" ht="15.75" customHeight="1">
      <c r="A75" s="87" t="s">
        <v>3935</v>
      </c>
      <c r="B75" s="87" t="s">
        <v>3191</v>
      </c>
      <c r="C75" s="87" t="s">
        <v>3984</v>
      </c>
      <c r="D75" s="88">
        <v>188</v>
      </c>
      <c r="E75" s="85" t="s">
        <v>3938</v>
      </c>
      <c r="F75" s="87">
        <v>2</v>
      </c>
      <c r="G75" s="37"/>
      <c r="H75" s="37">
        <f>COUNTIF('(参考)現行システム機能階層一覧'!$E$3:$E$1048576,sheet1!B75)</f>
        <v>1</v>
      </c>
      <c r="I75" s="37"/>
      <c r="J75" s="37"/>
      <c r="K75" s="37"/>
      <c r="L75" s="37"/>
    </row>
    <row r="76" spans="1:12" ht="15.75" customHeight="1">
      <c r="A76" s="87" t="s">
        <v>3853</v>
      </c>
      <c r="B76" s="87" t="s">
        <v>3985</v>
      </c>
      <c r="C76" s="87" t="s">
        <v>3986</v>
      </c>
      <c r="D76" s="88">
        <v>73</v>
      </c>
      <c r="E76" s="85" t="s">
        <v>3938</v>
      </c>
      <c r="F76" s="87">
        <v>2</v>
      </c>
      <c r="G76" s="37"/>
      <c r="H76" s="37">
        <f>COUNTIF('(参考)現行システム機能階層一覧'!$E$3:$E$1048576,sheet1!B76)</f>
        <v>0</v>
      </c>
      <c r="I76" s="37"/>
      <c r="J76" s="37"/>
      <c r="K76" s="37"/>
      <c r="L76" s="37"/>
    </row>
    <row r="77" spans="1:12" ht="15.75" customHeight="1">
      <c r="A77" s="87" t="s">
        <v>3935</v>
      </c>
      <c r="B77" s="87" t="s">
        <v>3175</v>
      </c>
      <c r="C77" s="87" t="s">
        <v>3987</v>
      </c>
      <c r="D77" s="88">
        <v>843</v>
      </c>
      <c r="E77" s="85" t="s">
        <v>3938</v>
      </c>
      <c r="F77" s="87">
        <v>2</v>
      </c>
      <c r="G77" s="37"/>
      <c r="H77" s="37">
        <f>COUNTIF('(参考)現行システム機能階層一覧'!$E$3:$E$1048576,sheet1!B77)</f>
        <v>1</v>
      </c>
      <c r="I77" s="37"/>
      <c r="J77" s="37"/>
      <c r="K77" s="37"/>
      <c r="L77" s="37"/>
    </row>
    <row r="78" spans="1:12" ht="15.75" customHeight="1">
      <c r="A78" s="87" t="s">
        <v>3853</v>
      </c>
      <c r="B78" s="87" t="s">
        <v>3988</v>
      </c>
      <c r="C78" s="87" t="s">
        <v>3989</v>
      </c>
      <c r="D78" s="88">
        <v>7</v>
      </c>
      <c r="E78" s="85" t="s">
        <v>3938</v>
      </c>
      <c r="F78" s="87">
        <v>2</v>
      </c>
      <c r="G78" s="37"/>
      <c r="H78" s="37">
        <f>COUNTIF('(参考)現行システム機能階層一覧'!$E$3:$E$1048576,sheet1!B78)</f>
        <v>0</v>
      </c>
      <c r="I78" s="37"/>
      <c r="J78" s="37"/>
      <c r="K78" s="37"/>
      <c r="L78" s="37"/>
    </row>
    <row r="79" spans="1:12" ht="15.75" customHeight="1">
      <c r="A79" s="87" t="s">
        <v>3935</v>
      </c>
      <c r="B79" s="87" t="s">
        <v>3198</v>
      </c>
      <c r="C79" s="87" t="s">
        <v>3984</v>
      </c>
      <c r="D79" s="88">
        <v>149</v>
      </c>
      <c r="E79" s="85" t="s">
        <v>3938</v>
      </c>
      <c r="F79" s="87">
        <v>1</v>
      </c>
      <c r="G79" s="37"/>
      <c r="H79" s="37">
        <f>COUNTIF('(参考)現行システム機能階層一覧'!$E$3:$E$1048576,sheet1!B79)</f>
        <v>1</v>
      </c>
      <c r="I79" s="37"/>
      <c r="J79" s="37"/>
      <c r="K79" s="37"/>
      <c r="L79" s="37"/>
    </row>
    <row r="80" spans="1:12" ht="15.75" customHeight="1">
      <c r="A80" s="87" t="s">
        <v>3853</v>
      </c>
      <c r="B80" s="87" t="s">
        <v>3990</v>
      </c>
      <c r="C80" s="87" t="s">
        <v>3986</v>
      </c>
      <c r="D80" s="88">
        <v>72</v>
      </c>
      <c r="E80" s="85" t="s">
        <v>3938</v>
      </c>
      <c r="F80" s="87">
        <v>1</v>
      </c>
      <c r="G80" s="37"/>
      <c r="H80" s="37">
        <f>COUNTIF('(参考)現行システム機能階層一覧'!$E$3:$E$1048576,sheet1!B80)</f>
        <v>0</v>
      </c>
      <c r="I80" s="37"/>
      <c r="J80" s="37"/>
      <c r="K80" s="37"/>
      <c r="L80" s="37"/>
    </row>
    <row r="81" spans="1:12" ht="15.75" customHeight="1">
      <c r="A81" s="87" t="s">
        <v>3935</v>
      </c>
      <c r="B81" s="87" t="s">
        <v>3178</v>
      </c>
      <c r="C81" s="87" t="s">
        <v>3991</v>
      </c>
      <c r="D81" s="88">
        <v>122</v>
      </c>
      <c r="E81" s="85" t="s">
        <v>3938</v>
      </c>
      <c r="F81" s="87">
        <v>1</v>
      </c>
      <c r="G81" s="37"/>
      <c r="H81" s="37">
        <f>COUNTIF('(参考)現行システム機能階層一覧'!$E$3:$E$1048576,sheet1!B81)</f>
        <v>1</v>
      </c>
      <c r="I81" s="37"/>
      <c r="J81" s="37"/>
      <c r="K81" s="37"/>
      <c r="L81" s="37"/>
    </row>
    <row r="82" spans="1:12" ht="15.75" customHeight="1">
      <c r="A82" s="87" t="s">
        <v>3853</v>
      </c>
      <c r="B82" s="87" t="s">
        <v>3992</v>
      </c>
      <c r="C82" s="87" t="s">
        <v>3993</v>
      </c>
      <c r="D82" s="88">
        <v>61</v>
      </c>
      <c r="E82" s="85" t="s">
        <v>3938</v>
      </c>
      <c r="F82" s="87">
        <v>1</v>
      </c>
      <c r="G82" s="37"/>
      <c r="H82" s="37">
        <f>COUNTIF('(参考)現行システム機能階層一覧'!$E$3:$E$1048576,sheet1!B82)</f>
        <v>0</v>
      </c>
      <c r="I82" s="37"/>
      <c r="J82" s="37"/>
      <c r="K82" s="37"/>
      <c r="L82" s="37"/>
    </row>
    <row r="83" spans="1:12" ht="15.75" customHeight="1">
      <c r="A83" s="87" t="s">
        <v>3935</v>
      </c>
      <c r="B83" s="87" t="s">
        <v>3994</v>
      </c>
      <c r="C83" s="87" t="s">
        <v>3995</v>
      </c>
      <c r="D83" s="88">
        <v>724</v>
      </c>
      <c r="E83" s="85" t="s">
        <v>3938</v>
      </c>
      <c r="F83" s="87">
        <v>1</v>
      </c>
      <c r="G83" s="37"/>
      <c r="H83" s="37">
        <f>COUNTIF('(参考)現行システム機能階層一覧'!$E$3:$E$1048576,sheet1!B83)</f>
        <v>0</v>
      </c>
      <c r="I83" s="37"/>
      <c r="J83" s="37"/>
      <c r="K83" s="37"/>
      <c r="L83" s="37"/>
    </row>
    <row r="84" spans="1:12" ht="15.75" customHeight="1">
      <c r="A84" s="87" t="s">
        <v>3935</v>
      </c>
      <c r="B84" s="87" t="s">
        <v>3181</v>
      </c>
      <c r="C84" s="87" t="s">
        <v>3996</v>
      </c>
      <c r="D84" s="88">
        <v>146</v>
      </c>
      <c r="E84" s="85" t="s">
        <v>3938</v>
      </c>
      <c r="F84" s="87">
        <v>1</v>
      </c>
      <c r="G84" s="37"/>
      <c r="H84" s="37">
        <f>COUNTIF('(参考)現行システム機能階層一覧'!$E$3:$E$1048576,sheet1!B84)</f>
        <v>1</v>
      </c>
      <c r="I84" s="37"/>
      <c r="J84" s="37"/>
      <c r="K84" s="37"/>
      <c r="L84" s="37"/>
    </row>
    <row r="85" spans="1:12" ht="15.75" customHeight="1">
      <c r="A85" s="87" t="s">
        <v>3853</v>
      </c>
      <c r="B85" s="87" t="s">
        <v>3997</v>
      </c>
      <c r="C85" s="87" t="s">
        <v>3998</v>
      </c>
      <c r="D85" s="88">
        <v>129</v>
      </c>
      <c r="E85" s="85" t="s">
        <v>3938</v>
      </c>
      <c r="F85" s="87">
        <v>1</v>
      </c>
      <c r="G85" s="37"/>
      <c r="H85" s="37">
        <f>COUNTIF('(参考)現行システム機能階層一覧'!$E$3:$E$1048576,sheet1!B85)</f>
        <v>0</v>
      </c>
      <c r="I85" s="37"/>
      <c r="J85" s="37"/>
      <c r="K85" s="37"/>
      <c r="L85" s="37"/>
    </row>
    <row r="86" spans="1:12" ht="15.75" customHeight="1">
      <c r="A86" s="87" t="s">
        <v>3853</v>
      </c>
      <c r="B86" s="87" t="s">
        <v>3999</v>
      </c>
      <c r="C86" s="87" t="s">
        <v>4000</v>
      </c>
      <c r="D86" s="88">
        <v>20</v>
      </c>
      <c r="E86" s="85" t="s">
        <v>3938</v>
      </c>
      <c r="F86" s="87">
        <v>1</v>
      </c>
      <c r="G86" s="37"/>
      <c r="H86" s="37">
        <f>COUNTIF('(参考)現行システム機能階層一覧'!$E$3:$E$1048576,sheet1!B86)</f>
        <v>0</v>
      </c>
      <c r="I86" s="37"/>
      <c r="J86" s="37"/>
      <c r="K86" s="37"/>
      <c r="L86" s="37"/>
    </row>
    <row r="87" spans="1:12" ht="15.75" customHeight="1">
      <c r="A87" s="87" t="s">
        <v>3935</v>
      </c>
      <c r="B87" s="87" t="s">
        <v>4001</v>
      </c>
      <c r="C87" s="87" t="s">
        <v>4002</v>
      </c>
      <c r="D87" s="88">
        <v>204</v>
      </c>
      <c r="E87" s="85" t="s">
        <v>3938</v>
      </c>
      <c r="F87" s="87">
        <v>1</v>
      </c>
      <c r="G87" s="37"/>
      <c r="H87" s="37">
        <f>COUNTIF('(参考)現行システム機能階層一覧'!$E$3:$E$1048576,sheet1!B87)</f>
        <v>0</v>
      </c>
      <c r="I87" s="37"/>
      <c r="J87" s="37"/>
      <c r="K87" s="37"/>
      <c r="L87" s="37"/>
    </row>
    <row r="88" spans="1:12" ht="15.75" customHeight="1">
      <c r="A88" s="87" t="s">
        <v>3935</v>
      </c>
      <c r="B88" s="87" t="s">
        <v>4003</v>
      </c>
      <c r="C88" s="87" t="s">
        <v>4004</v>
      </c>
      <c r="D88" s="88">
        <v>110</v>
      </c>
      <c r="E88" s="85" t="s">
        <v>3938</v>
      </c>
      <c r="F88" s="87">
        <v>1</v>
      </c>
      <c r="G88" s="37"/>
      <c r="H88" s="37">
        <f>COUNTIF('(参考)現行システム機能階層一覧'!$E$3:$E$1048576,sheet1!B88)</f>
        <v>0</v>
      </c>
      <c r="I88" s="37"/>
      <c r="J88" s="37"/>
      <c r="K88" s="37"/>
      <c r="L88" s="37"/>
    </row>
    <row r="89" spans="1:12" ht="15.75" customHeight="1">
      <c r="A89" s="87" t="s">
        <v>3935</v>
      </c>
      <c r="B89" s="87" t="s">
        <v>4005</v>
      </c>
      <c r="C89" s="87" t="s">
        <v>4006</v>
      </c>
      <c r="D89" s="88">
        <v>387</v>
      </c>
      <c r="E89" s="85" t="s">
        <v>3938</v>
      </c>
      <c r="F89" s="87">
        <v>1</v>
      </c>
      <c r="G89" s="37"/>
      <c r="H89" s="37">
        <f>COUNTIF('(参考)現行システム機能階層一覧'!$E$3:$E$1048576,sheet1!B89)</f>
        <v>0</v>
      </c>
      <c r="I89" s="37"/>
      <c r="J89" s="37"/>
      <c r="K89" s="37"/>
      <c r="L89" s="37"/>
    </row>
    <row r="90" spans="1:12" ht="15.75" customHeight="1">
      <c r="A90" s="87" t="s">
        <v>3935</v>
      </c>
      <c r="B90" s="87" t="s">
        <v>4007</v>
      </c>
      <c r="C90" s="87" t="s">
        <v>4008</v>
      </c>
      <c r="D90" s="88">
        <v>593</v>
      </c>
      <c r="E90" s="85" t="s">
        <v>3938</v>
      </c>
      <c r="F90" s="87">
        <v>76</v>
      </c>
      <c r="G90" s="37"/>
      <c r="H90" s="37">
        <f>COUNTIF('(参考)現行システム機能階層一覧'!$E$3:$E$1048576,sheet1!B90)</f>
        <v>0</v>
      </c>
      <c r="I90" s="37"/>
      <c r="J90" s="37"/>
      <c r="K90" s="37"/>
      <c r="L90" s="37"/>
    </row>
    <row r="91" spans="1:12" ht="15.75" customHeight="1">
      <c r="A91" s="87" t="s">
        <v>3935</v>
      </c>
      <c r="B91" s="87" t="s">
        <v>3771</v>
      </c>
      <c r="C91" s="87" t="s">
        <v>4009</v>
      </c>
      <c r="D91" s="88">
        <v>423</v>
      </c>
      <c r="E91" s="85" t="s">
        <v>3938</v>
      </c>
      <c r="F91" s="87">
        <v>299</v>
      </c>
      <c r="G91" s="37"/>
      <c r="H91" s="37">
        <f>COUNTIF('(参考)現行システム機能階層一覧'!$E$3:$E$1048576,sheet1!B91)</f>
        <v>1</v>
      </c>
      <c r="I91" s="37"/>
      <c r="J91" s="37"/>
      <c r="K91" s="37"/>
      <c r="L91" s="37"/>
    </row>
    <row r="92" spans="1:12" ht="15.75" customHeight="1">
      <c r="A92" s="87" t="s">
        <v>3853</v>
      </c>
      <c r="B92" s="87" t="s">
        <v>4010</v>
      </c>
      <c r="C92" s="87" t="s">
        <v>4011</v>
      </c>
      <c r="D92" s="88">
        <v>99</v>
      </c>
      <c r="E92" s="85" t="s">
        <v>3938</v>
      </c>
      <c r="F92" s="87">
        <v>425</v>
      </c>
      <c r="G92" s="37"/>
      <c r="H92" s="37">
        <f>COUNTIF('(参考)現行システム機能階層一覧'!$E$3:$E$1048576,sheet1!B92)</f>
        <v>0</v>
      </c>
      <c r="I92" s="37"/>
      <c r="J92" s="37"/>
      <c r="K92" s="37"/>
      <c r="L92" s="37"/>
    </row>
    <row r="93" spans="1:12" ht="15.75" customHeight="1">
      <c r="A93" s="87" t="s">
        <v>3935</v>
      </c>
      <c r="B93" s="87" t="s">
        <v>4012</v>
      </c>
      <c r="C93" s="87" t="s">
        <v>4013</v>
      </c>
      <c r="D93" s="88">
        <v>990</v>
      </c>
      <c r="E93" s="85" t="s">
        <v>3938</v>
      </c>
      <c r="F93" s="87">
        <v>357</v>
      </c>
      <c r="G93" s="37"/>
      <c r="H93" s="37">
        <f>COUNTIF('(参考)現行システム機能階層一覧'!$E$3:$E$1048576,sheet1!B93)</f>
        <v>0</v>
      </c>
      <c r="I93" s="37"/>
      <c r="J93" s="37"/>
      <c r="K93" s="37"/>
      <c r="L93" s="37"/>
    </row>
    <row r="94" spans="1:12" ht="15.75" customHeight="1">
      <c r="A94" s="87" t="s">
        <v>3935</v>
      </c>
      <c r="B94" s="87" t="s">
        <v>4014</v>
      </c>
      <c r="C94" s="87" t="s">
        <v>4015</v>
      </c>
      <c r="D94" s="88">
        <v>625</v>
      </c>
      <c r="E94" s="85" t="s">
        <v>3938</v>
      </c>
      <c r="F94" s="87">
        <v>310</v>
      </c>
      <c r="G94" s="37"/>
      <c r="H94" s="37">
        <f>COUNTIF('(参考)現行システム機能階層一覧'!$E$3:$E$1048576,sheet1!B94)</f>
        <v>0</v>
      </c>
      <c r="I94" s="37"/>
      <c r="J94" s="37"/>
      <c r="K94" s="37"/>
      <c r="L94" s="37"/>
    </row>
    <row r="95" spans="1:12" ht="15.75" customHeight="1">
      <c r="A95" s="87" t="s">
        <v>3935</v>
      </c>
      <c r="B95" s="87" t="s">
        <v>3336</v>
      </c>
      <c r="C95" s="87" t="s">
        <v>4016</v>
      </c>
      <c r="D95" s="88">
        <v>80</v>
      </c>
      <c r="E95" s="85" t="s">
        <v>3938</v>
      </c>
      <c r="F95" s="87">
        <v>19</v>
      </c>
      <c r="G95" s="37"/>
      <c r="H95" s="37">
        <f>COUNTIF('(参考)現行システム機能階層一覧'!$E$3:$E$1048576,sheet1!B95)</f>
        <v>2</v>
      </c>
      <c r="I95" s="37"/>
      <c r="J95" s="37"/>
      <c r="K95" s="37"/>
      <c r="L95" s="37"/>
    </row>
    <row r="96" spans="1:12" ht="15.75" customHeight="1">
      <c r="A96" s="87" t="s">
        <v>3935</v>
      </c>
      <c r="B96" s="87" t="s">
        <v>4017</v>
      </c>
      <c r="C96" s="87" t="s">
        <v>4018</v>
      </c>
      <c r="D96" s="88">
        <v>195</v>
      </c>
      <c r="E96" s="85" t="s">
        <v>3938</v>
      </c>
      <c r="F96" s="87">
        <v>7</v>
      </c>
      <c r="G96" s="37"/>
      <c r="H96" s="37">
        <f>COUNTIF('(参考)現行システム機能階層一覧'!$E$3:$E$1048576,sheet1!B96)</f>
        <v>0</v>
      </c>
      <c r="I96" s="37"/>
      <c r="J96" s="37"/>
      <c r="K96" s="37"/>
      <c r="L96" s="37"/>
    </row>
    <row r="97" spans="1:12" ht="15.75" customHeight="1">
      <c r="A97" s="87" t="s">
        <v>3935</v>
      </c>
      <c r="B97" s="87" t="s">
        <v>3343</v>
      </c>
      <c r="C97" s="87" t="s">
        <v>4019</v>
      </c>
      <c r="D97" s="88">
        <v>1238</v>
      </c>
      <c r="E97" s="85" t="s">
        <v>3938</v>
      </c>
      <c r="F97" s="87">
        <v>41</v>
      </c>
      <c r="G97" s="37"/>
      <c r="H97" s="37">
        <f>COUNTIF('(参考)現行システム機能階層一覧'!$E$3:$E$1048576,sheet1!B97)</f>
        <v>2</v>
      </c>
      <c r="I97" s="37"/>
      <c r="J97" s="37"/>
      <c r="K97" s="37"/>
      <c r="L97" s="37"/>
    </row>
    <row r="98" spans="1:12" ht="15.75" customHeight="1">
      <c r="A98" s="87" t="s">
        <v>3853</v>
      </c>
      <c r="B98" s="87" t="s">
        <v>4020</v>
      </c>
      <c r="C98" s="87" t="s">
        <v>4021</v>
      </c>
      <c r="D98" s="88">
        <v>21</v>
      </c>
      <c r="E98" s="85" t="s">
        <v>3938</v>
      </c>
      <c r="F98" s="87">
        <v>41</v>
      </c>
      <c r="G98" s="37"/>
      <c r="H98" s="37">
        <f>COUNTIF('(参考)現行システム機能階層一覧'!$E$3:$E$1048576,sheet1!B98)</f>
        <v>0</v>
      </c>
      <c r="I98" s="37"/>
      <c r="J98" s="37"/>
      <c r="K98" s="37"/>
      <c r="L98" s="37"/>
    </row>
    <row r="99" spans="1:12" ht="15.75" customHeight="1">
      <c r="A99" s="87" t="s">
        <v>3935</v>
      </c>
      <c r="B99" s="87" t="s">
        <v>4022</v>
      </c>
      <c r="C99" s="87" t="s">
        <v>4023</v>
      </c>
      <c r="D99" s="88">
        <v>476</v>
      </c>
      <c r="E99" s="85" t="s">
        <v>3938</v>
      </c>
      <c r="F99" s="87">
        <v>6</v>
      </c>
      <c r="G99" s="37"/>
      <c r="H99" s="37">
        <f>COUNTIF('(参考)現行システム機能階層一覧'!$E$3:$E$1048576,sheet1!B99)</f>
        <v>0</v>
      </c>
      <c r="I99" s="37"/>
      <c r="J99" s="37"/>
      <c r="K99" s="37"/>
      <c r="L99" s="37"/>
    </row>
    <row r="100" spans="1:12" ht="15.75" customHeight="1">
      <c r="A100" s="87" t="s">
        <v>3853</v>
      </c>
      <c r="B100" s="87" t="s">
        <v>4024</v>
      </c>
      <c r="C100" s="87" t="s">
        <v>4025</v>
      </c>
      <c r="D100" s="88">
        <v>64</v>
      </c>
      <c r="E100" s="85" t="s">
        <v>3938</v>
      </c>
      <c r="F100" s="87">
        <v>7</v>
      </c>
      <c r="G100" s="37"/>
      <c r="H100" s="37">
        <f>COUNTIF('(参考)現行システム機能階層一覧'!$E$3:$E$1048576,sheet1!B100)</f>
        <v>0</v>
      </c>
      <c r="I100" s="37"/>
      <c r="J100" s="37"/>
      <c r="K100" s="37"/>
      <c r="L100" s="37"/>
    </row>
    <row r="101" spans="1:12" ht="15.75" customHeight="1">
      <c r="A101" s="87" t="s">
        <v>3935</v>
      </c>
      <c r="B101" s="87" t="s">
        <v>4026</v>
      </c>
      <c r="C101" s="87" t="s">
        <v>4027</v>
      </c>
      <c r="D101" s="88">
        <v>1121</v>
      </c>
      <c r="E101" s="85" t="s">
        <v>3938</v>
      </c>
      <c r="F101" s="87">
        <v>6</v>
      </c>
      <c r="G101" s="37"/>
      <c r="H101" s="37">
        <f>COUNTIF('(参考)現行システム機能階層一覧'!$E$3:$E$1048576,sheet1!B101)</f>
        <v>0</v>
      </c>
      <c r="I101" s="37"/>
      <c r="J101" s="37"/>
      <c r="K101" s="37"/>
      <c r="L101" s="37"/>
    </row>
    <row r="102" spans="1:12" ht="15.75" customHeight="1">
      <c r="A102" s="87" t="s">
        <v>3935</v>
      </c>
      <c r="B102" s="87" t="s">
        <v>3478</v>
      </c>
      <c r="C102" s="87" t="s">
        <v>4028</v>
      </c>
      <c r="D102" s="88">
        <v>97</v>
      </c>
      <c r="E102" s="85" t="s">
        <v>3938</v>
      </c>
      <c r="F102" s="87">
        <v>55</v>
      </c>
      <c r="G102" s="37"/>
      <c r="H102" s="37">
        <f>COUNTIF('(参考)現行システム機能階層一覧'!$E$3:$E$1048576,sheet1!B102)</f>
        <v>1</v>
      </c>
      <c r="I102" s="37"/>
      <c r="J102" s="37"/>
      <c r="K102" s="37"/>
      <c r="L102" s="37"/>
    </row>
    <row r="103" spans="1:12" ht="15.75" customHeight="1">
      <c r="A103" s="87" t="s">
        <v>3853</v>
      </c>
      <c r="B103" s="87" t="s">
        <v>4029</v>
      </c>
      <c r="C103" s="87" t="s">
        <v>4030</v>
      </c>
      <c r="D103" s="88">
        <v>79</v>
      </c>
      <c r="E103" s="85" t="s">
        <v>3938</v>
      </c>
      <c r="F103" s="87">
        <v>55</v>
      </c>
      <c r="G103" s="37"/>
      <c r="H103" s="37">
        <f>COUNTIF('(参考)現行システム機能階層一覧'!$E$3:$E$1048576,sheet1!B103)</f>
        <v>0</v>
      </c>
      <c r="I103" s="37"/>
      <c r="J103" s="37"/>
      <c r="K103" s="37"/>
      <c r="L103" s="37"/>
    </row>
    <row r="104" spans="1:12" ht="15.75" customHeight="1">
      <c r="A104" s="87" t="s">
        <v>3935</v>
      </c>
      <c r="B104" s="87" t="s">
        <v>4031</v>
      </c>
      <c r="C104" s="87" t="s">
        <v>4032</v>
      </c>
      <c r="D104" s="88">
        <v>90</v>
      </c>
      <c r="E104" s="85" t="s">
        <v>3938</v>
      </c>
      <c r="F104" s="87">
        <v>1888</v>
      </c>
      <c r="G104" s="37"/>
      <c r="H104" s="37">
        <f>COUNTIF('(参考)現行システム機能階層一覧'!$E$3:$E$1048576,sheet1!B104)</f>
        <v>0</v>
      </c>
      <c r="I104" s="37"/>
      <c r="J104" s="37"/>
      <c r="K104" s="37"/>
      <c r="L104" s="37"/>
    </row>
    <row r="105" spans="1:12" ht="15.75" customHeight="1">
      <c r="A105" s="87" t="s">
        <v>3853</v>
      </c>
      <c r="B105" s="87" t="s">
        <v>4033</v>
      </c>
      <c r="C105" s="87" t="s">
        <v>4034</v>
      </c>
      <c r="D105" s="88">
        <v>46</v>
      </c>
      <c r="E105" s="85" t="s">
        <v>3938</v>
      </c>
      <c r="F105" s="87">
        <v>1888</v>
      </c>
      <c r="G105" s="37"/>
      <c r="H105" s="37">
        <f>COUNTIF('(参考)現行システム機能階層一覧'!$E$3:$E$1048576,sheet1!B105)</f>
        <v>0</v>
      </c>
      <c r="I105" s="37"/>
      <c r="J105" s="37"/>
      <c r="K105" s="37"/>
      <c r="L105" s="37"/>
    </row>
    <row r="106" spans="1:12" ht="15.75" customHeight="1">
      <c r="A106" s="87" t="s">
        <v>3935</v>
      </c>
      <c r="B106" s="87" t="s">
        <v>4035</v>
      </c>
      <c r="C106" s="87" t="s">
        <v>4036</v>
      </c>
      <c r="D106" s="88">
        <v>90</v>
      </c>
      <c r="E106" s="85" t="s">
        <v>3938</v>
      </c>
      <c r="F106" s="87">
        <v>126</v>
      </c>
      <c r="G106" s="37"/>
      <c r="H106" s="37">
        <f>COUNTIF('(参考)現行システム機能階層一覧'!$E$3:$E$1048576,sheet1!B106)</f>
        <v>0</v>
      </c>
      <c r="I106" s="37"/>
      <c r="J106" s="37"/>
      <c r="K106" s="37"/>
      <c r="L106" s="37"/>
    </row>
    <row r="107" spans="1:12" ht="15.75" customHeight="1">
      <c r="A107" s="87" t="s">
        <v>3935</v>
      </c>
      <c r="B107" s="87" t="s">
        <v>4037</v>
      </c>
      <c r="C107" s="87" t="s">
        <v>4038</v>
      </c>
      <c r="D107" s="88">
        <v>188</v>
      </c>
      <c r="E107" s="85" t="s">
        <v>3938</v>
      </c>
      <c r="F107" s="87">
        <v>2</v>
      </c>
      <c r="G107" s="37"/>
      <c r="H107" s="37">
        <f>COUNTIF('(参考)現行システム機能階層一覧'!$E$3:$E$1048576,sheet1!B107)</f>
        <v>0</v>
      </c>
      <c r="I107" s="37"/>
      <c r="J107" s="37"/>
      <c r="K107" s="37"/>
      <c r="L107" s="37"/>
    </row>
    <row r="108" spans="1:12" ht="15.75" customHeight="1">
      <c r="A108" s="87" t="s">
        <v>3853</v>
      </c>
      <c r="B108" s="87" t="s">
        <v>4039</v>
      </c>
      <c r="C108" s="87" t="s">
        <v>4040</v>
      </c>
      <c r="D108" s="88">
        <v>62</v>
      </c>
      <c r="E108" s="85" t="s">
        <v>3938</v>
      </c>
      <c r="F108" s="87">
        <v>2</v>
      </c>
      <c r="G108" s="37"/>
      <c r="H108" s="37">
        <f>COUNTIF('(参考)現行システム機能階層一覧'!$E$3:$E$1048576,sheet1!B108)</f>
        <v>0</v>
      </c>
      <c r="I108" s="37"/>
      <c r="J108" s="37"/>
      <c r="K108" s="37"/>
      <c r="L108" s="37"/>
    </row>
    <row r="109" spans="1:12" ht="15.75" customHeight="1">
      <c r="A109" s="87" t="s">
        <v>3935</v>
      </c>
      <c r="B109" s="87" t="s">
        <v>4041</v>
      </c>
      <c r="C109" s="87" t="s">
        <v>4042</v>
      </c>
      <c r="D109" s="88">
        <v>256</v>
      </c>
      <c r="E109" s="85" t="s">
        <v>3938</v>
      </c>
      <c r="F109" s="87">
        <v>2</v>
      </c>
      <c r="G109" s="37"/>
      <c r="H109" s="37">
        <f>COUNTIF('(参考)現行システム機能階層一覧'!$E$3:$E$1048576,sheet1!B109)</f>
        <v>0</v>
      </c>
      <c r="I109" s="37"/>
      <c r="J109" s="37"/>
      <c r="K109" s="37"/>
      <c r="L109" s="37"/>
    </row>
    <row r="110" spans="1:12" ht="15.75" customHeight="1">
      <c r="A110" s="87" t="s">
        <v>3935</v>
      </c>
      <c r="B110" s="87" t="s">
        <v>4043</v>
      </c>
      <c r="C110" s="87" t="s">
        <v>4044</v>
      </c>
      <c r="D110" s="88">
        <v>744</v>
      </c>
      <c r="E110" s="85" t="s">
        <v>3938</v>
      </c>
      <c r="F110" s="87">
        <v>2</v>
      </c>
      <c r="G110" s="37"/>
      <c r="H110" s="37">
        <f>COUNTIF('(参考)現行システム機能階層一覧'!$E$3:$E$1048576,sheet1!B110)</f>
        <v>0</v>
      </c>
      <c r="I110" s="37"/>
      <c r="J110" s="37"/>
      <c r="K110" s="37"/>
      <c r="L110" s="37"/>
    </row>
    <row r="111" spans="1:12" ht="15.75" customHeight="1">
      <c r="A111" s="87" t="s">
        <v>3935</v>
      </c>
      <c r="B111" s="87" t="s">
        <v>4045</v>
      </c>
      <c r="C111" s="87" t="s">
        <v>4046</v>
      </c>
      <c r="D111" s="88">
        <v>202</v>
      </c>
      <c r="E111" s="85" t="s">
        <v>3938</v>
      </c>
      <c r="F111" s="87">
        <v>1</v>
      </c>
      <c r="G111" s="37"/>
      <c r="H111" s="37">
        <f>COUNTIF('(参考)現行システム機能階層一覧'!$E$3:$E$1048576,sheet1!B111)</f>
        <v>0</v>
      </c>
      <c r="I111" s="37"/>
      <c r="J111" s="37"/>
      <c r="K111" s="37"/>
      <c r="L111" s="37"/>
    </row>
    <row r="112" spans="1:12" ht="15.75" customHeight="1">
      <c r="A112" s="87" t="s">
        <v>3935</v>
      </c>
      <c r="B112" s="87" t="s">
        <v>2619</v>
      </c>
      <c r="C112" s="87" t="s">
        <v>4047</v>
      </c>
      <c r="D112" s="88">
        <v>228</v>
      </c>
      <c r="E112" s="85" t="s">
        <v>3938</v>
      </c>
      <c r="F112" s="87">
        <v>489</v>
      </c>
      <c r="G112" s="37"/>
      <c r="H112" s="37">
        <f>COUNTIF('(参考)現行システム機能階層一覧'!$E$3:$E$1048576,sheet1!B112)</f>
        <v>1</v>
      </c>
      <c r="I112" s="37"/>
      <c r="J112" s="37"/>
      <c r="K112" s="37"/>
      <c r="L112" s="37"/>
    </row>
    <row r="113" spans="1:12" ht="15.75" customHeight="1">
      <c r="A113" s="87" t="s">
        <v>3853</v>
      </c>
      <c r="B113" s="87" t="s">
        <v>4048</v>
      </c>
      <c r="C113" s="87" t="s">
        <v>2655</v>
      </c>
      <c r="D113" s="88">
        <v>81</v>
      </c>
      <c r="E113" s="85" t="s">
        <v>3938</v>
      </c>
      <c r="F113" s="87">
        <v>359</v>
      </c>
      <c r="G113" s="37"/>
      <c r="H113" s="37">
        <f>COUNTIF('(参考)現行システム機能階層一覧'!$E$3:$E$1048576,sheet1!B113)</f>
        <v>0</v>
      </c>
      <c r="I113" s="37"/>
      <c r="J113" s="37"/>
      <c r="K113" s="37"/>
      <c r="L113" s="37"/>
    </row>
    <row r="114" spans="1:12" ht="15.75" customHeight="1">
      <c r="A114" s="87" t="s">
        <v>3935</v>
      </c>
      <c r="B114" s="87" t="s">
        <v>4049</v>
      </c>
      <c r="C114" s="87" t="s">
        <v>4050</v>
      </c>
      <c r="D114" s="88">
        <v>524</v>
      </c>
      <c r="E114" s="85" t="s">
        <v>3938</v>
      </c>
      <c r="F114" s="87">
        <v>339</v>
      </c>
      <c r="G114" s="37"/>
      <c r="H114" s="37">
        <f>COUNTIF('(参考)現行システム機能階層一覧'!$E$3:$E$1048576,sheet1!B114)</f>
        <v>0</v>
      </c>
      <c r="I114" s="37"/>
      <c r="J114" s="37"/>
      <c r="K114" s="37"/>
      <c r="L114" s="37"/>
    </row>
    <row r="115" spans="1:12" ht="15.75" customHeight="1">
      <c r="A115" s="87" t="s">
        <v>3935</v>
      </c>
      <c r="B115" s="87" t="s">
        <v>4051</v>
      </c>
      <c r="C115" s="87" t="s">
        <v>4052</v>
      </c>
      <c r="D115" s="88">
        <v>286</v>
      </c>
      <c r="E115" s="85" t="s">
        <v>3938</v>
      </c>
      <c r="F115" s="87">
        <v>467</v>
      </c>
      <c r="G115" s="37"/>
      <c r="H115" s="37">
        <f>COUNTIF('(参考)現行システム機能階層一覧'!$E$3:$E$1048576,sheet1!B115)</f>
        <v>0</v>
      </c>
      <c r="I115" s="37"/>
      <c r="J115" s="37"/>
      <c r="K115" s="37"/>
      <c r="L115" s="37"/>
    </row>
    <row r="116" spans="1:12" ht="15.75" customHeight="1">
      <c r="A116" s="87" t="s">
        <v>3935</v>
      </c>
      <c r="B116" s="87" t="s">
        <v>4053</v>
      </c>
      <c r="C116" s="87" t="s">
        <v>4050</v>
      </c>
      <c r="D116" s="88">
        <v>483</v>
      </c>
      <c r="E116" s="85" t="s">
        <v>3938</v>
      </c>
      <c r="F116" s="87">
        <v>138</v>
      </c>
      <c r="G116" s="37"/>
      <c r="H116" s="37">
        <f>COUNTIF('(参考)現行システム機能階層一覧'!$E$3:$E$1048576,sheet1!B116)</f>
        <v>0</v>
      </c>
      <c r="I116" s="37"/>
      <c r="J116" s="37"/>
      <c r="K116" s="37"/>
      <c r="L116" s="37"/>
    </row>
    <row r="117" spans="1:12" ht="15.75" customHeight="1">
      <c r="A117" s="87" t="s">
        <v>3935</v>
      </c>
      <c r="B117" s="87" t="s">
        <v>4054</v>
      </c>
      <c r="C117" s="87" t="s">
        <v>4055</v>
      </c>
      <c r="D117" s="88">
        <v>178</v>
      </c>
      <c r="E117" s="85" t="s">
        <v>3938</v>
      </c>
      <c r="F117" s="87">
        <v>141</v>
      </c>
      <c r="G117" s="37"/>
      <c r="H117" s="37">
        <f>COUNTIF('(参考)現行システム機能階層一覧'!$E$3:$E$1048576,sheet1!B117)</f>
        <v>0</v>
      </c>
      <c r="I117" s="37"/>
      <c r="J117" s="37"/>
      <c r="K117" s="37"/>
      <c r="L117" s="37"/>
    </row>
    <row r="118" spans="1:12" ht="15.75" customHeight="1">
      <c r="A118" s="87" t="s">
        <v>3935</v>
      </c>
      <c r="B118" s="87" t="s">
        <v>2198</v>
      </c>
      <c r="C118" s="87" t="s">
        <v>4056</v>
      </c>
      <c r="D118" s="88">
        <v>215</v>
      </c>
      <c r="E118" s="85" t="s">
        <v>3938</v>
      </c>
      <c r="F118" s="87">
        <v>5</v>
      </c>
      <c r="G118" s="37"/>
      <c r="H118" s="37">
        <f>COUNTIF('(参考)現行システム機能階層一覧'!$E$3:$E$1048576,sheet1!B118)</f>
        <v>1</v>
      </c>
      <c r="I118" s="37"/>
      <c r="J118" s="37"/>
      <c r="K118" s="37"/>
      <c r="L118" s="37"/>
    </row>
    <row r="119" spans="1:12" ht="15.75" customHeight="1">
      <c r="A119" s="87" t="s">
        <v>3853</v>
      </c>
      <c r="B119" s="87" t="s">
        <v>4057</v>
      </c>
      <c r="C119" s="87" t="s">
        <v>4058</v>
      </c>
      <c r="D119" s="88">
        <v>55</v>
      </c>
      <c r="E119" s="85" t="s">
        <v>3938</v>
      </c>
      <c r="F119" s="87">
        <v>5</v>
      </c>
      <c r="G119" s="37"/>
      <c r="H119" s="37">
        <f>COUNTIF('(参考)現行システム機能階層一覧'!$E$3:$E$1048576,sheet1!B119)</f>
        <v>0</v>
      </c>
      <c r="I119" s="37"/>
      <c r="J119" s="37"/>
      <c r="K119" s="37"/>
      <c r="L119" s="37"/>
    </row>
    <row r="120" spans="1:12" ht="15.75" customHeight="1">
      <c r="A120" s="87" t="s">
        <v>3935</v>
      </c>
      <c r="B120" s="87" t="s">
        <v>4059</v>
      </c>
      <c r="C120" s="87" t="s">
        <v>4060</v>
      </c>
      <c r="D120" s="88">
        <v>531</v>
      </c>
      <c r="E120" s="85" t="s">
        <v>3938</v>
      </c>
      <c r="F120" s="87">
        <v>2</v>
      </c>
      <c r="G120" s="37"/>
      <c r="H120" s="37">
        <f>COUNTIF('(参考)現行システム機能階層一覧'!$E$3:$E$1048576,sheet1!B120)</f>
        <v>0</v>
      </c>
      <c r="I120" s="37"/>
      <c r="J120" s="37"/>
      <c r="K120" s="37"/>
      <c r="L120" s="37"/>
    </row>
    <row r="121" spans="1:12" ht="15.75" customHeight="1">
      <c r="A121" s="87" t="s">
        <v>3935</v>
      </c>
      <c r="B121" s="87" t="s">
        <v>4061</v>
      </c>
      <c r="C121" s="87" t="s">
        <v>4062</v>
      </c>
      <c r="D121" s="88">
        <v>555</v>
      </c>
      <c r="E121" s="85" t="s">
        <v>3938</v>
      </c>
      <c r="F121" s="87">
        <v>2</v>
      </c>
      <c r="G121" s="37"/>
      <c r="H121" s="37">
        <f>COUNTIF('(参考)現行システム機能階層一覧'!$E$3:$E$1048576,sheet1!B121)</f>
        <v>0</v>
      </c>
      <c r="I121" s="37"/>
      <c r="J121" s="37"/>
      <c r="K121" s="37"/>
      <c r="L121" s="37"/>
    </row>
    <row r="122" spans="1:12" ht="15.75" customHeight="1">
      <c r="A122" s="87" t="s">
        <v>3935</v>
      </c>
      <c r="B122" s="87" t="s">
        <v>2202</v>
      </c>
      <c r="C122" s="87" t="s">
        <v>4063</v>
      </c>
      <c r="D122" s="88">
        <v>153</v>
      </c>
      <c r="E122" s="85" t="s">
        <v>3938</v>
      </c>
      <c r="F122" s="87">
        <v>5</v>
      </c>
      <c r="G122" s="37"/>
      <c r="H122" s="37">
        <f>COUNTIF('(参考)現行システム機能階層一覧'!$E$3:$E$1048576,sheet1!B122)</f>
        <v>1</v>
      </c>
      <c r="I122" s="37"/>
      <c r="J122" s="37"/>
      <c r="K122" s="37"/>
      <c r="L122" s="37"/>
    </row>
    <row r="123" spans="1:12" ht="15.75" customHeight="1">
      <c r="A123" s="87" t="s">
        <v>3853</v>
      </c>
      <c r="B123" s="87" t="s">
        <v>4064</v>
      </c>
      <c r="C123" s="87" t="s">
        <v>4065</v>
      </c>
      <c r="D123" s="88">
        <v>30</v>
      </c>
      <c r="E123" s="85" t="s">
        <v>3938</v>
      </c>
      <c r="F123" s="87">
        <v>5</v>
      </c>
      <c r="G123" s="37"/>
      <c r="H123" s="37">
        <f>COUNTIF('(参考)現行システム機能階層一覧'!$E$3:$E$1048576,sheet1!B123)</f>
        <v>0</v>
      </c>
      <c r="I123" s="37"/>
      <c r="J123" s="37"/>
      <c r="K123" s="37"/>
      <c r="L123" s="37"/>
    </row>
    <row r="124" spans="1:12" ht="15.75" customHeight="1">
      <c r="A124" s="87" t="s">
        <v>3935</v>
      </c>
      <c r="B124" s="87" t="s">
        <v>4066</v>
      </c>
      <c r="C124" s="87" t="s">
        <v>4067</v>
      </c>
      <c r="D124" s="88">
        <v>241</v>
      </c>
      <c r="E124" s="85" t="s">
        <v>3938</v>
      </c>
      <c r="F124" s="87">
        <v>3</v>
      </c>
      <c r="G124" s="37"/>
      <c r="H124" s="37">
        <f>COUNTIF('(参考)現行システム機能階層一覧'!$E$3:$E$1048576,sheet1!B124)</f>
        <v>0</v>
      </c>
      <c r="I124" s="37"/>
      <c r="J124" s="37"/>
      <c r="K124" s="37"/>
      <c r="L124" s="37"/>
    </row>
    <row r="125" spans="1:12" ht="15.75" customHeight="1">
      <c r="A125" s="87" t="s">
        <v>3935</v>
      </c>
      <c r="B125" s="87" t="s">
        <v>4068</v>
      </c>
      <c r="C125" s="87" t="s">
        <v>4069</v>
      </c>
      <c r="D125" s="88">
        <v>406</v>
      </c>
      <c r="E125" s="85" t="s">
        <v>3938</v>
      </c>
      <c r="F125" s="87">
        <v>3</v>
      </c>
      <c r="G125" s="37"/>
      <c r="H125" s="37">
        <f>COUNTIF('(参考)現行システム機能階層一覧'!$E$3:$E$1048576,sheet1!B125)</f>
        <v>0</v>
      </c>
      <c r="I125" s="37"/>
      <c r="J125" s="37"/>
      <c r="K125" s="37"/>
      <c r="L125" s="37"/>
    </row>
    <row r="126" spans="1:12" ht="15.75" customHeight="1">
      <c r="A126" s="87" t="s">
        <v>3935</v>
      </c>
      <c r="B126" s="87" t="s">
        <v>3452</v>
      </c>
      <c r="C126" s="87" t="s">
        <v>4070</v>
      </c>
      <c r="D126" s="88">
        <v>188</v>
      </c>
      <c r="E126" s="85" t="s">
        <v>3938</v>
      </c>
      <c r="F126" s="87">
        <v>218</v>
      </c>
      <c r="G126" s="37"/>
      <c r="H126" s="37">
        <f>COUNTIF('(参考)現行システム機能階層一覧'!$E$3:$E$1048576,sheet1!B126)</f>
        <v>1</v>
      </c>
      <c r="I126" s="37"/>
      <c r="J126" s="37"/>
      <c r="K126" s="37"/>
      <c r="L126" s="37"/>
    </row>
    <row r="127" spans="1:12" ht="15.75" customHeight="1">
      <c r="A127" s="87" t="s">
        <v>3853</v>
      </c>
      <c r="B127" s="87" t="s">
        <v>4071</v>
      </c>
      <c r="C127" s="87" t="s">
        <v>4072</v>
      </c>
      <c r="D127" s="88">
        <v>304</v>
      </c>
      <c r="E127" s="85" t="s">
        <v>3938</v>
      </c>
      <c r="F127" s="87">
        <v>218</v>
      </c>
      <c r="G127" s="37"/>
      <c r="H127" s="37">
        <f>COUNTIF('(参考)現行システム機能階層一覧'!$E$3:$E$1048576,sheet1!B127)</f>
        <v>0</v>
      </c>
      <c r="I127" s="37"/>
      <c r="J127" s="37"/>
      <c r="K127" s="37"/>
      <c r="L127" s="37"/>
    </row>
    <row r="128" spans="1:12" ht="15.75" customHeight="1">
      <c r="A128" s="87" t="s">
        <v>3935</v>
      </c>
      <c r="B128" s="87" t="s">
        <v>4073</v>
      </c>
      <c r="C128" s="87" t="s">
        <v>4074</v>
      </c>
      <c r="D128" s="88">
        <v>45</v>
      </c>
      <c r="E128" s="85" t="s">
        <v>3938</v>
      </c>
      <c r="F128" s="87">
        <v>167</v>
      </c>
      <c r="G128" s="37"/>
      <c r="H128" s="37">
        <f>COUNTIF('(参考)現行システム機能階層一覧'!$E$3:$E$1048576,sheet1!B128)</f>
        <v>0</v>
      </c>
      <c r="I128" s="37"/>
      <c r="J128" s="37"/>
      <c r="K128" s="37"/>
      <c r="L128" s="37"/>
    </row>
    <row r="129" spans="1:12" ht="15.75" customHeight="1">
      <c r="A129" s="87" t="s">
        <v>3935</v>
      </c>
      <c r="B129" s="87" t="s">
        <v>4075</v>
      </c>
      <c r="C129" s="87" t="s">
        <v>4076</v>
      </c>
      <c r="D129" s="88">
        <v>583</v>
      </c>
      <c r="E129" s="85" t="s">
        <v>3938</v>
      </c>
      <c r="F129" s="87">
        <v>58</v>
      </c>
      <c r="G129" s="37"/>
      <c r="H129" s="37">
        <f>COUNTIF('(参考)現行システム機能階層一覧'!$E$3:$E$1048576,sheet1!B129)</f>
        <v>0</v>
      </c>
      <c r="I129" s="37"/>
      <c r="J129" s="37"/>
      <c r="K129" s="37"/>
      <c r="L129" s="37"/>
    </row>
    <row r="130" spans="1:12" ht="15.75" customHeight="1">
      <c r="A130" s="87" t="s">
        <v>3935</v>
      </c>
      <c r="B130" s="87" t="s">
        <v>4077</v>
      </c>
      <c r="C130" s="87" t="s">
        <v>4078</v>
      </c>
      <c r="D130" s="88">
        <v>773</v>
      </c>
      <c r="E130" s="85" t="s">
        <v>3938</v>
      </c>
      <c r="F130" s="87">
        <v>2</v>
      </c>
      <c r="G130" s="37"/>
      <c r="H130" s="37">
        <f>COUNTIF('(参考)現行システム機能階層一覧'!$E$3:$E$1048576,sheet1!B130)</f>
        <v>0</v>
      </c>
      <c r="I130" s="37"/>
      <c r="J130" s="37"/>
      <c r="K130" s="37"/>
      <c r="L130" s="37"/>
    </row>
    <row r="131" spans="1:12" ht="15.75" customHeight="1">
      <c r="A131" s="87" t="s">
        <v>3853</v>
      </c>
      <c r="B131" s="87" t="s">
        <v>4079</v>
      </c>
      <c r="C131" s="87" t="s">
        <v>4080</v>
      </c>
      <c r="D131" s="88">
        <v>130</v>
      </c>
      <c r="E131" s="85" t="s">
        <v>3938</v>
      </c>
      <c r="F131" s="87">
        <v>46</v>
      </c>
      <c r="G131" s="37"/>
      <c r="H131" s="37">
        <f>COUNTIF('(参考)現行システム機能階層一覧'!$E$3:$E$1048576,sheet1!B131)</f>
        <v>0</v>
      </c>
      <c r="I131" s="37"/>
      <c r="J131" s="37"/>
      <c r="K131" s="37"/>
      <c r="L131" s="37"/>
    </row>
    <row r="132" spans="1:12" ht="15.75" customHeight="1">
      <c r="A132" s="87" t="s">
        <v>3935</v>
      </c>
      <c r="B132" s="87" t="s">
        <v>4081</v>
      </c>
      <c r="C132" s="87" t="s">
        <v>4082</v>
      </c>
      <c r="D132" s="88">
        <v>819</v>
      </c>
      <c r="E132" s="85" t="s">
        <v>3938</v>
      </c>
      <c r="F132" s="87">
        <v>30</v>
      </c>
      <c r="G132" s="37"/>
      <c r="H132" s="37">
        <f>COUNTIF('(参考)現行システム機能階層一覧'!$E$3:$E$1048576,sheet1!B132)</f>
        <v>0</v>
      </c>
      <c r="I132" s="37"/>
      <c r="J132" s="37"/>
      <c r="K132" s="37"/>
      <c r="L132" s="37"/>
    </row>
    <row r="133" spans="1:12" ht="15.75" customHeight="1">
      <c r="A133" s="87" t="s">
        <v>3935</v>
      </c>
      <c r="B133" s="87" t="s">
        <v>4083</v>
      </c>
      <c r="C133" s="87" t="s">
        <v>4084</v>
      </c>
      <c r="D133" s="88">
        <v>645</v>
      </c>
      <c r="E133" s="85" t="s">
        <v>3938</v>
      </c>
      <c r="F133" s="87">
        <v>2</v>
      </c>
      <c r="G133" s="37"/>
      <c r="H133" s="37">
        <f>COUNTIF('(参考)現行システム機能階層一覧'!$E$3:$E$1048576,sheet1!B133)</f>
        <v>0</v>
      </c>
      <c r="I133" s="37"/>
      <c r="J133" s="37"/>
      <c r="K133" s="37"/>
      <c r="L133" s="37"/>
    </row>
    <row r="134" spans="1:12" ht="15.75" customHeight="1">
      <c r="A134" s="87" t="s">
        <v>3935</v>
      </c>
      <c r="B134" s="87" t="s">
        <v>4085</v>
      </c>
      <c r="C134" s="87" t="s">
        <v>4086</v>
      </c>
      <c r="D134" s="88">
        <v>571</v>
      </c>
      <c r="E134" s="85" t="s">
        <v>3938</v>
      </c>
      <c r="F134" s="87">
        <v>1</v>
      </c>
      <c r="G134" s="37"/>
      <c r="H134" s="37">
        <f>COUNTIF('(参考)現行システム機能階層一覧'!$E$3:$E$1048576,sheet1!B134)</f>
        <v>0</v>
      </c>
      <c r="I134" s="37"/>
      <c r="J134" s="37"/>
      <c r="K134" s="37"/>
      <c r="L134" s="37"/>
    </row>
    <row r="135" spans="1:12" ht="15.75" customHeight="1">
      <c r="A135" s="87" t="s">
        <v>3935</v>
      </c>
      <c r="B135" s="87" t="s">
        <v>4087</v>
      </c>
      <c r="C135" s="87" t="s">
        <v>4088</v>
      </c>
      <c r="D135" s="88">
        <v>608</v>
      </c>
      <c r="E135" s="85" t="s">
        <v>3938</v>
      </c>
      <c r="F135" s="87">
        <v>1</v>
      </c>
      <c r="G135" s="37"/>
      <c r="H135" s="37">
        <f>COUNTIF('(参考)現行システム機能階層一覧'!$E$3:$E$1048576,sheet1!B135)</f>
        <v>0</v>
      </c>
      <c r="I135" s="37"/>
      <c r="J135" s="37"/>
      <c r="K135" s="37"/>
      <c r="L135" s="37"/>
    </row>
    <row r="136" spans="1:12" ht="15.75" customHeight="1">
      <c r="A136" s="87" t="s">
        <v>3935</v>
      </c>
      <c r="B136" s="87" t="s">
        <v>4089</v>
      </c>
      <c r="C136" s="87" t="s">
        <v>4090</v>
      </c>
      <c r="D136" s="88">
        <v>503</v>
      </c>
      <c r="E136" s="85" t="s">
        <v>3938</v>
      </c>
      <c r="F136" s="87">
        <v>128</v>
      </c>
      <c r="G136" s="37"/>
      <c r="H136" s="37">
        <f>COUNTIF('(参考)現行システム機能階層一覧'!$E$3:$E$1048576,sheet1!B136)</f>
        <v>0</v>
      </c>
      <c r="I136" s="37"/>
      <c r="J136" s="37"/>
      <c r="K136" s="37"/>
      <c r="L136" s="37"/>
    </row>
    <row r="137" spans="1:12" ht="15.75" customHeight="1">
      <c r="A137" s="87" t="s">
        <v>3853</v>
      </c>
      <c r="B137" s="87" t="s">
        <v>3225</v>
      </c>
      <c r="C137" s="87" t="s">
        <v>4091</v>
      </c>
      <c r="D137" s="88">
        <v>38</v>
      </c>
      <c r="E137" s="85" t="s">
        <v>3938</v>
      </c>
      <c r="F137" s="87">
        <v>138</v>
      </c>
      <c r="G137" s="37"/>
      <c r="H137" s="37">
        <f>COUNTIF('(参考)現行システム機能階層一覧'!$E$3:$E$1048576,sheet1!B137)</f>
        <v>1</v>
      </c>
      <c r="I137" s="37"/>
      <c r="J137" s="37"/>
      <c r="K137" s="37"/>
      <c r="L137" s="37"/>
    </row>
    <row r="138" spans="1:12" ht="15.75" customHeight="1">
      <c r="A138" s="87" t="s">
        <v>3853</v>
      </c>
      <c r="B138" s="87" t="s">
        <v>4092</v>
      </c>
      <c r="C138" s="87" t="s">
        <v>4093</v>
      </c>
      <c r="D138" s="88">
        <v>11</v>
      </c>
      <c r="E138" s="85" t="s">
        <v>3938</v>
      </c>
      <c r="F138" s="87">
        <v>124</v>
      </c>
      <c r="G138" s="37"/>
      <c r="H138" s="37">
        <f>COUNTIF('(参考)現行システム機能階層一覧'!$E$3:$E$1048576,sheet1!B138)</f>
        <v>0</v>
      </c>
      <c r="I138" s="37"/>
      <c r="J138" s="37"/>
      <c r="K138" s="37"/>
      <c r="L138" s="37"/>
    </row>
    <row r="139" spans="1:12" ht="15.75" customHeight="1">
      <c r="A139" s="87" t="s">
        <v>3935</v>
      </c>
      <c r="B139" s="87" t="s">
        <v>4094</v>
      </c>
      <c r="C139" s="87" t="s">
        <v>4095</v>
      </c>
      <c r="D139" s="88">
        <v>278</v>
      </c>
      <c r="E139" s="85" t="s">
        <v>3938</v>
      </c>
      <c r="F139" s="87">
        <v>2</v>
      </c>
      <c r="G139" s="37"/>
      <c r="H139" s="37">
        <f>COUNTIF('(参考)現行システム機能階層一覧'!$E$3:$E$1048576,sheet1!B139)</f>
        <v>0</v>
      </c>
      <c r="I139" s="37"/>
      <c r="J139" s="37"/>
      <c r="K139" s="37"/>
      <c r="L139" s="37"/>
    </row>
    <row r="140" spans="1:12" ht="15.75" customHeight="1">
      <c r="A140" s="87" t="s">
        <v>3935</v>
      </c>
      <c r="B140" s="87" t="s">
        <v>4096</v>
      </c>
      <c r="C140" s="87" t="s">
        <v>4097</v>
      </c>
      <c r="D140" s="88">
        <v>86</v>
      </c>
      <c r="E140" s="85" t="s">
        <v>3938</v>
      </c>
      <c r="F140" s="87">
        <v>86</v>
      </c>
      <c r="G140" s="37"/>
      <c r="H140" s="37">
        <f>COUNTIF('(参考)現行システム機能階層一覧'!$E$3:$E$1048576,sheet1!B140)</f>
        <v>0</v>
      </c>
      <c r="I140" s="37"/>
      <c r="J140" s="37"/>
      <c r="K140" s="37"/>
      <c r="L140" s="37"/>
    </row>
    <row r="141" spans="1:12" ht="15.75" customHeight="1">
      <c r="A141" s="87" t="s">
        <v>3935</v>
      </c>
      <c r="B141" s="87" t="s">
        <v>3234</v>
      </c>
      <c r="C141" s="87" t="s">
        <v>4098</v>
      </c>
      <c r="D141" s="88">
        <v>488</v>
      </c>
      <c r="E141" s="85" t="s">
        <v>3938</v>
      </c>
      <c r="F141" s="87">
        <v>2</v>
      </c>
      <c r="G141" s="37"/>
      <c r="H141" s="37">
        <f>COUNTIF('(参考)現行システム機能階層一覧'!$E$3:$E$1048576,sheet1!B141)</f>
        <v>1</v>
      </c>
      <c r="I141" s="37"/>
      <c r="J141" s="37"/>
      <c r="K141" s="37"/>
      <c r="L141" s="37"/>
    </row>
    <row r="142" spans="1:12" ht="15.75" customHeight="1">
      <c r="A142" s="87" t="s">
        <v>3935</v>
      </c>
      <c r="B142" s="87" t="s">
        <v>3231</v>
      </c>
      <c r="C142" s="87" t="s">
        <v>4099</v>
      </c>
      <c r="D142" s="88">
        <v>247</v>
      </c>
      <c r="E142" s="85" t="s">
        <v>3938</v>
      </c>
      <c r="F142" s="87">
        <v>385</v>
      </c>
      <c r="G142" s="37"/>
      <c r="H142" s="37">
        <f>COUNTIF('(参考)現行システム機能階層一覧'!$E$3:$E$1048576,sheet1!B142)</f>
        <v>2</v>
      </c>
      <c r="I142" s="37"/>
      <c r="J142" s="37"/>
      <c r="K142" s="37"/>
      <c r="L142" s="37"/>
    </row>
    <row r="143" spans="1:12" ht="15.75" customHeight="1">
      <c r="A143" s="87" t="s">
        <v>3853</v>
      </c>
      <c r="B143" s="87" t="s">
        <v>4100</v>
      </c>
      <c r="C143" s="87" t="s">
        <v>4101</v>
      </c>
      <c r="D143" s="88">
        <v>60</v>
      </c>
      <c r="E143" s="85" t="s">
        <v>3938</v>
      </c>
      <c r="F143" s="87">
        <v>385</v>
      </c>
      <c r="G143" s="37"/>
      <c r="H143" s="37">
        <f>COUNTIF('(参考)現行システム機能階層一覧'!$E$3:$E$1048576,sheet1!B143)</f>
        <v>0</v>
      </c>
      <c r="I143" s="37"/>
      <c r="J143" s="37"/>
      <c r="K143" s="37"/>
      <c r="L143" s="37"/>
    </row>
    <row r="144" spans="1:12" ht="15.75" customHeight="1">
      <c r="A144" s="87" t="s">
        <v>3935</v>
      </c>
      <c r="B144" s="87" t="s">
        <v>4102</v>
      </c>
      <c r="C144" s="87" t="s">
        <v>4103</v>
      </c>
      <c r="D144" s="88">
        <v>883</v>
      </c>
      <c r="E144" s="85" t="s">
        <v>3938</v>
      </c>
      <c r="F144" s="87">
        <v>235</v>
      </c>
      <c r="G144" s="37"/>
      <c r="H144" s="37">
        <f>COUNTIF('(参考)現行システム機能階層一覧'!$E$3:$E$1048576,sheet1!B144)</f>
        <v>0</v>
      </c>
      <c r="I144" s="37"/>
      <c r="J144" s="37"/>
      <c r="K144" s="37"/>
      <c r="L144" s="37"/>
    </row>
    <row r="145" spans="1:12" ht="15.75" customHeight="1">
      <c r="A145" s="87" t="s">
        <v>3935</v>
      </c>
      <c r="B145" s="87" t="s">
        <v>4104</v>
      </c>
      <c r="C145" s="87" t="s">
        <v>4105</v>
      </c>
      <c r="D145" s="88">
        <v>898</v>
      </c>
      <c r="E145" s="85" t="s">
        <v>3938</v>
      </c>
      <c r="F145" s="87">
        <v>85</v>
      </c>
      <c r="G145" s="37"/>
      <c r="H145" s="37">
        <f>COUNTIF('(参考)現行システム機能階層一覧'!$E$3:$E$1048576,sheet1!B145)</f>
        <v>0</v>
      </c>
      <c r="I145" s="37"/>
      <c r="J145" s="37"/>
      <c r="K145" s="37"/>
      <c r="L145" s="37"/>
    </row>
    <row r="146" spans="1:12" ht="15.75" customHeight="1">
      <c r="A146" s="87" t="s">
        <v>3853</v>
      </c>
      <c r="B146" s="87" t="s">
        <v>4106</v>
      </c>
      <c r="C146" s="87" t="s">
        <v>4107</v>
      </c>
      <c r="D146" s="88">
        <v>56</v>
      </c>
      <c r="E146" s="85" t="s">
        <v>3938</v>
      </c>
      <c r="F146" s="87">
        <v>85</v>
      </c>
      <c r="G146" s="37"/>
      <c r="H146" s="37">
        <f>COUNTIF('(参考)現行システム機能階層一覧'!$E$3:$E$1048576,sheet1!B146)</f>
        <v>0</v>
      </c>
      <c r="I146" s="37"/>
      <c r="J146" s="37"/>
      <c r="K146" s="37"/>
      <c r="L146" s="37"/>
    </row>
    <row r="147" spans="1:12" ht="15.75" customHeight="1">
      <c r="A147" s="87" t="s">
        <v>3935</v>
      </c>
      <c r="B147" s="87" t="s">
        <v>4108</v>
      </c>
      <c r="C147" s="87" t="s">
        <v>4109</v>
      </c>
      <c r="D147" s="88">
        <v>895</v>
      </c>
      <c r="E147" s="85" t="s">
        <v>3938</v>
      </c>
      <c r="F147" s="87">
        <v>3</v>
      </c>
      <c r="G147" s="37"/>
      <c r="H147" s="37">
        <f>COUNTIF('(参考)現行システム機能階層一覧'!$E$3:$E$1048576,sheet1!B147)</f>
        <v>0</v>
      </c>
      <c r="I147" s="37"/>
      <c r="J147" s="37"/>
      <c r="K147" s="37"/>
      <c r="L147" s="37"/>
    </row>
    <row r="148" spans="1:12" ht="15.75" customHeight="1">
      <c r="A148" s="87" t="s">
        <v>3853</v>
      </c>
      <c r="B148" s="87" t="s">
        <v>4110</v>
      </c>
      <c r="C148" s="87" t="s">
        <v>4111</v>
      </c>
      <c r="D148" s="88">
        <v>55</v>
      </c>
      <c r="E148" s="85" t="s">
        <v>3938</v>
      </c>
      <c r="F148" s="87">
        <v>3</v>
      </c>
      <c r="G148" s="37"/>
      <c r="H148" s="37">
        <f>COUNTIF('(参考)現行システム機能階層一覧'!$E$3:$E$1048576,sheet1!B148)</f>
        <v>0</v>
      </c>
      <c r="I148" s="37"/>
      <c r="J148" s="37"/>
      <c r="K148" s="37"/>
      <c r="L148" s="37"/>
    </row>
    <row r="149" spans="1:12" ht="15.75" customHeight="1">
      <c r="A149" s="87" t="s">
        <v>3853</v>
      </c>
      <c r="B149" s="87" t="s">
        <v>4112</v>
      </c>
      <c r="C149" s="87" t="s">
        <v>4113</v>
      </c>
      <c r="D149" s="88">
        <v>34</v>
      </c>
      <c r="E149" s="85" t="s">
        <v>3938</v>
      </c>
      <c r="F149" s="87">
        <v>86</v>
      </c>
      <c r="G149" s="37"/>
      <c r="H149" s="37">
        <f>COUNTIF('(参考)現行システム機能階層一覧'!$E$3:$E$1048576,sheet1!B149)</f>
        <v>0</v>
      </c>
      <c r="I149" s="37"/>
      <c r="J149" s="37"/>
      <c r="K149" s="37"/>
      <c r="L149" s="37"/>
    </row>
    <row r="150" spans="1:12" ht="15.75" customHeight="1">
      <c r="A150" s="87" t="s">
        <v>3935</v>
      </c>
      <c r="B150" s="87" t="s">
        <v>4114</v>
      </c>
      <c r="C150" s="87" t="s">
        <v>3254</v>
      </c>
      <c r="D150" s="88">
        <v>454</v>
      </c>
      <c r="E150" s="85" t="s">
        <v>3938</v>
      </c>
      <c r="F150" s="87">
        <v>1</v>
      </c>
      <c r="G150" s="37"/>
      <c r="H150" s="37">
        <f>COUNTIF('(参考)現行システム機能階層一覧'!$E$3:$E$1048576,sheet1!B150)</f>
        <v>0</v>
      </c>
      <c r="I150" s="37"/>
      <c r="J150" s="37"/>
      <c r="K150" s="37"/>
      <c r="L150" s="37"/>
    </row>
    <row r="151" spans="1:12" ht="15.75" customHeight="1">
      <c r="A151" s="87" t="s">
        <v>3853</v>
      </c>
      <c r="B151" s="87" t="s">
        <v>4115</v>
      </c>
      <c r="C151" s="87" t="s">
        <v>4116</v>
      </c>
      <c r="D151" s="88">
        <v>30</v>
      </c>
      <c r="E151" s="85" t="s">
        <v>3938</v>
      </c>
      <c r="F151" s="87">
        <v>1</v>
      </c>
      <c r="G151" s="37"/>
      <c r="H151" s="37">
        <f>COUNTIF('(参考)現行システム機能階層一覧'!$E$3:$E$1048576,sheet1!B151)</f>
        <v>0</v>
      </c>
      <c r="I151" s="37"/>
      <c r="J151" s="37"/>
      <c r="K151" s="37"/>
      <c r="L151" s="37"/>
    </row>
    <row r="152" spans="1:12" ht="15.75" customHeight="1">
      <c r="A152" s="87" t="s">
        <v>3935</v>
      </c>
      <c r="B152" s="87" t="s">
        <v>4117</v>
      </c>
      <c r="C152" s="87" t="s">
        <v>4118</v>
      </c>
      <c r="D152" s="88">
        <v>552</v>
      </c>
      <c r="E152" s="85" t="s">
        <v>3938</v>
      </c>
      <c r="F152" s="87">
        <v>6</v>
      </c>
      <c r="G152" s="37"/>
      <c r="H152" s="37">
        <f>COUNTIF('(参考)現行システム機能階層一覧'!$E$3:$E$1048576,sheet1!B152)</f>
        <v>0</v>
      </c>
      <c r="I152" s="37"/>
      <c r="J152" s="37"/>
      <c r="K152" s="37"/>
      <c r="L152" s="37"/>
    </row>
    <row r="153" spans="1:12" ht="15.75" customHeight="1">
      <c r="A153" s="87" t="s">
        <v>3853</v>
      </c>
      <c r="B153" s="87" t="s">
        <v>4119</v>
      </c>
      <c r="C153" s="87" t="s">
        <v>4118</v>
      </c>
      <c r="D153" s="88">
        <v>30</v>
      </c>
      <c r="E153" s="85" t="s">
        <v>3938</v>
      </c>
      <c r="F153" s="87">
        <v>6</v>
      </c>
      <c r="G153" s="37"/>
      <c r="H153" s="37">
        <f>COUNTIF('(参考)現行システム機能階層一覧'!$E$3:$E$1048576,sheet1!B153)</f>
        <v>0</v>
      </c>
      <c r="I153" s="37"/>
      <c r="J153" s="37"/>
      <c r="K153" s="37"/>
      <c r="L153" s="37"/>
    </row>
    <row r="154" spans="1:12" ht="15.75" customHeight="1">
      <c r="A154" s="87" t="s">
        <v>3935</v>
      </c>
      <c r="B154" s="87" t="s">
        <v>4120</v>
      </c>
      <c r="C154" s="87" t="s">
        <v>4121</v>
      </c>
      <c r="D154" s="88">
        <v>552</v>
      </c>
      <c r="E154" s="85" t="s">
        <v>3938</v>
      </c>
      <c r="F154" s="87">
        <v>1</v>
      </c>
      <c r="G154" s="37"/>
      <c r="H154" s="37">
        <f>COUNTIF('(参考)現行システム機能階層一覧'!$E$3:$E$1048576,sheet1!B154)</f>
        <v>0</v>
      </c>
      <c r="I154" s="37"/>
      <c r="J154" s="37"/>
      <c r="K154" s="37"/>
      <c r="L154" s="37"/>
    </row>
    <row r="155" spans="1:12" ht="15.75" customHeight="1">
      <c r="A155" s="87" t="s">
        <v>3853</v>
      </c>
      <c r="B155" s="87" t="s">
        <v>4122</v>
      </c>
      <c r="C155" s="87" t="s">
        <v>4121</v>
      </c>
      <c r="D155" s="88">
        <v>30</v>
      </c>
      <c r="E155" s="85" t="s">
        <v>3938</v>
      </c>
      <c r="F155" s="87">
        <v>1</v>
      </c>
      <c r="G155" s="37"/>
      <c r="H155" s="37">
        <f>COUNTIF('(参考)現行システム機能階層一覧'!$E$3:$E$1048576,sheet1!B155)</f>
        <v>0</v>
      </c>
      <c r="I155" s="37"/>
      <c r="J155" s="37"/>
      <c r="K155" s="37"/>
      <c r="L155" s="37"/>
    </row>
    <row r="156" spans="1:12" ht="15.75" customHeight="1">
      <c r="A156" s="87" t="s">
        <v>3935</v>
      </c>
      <c r="B156" s="87" t="s">
        <v>4123</v>
      </c>
      <c r="C156" s="87" t="s">
        <v>4124</v>
      </c>
      <c r="D156" s="88">
        <v>516</v>
      </c>
      <c r="E156" s="85" t="s">
        <v>3938</v>
      </c>
      <c r="F156" s="87">
        <v>1</v>
      </c>
      <c r="G156" s="37"/>
      <c r="H156" s="37">
        <f>COUNTIF('(参考)現行システム機能階層一覧'!$E$3:$E$1048576,sheet1!B156)</f>
        <v>0</v>
      </c>
      <c r="I156" s="37"/>
      <c r="J156" s="37"/>
      <c r="K156" s="37"/>
      <c r="L156" s="37"/>
    </row>
    <row r="157" spans="1:12" ht="15.75" customHeight="1">
      <c r="A157" s="87" t="s">
        <v>3853</v>
      </c>
      <c r="B157" s="87" t="s">
        <v>4125</v>
      </c>
      <c r="C157" s="87" t="s">
        <v>4124</v>
      </c>
      <c r="D157" s="88">
        <v>30</v>
      </c>
      <c r="E157" s="85" t="s">
        <v>3938</v>
      </c>
      <c r="F157" s="87">
        <v>1</v>
      </c>
      <c r="G157" s="37"/>
      <c r="H157" s="37">
        <f>COUNTIF('(参考)現行システム機能階層一覧'!$E$3:$E$1048576,sheet1!B157)</f>
        <v>0</v>
      </c>
      <c r="I157" s="37"/>
      <c r="J157" s="37"/>
      <c r="K157" s="37"/>
      <c r="L157" s="37"/>
    </row>
    <row r="158" spans="1:12" ht="15.75" customHeight="1">
      <c r="A158" s="87" t="s">
        <v>3935</v>
      </c>
      <c r="B158" s="87" t="s">
        <v>4126</v>
      </c>
      <c r="C158" s="87" t="s">
        <v>4127</v>
      </c>
      <c r="D158" s="88">
        <v>108</v>
      </c>
      <c r="E158" s="85" t="s">
        <v>3938</v>
      </c>
      <c r="F158" s="87">
        <v>9</v>
      </c>
      <c r="G158" s="37"/>
      <c r="H158" s="37">
        <f>COUNTIF('(参考)現行システム機能階層一覧'!$E$3:$E$1048576,sheet1!B158)</f>
        <v>0</v>
      </c>
      <c r="I158" s="37"/>
      <c r="J158" s="37"/>
      <c r="K158" s="37"/>
      <c r="L158" s="37"/>
    </row>
    <row r="159" spans="1:12" ht="15.75" customHeight="1">
      <c r="A159" s="87" t="s">
        <v>3935</v>
      </c>
      <c r="B159" s="87" t="s">
        <v>2919</v>
      </c>
      <c r="C159" s="87" t="s">
        <v>4128</v>
      </c>
      <c r="D159" s="88">
        <v>307</v>
      </c>
      <c r="E159" s="85" t="s">
        <v>3938</v>
      </c>
      <c r="F159" s="87">
        <v>1354</v>
      </c>
      <c r="G159" s="37"/>
      <c r="H159" s="37">
        <f>COUNTIF('(参考)現行システム機能階層一覧'!$E$3:$E$1048576,sheet1!B159)</f>
        <v>2</v>
      </c>
      <c r="I159" s="37"/>
      <c r="J159" s="37"/>
      <c r="K159" s="37"/>
      <c r="L159" s="37"/>
    </row>
    <row r="160" spans="1:12" ht="15.75" customHeight="1">
      <c r="A160" s="87" t="s">
        <v>3853</v>
      </c>
      <c r="B160" s="87" t="s">
        <v>4129</v>
      </c>
      <c r="C160" s="87" t="s">
        <v>4130</v>
      </c>
      <c r="D160" s="88">
        <v>67</v>
      </c>
      <c r="E160" s="85" t="s">
        <v>3938</v>
      </c>
      <c r="F160" s="87">
        <v>655</v>
      </c>
      <c r="G160" s="37"/>
      <c r="H160" s="37">
        <f>COUNTIF('(参考)現行システム機能階層一覧'!$E$3:$E$1048576,sheet1!B160)</f>
        <v>0</v>
      </c>
      <c r="I160" s="37"/>
      <c r="J160" s="37"/>
      <c r="K160" s="37"/>
      <c r="L160" s="37"/>
    </row>
    <row r="161" spans="1:12" ht="15.75" customHeight="1">
      <c r="A161" s="87" t="s">
        <v>3935</v>
      </c>
      <c r="B161" s="87" t="s">
        <v>4131</v>
      </c>
      <c r="C161" s="87" t="s">
        <v>4132</v>
      </c>
      <c r="D161" s="88">
        <v>218</v>
      </c>
      <c r="E161" s="85" t="s">
        <v>3938</v>
      </c>
      <c r="F161" s="87">
        <v>1323</v>
      </c>
      <c r="G161" s="37"/>
      <c r="H161" s="37">
        <f>COUNTIF('(参考)現行システム機能階層一覧'!$E$3:$E$1048576,sheet1!B161)</f>
        <v>0</v>
      </c>
      <c r="I161" s="37"/>
      <c r="J161" s="37"/>
      <c r="K161" s="37"/>
      <c r="L161" s="37"/>
    </row>
    <row r="162" spans="1:12" ht="15.75" customHeight="1">
      <c r="A162" s="87" t="s">
        <v>3935</v>
      </c>
      <c r="B162" s="87" t="s">
        <v>4133</v>
      </c>
      <c r="C162" s="87" t="s">
        <v>4134</v>
      </c>
      <c r="D162" s="88">
        <v>1018</v>
      </c>
      <c r="E162" s="85" t="s">
        <v>3938</v>
      </c>
      <c r="F162" s="87">
        <v>1323</v>
      </c>
      <c r="G162" s="37"/>
      <c r="H162" s="37">
        <f>COUNTIF('(参考)現行システム機能階層一覧'!$E$3:$E$1048576,sheet1!B162)</f>
        <v>0</v>
      </c>
      <c r="I162" s="37"/>
      <c r="J162" s="37"/>
      <c r="K162" s="37"/>
      <c r="L162" s="37"/>
    </row>
    <row r="163" spans="1:12" ht="15.75" customHeight="1">
      <c r="A163" s="87" t="s">
        <v>3935</v>
      </c>
      <c r="B163" s="87" t="s">
        <v>4135</v>
      </c>
      <c r="C163" s="87" t="s">
        <v>4136</v>
      </c>
      <c r="D163" s="88">
        <v>374</v>
      </c>
      <c r="E163" s="85" t="s">
        <v>3938</v>
      </c>
      <c r="F163" s="87">
        <v>42</v>
      </c>
      <c r="G163" s="37"/>
      <c r="H163" s="37">
        <f>COUNTIF('(参考)現行システム機能階層一覧'!$E$3:$E$1048576,sheet1!B163)</f>
        <v>0</v>
      </c>
      <c r="I163" s="37"/>
      <c r="J163" s="37"/>
      <c r="K163" s="37"/>
      <c r="L163" s="37"/>
    </row>
    <row r="164" spans="1:12" ht="15.75" customHeight="1">
      <c r="A164" s="87" t="s">
        <v>3853</v>
      </c>
      <c r="B164" s="87" t="s">
        <v>4137</v>
      </c>
      <c r="C164" s="87" t="s">
        <v>4138</v>
      </c>
      <c r="D164" s="88">
        <v>69</v>
      </c>
      <c r="E164" s="85" t="s">
        <v>3938</v>
      </c>
      <c r="F164" s="87">
        <v>42</v>
      </c>
      <c r="G164" s="37"/>
      <c r="H164" s="37">
        <f>COUNTIF('(参考)現行システム機能階層一覧'!$E$3:$E$1048576,sheet1!B164)</f>
        <v>0</v>
      </c>
      <c r="I164" s="37"/>
      <c r="J164" s="37"/>
      <c r="K164" s="37"/>
      <c r="L164" s="37"/>
    </row>
    <row r="165" spans="1:12" ht="15.75" customHeight="1">
      <c r="A165" s="87" t="s">
        <v>3935</v>
      </c>
      <c r="B165" s="87" t="s">
        <v>4139</v>
      </c>
      <c r="C165" s="87" t="s">
        <v>4140</v>
      </c>
      <c r="D165" s="88">
        <v>211</v>
      </c>
      <c r="E165" s="85" t="s">
        <v>3938</v>
      </c>
      <c r="F165" s="87">
        <v>24</v>
      </c>
      <c r="G165" s="37"/>
      <c r="H165" s="37">
        <f>COUNTIF('(参考)現行システム機能階層一覧'!$E$3:$E$1048576,sheet1!B165)</f>
        <v>0</v>
      </c>
      <c r="I165" s="37"/>
      <c r="J165" s="37"/>
      <c r="K165" s="37"/>
      <c r="L165" s="37"/>
    </row>
    <row r="166" spans="1:12" ht="15.75" customHeight="1">
      <c r="A166" s="87" t="s">
        <v>3935</v>
      </c>
      <c r="B166" s="87" t="s">
        <v>4141</v>
      </c>
      <c r="C166" s="87" t="s">
        <v>4142</v>
      </c>
      <c r="D166" s="88">
        <v>914</v>
      </c>
      <c r="E166" s="85" t="s">
        <v>3938</v>
      </c>
      <c r="F166" s="87">
        <v>24</v>
      </c>
      <c r="G166" s="37"/>
      <c r="H166" s="37">
        <f>COUNTIF('(参考)現行システム機能階層一覧'!$E$3:$E$1048576,sheet1!B166)</f>
        <v>0</v>
      </c>
      <c r="I166" s="37"/>
      <c r="J166" s="37"/>
      <c r="K166" s="37"/>
      <c r="L166" s="37"/>
    </row>
    <row r="167" spans="1:12" ht="15.75" customHeight="1">
      <c r="A167" s="87" t="s">
        <v>3935</v>
      </c>
      <c r="B167" s="87" t="s">
        <v>2923</v>
      </c>
      <c r="C167" s="87" t="s">
        <v>4143</v>
      </c>
      <c r="D167" s="88">
        <v>387</v>
      </c>
      <c r="E167" s="85" t="s">
        <v>3938</v>
      </c>
      <c r="F167" s="87">
        <v>1245</v>
      </c>
      <c r="G167" s="37"/>
      <c r="H167" s="37">
        <f>COUNTIF('(参考)現行システム機能階層一覧'!$E$3:$E$1048576,sheet1!B167)</f>
        <v>2</v>
      </c>
      <c r="I167" s="37"/>
      <c r="J167" s="37"/>
      <c r="K167" s="37"/>
      <c r="L167" s="37"/>
    </row>
    <row r="168" spans="1:12" ht="15.75" customHeight="1">
      <c r="A168" s="87" t="s">
        <v>3853</v>
      </c>
      <c r="B168" s="87" t="s">
        <v>4144</v>
      </c>
      <c r="C168" s="87" t="s">
        <v>4145</v>
      </c>
      <c r="D168" s="88">
        <v>56</v>
      </c>
      <c r="E168" s="85" t="s">
        <v>3938</v>
      </c>
      <c r="F168" s="87">
        <v>1245</v>
      </c>
      <c r="G168" s="37"/>
      <c r="H168" s="37">
        <f>COUNTIF('(参考)現行システム機能階層一覧'!$E$3:$E$1048576,sheet1!B168)</f>
        <v>0</v>
      </c>
      <c r="I168" s="37"/>
      <c r="J168" s="37"/>
      <c r="K168" s="37"/>
      <c r="L168" s="37"/>
    </row>
    <row r="169" spans="1:12" ht="15.75" customHeight="1">
      <c r="A169" s="87" t="s">
        <v>3935</v>
      </c>
      <c r="B169" s="87" t="s">
        <v>4146</v>
      </c>
      <c r="C169" s="87" t="s">
        <v>4147</v>
      </c>
      <c r="D169" s="88">
        <v>219</v>
      </c>
      <c r="E169" s="85" t="s">
        <v>3938</v>
      </c>
      <c r="F169" s="87">
        <v>1219</v>
      </c>
      <c r="G169" s="37"/>
      <c r="H169" s="37">
        <f>COUNTIF('(参考)現行システム機能階層一覧'!$E$3:$E$1048576,sheet1!B169)</f>
        <v>0</v>
      </c>
      <c r="I169" s="37"/>
      <c r="J169" s="37"/>
      <c r="K169" s="37"/>
      <c r="L169" s="37"/>
    </row>
    <row r="170" spans="1:12" ht="15.75" customHeight="1">
      <c r="A170" s="87" t="s">
        <v>3935</v>
      </c>
      <c r="B170" s="87" t="s">
        <v>4148</v>
      </c>
      <c r="C170" s="87" t="s">
        <v>4145</v>
      </c>
      <c r="D170" s="88">
        <v>797</v>
      </c>
      <c r="E170" s="85" t="s">
        <v>3938</v>
      </c>
      <c r="F170" s="87">
        <v>1219</v>
      </c>
      <c r="G170" s="37"/>
      <c r="H170" s="37">
        <f>COUNTIF('(参考)現行システム機能階層一覧'!$E$3:$E$1048576,sheet1!B170)</f>
        <v>0</v>
      </c>
      <c r="I170" s="37"/>
      <c r="J170" s="37"/>
      <c r="K170" s="37"/>
      <c r="L170" s="37"/>
    </row>
    <row r="171" spans="1:12" ht="15.75" customHeight="1">
      <c r="A171" s="87" t="s">
        <v>3935</v>
      </c>
      <c r="B171" s="87" t="s">
        <v>2947</v>
      </c>
      <c r="C171" s="87" t="s">
        <v>4149</v>
      </c>
      <c r="D171" s="88">
        <v>380</v>
      </c>
      <c r="E171" s="85" t="s">
        <v>3938</v>
      </c>
      <c r="F171" s="87">
        <v>386</v>
      </c>
      <c r="G171" s="37"/>
      <c r="H171" s="37">
        <f>COUNTIF('(参考)現行システム機能階層一覧'!$E$3:$E$1048576,sheet1!B171)</f>
        <v>2</v>
      </c>
      <c r="I171" s="37"/>
      <c r="J171" s="37"/>
      <c r="K171" s="37"/>
      <c r="L171" s="37"/>
    </row>
    <row r="172" spans="1:12" ht="15.75" customHeight="1">
      <c r="A172" s="87" t="s">
        <v>3853</v>
      </c>
      <c r="B172" s="87" t="s">
        <v>4150</v>
      </c>
      <c r="C172" s="87" t="s">
        <v>4151</v>
      </c>
      <c r="D172" s="88">
        <v>80</v>
      </c>
      <c r="E172" s="85" t="s">
        <v>3938</v>
      </c>
      <c r="F172" s="87">
        <v>386</v>
      </c>
      <c r="G172" s="37"/>
      <c r="H172" s="37">
        <f>COUNTIF('(参考)現行システム機能階層一覧'!$E$3:$E$1048576,sheet1!B172)</f>
        <v>0</v>
      </c>
      <c r="I172" s="37"/>
      <c r="J172" s="37"/>
      <c r="K172" s="37"/>
      <c r="L172" s="37"/>
    </row>
    <row r="173" spans="1:12" ht="15.75" customHeight="1">
      <c r="A173" s="87" t="s">
        <v>3935</v>
      </c>
      <c r="B173" s="87" t="s">
        <v>4152</v>
      </c>
      <c r="C173" s="87" t="s">
        <v>4153</v>
      </c>
      <c r="D173" s="88">
        <v>341</v>
      </c>
      <c r="E173" s="85" t="s">
        <v>3938</v>
      </c>
      <c r="F173" s="87">
        <v>323</v>
      </c>
      <c r="G173" s="37"/>
      <c r="H173" s="37">
        <f>COUNTIF('(参考)現行システム機能階層一覧'!$E$3:$E$1048576,sheet1!B173)</f>
        <v>0</v>
      </c>
      <c r="I173" s="37"/>
      <c r="J173" s="37"/>
      <c r="K173" s="37"/>
      <c r="L173" s="37"/>
    </row>
    <row r="174" spans="1:12" ht="15.75" customHeight="1">
      <c r="A174" s="87" t="s">
        <v>3935</v>
      </c>
      <c r="B174" s="87" t="s">
        <v>4154</v>
      </c>
      <c r="C174" s="87" t="s">
        <v>4155</v>
      </c>
      <c r="D174" s="88">
        <v>593</v>
      </c>
      <c r="E174" s="85" t="s">
        <v>3938</v>
      </c>
      <c r="F174" s="87">
        <v>323</v>
      </c>
      <c r="G174" s="37"/>
      <c r="H174" s="37">
        <f>COUNTIF('(参考)現行システム機能階層一覧'!$E$3:$E$1048576,sheet1!B174)</f>
        <v>0</v>
      </c>
      <c r="I174" s="37"/>
      <c r="J174" s="37"/>
      <c r="K174" s="37"/>
      <c r="L174" s="37"/>
    </row>
    <row r="175" spans="1:12" ht="15.75" customHeight="1">
      <c r="A175" s="87" t="s">
        <v>3935</v>
      </c>
      <c r="B175" s="87" t="s">
        <v>2926</v>
      </c>
      <c r="C175" s="87" t="s">
        <v>4156</v>
      </c>
      <c r="D175" s="88">
        <v>435</v>
      </c>
      <c r="E175" s="85" t="s">
        <v>3938</v>
      </c>
      <c r="F175" s="87">
        <v>464</v>
      </c>
      <c r="G175" s="37"/>
      <c r="H175" s="37">
        <f>COUNTIF('(参考)現行システム機能階層一覧'!$E$3:$E$1048576,sheet1!B175)</f>
        <v>2</v>
      </c>
      <c r="I175" s="37"/>
      <c r="J175" s="37"/>
      <c r="K175" s="37"/>
      <c r="L175" s="37"/>
    </row>
    <row r="176" spans="1:12" ht="15.75" customHeight="1">
      <c r="A176" s="87" t="s">
        <v>3853</v>
      </c>
      <c r="B176" s="87" t="s">
        <v>4157</v>
      </c>
      <c r="C176" s="87" t="s">
        <v>4158</v>
      </c>
      <c r="D176" s="88">
        <v>72</v>
      </c>
      <c r="E176" s="85" t="s">
        <v>3938</v>
      </c>
      <c r="F176" s="87">
        <v>464</v>
      </c>
      <c r="G176" s="37"/>
      <c r="H176" s="37">
        <f>COUNTIF('(参考)現行システム機能階層一覧'!$E$3:$E$1048576,sheet1!B176)</f>
        <v>0</v>
      </c>
      <c r="I176" s="37"/>
      <c r="J176" s="37"/>
      <c r="K176" s="37"/>
      <c r="L176" s="37"/>
    </row>
    <row r="177" spans="1:12" ht="15.75" customHeight="1">
      <c r="A177" s="87" t="s">
        <v>3935</v>
      </c>
      <c r="B177" s="87" t="s">
        <v>4159</v>
      </c>
      <c r="C177" s="87" t="s">
        <v>4160</v>
      </c>
      <c r="D177" s="88">
        <v>234</v>
      </c>
      <c r="E177" s="85" t="s">
        <v>3938</v>
      </c>
      <c r="F177" s="87">
        <v>321</v>
      </c>
      <c r="G177" s="37"/>
      <c r="H177" s="37">
        <f>COUNTIF('(参考)現行システム機能階層一覧'!$E$3:$E$1048576,sheet1!B177)</f>
        <v>0</v>
      </c>
      <c r="I177" s="37"/>
      <c r="J177" s="37"/>
      <c r="K177" s="37"/>
      <c r="L177" s="37"/>
    </row>
    <row r="178" spans="1:12" ht="15.75" customHeight="1">
      <c r="A178" s="87" t="s">
        <v>3935</v>
      </c>
      <c r="B178" s="87" t="s">
        <v>4161</v>
      </c>
      <c r="C178" s="87" t="s">
        <v>4162</v>
      </c>
      <c r="D178" s="88">
        <v>851</v>
      </c>
      <c r="E178" s="85" t="s">
        <v>3938</v>
      </c>
      <c r="F178" s="87">
        <v>321</v>
      </c>
      <c r="G178" s="37"/>
      <c r="H178" s="37">
        <f>COUNTIF('(参考)現行システム機能階層一覧'!$E$3:$E$1048576,sheet1!B178)</f>
        <v>0</v>
      </c>
      <c r="I178" s="37"/>
      <c r="J178" s="37"/>
      <c r="K178" s="37"/>
      <c r="L178" s="37"/>
    </row>
    <row r="179" spans="1:12" ht="15.75" customHeight="1">
      <c r="A179" s="87" t="s">
        <v>3935</v>
      </c>
      <c r="B179" s="87" t="s">
        <v>2950</v>
      </c>
      <c r="C179" s="87" t="s">
        <v>4163</v>
      </c>
      <c r="D179" s="88">
        <v>380</v>
      </c>
      <c r="E179" s="85" t="s">
        <v>3938</v>
      </c>
      <c r="F179" s="87">
        <v>186</v>
      </c>
      <c r="G179" s="37"/>
      <c r="H179" s="37">
        <f>COUNTIF('(参考)現行システム機能階層一覧'!$E$3:$E$1048576,sheet1!B179)</f>
        <v>2</v>
      </c>
      <c r="I179" s="37"/>
      <c r="J179" s="37"/>
      <c r="K179" s="37"/>
      <c r="L179" s="37"/>
    </row>
    <row r="180" spans="1:12" ht="15.75" customHeight="1">
      <c r="A180" s="87" t="s">
        <v>3853</v>
      </c>
      <c r="B180" s="87" t="s">
        <v>4164</v>
      </c>
      <c r="C180" s="87" t="s">
        <v>4165</v>
      </c>
      <c r="D180" s="88">
        <v>80</v>
      </c>
      <c r="E180" s="85" t="s">
        <v>3938</v>
      </c>
      <c r="F180" s="87">
        <v>186</v>
      </c>
      <c r="G180" s="37"/>
      <c r="H180" s="37">
        <f>COUNTIF('(参考)現行システム機能階層一覧'!$E$3:$E$1048576,sheet1!B180)</f>
        <v>0</v>
      </c>
      <c r="I180" s="37"/>
      <c r="J180" s="37"/>
      <c r="K180" s="37"/>
      <c r="L180" s="37"/>
    </row>
    <row r="181" spans="1:12" ht="15.75" customHeight="1">
      <c r="A181" s="87" t="s">
        <v>3935</v>
      </c>
      <c r="B181" s="87" t="s">
        <v>4166</v>
      </c>
      <c r="C181" s="87" t="s">
        <v>4167</v>
      </c>
      <c r="D181" s="88">
        <v>339</v>
      </c>
      <c r="E181" s="85" t="s">
        <v>3938</v>
      </c>
      <c r="F181" s="87">
        <v>146</v>
      </c>
      <c r="G181" s="37"/>
      <c r="H181" s="37">
        <f>COUNTIF('(参考)現行システム機能階層一覧'!$E$3:$E$1048576,sheet1!B181)</f>
        <v>0</v>
      </c>
      <c r="I181" s="37"/>
      <c r="J181" s="37"/>
      <c r="K181" s="37"/>
      <c r="L181" s="37"/>
    </row>
    <row r="182" spans="1:12" ht="15.75" customHeight="1">
      <c r="A182" s="87" t="s">
        <v>3935</v>
      </c>
      <c r="B182" s="87" t="s">
        <v>4168</v>
      </c>
      <c r="C182" s="87" t="s">
        <v>4169</v>
      </c>
      <c r="D182" s="88">
        <v>590</v>
      </c>
      <c r="E182" s="85" t="s">
        <v>3938</v>
      </c>
      <c r="F182" s="87">
        <v>146</v>
      </c>
      <c r="G182" s="37"/>
      <c r="H182" s="37">
        <f>COUNTIF('(参考)現行システム機能階層一覧'!$E$3:$E$1048576,sheet1!B182)</f>
        <v>0</v>
      </c>
      <c r="I182" s="37"/>
      <c r="J182" s="37"/>
      <c r="K182" s="37"/>
      <c r="L182" s="37"/>
    </row>
    <row r="183" spans="1:12" ht="15.75" customHeight="1">
      <c r="A183" s="87" t="s">
        <v>3935</v>
      </c>
      <c r="B183" s="87" t="s">
        <v>2929</v>
      </c>
      <c r="C183" s="87" t="s">
        <v>4170</v>
      </c>
      <c r="D183" s="88">
        <v>351</v>
      </c>
      <c r="E183" s="85" t="s">
        <v>3938</v>
      </c>
      <c r="F183" s="87">
        <v>846</v>
      </c>
      <c r="G183" s="37"/>
      <c r="H183" s="37">
        <f>COUNTIF('(参考)現行システム機能階層一覧'!$E$3:$E$1048576,sheet1!B183)</f>
        <v>2</v>
      </c>
      <c r="I183" s="37"/>
      <c r="J183" s="37"/>
      <c r="K183" s="37"/>
      <c r="L183" s="37"/>
    </row>
    <row r="184" spans="1:12" ht="15.75" customHeight="1">
      <c r="A184" s="87" t="s">
        <v>3853</v>
      </c>
      <c r="B184" s="87" t="s">
        <v>4171</v>
      </c>
      <c r="C184" s="87" t="s">
        <v>4172</v>
      </c>
      <c r="D184" s="88">
        <v>54</v>
      </c>
      <c r="E184" s="85" t="s">
        <v>3938</v>
      </c>
      <c r="F184" s="87">
        <v>846</v>
      </c>
      <c r="G184" s="37"/>
      <c r="H184" s="37">
        <f>COUNTIF('(参考)現行システム機能階層一覧'!$E$3:$E$1048576,sheet1!B184)</f>
        <v>0</v>
      </c>
      <c r="I184" s="37"/>
      <c r="J184" s="37"/>
      <c r="K184" s="37"/>
      <c r="L184" s="37"/>
    </row>
    <row r="185" spans="1:12" ht="15.75" customHeight="1">
      <c r="A185" s="87" t="s">
        <v>3935</v>
      </c>
      <c r="B185" s="87" t="s">
        <v>4173</v>
      </c>
      <c r="C185" s="87" t="s">
        <v>4174</v>
      </c>
      <c r="D185" s="88">
        <v>167</v>
      </c>
      <c r="E185" s="85" t="s">
        <v>3938</v>
      </c>
      <c r="F185" s="87">
        <v>764</v>
      </c>
      <c r="G185" s="37"/>
      <c r="H185" s="37">
        <f>COUNTIF('(参考)現行システム機能階層一覧'!$E$3:$E$1048576,sheet1!B185)</f>
        <v>0</v>
      </c>
      <c r="I185" s="37"/>
      <c r="J185" s="37"/>
      <c r="K185" s="37"/>
      <c r="L185" s="37"/>
    </row>
    <row r="186" spans="1:12" ht="15.75" customHeight="1">
      <c r="A186" s="87" t="s">
        <v>3935</v>
      </c>
      <c r="B186" s="87" t="s">
        <v>4175</v>
      </c>
      <c r="C186" s="87" t="s">
        <v>4172</v>
      </c>
      <c r="D186" s="88">
        <v>692</v>
      </c>
      <c r="E186" s="85" t="s">
        <v>3938</v>
      </c>
      <c r="F186" s="87">
        <v>764</v>
      </c>
      <c r="G186" s="37"/>
      <c r="H186" s="37">
        <f>COUNTIF('(参考)現行システム機能階層一覧'!$E$3:$E$1048576,sheet1!B186)</f>
        <v>0</v>
      </c>
      <c r="I186" s="37"/>
      <c r="J186" s="37"/>
      <c r="K186" s="37"/>
      <c r="L186" s="37"/>
    </row>
    <row r="187" spans="1:12" ht="15.75" customHeight="1">
      <c r="A187" s="87" t="s">
        <v>3935</v>
      </c>
      <c r="B187" s="87" t="s">
        <v>2945</v>
      </c>
      <c r="C187" s="87" t="s">
        <v>4176</v>
      </c>
      <c r="D187" s="88">
        <v>484</v>
      </c>
      <c r="E187" s="85" t="s">
        <v>3938</v>
      </c>
      <c r="F187" s="87">
        <v>639</v>
      </c>
      <c r="G187" s="37"/>
      <c r="H187" s="37">
        <f>COUNTIF('(参考)現行システム機能階層一覧'!$E$3:$E$1048576,sheet1!B187)</f>
        <v>2</v>
      </c>
      <c r="I187" s="37"/>
      <c r="J187" s="37"/>
      <c r="K187" s="37"/>
      <c r="L187" s="37"/>
    </row>
    <row r="188" spans="1:12" ht="15.75" customHeight="1">
      <c r="A188" s="87" t="s">
        <v>3853</v>
      </c>
      <c r="B188" s="87" t="s">
        <v>4177</v>
      </c>
      <c r="C188" s="87" t="s">
        <v>4178</v>
      </c>
      <c r="D188" s="88">
        <v>110</v>
      </c>
      <c r="E188" s="85" t="s">
        <v>3938</v>
      </c>
      <c r="F188" s="87">
        <v>639</v>
      </c>
      <c r="G188" s="37"/>
      <c r="H188" s="37">
        <f>COUNTIF('(参考)現行システム機能階層一覧'!$E$3:$E$1048576,sheet1!B188)</f>
        <v>0</v>
      </c>
      <c r="I188" s="37"/>
      <c r="J188" s="37"/>
      <c r="K188" s="37"/>
      <c r="L188" s="37"/>
    </row>
    <row r="189" spans="1:12" ht="15.75" customHeight="1">
      <c r="A189" s="87" t="s">
        <v>3935</v>
      </c>
      <c r="B189" s="87" t="s">
        <v>4179</v>
      </c>
      <c r="C189" s="87" t="s">
        <v>4180</v>
      </c>
      <c r="D189" s="88">
        <v>430</v>
      </c>
      <c r="E189" s="85" t="s">
        <v>3938</v>
      </c>
      <c r="F189" s="87">
        <v>591</v>
      </c>
      <c r="G189" s="37"/>
      <c r="H189" s="37">
        <f>COUNTIF('(参考)現行システム機能階層一覧'!$E$3:$E$1048576,sheet1!B189)</f>
        <v>0</v>
      </c>
      <c r="I189" s="37"/>
      <c r="J189" s="37"/>
      <c r="K189" s="37"/>
      <c r="L189" s="37"/>
    </row>
    <row r="190" spans="1:12" ht="15.75" customHeight="1">
      <c r="A190" s="87" t="s">
        <v>3935</v>
      </c>
      <c r="B190" s="87" t="s">
        <v>4181</v>
      </c>
      <c r="C190" s="87" t="s">
        <v>4182</v>
      </c>
      <c r="D190" s="88">
        <v>600</v>
      </c>
      <c r="E190" s="85" t="s">
        <v>3938</v>
      </c>
      <c r="F190" s="87">
        <v>591</v>
      </c>
      <c r="G190" s="37"/>
      <c r="H190" s="37">
        <f>COUNTIF('(参考)現行システム機能階層一覧'!$E$3:$E$1048576,sheet1!B190)</f>
        <v>0</v>
      </c>
      <c r="I190" s="37"/>
      <c r="J190" s="37"/>
      <c r="K190" s="37"/>
      <c r="L190" s="37"/>
    </row>
    <row r="191" spans="1:12" ht="15.75" customHeight="1">
      <c r="A191" s="87" t="s">
        <v>3935</v>
      </c>
      <c r="B191" s="87" t="s">
        <v>2931</v>
      </c>
      <c r="C191" s="87" t="s">
        <v>4183</v>
      </c>
      <c r="D191" s="88">
        <v>152</v>
      </c>
      <c r="E191" s="85" t="s">
        <v>3938</v>
      </c>
      <c r="F191" s="87">
        <v>937</v>
      </c>
      <c r="G191" s="37"/>
      <c r="H191" s="37">
        <f>COUNTIF('(参考)現行システム機能階層一覧'!$E$3:$E$1048576,sheet1!B191)</f>
        <v>1</v>
      </c>
      <c r="I191" s="37"/>
      <c r="J191" s="37"/>
      <c r="K191" s="37"/>
      <c r="L191" s="37"/>
    </row>
    <row r="192" spans="1:12" ht="15.75" customHeight="1">
      <c r="A192" s="87" t="s">
        <v>3853</v>
      </c>
      <c r="B192" s="87" t="s">
        <v>4184</v>
      </c>
      <c r="C192" s="87" t="s">
        <v>4185</v>
      </c>
      <c r="D192" s="88">
        <v>106</v>
      </c>
      <c r="E192" s="85" t="s">
        <v>3938</v>
      </c>
      <c r="F192" s="87">
        <v>937</v>
      </c>
      <c r="G192" s="37"/>
      <c r="H192" s="37">
        <f>COUNTIF('(参考)現行システム機能階層一覧'!$E$3:$E$1048576,sheet1!B192)</f>
        <v>0</v>
      </c>
      <c r="I192" s="37"/>
      <c r="J192" s="37"/>
      <c r="K192" s="37"/>
      <c r="L192" s="37"/>
    </row>
    <row r="193" spans="1:12" ht="15.75" customHeight="1">
      <c r="A193" s="87" t="s">
        <v>3935</v>
      </c>
      <c r="B193" s="87" t="s">
        <v>4186</v>
      </c>
      <c r="C193" s="87" t="s">
        <v>4187</v>
      </c>
      <c r="D193" s="88">
        <v>701</v>
      </c>
      <c r="E193" s="85" t="s">
        <v>3938</v>
      </c>
      <c r="F193" s="87">
        <v>800</v>
      </c>
      <c r="G193" s="37"/>
      <c r="H193" s="37">
        <f>COUNTIF('(参考)現行システム機能階層一覧'!$E$3:$E$1048576,sheet1!B193)</f>
        <v>0</v>
      </c>
      <c r="I193" s="37"/>
      <c r="J193" s="37"/>
      <c r="K193" s="37"/>
      <c r="L193" s="37"/>
    </row>
    <row r="194" spans="1:12" ht="15.75" customHeight="1">
      <c r="A194" s="87" t="s">
        <v>3935</v>
      </c>
      <c r="B194" s="87" t="s">
        <v>4188</v>
      </c>
      <c r="C194" s="87" t="s">
        <v>4189</v>
      </c>
      <c r="D194" s="88">
        <v>595</v>
      </c>
      <c r="E194" s="85" t="s">
        <v>3938</v>
      </c>
      <c r="F194" s="87">
        <v>657</v>
      </c>
      <c r="G194" s="37"/>
      <c r="H194" s="37">
        <f>COUNTIF('(参考)現行システム機能階層一覧'!$E$3:$E$1048576,sheet1!B194)</f>
        <v>0</v>
      </c>
      <c r="I194" s="37"/>
      <c r="J194" s="37"/>
      <c r="K194" s="37"/>
      <c r="L194" s="37"/>
    </row>
    <row r="195" spans="1:12" ht="15.75" customHeight="1">
      <c r="A195" s="87" t="s">
        <v>3935</v>
      </c>
      <c r="B195" s="87" t="s">
        <v>4190</v>
      </c>
      <c r="C195" s="87" t="s">
        <v>4191</v>
      </c>
      <c r="D195" s="88">
        <v>803</v>
      </c>
      <c r="E195" s="85" t="s">
        <v>3938</v>
      </c>
      <c r="F195" s="87">
        <v>472</v>
      </c>
      <c r="G195" s="37"/>
      <c r="H195" s="37">
        <f>COUNTIF('(参考)現行システム機能階層一覧'!$E$3:$E$1048576,sheet1!B195)</f>
        <v>0</v>
      </c>
      <c r="I195" s="37"/>
      <c r="J195" s="37"/>
      <c r="K195" s="37"/>
      <c r="L195" s="37"/>
    </row>
    <row r="196" spans="1:12" ht="15.75" customHeight="1">
      <c r="A196" s="87" t="s">
        <v>3935</v>
      </c>
      <c r="B196" s="87" t="s">
        <v>4192</v>
      </c>
      <c r="C196" s="87" t="s">
        <v>4193</v>
      </c>
      <c r="D196" s="88">
        <v>476</v>
      </c>
      <c r="E196" s="85" t="s">
        <v>3938</v>
      </c>
      <c r="F196" s="87">
        <v>465</v>
      </c>
      <c r="G196" s="37"/>
      <c r="H196" s="37">
        <f>COUNTIF('(参考)現行システム機能階層一覧'!$E$3:$E$1048576,sheet1!B196)</f>
        <v>0</v>
      </c>
      <c r="I196" s="37"/>
      <c r="J196" s="37"/>
      <c r="K196" s="37"/>
      <c r="L196" s="37"/>
    </row>
    <row r="197" spans="1:12" ht="15.75" customHeight="1">
      <c r="A197" s="87" t="s">
        <v>3935</v>
      </c>
      <c r="B197" s="87" t="s">
        <v>4194</v>
      </c>
      <c r="C197" s="87" t="s">
        <v>4195</v>
      </c>
      <c r="D197" s="88">
        <v>418</v>
      </c>
      <c r="E197" s="85" t="s">
        <v>3938</v>
      </c>
      <c r="F197" s="87">
        <v>452</v>
      </c>
      <c r="G197" s="37"/>
      <c r="H197" s="37">
        <f>COUNTIF('(参考)現行システム機能階層一覧'!$E$3:$E$1048576,sheet1!B197)</f>
        <v>0</v>
      </c>
      <c r="I197" s="37"/>
      <c r="J197" s="37"/>
      <c r="K197" s="37"/>
      <c r="L197" s="37"/>
    </row>
    <row r="198" spans="1:12" ht="15.75" customHeight="1">
      <c r="A198" s="87" t="s">
        <v>3935</v>
      </c>
      <c r="B198" s="87" t="s">
        <v>3475</v>
      </c>
      <c r="C198" s="87" t="s">
        <v>4196</v>
      </c>
      <c r="D198" s="88">
        <v>107</v>
      </c>
      <c r="E198" s="85" t="s">
        <v>3938</v>
      </c>
      <c r="F198" s="87">
        <v>436</v>
      </c>
      <c r="G198" s="37"/>
      <c r="H198" s="37">
        <f>COUNTIF('(参考)現行システム機能階層一覧'!$E$3:$E$1048576,sheet1!B198)</f>
        <v>1</v>
      </c>
      <c r="I198" s="37"/>
      <c r="J198" s="37"/>
      <c r="K198" s="37"/>
      <c r="L198" s="37"/>
    </row>
    <row r="199" spans="1:12" ht="15.75" customHeight="1">
      <c r="A199" s="87" t="s">
        <v>3853</v>
      </c>
      <c r="B199" s="87" t="s">
        <v>4197</v>
      </c>
      <c r="C199" s="87" t="s">
        <v>4198</v>
      </c>
      <c r="D199" s="88">
        <v>80</v>
      </c>
      <c r="E199" s="85" t="s">
        <v>3938</v>
      </c>
      <c r="F199" s="87">
        <v>436</v>
      </c>
      <c r="G199" s="37"/>
      <c r="H199" s="37">
        <f>COUNTIF('(参考)現行システム機能階層一覧'!$E$3:$E$1048576,sheet1!B199)</f>
        <v>0</v>
      </c>
      <c r="I199" s="37"/>
      <c r="J199" s="37"/>
      <c r="K199" s="37"/>
      <c r="L199" s="37"/>
    </row>
    <row r="200" spans="1:12" ht="15.75" customHeight="1">
      <c r="A200" s="87" t="s">
        <v>3935</v>
      </c>
      <c r="B200" s="87" t="s">
        <v>2939</v>
      </c>
      <c r="C200" s="87" t="s">
        <v>4199</v>
      </c>
      <c r="D200" s="88">
        <v>169</v>
      </c>
      <c r="E200" s="85" t="s">
        <v>3938</v>
      </c>
      <c r="F200" s="87">
        <v>942</v>
      </c>
      <c r="G200" s="37"/>
      <c r="H200" s="37">
        <f>COUNTIF('(参考)現行システム機能階層一覧'!$E$3:$E$1048576,sheet1!B200)</f>
        <v>2</v>
      </c>
      <c r="I200" s="37"/>
      <c r="J200" s="37"/>
      <c r="K200" s="37"/>
      <c r="L200" s="37"/>
    </row>
    <row r="201" spans="1:12" ht="15.75" customHeight="1">
      <c r="A201" s="87" t="s">
        <v>3853</v>
      </c>
      <c r="B201" s="87" t="s">
        <v>4200</v>
      </c>
      <c r="C201" s="87" t="s">
        <v>2967</v>
      </c>
      <c r="D201" s="88">
        <v>97</v>
      </c>
      <c r="E201" s="85" t="s">
        <v>3938</v>
      </c>
      <c r="F201" s="87">
        <v>942</v>
      </c>
      <c r="G201" s="37"/>
      <c r="H201" s="37">
        <f>COUNTIF('(参考)現行システム機能階層一覧'!$E$3:$E$1048576,sheet1!B201)</f>
        <v>0</v>
      </c>
      <c r="I201" s="37"/>
      <c r="J201" s="37"/>
      <c r="K201" s="37"/>
      <c r="L201" s="37"/>
    </row>
    <row r="202" spans="1:12" ht="15.75" customHeight="1">
      <c r="A202" s="87" t="s">
        <v>3935</v>
      </c>
      <c r="B202" s="87" t="s">
        <v>4201</v>
      </c>
      <c r="C202" s="87" t="s">
        <v>4202</v>
      </c>
      <c r="D202" s="88">
        <v>449</v>
      </c>
      <c r="E202" s="85" t="s">
        <v>3938</v>
      </c>
      <c r="F202" s="87">
        <v>910</v>
      </c>
      <c r="G202" s="37"/>
      <c r="H202" s="37">
        <f>COUNTIF('(参考)現行システム機能階層一覧'!$E$3:$E$1048576,sheet1!B202)</f>
        <v>0</v>
      </c>
      <c r="I202" s="37"/>
      <c r="J202" s="37"/>
      <c r="K202" s="37"/>
      <c r="L202" s="37"/>
    </row>
    <row r="203" spans="1:12" ht="15.75" customHeight="1">
      <c r="A203" s="87" t="s">
        <v>3935</v>
      </c>
      <c r="B203" s="87" t="s">
        <v>4203</v>
      </c>
      <c r="C203" s="87" t="s">
        <v>4204</v>
      </c>
      <c r="D203" s="88">
        <v>375</v>
      </c>
      <c r="E203" s="85" t="s">
        <v>3938</v>
      </c>
      <c r="F203" s="87">
        <v>86</v>
      </c>
      <c r="G203" s="37"/>
      <c r="H203" s="37">
        <f>COUNTIF('(参考)現行システム機能階層一覧'!$E$3:$E$1048576,sheet1!B203)</f>
        <v>0</v>
      </c>
      <c r="I203" s="37"/>
      <c r="J203" s="37"/>
      <c r="K203" s="37"/>
      <c r="L203" s="37"/>
    </row>
    <row r="204" spans="1:12" ht="15.75" customHeight="1">
      <c r="A204" s="87" t="s">
        <v>3935</v>
      </c>
      <c r="B204" s="87" t="s">
        <v>4205</v>
      </c>
      <c r="C204" s="87" t="s">
        <v>4206</v>
      </c>
      <c r="D204" s="88">
        <v>372</v>
      </c>
      <c r="E204" s="85" t="s">
        <v>3938</v>
      </c>
      <c r="F204" s="87">
        <v>891</v>
      </c>
      <c r="G204" s="37"/>
      <c r="H204" s="37">
        <f>COUNTIF('(参考)現行システム機能階層一覧'!$E$3:$E$1048576,sheet1!B204)</f>
        <v>0</v>
      </c>
      <c r="I204" s="37"/>
      <c r="J204" s="37"/>
      <c r="K204" s="37"/>
      <c r="L204" s="37"/>
    </row>
    <row r="205" spans="1:12" ht="15.75" customHeight="1">
      <c r="A205" s="87" t="s">
        <v>3935</v>
      </c>
      <c r="B205" s="87" t="s">
        <v>4207</v>
      </c>
      <c r="C205" s="87" t="s">
        <v>4208</v>
      </c>
      <c r="D205" s="88">
        <v>400</v>
      </c>
      <c r="E205" s="85" t="s">
        <v>3938</v>
      </c>
      <c r="F205" s="87">
        <v>42</v>
      </c>
      <c r="G205" s="37"/>
      <c r="H205" s="37">
        <f>COUNTIF('(参考)現行システム機能階層一覧'!$E$3:$E$1048576,sheet1!B205)</f>
        <v>0</v>
      </c>
      <c r="I205" s="37"/>
      <c r="J205" s="37"/>
      <c r="K205" s="37"/>
      <c r="L205" s="37"/>
    </row>
    <row r="206" spans="1:12" ht="15.75" customHeight="1">
      <c r="A206" s="87" t="s">
        <v>3935</v>
      </c>
      <c r="B206" s="87" t="s">
        <v>2954</v>
      </c>
      <c r="C206" s="87" t="s">
        <v>4209</v>
      </c>
      <c r="D206" s="88">
        <v>158</v>
      </c>
      <c r="E206" s="85" t="s">
        <v>3938</v>
      </c>
      <c r="F206" s="87">
        <v>22</v>
      </c>
      <c r="G206" s="37"/>
      <c r="H206" s="37">
        <f>COUNTIF('(参考)現行システム機能階層一覧'!$E$3:$E$1048576,sheet1!B206)</f>
        <v>1</v>
      </c>
      <c r="I206" s="37"/>
      <c r="J206" s="37"/>
      <c r="K206" s="37"/>
      <c r="L206" s="37"/>
    </row>
    <row r="207" spans="1:12" ht="15.75" customHeight="1">
      <c r="A207" s="87" t="s">
        <v>3853</v>
      </c>
      <c r="B207" s="87" t="s">
        <v>4210</v>
      </c>
      <c r="C207" s="87" t="s">
        <v>2982</v>
      </c>
      <c r="D207" s="88">
        <v>71</v>
      </c>
      <c r="E207" s="85" t="s">
        <v>3938</v>
      </c>
      <c r="F207" s="87">
        <v>22</v>
      </c>
      <c r="G207" s="37"/>
      <c r="H207" s="37">
        <f>COUNTIF('(参考)現行システム機能階層一覧'!$E$3:$E$1048576,sheet1!B207)</f>
        <v>0</v>
      </c>
      <c r="I207" s="37"/>
      <c r="J207" s="37"/>
      <c r="K207" s="37"/>
      <c r="L207" s="37"/>
    </row>
    <row r="208" spans="1:12" ht="15.75" customHeight="1">
      <c r="A208" s="87" t="s">
        <v>3935</v>
      </c>
      <c r="B208" s="87" t="s">
        <v>4211</v>
      </c>
      <c r="C208" s="87" t="s">
        <v>4212</v>
      </c>
      <c r="D208" s="88">
        <v>115</v>
      </c>
      <c r="E208" s="85" t="s">
        <v>3938</v>
      </c>
      <c r="F208" s="87">
        <v>9</v>
      </c>
      <c r="G208" s="37"/>
      <c r="H208" s="37">
        <f>COUNTIF('(参考)現行システム機能階層一覧'!$E$3:$E$1048576,sheet1!B208)</f>
        <v>0</v>
      </c>
      <c r="I208" s="37"/>
      <c r="J208" s="37"/>
      <c r="K208" s="37"/>
      <c r="L208" s="37"/>
    </row>
    <row r="209" spans="1:12" ht="15.75" customHeight="1">
      <c r="A209" s="87" t="s">
        <v>3935</v>
      </c>
      <c r="B209" s="87" t="s">
        <v>4213</v>
      </c>
      <c r="C209" s="87" t="s">
        <v>4214</v>
      </c>
      <c r="D209" s="88">
        <v>222</v>
      </c>
      <c r="E209" s="85" t="s">
        <v>3938</v>
      </c>
      <c r="F209" s="87">
        <v>9</v>
      </c>
      <c r="G209" s="37"/>
      <c r="H209" s="37">
        <f>COUNTIF('(参考)現行システム機能階層一覧'!$E$3:$E$1048576,sheet1!B209)</f>
        <v>0</v>
      </c>
      <c r="I209" s="37"/>
      <c r="J209" s="37"/>
      <c r="K209" s="37"/>
      <c r="L209" s="37"/>
    </row>
    <row r="210" spans="1:12" ht="15.75" customHeight="1">
      <c r="A210" s="87" t="s">
        <v>3935</v>
      </c>
      <c r="B210" s="87" t="s">
        <v>4215</v>
      </c>
      <c r="C210" s="87" t="s">
        <v>4216</v>
      </c>
      <c r="D210" s="88">
        <v>409</v>
      </c>
      <c r="E210" s="85" t="s">
        <v>3938</v>
      </c>
      <c r="F210" s="87">
        <v>14</v>
      </c>
      <c r="G210" s="37"/>
      <c r="H210" s="37">
        <f>COUNTIF('(参考)現行システム機能階層一覧'!$E$3:$E$1048576,sheet1!B210)</f>
        <v>0</v>
      </c>
      <c r="I210" s="37"/>
      <c r="J210" s="37"/>
      <c r="K210" s="37"/>
      <c r="L210" s="37"/>
    </row>
    <row r="211" spans="1:12" ht="15.75" customHeight="1">
      <c r="A211" s="87" t="s">
        <v>3935</v>
      </c>
      <c r="B211" s="87" t="s">
        <v>2957</v>
      </c>
      <c r="C211" s="87" t="s">
        <v>4217</v>
      </c>
      <c r="D211" s="88">
        <v>996</v>
      </c>
      <c r="E211" s="85" t="s">
        <v>3938</v>
      </c>
      <c r="F211" s="87">
        <v>2</v>
      </c>
      <c r="G211" s="37"/>
      <c r="H211" s="37">
        <f>COUNTIF('(参考)現行システム機能階層一覧'!$E$3:$E$1048576,sheet1!B211)</f>
        <v>1</v>
      </c>
      <c r="I211" s="37"/>
      <c r="J211" s="37"/>
      <c r="K211" s="37"/>
      <c r="L211" s="37"/>
    </row>
    <row r="212" spans="1:12" ht="15.75" customHeight="1">
      <c r="A212" s="87" t="s">
        <v>3935</v>
      </c>
      <c r="B212" s="87" t="s">
        <v>2960</v>
      </c>
      <c r="C212" s="87" t="s">
        <v>4218</v>
      </c>
      <c r="D212" s="88">
        <v>135</v>
      </c>
      <c r="E212" s="85" t="s">
        <v>3938</v>
      </c>
      <c r="F212" s="87">
        <v>2</v>
      </c>
      <c r="G212" s="37"/>
      <c r="H212" s="37">
        <f>COUNTIF('(参考)現行システム機能階層一覧'!$E$3:$E$1048576,sheet1!B212)</f>
        <v>1</v>
      </c>
      <c r="I212" s="37"/>
      <c r="J212" s="37"/>
      <c r="K212" s="37"/>
      <c r="L212" s="37"/>
    </row>
    <row r="213" spans="1:12" ht="15.75" customHeight="1">
      <c r="A213" s="87" t="s">
        <v>3853</v>
      </c>
      <c r="B213" s="87" t="s">
        <v>4219</v>
      </c>
      <c r="C213" s="87" t="s">
        <v>4220</v>
      </c>
      <c r="D213" s="88">
        <v>69</v>
      </c>
      <c r="E213" s="85" t="s">
        <v>3938</v>
      </c>
      <c r="F213" s="87">
        <v>2</v>
      </c>
      <c r="G213" s="37"/>
      <c r="H213" s="37">
        <f>COUNTIF('(参考)現行システム機能階層一覧'!$E$3:$E$1048576,sheet1!B213)</f>
        <v>0</v>
      </c>
      <c r="I213" s="37"/>
      <c r="J213" s="37"/>
      <c r="K213" s="37"/>
      <c r="L213" s="37"/>
    </row>
    <row r="214" spans="1:12" ht="15.75" customHeight="1">
      <c r="A214" s="87" t="s">
        <v>3935</v>
      </c>
      <c r="B214" s="87" t="s">
        <v>4221</v>
      </c>
      <c r="C214" s="87" t="s">
        <v>4220</v>
      </c>
      <c r="D214" s="88">
        <v>447</v>
      </c>
      <c r="E214" s="85" t="s">
        <v>3938</v>
      </c>
      <c r="F214" s="87">
        <v>1</v>
      </c>
      <c r="G214" s="37"/>
      <c r="H214" s="37">
        <f>COUNTIF('(参考)現行システム機能階層一覧'!$E$3:$E$1048576,sheet1!B214)</f>
        <v>0</v>
      </c>
      <c r="I214" s="37"/>
      <c r="J214" s="37"/>
      <c r="K214" s="37"/>
      <c r="L214" s="37"/>
    </row>
    <row r="215" spans="1:12" ht="15.75" customHeight="1">
      <c r="A215" s="87" t="s">
        <v>3935</v>
      </c>
      <c r="B215" s="87" t="s">
        <v>4222</v>
      </c>
      <c r="C215" s="87" t="s">
        <v>4223</v>
      </c>
      <c r="D215" s="88">
        <v>119</v>
      </c>
      <c r="E215" s="85" t="s">
        <v>3938</v>
      </c>
      <c r="F215" s="87">
        <v>1</v>
      </c>
      <c r="G215" s="37"/>
      <c r="H215" s="37">
        <f>COUNTIF('(参考)現行システム機能階層一覧'!$E$3:$E$1048576,sheet1!B215)</f>
        <v>0</v>
      </c>
      <c r="I215" s="37"/>
      <c r="J215" s="37"/>
      <c r="K215" s="37"/>
      <c r="L215" s="37"/>
    </row>
    <row r="216" spans="1:12" ht="15.75" customHeight="1">
      <c r="A216" s="87" t="s">
        <v>3935</v>
      </c>
      <c r="B216" s="87" t="s">
        <v>3312</v>
      </c>
      <c r="C216" s="87" t="s">
        <v>3341</v>
      </c>
      <c r="D216" s="88">
        <v>959</v>
      </c>
      <c r="E216" s="85" t="s">
        <v>3938</v>
      </c>
      <c r="F216" s="87">
        <v>140</v>
      </c>
      <c r="G216" s="37"/>
      <c r="H216" s="37">
        <f>COUNTIF('(参考)現行システム機能階層一覧'!$E$3:$E$1048576,sheet1!B216)</f>
        <v>1</v>
      </c>
      <c r="I216" s="37"/>
      <c r="J216" s="37"/>
      <c r="K216" s="37"/>
      <c r="L216" s="37"/>
    </row>
    <row r="217" spans="1:12" ht="15.75" customHeight="1">
      <c r="A217" s="87" t="s">
        <v>3935</v>
      </c>
      <c r="B217" s="87" t="s">
        <v>3315</v>
      </c>
      <c r="C217" s="87" t="s">
        <v>3344</v>
      </c>
      <c r="D217" s="88">
        <v>564</v>
      </c>
      <c r="E217" s="85" t="s">
        <v>3938</v>
      </c>
      <c r="F217" s="87">
        <v>299</v>
      </c>
      <c r="G217" s="37"/>
      <c r="H217" s="37">
        <f>COUNTIF('(参考)現行システム機能階層一覧'!$E$3:$E$1048576,sheet1!B217)</f>
        <v>1</v>
      </c>
      <c r="I217" s="37"/>
      <c r="J217" s="37"/>
      <c r="K217" s="37"/>
      <c r="L217" s="37"/>
    </row>
    <row r="218" spans="1:12" ht="15.75" customHeight="1">
      <c r="A218" s="87" t="s">
        <v>3935</v>
      </c>
      <c r="B218" s="87" t="s">
        <v>3333</v>
      </c>
      <c r="C218" s="87" t="s">
        <v>4224</v>
      </c>
      <c r="D218" s="88">
        <v>407</v>
      </c>
      <c r="E218" s="85" t="s">
        <v>3938</v>
      </c>
      <c r="F218" s="87">
        <v>7</v>
      </c>
      <c r="G218" s="37"/>
      <c r="H218" s="37">
        <f>COUNTIF('(参考)現行システム機能階層一覧'!$E$3:$E$1048576,sheet1!B218)</f>
        <v>1</v>
      </c>
      <c r="I218" s="37"/>
      <c r="J218" s="37"/>
      <c r="K218" s="37"/>
      <c r="L218" s="37"/>
    </row>
    <row r="219" spans="1:12" ht="15.75" customHeight="1">
      <c r="A219" s="87" t="s">
        <v>3935</v>
      </c>
      <c r="B219" s="87" t="s">
        <v>4225</v>
      </c>
      <c r="C219" s="87" t="s">
        <v>4226</v>
      </c>
      <c r="D219" s="88">
        <v>529</v>
      </c>
      <c r="E219" s="85" t="s">
        <v>3938</v>
      </c>
      <c r="F219" s="87">
        <v>89</v>
      </c>
      <c r="G219" s="37"/>
      <c r="H219" s="37">
        <f>COUNTIF('(参考)現行システム機能階層一覧'!$E$3:$E$1048576,sheet1!B219)</f>
        <v>0</v>
      </c>
      <c r="I219" s="37"/>
      <c r="J219" s="37"/>
      <c r="K219" s="37"/>
      <c r="L219" s="37"/>
    </row>
    <row r="220" spans="1:12" ht="15.75" customHeight="1">
      <c r="A220" s="87" t="s">
        <v>3853</v>
      </c>
      <c r="B220" s="87" t="s">
        <v>4227</v>
      </c>
      <c r="C220" s="87" t="s">
        <v>4228</v>
      </c>
      <c r="D220" s="88">
        <v>16</v>
      </c>
      <c r="E220" s="85" t="s">
        <v>3938</v>
      </c>
      <c r="F220" s="87">
        <v>89</v>
      </c>
      <c r="G220" s="37"/>
      <c r="H220" s="37">
        <f>COUNTIF('(参考)現行システム機能階層一覧'!$E$3:$E$1048576,sheet1!B220)</f>
        <v>0</v>
      </c>
      <c r="I220" s="37"/>
      <c r="J220" s="37"/>
      <c r="K220" s="37"/>
      <c r="L220" s="37"/>
    </row>
    <row r="221" spans="1:12" ht="15.75" customHeight="1">
      <c r="A221" s="87" t="s">
        <v>3853</v>
      </c>
      <c r="B221" s="87" t="s">
        <v>4229</v>
      </c>
      <c r="C221" s="87" t="s">
        <v>3347</v>
      </c>
      <c r="D221" s="88">
        <v>46</v>
      </c>
      <c r="E221" s="85" t="s">
        <v>3938</v>
      </c>
      <c r="F221" s="87">
        <v>23</v>
      </c>
      <c r="G221" s="37"/>
      <c r="H221" s="37">
        <f>COUNTIF('(参考)現行システム機能階層一覧'!$E$3:$E$1048576,sheet1!B221)</f>
        <v>0</v>
      </c>
      <c r="I221" s="37"/>
      <c r="J221" s="37"/>
      <c r="K221" s="37"/>
      <c r="L221" s="37"/>
    </row>
    <row r="222" spans="1:12" ht="15.75" customHeight="1">
      <c r="A222" s="87" t="s">
        <v>3935</v>
      </c>
      <c r="B222" s="87" t="s">
        <v>3318</v>
      </c>
      <c r="C222" s="87" t="s">
        <v>4230</v>
      </c>
      <c r="D222" s="88">
        <v>156</v>
      </c>
      <c r="E222" s="85" t="s">
        <v>3938</v>
      </c>
      <c r="F222" s="87">
        <v>23</v>
      </c>
      <c r="G222" s="37"/>
      <c r="H222" s="37">
        <f>COUNTIF('(参考)現行システム機能階層一覧'!$E$3:$E$1048576,sheet1!B222)</f>
        <v>1</v>
      </c>
      <c r="I222" s="37"/>
      <c r="J222" s="37"/>
      <c r="K222" s="37"/>
      <c r="L222" s="37"/>
    </row>
    <row r="223" spans="1:12" ht="15.75" customHeight="1">
      <c r="A223" s="87" t="s">
        <v>3935</v>
      </c>
      <c r="B223" s="87" t="s">
        <v>4231</v>
      </c>
      <c r="C223" s="87" t="s">
        <v>4232</v>
      </c>
      <c r="D223" s="88">
        <v>559</v>
      </c>
      <c r="E223" s="85" t="s">
        <v>3938</v>
      </c>
      <c r="F223" s="87">
        <v>16</v>
      </c>
      <c r="G223" s="37"/>
      <c r="H223" s="37">
        <f>COUNTIF('(参考)現行システム機能階層一覧'!$E$3:$E$1048576,sheet1!B223)</f>
        <v>0</v>
      </c>
      <c r="I223" s="37"/>
      <c r="J223" s="37"/>
      <c r="K223" s="37"/>
      <c r="L223" s="37"/>
    </row>
    <row r="224" spans="1:12" ht="15.75" customHeight="1">
      <c r="A224" s="87" t="s">
        <v>3853</v>
      </c>
      <c r="B224" s="87" t="s">
        <v>4233</v>
      </c>
      <c r="C224" s="87" t="s">
        <v>4234</v>
      </c>
      <c r="D224" s="88">
        <v>40</v>
      </c>
      <c r="E224" s="85" t="s">
        <v>3938</v>
      </c>
      <c r="F224" s="87">
        <v>100</v>
      </c>
      <c r="G224" s="37"/>
      <c r="H224" s="37">
        <f>COUNTIF('(参考)現行システム機能階層一覧'!$E$3:$E$1048576,sheet1!B224)</f>
        <v>0</v>
      </c>
      <c r="I224" s="37"/>
      <c r="J224" s="37"/>
      <c r="K224" s="37"/>
      <c r="L224" s="37"/>
    </row>
    <row r="225" spans="1:12" ht="15.75" customHeight="1">
      <c r="A225" s="87" t="s">
        <v>3935</v>
      </c>
      <c r="B225" s="87" t="s">
        <v>3320</v>
      </c>
      <c r="C225" s="87" t="s">
        <v>4235</v>
      </c>
      <c r="D225" s="88">
        <v>104</v>
      </c>
      <c r="E225" s="85" t="s">
        <v>3938</v>
      </c>
      <c r="F225" s="87">
        <v>100</v>
      </c>
      <c r="G225" s="37"/>
      <c r="H225" s="37">
        <f>COUNTIF('(参考)現行システム機能階層一覧'!$E$3:$E$1048576,sheet1!B225)</f>
        <v>1</v>
      </c>
      <c r="I225" s="37"/>
      <c r="J225" s="37"/>
      <c r="K225" s="37"/>
      <c r="L225" s="37"/>
    </row>
    <row r="226" spans="1:12" ht="15.75" customHeight="1">
      <c r="A226" s="87" t="s">
        <v>3935</v>
      </c>
      <c r="B226" s="87" t="s">
        <v>4236</v>
      </c>
      <c r="C226" s="87" t="s">
        <v>4234</v>
      </c>
      <c r="D226" s="88">
        <v>392</v>
      </c>
      <c r="E226" s="85" t="s">
        <v>3938</v>
      </c>
      <c r="F226" s="87">
        <v>91</v>
      </c>
      <c r="G226" s="37"/>
      <c r="H226" s="37">
        <f>COUNTIF('(参考)現行システム機能階層一覧'!$E$3:$E$1048576,sheet1!B226)</f>
        <v>0</v>
      </c>
      <c r="I226" s="37"/>
      <c r="J226" s="37"/>
      <c r="K226" s="37"/>
      <c r="L226" s="37"/>
    </row>
    <row r="227" spans="1:12" ht="15.75" customHeight="1">
      <c r="A227" s="87" t="s">
        <v>3853</v>
      </c>
      <c r="B227" s="87" t="s">
        <v>4237</v>
      </c>
      <c r="C227" s="87" t="s">
        <v>3353</v>
      </c>
      <c r="D227" s="88">
        <v>39</v>
      </c>
      <c r="E227" s="85" t="s">
        <v>3938</v>
      </c>
      <c r="F227" s="87">
        <v>137</v>
      </c>
      <c r="G227" s="37"/>
      <c r="H227" s="37">
        <f>COUNTIF('(参考)現行システム機能階層一覧'!$E$3:$E$1048576,sheet1!B227)</f>
        <v>0</v>
      </c>
      <c r="I227" s="37"/>
      <c r="J227" s="37"/>
      <c r="K227" s="37"/>
      <c r="L227" s="37"/>
    </row>
    <row r="228" spans="1:12" ht="15.75" customHeight="1">
      <c r="A228" s="87" t="s">
        <v>3935</v>
      </c>
      <c r="B228" s="87" t="s">
        <v>3322</v>
      </c>
      <c r="C228" s="87" t="s">
        <v>4238</v>
      </c>
      <c r="D228" s="88">
        <v>125</v>
      </c>
      <c r="E228" s="85" t="s">
        <v>3938</v>
      </c>
      <c r="F228" s="87">
        <v>137</v>
      </c>
      <c r="G228" s="37"/>
      <c r="H228" s="37">
        <f>COUNTIF('(参考)現行システム機能階層一覧'!$E$3:$E$1048576,sheet1!B228)</f>
        <v>1</v>
      </c>
      <c r="I228" s="37"/>
      <c r="J228" s="37"/>
      <c r="K228" s="37"/>
      <c r="L228" s="37"/>
    </row>
    <row r="229" spans="1:12" ht="15.75" customHeight="1">
      <c r="A229" s="87" t="s">
        <v>3935</v>
      </c>
      <c r="B229" s="87" t="s">
        <v>4239</v>
      </c>
      <c r="C229" s="87" t="s">
        <v>4240</v>
      </c>
      <c r="D229" s="88">
        <v>387</v>
      </c>
      <c r="E229" s="85" t="s">
        <v>3938</v>
      </c>
      <c r="F229" s="87">
        <v>129</v>
      </c>
      <c r="G229" s="37"/>
      <c r="H229" s="37">
        <f>COUNTIF('(参考)現行システム機能階層一覧'!$E$3:$E$1048576,sheet1!B229)</f>
        <v>0</v>
      </c>
      <c r="I229" s="37"/>
      <c r="J229" s="37"/>
      <c r="K229" s="37"/>
      <c r="L229" s="37"/>
    </row>
    <row r="230" spans="1:12" ht="15.75" customHeight="1">
      <c r="A230" s="87" t="s">
        <v>3853</v>
      </c>
      <c r="B230" s="87" t="s">
        <v>4241</v>
      </c>
      <c r="C230" s="87" t="s">
        <v>4242</v>
      </c>
      <c r="D230" s="88">
        <v>30</v>
      </c>
      <c r="E230" s="85" t="s">
        <v>3938</v>
      </c>
      <c r="F230" s="87">
        <v>21</v>
      </c>
      <c r="G230" s="37"/>
      <c r="H230" s="37">
        <f>COUNTIF('(参考)現行システム機能階層一覧'!$E$3:$E$1048576,sheet1!B230)</f>
        <v>0</v>
      </c>
      <c r="I230" s="37"/>
      <c r="J230" s="37"/>
      <c r="K230" s="37"/>
      <c r="L230" s="37"/>
    </row>
    <row r="231" spans="1:12" ht="15.75" customHeight="1">
      <c r="A231" s="87" t="s">
        <v>3935</v>
      </c>
      <c r="B231" s="87" t="s">
        <v>3324</v>
      </c>
      <c r="C231" s="87" t="s">
        <v>3356</v>
      </c>
      <c r="D231" s="88">
        <v>313</v>
      </c>
      <c r="E231" s="85" t="s">
        <v>3938</v>
      </c>
      <c r="F231" s="87">
        <v>21</v>
      </c>
      <c r="G231" s="37"/>
      <c r="H231" s="37">
        <f>COUNTIF('(参考)現行システム機能階層一覧'!$E$3:$E$1048576,sheet1!B231)</f>
        <v>1</v>
      </c>
      <c r="I231" s="37"/>
      <c r="J231" s="37"/>
      <c r="K231" s="37"/>
      <c r="L231" s="37"/>
    </row>
    <row r="232" spans="1:12" ht="15.75" customHeight="1">
      <c r="A232" s="87" t="s">
        <v>3853</v>
      </c>
      <c r="B232" s="87" t="s">
        <v>4243</v>
      </c>
      <c r="C232" s="87" t="s">
        <v>3359</v>
      </c>
      <c r="D232" s="88">
        <v>44</v>
      </c>
      <c r="E232" s="85" t="s">
        <v>3938</v>
      </c>
      <c r="F232" s="87">
        <v>8</v>
      </c>
      <c r="G232" s="37"/>
      <c r="H232" s="37">
        <f>COUNTIF('(参考)現行システム機能階層一覧'!$E$3:$E$1048576,sheet1!B232)</f>
        <v>0</v>
      </c>
      <c r="I232" s="37"/>
      <c r="J232" s="37"/>
      <c r="K232" s="37"/>
      <c r="L232" s="37"/>
    </row>
    <row r="233" spans="1:12" ht="15.75" customHeight="1">
      <c r="A233" s="87" t="s">
        <v>3935</v>
      </c>
      <c r="B233" s="87" t="s">
        <v>3327</v>
      </c>
      <c r="C233" s="87" t="s">
        <v>4244</v>
      </c>
      <c r="D233" s="88">
        <v>169</v>
      </c>
      <c r="E233" s="85" t="s">
        <v>3938</v>
      </c>
      <c r="F233" s="87">
        <v>8</v>
      </c>
      <c r="G233" s="37"/>
      <c r="H233" s="37">
        <f>COUNTIF('(参考)現行システム機能階層一覧'!$E$3:$E$1048576,sheet1!B233)</f>
        <v>1</v>
      </c>
      <c r="I233" s="37"/>
      <c r="J233" s="37"/>
      <c r="K233" s="37"/>
      <c r="L233" s="37"/>
    </row>
    <row r="234" spans="1:12" ht="15.75" customHeight="1">
      <c r="A234" s="87" t="s">
        <v>3935</v>
      </c>
      <c r="B234" s="87" t="s">
        <v>4245</v>
      </c>
      <c r="C234" s="87" t="s">
        <v>4246</v>
      </c>
      <c r="D234" s="88">
        <v>600</v>
      </c>
      <c r="E234" s="85" t="s">
        <v>3938</v>
      </c>
      <c r="F234" s="87">
        <v>5</v>
      </c>
      <c r="G234" s="37"/>
      <c r="H234" s="37">
        <f>COUNTIF('(参考)現行システム機能階層一覧'!$E$3:$E$1048576,sheet1!B234)</f>
        <v>0</v>
      </c>
      <c r="I234" s="37"/>
      <c r="J234" s="37"/>
      <c r="K234" s="37"/>
      <c r="L234" s="37"/>
    </row>
    <row r="235" spans="1:12" ht="15.75" customHeight="1">
      <c r="A235" s="87" t="s">
        <v>3853</v>
      </c>
      <c r="B235" s="87" t="s">
        <v>4247</v>
      </c>
      <c r="C235" s="87" t="s">
        <v>3362</v>
      </c>
      <c r="D235" s="88">
        <v>68</v>
      </c>
      <c r="E235" s="85" t="s">
        <v>3938</v>
      </c>
      <c r="F235" s="87">
        <v>591</v>
      </c>
      <c r="G235" s="37"/>
      <c r="H235" s="37">
        <f>COUNTIF('(参考)現行システム機能階層一覧'!$E$3:$E$1048576,sheet1!B235)</f>
        <v>0</v>
      </c>
      <c r="I235" s="37"/>
      <c r="J235" s="37"/>
      <c r="K235" s="37"/>
      <c r="L235" s="37"/>
    </row>
    <row r="236" spans="1:12" ht="15.75" customHeight="1">
      <c r="A236" s="87" t="s">
        <v>3935</v>
      </c>
      <c r="B236" s="87" t="s">
        <v>3330</v>
      </c>
      <c r="C236" s="87" t="s">
        <v>4248</v>
      </c>
      <c r="D236" s="88">
        <v>178</v>
      </c>
      <c r="E236" s="85" t="s">
        <v>3938</v>
      </c>
      <c r="F236" s="87">
        <v>591</v>
      </c>
      <c r="G236" s="37"/>
      <c r="H236" s="37">
        <f>COUNTIF('(参考)現行システム機能階層一覧'!$E$3:$E$1048576,sheet1!B236)</f>
        <v>2</v>
      </c>
      <c r="I236" s="37"/>
      <c r="J236" s="37"/>
      <c r="K236" s="37"/>
      <c r="L236" s="37"/>
    </row>
    <row r="237" spans="1:12" ht="15.75" customHeight="1">
      <c r="A237" s="87" t="s">
        <v>3935</v>
      </c>
      <c r="B237" s="87" t="s">
        <v>4249</v>
      </c>
      <c r="C237" s="87" t="s">
        <v>4250</v>
      </c>
      <c r="D237" s="88">
        <v>658</v>
      </c>
      <c r="E237" s="85" t="s">
        <v>3938</v>
      </c>
      <c r="F237" s="87">
        <v>565</v>
      </c>
      <c r="G237" s="37"/>
      <c r="H237" s="37">
        <f>COUNTIF('(参考)現行システム機能階層一覧'!$E$3:$E$1048576,sheet1!B237)</f>
        <v>0</v>
      </c>
      <c r="I237" s="37"/>
      <c r="J237" s="37"/>
      <c r="K237" s="37"/>
      <c r="L237" s="37"/>
    </row>
    <row r="238" spans="1:12" ht="15.75" customHeight="1">
      <c r="A238" s="87" t="s">
        <v>3853</v>
      </c>
      <c r="B238" s="87" t="s">
        <v>4251</v>
      </c>
      <c r="C238" s="87" t="s">
        <v>4252</v>
      </c>
      <c r="D238" s="88">
        <v>18</v>
      </c>
      <c r="E238" s="85" t="s">
        <v>3938</v>
      </c>
      <c r="F238" s="87">
        <v>1000</v>
      </c>
      <c r="G238" s="37"/>
      <c r="H238" s="37">
        <f>COUNTIF('(参考)現行システム機能階層一覧'!$E$3:$E$1048576,sheet1!B238)</f>
        <v>0</v>
      </c>
      <c r="I238" s="37"/>
      <c r="J238" s="37"/>
      <c r="K238" s="37"/>
      <c r="L238" s="37"/>
    </row>
    <row r="239" spans="1:12" ht="15.75" customHeight="1">
      <c r="A239" s="87" t="s">
        <v>3935</v>
      </c>
      <c r="B239" s="87" t="s">
        <v>4253</v>
      </c>
      <c r="C239" s="87" t="s">
        <v>4254</v>
      </c>
      <c r="D239" s="88">
        <v>797</v>
      </c>
      <c r="E239" s="85" t="s">
        <v>3938</v>
      </c>
      <c r="F239" s="87">
        <v>1039</v>
      </c>
      <c r="G239" s="37"/>
      <c r="H239" s="37">
        <f>COUNTIF('(参考)現行システム機能階層一覧'!$E$3:$E$1048576,sheet1!B239)</f>
        <v>0</v>
      </c>
      <c r="I239" s="37"/>
      <c r="J239" s="37"/>
      <c r="K239" s="37"/>
      <c r="L239" s="37"/>
    </row>
    <row r="240" spans="1:12" ht="15.75" customHeight="1">
      <c r="A240" s="87" t="s">
        <v>3853</v>
      </c>
      <c r="B240" s="87" t="s">
        <v>4255</v>
      </c>
      <c r="C240" s="87" t="s">
        <v>4256</v>
      </c>
      <c r="D240" s="88">
        <v>28</v>
      </c>
      <c r="E240" s="85" t="s">
        <v>3938</v>
      </c>
      <c r="F240" s="87">
        <v>1</v>
      </c>
      <c r="G240" s="37"/>
      <c r="H240" s="37">
        <f>COUNTIF('(参考)現行システム機能階層一覧'!$E$3:$E$1048576,sheet1!B240)</f>
        <v>0</v>
      </c>
      <c r="I240" s="37"/>
      <c r="J240" s="37"/>
      <c r="K240" s="37"/>
      <c r="L240" s="37"/>
    </row>
    <row r="241" spans="1:12" ht="15.75" customHeight="1">
      <c r="A241" s="87" t="s">
        <v>3853</v>
      </c>
      <c r="B241" s="87" t="s">
        <v>4257</v>
      </c>
      <c r="C241" s="87" t="s">
        <v>4258</v>
      </c>
      <c r="D241" s="88">
        <v>39</v>
      </c>
      <c r="E241" s="85" t="s">
        <v>3938</v>
      </c>
      <c r="F241" s="87">
        <v>432</v>
      </c>
      <c r="G241" s="37"/>
      <c r="H241" s="37">
        <f>COUNTIF('(参考)現行システム機能階層一覧'!$E$3:$E$1048576,sheet1!B241)</f>
        <v>0</v>
      </c>
      <c r="I241" s="37"/>
      <c r="J241" s="37"/>
      <c r="K241" s="37"/>
      <c r="L241" s="37"/>
    </row>
    <row r="242" spans="1:12" ht="15.75" customHeight="1">
      <c r="A242" s="87" t="s">
        <v>3935</v>
      </c>
      <c r="B242" s="87" t="s">
        <v>4259</v>
      </c>
      <c r="C242" s="87" t="s">
        <v>4260</v>
      </c>
      <c r="D242" s="88">
        <v>434</v>
      </c>
      <c r="E242" s="85" t="s">
        <v>3938</v>
      </c>
      <c r="F242" s="87">
        <v>1</v>
      </c>
      <c r="G242" s="37"/>
      <c r="H242" s="37">
        <f>COUNTIF('(参考)現行システム機能階層一覧'!$E$3:$E$1048576,sheet1!B242)</f>
        <v>0</v>
      </c>
      <c r="I242" s="37"/>
      <c r="J242" s="37"/>
      <c r="K242" s="37"/>
      <c r="L242" s="37"/>
    </row>
    <row r="243" spans="1:12" ht="15.75" customHeight="1">
      <c r="A243" s="87" t="s">
        <v>3935</v>
      </c>
      <c r="B243" s="87" t="s">
        <v>4261</v>
      </c>
      <c r="C243" s="87" t="s">
        <v>4262</v>
      </c>
      <c r="D243" s="88">
        <v>581</v>
      </c>
      <c r="E243" s="85" t="s">
        <v>3938</v>
      </c>
      <c r="F243" s="87">
        <v>1019</v>
      </c>
      <c r="G243" s="37"/>
      <c r="H243" s="37">
        <f>COUNTIF('(参考)現行システム機能階層一覧'!$E$3:$E$1048576,sheet1!B243)</f>
        <v>0</v>
      </c>
      <c r="I243" s="37"/>
      <c r="J243" s="37"/>
      <c r="K243" s="37"/>
      <c r="L243" s="37"/>
    </row>
    <row r="244" spans="1:12" ht="15.75" customHeight="1">
      <c r="A244" s="87" t="s">
        <v>3935</v>
      </c>
      <c r="B244" s="87" t="s">
        <v>4263</v>
      </c>
      <c r="C244" s="87" t="s">
        <v>4264</v>
      </c>
      <c r="D244" s="88">
        <v>474</v>
      </c>
      <c r="E244" s="85" t="s">
        <v>3938</v>
      </c>
      <c r="F244" s="87">
        <v>1</v>
      </c>
      <c r="G244" s="37"/>
      <c r="H244" s="37">
        <f>COUNTIF('(参考)現行システム機能階層一覧'!$E$3:$E$1048576,sheet1!B244)</f>
        <v>0</v>
      </c>
      <c r="I244" s="37"/>
      <c r="J244" s="37"/>
      <c r="K244" s="37"/>
      <c r="L244" s="37"/>
    </row>
    <row r="245" spans="1:12" ht="15.75" customHeight="1">
      <c r="A245" s="87" t="s">
        <v>3935</v>
      </c>
      <c r="B245" s="87" t="s">
        <v>4265</v>
      </c>
      <c r="C245" s="87" t="s">
        <v>4266</v>
      </c>
      <c r="D245" s="88">
        <v>608</v>
      </c>
      <c r="E245" s="85" t="s">
        <v>3938</v>
      </c>
      <c r="F245" s="87">
        <v>1019</v>
      </c>
      <c r="G245" s="37"/>
      <c r="H245" s="37">
        <f>COUNTIF('(参考)現行システム機能階層一覧'!$E$3:$E$1048576,sheet1!B245)</f>
        <v>0</v>
      </c>
      <c r="I245" s="37"/>
      <c r="J245" s="37"/>
      <c r="K245" s="37"/>
      <c r="L245" s="37"/>
    </row>
    <row r="246" spans="1:12" ht="15.75" customHeight="1">
      <c r="A246" s="87" t="s">
        <v>3935</v>
      </c>
      <c r="B246" s="87" t="s">
        <v>4267</v>
      </c>
      <c r="C246" s="87" t="s">
        <v>4268</v>
      </c>
      <c r="D246" s="88">
        <v>88</v>
      </c>
      <c r="E246" s="85" t="s">
        <v>3938</v>
      </c>
      <c r="F246" s="87">
        <v>1019</v>
      </c>
      <c r="G246" s="37"/>
      <c r="H246" s="37">
        <f>COUNTIF('(参考)現行システム機能階層一覧'!$E$3:$E$1048576,sheet1!B246)</f>
        <v>0</v>
      </c>
      <c r="I246" s="37"/>
      <c r="J246" s="37"/>
      <c r="K246" s="37"/>
      <c r="L246" s="37"/>
    </row>
    <row r="247" spans="1:12" ht="15.75" customHeight="1">
      <c r="A247" s="87" t="s">
        <v>3935</v>
      </c>
      <c r="B247" s="87" t="s">
        <v>3596</v>
      </c>
      <c r="C247" s="87" t="s">
        <v>4269</v>
      </c>
      <c r="D247" s="88">
        <v>702</v>
      </c>
      <c r="E247" s="85" t="s">
        <v>3938</v>
      </c>
      <c r="F247" s="87">
        <v>83</v>
      </c>
      <c r="G247" s="37"/>
      <c r="H247" s="37">
        <f>COUNTIF('(参考)現行システム機能階層一覧'!$E$3:$E$1048576,sheet1!B247)</f>
        <v>2</v>
      </c>
      <c r="I247" s="37"/>
      <c r="J247" s="37"/>
      <c r="K247" s="37"/>
      <c r="L247" s="37"/>
    </row>
    <row r="248" spans="1:12" ht="15.75" customHeight="1">
      <c r="A248" s="87" t="s">
        <v>3853</v>
      </c>
      <c r="B248" s="87" t="s">
        <v>4270</v>
      </c>
      <c r="C248" s="87" t="s">
        <v>2899</v>
      </c>
      <c r="D248" s="88">
        <v>46</v>
      </c>
      <c r="E248" s="85" t="s">
        <v>3938</v>
      </c>
      <c r="F248" s="87">
        <v>83</v>
      </c>
      <c r="G248" s="37"/>
      <c r="H248" s="37">
        <f>COUNTIF('(参考)現行システム機能階層一覧'!$E$3:$E$1048576,sheet1!B248)</f>
        <v>0</v>
      </c>
      <c r="I248" s="37"/>
      <c r="J248" s="37"/>
      <c r="K248" s="37"/>
      <c r="L248" s="37"/>
    </row>
    <row r="249" spans="1:12" ht="15.75" customHeight="1">
      <c r="A249" s="87" t="s">
        <v>3935</v>
      </c>
      <c r="B249" s="87" t="s">
        <v>2863</v>
      </c>
      <c r="C249" s="87" t="s">
        <v>4271</v>
      </c>
      <c r="D249" s="88">
        <v>674</v>
      </c>
      <c r="E249" s="85" t="s">
        <v>3938</v>
      </c>
      <c r="F249" s="87">
        <v>118</v>
      </c>
      <c r="G249" s="37"/>
      <c r="H249" s="37">
        <f>COUNTIF('(参考)現行システム機能階層一覧'!$E$3:$E$1048576,sheet1!B249)</f>
        <v>1</v>
      </c>
      <c r="I249" s="37"/>
      <c r="J249" s="37"/>
      <c r="K249" s="37"/>
      <c r="L249" s="37"/>
    </row>
    <row r="250" spans="1:12" ht="15.75" customHeight="1">
      <c r="A250" s="87" t="s">
        <v>3853</v>
      </c>
      <c r="B250" s="87" t="s">
        <v>4272</v>
      </c>
      <c r="C250" s="87" t="s">
        <v>4273</v>
      </c>
      <c r="D250" s="88">
        <v>46</v>
      </c>
      <c r="E250" s="85" t="s">
        <v>3938</v>
      </c>
      <c r="F250" s="87">
        <v>177</v>
      </c>
      <c r="G250" s="37"/>
      <c r="H250" s="37">
        <f>COUNTIF('(参考)現行システム機能階層一覧'!$E$3:$E$1048576,sheet1!B250)</f>
        <v>0</v>
      </c>
      <c r="I250" s="37"/>
      <c r="J250" s="37"/>
      <c r="K250" s="37"/>
      <c r="L250" s="37"/>
    </row>
    <row r="251" spans="1:12" ht="15.75" customHeight="1">
      <c r="A251" s="87" t="s">
        <v>3935</v>
      </c>
      <c r="B251" s="87" t="s">
        <v>2884</v>
      </c>
      <c r="C251" s="87" t="s">
        <v>4274</v>
      </c>
      <c r="D251" s="88">
        <v>695</v>
      </c>
      <c r="E251" s="85" t="s">
        <v>3938</v>
      </c>
      <c r="F251" s="87">
        <v>124</v>
      </c>
      <c r="G251" s="37"/>
      <c r="H251" s="37">
        <f>COUNTIF('(参考)現行システム機能階層一覧'!$E$3:$E$1048576,sheet1!B251)</f>
        <v>1</v>
      </c>
      <c r="I251" s="37"/>
      <c r="J251" s="37"/>
      <c r="K251" s="37"/>
      <c r="L251" s="37"/>
    </row>
    <row r="252" spans="1:12" ht="15.75" customHeight="1">
      <c r="A252" s="87" t="s">
        <v>3853</v>
      </c>
      <c r="B252" s="87" t="s">
        <v>4275</v>
      </c>
      <c r="C252" s="87" t="s">
        <v>4276</v>
      </c>
      <c r="D252" s="88">
        <v>46</v>
      </c>
      <c r="E252" s="85" t="s">
        <v>3938</v>
      </c>
      <c r="F252" s="87">
        <v>183</v>
      </c>
      <c r="G252" s="37"/>
      <c r="H252" s="37">
        <f>COUNTIF('(参考)現行システム機能階層一覧'!$E$3:$E$1048576,sheet1!B252)</f>
        <v>0</v>
      </c>
      <c r="I252" s="37"/>
      <c r="J252" s="37"/>
      <c r="K252" s="37"/>
      <c r="L252" s="37"/>
    </row>
    <row r="253" spans="1:12" ht="15.75" customHeight="1">
      <c r="A253" s="87" t="s">
        <v>3935</v>
      </c>
      <c r="B253" s="87" t="s">
        <v>2900</v>
      </c>
      <c r="C253" s="87" t="s">
        <v>4277</v>
      </c>
      <c r="D253" s="88">
        <v>562</v>
      </c>
      <c r="E253" s="85" t="s">
        <v>3938</v>
      </c>
      <c r="F253" s="87">
        <v>107</v>
      </c>
      <c r="G253" s="37"/>
      <c r="H253" s="37">
        <f>COUNTIF('(参考)現行システム機能階層一覧'!$E$3:$E$1048576,sheet1!B253)</f>
        <v>1</v>
      </c>
      <c r="I253" s="37"/>
      <c r="J253" s="37"/>
      <c r="K253" s="37"/>
      <c r="L253" s="37"/>
    </row>
    <row r="254" spans="1:12" ht="15.75" customHeight="1">
      <c r="A254" s="87" t="s">
        <v>3853</v>
      </c>
      <c r="B254" s="87" t="s">
        <v>4278</v>
      </c>
      <c r="C254" s="87" t="s">
        <v>4279</v>
      </c>
      <c r="D254" s="88">
        <v>46</v>
      </c>
      <c r="E254" s="85" t="s">
        <v>3938</v>
      </c>
      <c r="F254" s="87">
        <v>126</v>
      </c>
      <c r="G254" s="37"/>
      <c r="H254" s="37">
        <f>COUNTIF('(参考)現行システム機能階層一覧'!$E$3:$E$1048576,sheet1!B254)</f>
        <v>0</v>
      </c>
      <c r="I254" s="37"/>
      <c r="J254" s="37"/>
      <c r="K254" s="37"/>
      <c r="L254" s="37"/>
    </row>
    <row r="255" spans="1:12" ht="15.75" customHeight="1">
      <c r="A255" s="87" t="s">
        <v>3935</v>
      </c>
      <c r="B255" s="87" t="s">
        <v>4280</v>
      </c>
      <c r="C255" s="87" t="s">
        <v>4281</v>
      </c>
      <c r="D255" s="88">
        <v>591</v>
      </c>
      <c r="E255" s="85" t="s">
        <v>3938</v>
      </c>
      <c r="F255" s="87">
        <v>978</v>
      </c>
      <c r="G255" s="37"/>
      <c r="H255" s="37">
        <f>COUNTIF('(参考)現行システム機能階層一覧'!$E$3:$E$1048576,sheet1!B255)</f>
        <v>0</v>
      </c>
      <c r="I255" s="37"/>
      <c r="J255" s="37"/>
      <c r="K255" s="37"/>
      <c r="L255" s="37"/>
    </row>
    <row r="256" spans="1:12" ht="15.75" customHeight="1">
      <c r="A256" s="87" t="s">
        <v>3935</v>
      </c>
      <c r="B256" s="87" t="s">
        <v>2791</v>
      </c>
      <c r="C256" s="87" t="s">
        <v>4282</v>
      </c>
      <c r="D256" s="88">
        <v>469</v>
      </c>
      <c r="E256" s="85" t="s">
        <v>3938</v>
      </c>
      <c r="F256" s="87">
        <v>33</v>
      </c>
      <c r="G256" s="37"/>
      <c r="H256" s="37">
        <f>COUNTIF('(参考)現行システム機能階層一覧'!$E$3:$E$1048576,sheet1!B256)</f>
        <v>1</v>
      </c>
      <c r="I256" s="37"/>
      <c r="J256" s="37"/>
      <c r="K256" s="37"/>
      <c r="L256" s="37"/>
    </row>
    <row r="257" spans="1:12" ht="15.75" customHeight="1">
      <c r="A257" s="87" t="s">
        <v>3935</v>
      </c>
      <c r="B257" s="87" t="s">
        <v>4283</v>
      </c>
      <c r="C257" s="87" t="s">
        <v>4284</v>
      </c>
      <c r="D257" s="88">
        <v>610</v>
      </c>
      <c r="E257" s="85" t="s">
        <v>3938</v>
      </c>
      <c r="F257" s="87">
        <v>1</v>
      </c>
      <c r="G257" s="37"/>
      <c r="H257" s="37">
        <f>COUNTIF('(参考)現行システム機能階層一覧'!$E$3:$E$1048576,sheet1!B257)</f>
        <v>0</v>
      </c>
      <c r="I257" s="37"/>
      <c r="J257" s="37"/>
      <c r="K257" s="37"/>
      <c r="L257" s="37"/>
    </row>
    <row r="258" spans="1:12" ht="15.75" customHeight="1">
      <c r="A258" s="87" t="s">
        <v>3935</v>
      </c>
      <c r="B258" s="87" t="s">
        <v>2942</v>
      </c>
      <c r="C258" s="87" t="s">
        <v>4285</v>
      </c>
      <c r="D258" s="88">
        <v>243</v>
      </c>
      <c r="E258" s="85" t="s">
        <v>3938</v>
      </c>
      <c r="F258" s="87">
        <v>262</v>
      </c>
      <c r="G258" s="37"/>
      <c r="H258" s="37">
        <f>COUNTIF('(参考)現行システム機能階層一覧'!$E$3:$E$1048576,sheet1!B258)</f>
        <v>1</v>
      </c>
      <c r="I258" s="37"/>
      <c r="J258" s="37"/>
      <c r="K258" s="37"/>
      <c r="L258" s="37"/>
    </row>
    <row r="259" spans="1:12" ht="15.75" customHeight="1">
      <c r="A259" s="87" t="s">
        <v>3853</v>
      </c>
      <c r="B259" s="87" t="s">
        <v>4286</v>
      </c>
      <c r="C259" s="87" t="s">
        <v>4287</v>
      </c>
      <c r="D259" s="88">
        <v>59</v>
      </c>
      <c r="E259" s="85" t="s">
        <v>3938</v>
      </c>
      <c r="F259" s="87">
        <v>262</v>
      </c>
      <c r="G259" s="37"/>
      <c r="H259" s="37">
        <f>COUNTIF('(参考)現行システム機能階層一覧'!$E$3:$E$1048576,sheet1!B259)</f>
        <v>0</v>
      </c>
      <c r="I259" s="37"/>
      <c r="J259" s="37"/>
      <c r="K259" s="37"/>
      <c r="L259" s="37"/>
    </row>
    <row r="260" spans="1:12" ht="15.75" customHeight="1">
      <c r="A260" s="87" t="s">
        <v>3935</v>
      </c>
      <c r="B260" s="87" t="s">
        <v>4288</v>
      </c>
      <c r="C260" s="87" t="s">
        <v>4289</v>
      </c>
      <c r="D260" s="88">
        <v>162</v>
      </c>
      <c r="E260" s="85" t="s">
        <v>3938</v>
      </c>
      <c r="F260" s="87">
        <v>246</v>
      </c>
      <c r="G260" s="37"/>
      <c r="H260" s="37">
        <f>COUNTIF('(参考)現行システム機能階層一覧'!$E$3:$E$1048576,sheet1!B260)</f>
        <v>0</v>
      </c>
      <c r="I260" s="37"/>
      <c r="J260" s="37"/>
      <c r="K260" s="37"/>
      <c r="L260" s="37"/>
    </row>
    <row r="261" spans="1:12" ht="15.75" customHeight="1">
      <c r="A261" s="87" t="s">
        <v>3935</v>
      </c>
      <c r="B261" s="87" t="s">
        <v>4290</v>
      </c>
      <c r="C261" s="87" t="s">
        <v>4291</v>
      </c>
      <c r="D261" s="88">
        <v>627</v>
      </c>
      <c r="E261" s="85" t="s">
        <v>3938</v>
      </c>
      <c r="F261" s="87">
        <v>246</v>
      </c>
      <c r="G261" s="37"/>
      <c r="H261" s="37">
        <f>COUNTIF('(参考)現行システム機能階層一覧'!$E$3:$E$1048576,sheet1!B261)</f>
        <v>0</v>
      </c>
      <c r="I261" s="37"/>
      <c r="J261" s="37"/>
      <c r="K261" s="37"/>
      <c r="L261" s="37"/>
    </row>
    <row r="262" spans="1:12" ht="15.75" customHeight="1">
      <c r="A262" s="87" t="s">
        <v>3935</v>
      </c>
      <c r="B262" s="87" t="s">
        <v>4292</v>
      </c>
      <c r="C262" s="87" t="s">
        <v>4293</v>
      </c>
      <c r="D262" s="88">
        <v>336</v>
      </c>
      <c r="E262" s="85" t="s">
        <v>3938</v>
      </c>
      <c r="F262" s="87">
        <v>10</v>
      </c>
      <c r="G262" s="37"/>
      <c r="H262" s="37">
        <f>COUNTIF('(参考)現行システム機能階層一覧'!$E$3:$E$1048576,sheet1!B262)</f>
        <v>0</v>
      </c>
      <c r="I262" s="37"/>
      <c r="J262" s="37"/>
      <c r="K262" s="37"/>
      <c r="L262" s="37"/>
    </row>
    <row r="263" spans="1:12" ht="15.75" customHeight="1">
      <c r="A263" s="87" t="s">
        <v>3853</v>
      </c>
      <c r="B263" s="87" t="s">
        <v>4294</v>
      </c>
      <c r="C263" s="87" t="s">
        <v>4295</v>
      </c>
      <c r="D263" s="88">
        <v>55</v>
      </c>
      <c r="E263" s="85" t="s">
        <v>3938</v>
      </c>
      <c r="F263" s="87">
        <v>10</v>
      </c>
      <c r="G263" s="37"/>
      <c r="H263" s="37">
        <f>COUNTIF('(参考)現行システム機能階層一覧'!$E$3:$E$1048576,sheet1!B263)</f>
        <v>0</v>
      </c>
      <c r="I263" s="37"/>
      <c r="J263" s="37"/>
      <c r="K263" s="37"/>
      <c r="L263" s="37"/>
    </row>
    <row r="264" spans="1:12" ht="15.75" customHeight="1">
      <c r="A264" s="87" t="s">
        <v>3935</v>
      </c>
      <c r="B264" s="87" t="s">
        <v>4296</v>
      </c>
      <c r="C264" s="87" t="s">
        <v>4297</v>
      </c>
      <c r="D264" s="88">
        <v>165</v>
      </c>
      <c r="E264" s="85" t="s">
        <v>3938</v>
      </c>
      <c r="F264" s="87">
        <v>2</v>
      </c>
      <c r="G264" s="37"/>
      <c r="H264" s="37">
        <f>COUNTIF('(参考)現行システム機能階層一覧'!$E$3:$E$1048576,sheet1!B264)</f>
        <v>0</v>
      </c>
      <c r="I264" s="37"/>
      <c r="J264" s="37"/>
      <c r="K264" s="37"/>
      <c r="L264" s="37"/>
    </row>
    <row r="265" spans="1:12" ht="15.75" customHeight="1">
      <c r="A265" s="87" t="s">
        <v>3935</v>
      </c>
      <c r="B265" s="87" t="s">
        <v>4298</v>
      </c>
      <c r="C265" s="87" t="s">
        <v>4295</v>
      </c>
      <c r="D265" s="88">
        <v>610</v>
      </c>
      <c r="E265" s="85" t="s">
        <v>3938</v>
      </c>
      <c r="F265" s="87">
        <v>2</v>
      </c>
      <c r="G265" s="37"/>
      <c r="H265" s="37">
        <f>COUNTIF('(参考)現行システム機能階層一覧'!$E$3:$E$1048576,sheet1!B265)</f>
        <v>0</v>
      </c>
      <c r="I265" s="37"/>
      <c r="J265" s="37"/>
      <c r="K265" s="37"/>
      <c r="L265" s="37"/>
    </row>
    <row r="266" spans="1:12" ht="15.75" customHeight="1">
      <c r="A266" s="87" t="s">
        <v>3935</v>
      </c>
      <c r="B266" s="87" t="s">
        <v>3083</v>
      </c>
      <c r="C266" s="87" t="s">
        <v>4299</v>
      </c>
      <c r="D266" s="88">
        <v>302</v>
      </c>
      <c r="E266" s="85" t="s">
        <v>3938</v>
      </c>
      <c r="F266" s="87">
        <v>3</v>
      </c>
      <c r="G266" s="37"/>
      <c r="H266" s="37">
        <f>COUNTIF('(参考)現行システム機能階層一覧'!$E$3:$E$1048576,sheet1!B266)</f>
        <v>1</v>
      </c>
      <c r="I266" s="37"/>
      <c r="J266" s="37"/>
      <c r="K266" s="37"/>
      <c r="L266" s="37"/>
    </row>
    <row r="267" spans="1:12" ht="15.75" customHeight="1">
      <c r="A267" s="87" t="s">
        <v>3853</v>
      </c>
      <c r="B267" s="87" t="s">
        <v>4300</v>
      </c>
      <c r="C267" s="87" t="s">
        <v>4301</v>
      </c>
      <c r="D267" s="88">
        <v>59</v>
      </c>
      <c r="E267" s="85" t="s">
        <v>3938</v>
      </c>
      <c r="F267" s="87">
        <v>3</v>
      </c>
      <c r="G267" s="37"/>
      <c r="H267" s="37">
        <f>COUNTIF('(参考)現行システム機能階層一覧'!$E$3:$E$1048576,sheet1!B267)</f>
        <v>0</v>
      </c>
      <c r="I267" s="37"/>
      <c r="J267" s="37"/>
      <c r="K267" s="37"/>
      <c r="L267" s="37"/>
    </row>
    <row r="268" spans="1:12" ht="15.75" customHeight="1">
      <c r="A268" s="87" t="s">
        <v>3935</v>
      </c>
      <c r="B268" s="87" t="s">
        <v>4302</v>
      </c>
      <c r="C268" s="87" t="s">
        <v>4303</v>
      </c>
      <c r="D268" s="88">
        <v>174</v>
      </c>
      <c r="E268" s="85" t="s">
        <v>3938</v>
      </c>
      <c r="F268" s="87">
        <v>1</v>
      </c>
      <c r="G268" s="37"/>
      <c r="H268" s="37">
        <f>COUNTIF('(参考)現行システム機能階層一覧'!$E$3:$E$1048576,sheet1!B268)</f>
        <v>0</v>
      </c>
      <c r="I268" s="37"/>
      <c r="J268" s="37"/>
      <c r="K268" s="37"/>
      <c r="L268" s="37"/>
    </row>
    <row r="269" spans="1:12" ht="15.75" customHeight="1">
      <c r="A269" s="87" t="s">
        <v>3935</v>
      </c>
      <c r="B269" s="87" t="s">
        <v>4304</v>
      </c>
      <c r="C269" s="87" t="s">
        <v>4305</v>
      </c>
      <c r="D269" s="88">
        <v>518</v>
      </c>
      <c r="E269" s="85" t="s">
        <v>3938</v>
      </c>
      <c r="F269" s="87">
        <v>1</v>
      </c>
      <c r="G269" s="37"/>
      <c r="H269" s="37">
        <f>COUNTIF('(参考)現行システム機能階層一覧'!$E$3:$E$1048576,sheet1!B269)</f>
        <v>0</v>
      </c>
      <c r="I269" s="37"/>
      <c r="J269" s="37"/>
      <c r="K269" s="37"/>
      <c r="L269" s="37"/>
    </row>
    <row r="270" spans="1:12" ht="15.75" customHeight="1">
      <c r="A270" s="87" t="s">
        <v>3935</v>
      </c>
      <c r="B270" s="87" t="s">
        <v>3025</v>
      </c>
      <c r="C270" s="87" t="s">
        <v>3057</v>
      </c>
      <c r="D270" s="88">
        <v>384</v>
      </c>
      <c r="E270" s="85" t="s">
        <v>3938</v>
      </c>
      <c r="F270" s="87">
        <v>81</v>
      </c>
      <c r="G270" s="37"/>
      <c r="H270" s="37">
        <f>COUNTIF('(参考)現行システム機能階層一覧'!$E$3:$E$1048576,sheet1!B270)</f>
        <v>1</v>
      </c>
      <c r="I270" s="37"/>
      <c r="J270" s="37"/>
      <c r="K270" s="37"/>
      <c r="L270" s="37"/>
    </row>
    <row r="271" spans="1:12" ht="15.75" customHeight="1">
      <c r="A271" s="87" t="s">
        <v>3853</v>
      </c>
      <c r="B271" s="87" t="s">
        <v>4306</v>
      </c>
      <c r="C271" s="87" t="s">
        <v>3057</v>
      </c>
      <c r="D271" s="88">
        <v>22</v>
      </c>
      <c r="E271" s="85" t="s">
        <v>3938</v>
      </c>
      <c r="F271" s="87">
        <v>81</v>
      </c>
      <c r="G271" s="37"/>
      <c r="H271" s="37">
        <f>COUNTIF('(参考)現行システム機能階層一覧'!$E$3:$E$1048576,sheet1!B271)</f>
        <v>0</v>
      </c>
      <c r="I271" s="37"/>
      <c r="J271" s="37"/>
      <c r="K271" s="37"/>
      <c r="L271" s="37"/>
    </row>
    <row r="272" spans="1:12" ht="15.75" customHeight="1">
      <c r="A272" s="87" t="s">
        <v>3935</v>
      </c>
      <c r="B272" s="87" t="s">
        <v>3420</v>
      </c>
      <c r="C272" s="87" t="s">
        <v>4307</v>
      </c>
      <c r="D272" s="88">
        <v>178</v>
      </c>
      <c r="E272" s="85" t="s">
        <v>3938</v>
      </c>
      <c r="F272" s="87">
        <v>6</v>
      </c>
      <c r="G272" s="37"/>
      <c r="H272" s="37">
        <f>COUNTIF('(参考)現行システム機能階層一覧'!$E$3:$E$1048576,sheet1!B272)</f>
        <v>1</v>
      </c>
      <c r="I272" s="37"/>
      <c r="J272" s="37"/>
      <c r="K272" s="37"/>
      <c r="L272" s="37"/>
    </row>
    <row r="273" spans="1:12" ht="15.75" customHeight="1">
      <c r="A273" s="87" t="s">
        <v>3853</v>
      </c>
      <c r="B273" s="87" t="s">
        <v>4308</v>
      </c>
      <c r="C273" s="87" t="s">
        <v>3450</v>
      </c>
      <c r="D273" s="88">
        <v>83</v>
      </c>
      <c r="E273" s="85" t="s">
        <v>3938</v>
      </c>
      <c r="F273" s="87">
        <v>6</v>
      </c>
      <c r="G273" s="37"/>
      <c r="H273" s="37">
        <f>COUNTIF('(参考)現行システム機能階層一覧'!$E$3:$E$1048576,sheet1!B273)</f>
        <v>0</v>
      </c>
      <c r="I273" s="37"/>
      <c r="J273" s="37"/>
      <c r="K273" s="37"/>
      <c r="L273" s="37"/>
    </row>
    <row r="274" spans="1:12" ht="15.75" customHeight="1">
      <c r="A274" s="87" t="s">
        <v>3935</v>
      </c>
      <c r="B274" s="87" t="s">
        <v>4309</v>
      </c>
      <c r="C274" s="87" t="s">
        <v>4310</v>
      </c>
      <c r="D274" s="88">
        <v>180</v>
      </c>
      <c r="E274" s="85" t="s">
        <v>3938</v>
      </c>
      <c r="F274" s="87">
        <v>1</v>
      </c>
      <c r="G274" s="37"/>
      <c r="H274" s="37">
        <f>COUNTIF('(参考)現行システム機能階層一覧'!$E$3:$E$1048576,sheet1!B274)</f>
        <v>0</v>
      </c>
      <c r="I274" s="37"/>
      <c r="J274" s="37"/>
      <c r="K274" s="37"/>
      <c r="L274" s="37"/>
    </row>
    <row r="275" spans="1:12" ht="15.75" customHeight="1">
      <c r="A275" s="87" t="s">
        <v>3935</v>
      </c>
      <c r="B275" s="87" t="s">
        <v>4311</v>
      </c>
      <c r="C275" s="87" t="s">
        <v>4312</v>
      </c>
      <c r="D275" s="88">
        <v>405</v>
      </c>
      <c r="E275" s="85" t="s">
        <v>3938</v>
      </c>
      <c r="F275" s="87">
        <v>1</v>
      </c>
      <c r="G275" s="37"/>
      <c r="H275" s="37">
        <f>COUNTIF('(参考)現行システム機能階層一覧'!$E$3:$E$1048576,sheet1!B275)</f>
        <v>0</v>
      </c>
      <c r="I275" s="37"/>
      <c r="J275" s="37"/>
      <c r="K275" s="37"/>
      <c r="L275" s="37"/>
    </row>
    <row r="276" spans="1:12" ht="15.75" customHeight="1">
      <c r="A276" s="87" t="s">
        <v>3935</v>
      </c>
      <c r="B276" s="87" t="s">
        <v>4313</v>
      </c>
      <c r="C276" s="87" t="s">
        <v>4314</v>
      </c>
      <c r="D276" s="88">
        <v>97</v>
      </c>
      <c r="E276" s="85" t="s">
        <v>3938</v>
      </c>
      <c r="F276" s="87">
        <v>1</v>
      </c>
      <c r="G276" s="37"/>
      <c r="H276" s="37">
        <f>COUNTIF('(参考)現行システム機能階層一覧'!$E$3:$E$1048576,sheet1!B276)</f>
        <v>0</v>
      </c>
      <c r="I276" s="37"/>
      <c r="J276" s="37"/>
      <c r="K276" s="37"/>
      <c r="L276" s="37"/>
    </row>
    <row r="277" spans="1:12" ht="15.75" customHeight="1">
      <c r="A277" s="87" t="s">
        <v>3935</v>
      </c>
      <c r="B277" s="87" t="s">
        <v>4315</v>
      </c>
      <c r="C277" s="87" t="s">
        <v>4316</v>
      </c>
      <c r="D277" s="88">
        <v>301</v>
      </c>
      <c r="E277" s="85" t="s">
        <v>3938</v>
      </c>
      <c r="F277" s="87">
        <v>1</v>
      </c>
      <c r="G277" s="37"/>
      <c r="H277" s="37">
        <f>COUNTIF('(参考)現行システム機能階層一覧'!$E$3:$E$1048576,sheet1!B277)</f>
        <v>0</v>
      </c>
      <c r="I277" s="37"/>
      <c r="J277" s="37"/>
      <c r="K277" s="37"/>
      <c r="L277" s="37"/>
    </row>
    <row r="278" spans="1:12" ht="15.75" customHeight="1">
      <c r="A278" s="87" t="s">
        <v>3935</v>
      </c>
      <c r="B278" s="87" t="s">
        <v>3028</v>
      </c>
      <c r="C278" s="87" t="s">
        <v>4317</v>
      </c>
      <c r="D278" s="88">
        <v>1059</v>
      </c>
      <c r="E278" s="85" t="s">
        <v>3938</v>
      </c>
      <c r="F278" s="87">
        <v>30</v>
      </c>
      <c r="G278" s="37"/>
      <c r="H278" s="37">
        <f>COUNTIF('(参考)現行システム機能階層一覧'!$E$3:$E$1048576,sheet1!B278)</f>
        <v>1</v>
      </c>
      <c r="I278" s="37"/>
      <c r="J278" s="37"/>
      <c r="K278" s="37"/>
      <c r="L278" s="37"/>
    </row>
    <row r="279" spans="1:12" ht="15.75" customHeight="1">
      <c r="A279" s="87" t="s">
        <v>3935</v>
      </c>
      <c r="B279" s="87" t="s">
        <v>4318</v>
      </c>
      <c r="C279" s="87" t="s">
        <v>4319</v>
      </c>
      <c r="D279" s="88">
        <v>562</v>
      </c>
      <c r="E279" s="85" t="s">
        <v>3938</v>
      </c>
      <c r="F279" s="87">
        <v>124</v>
      </c>
      <c r="G279" s="37"/>
      <c r="H279" s="37">
        <f>COUNTIF('(参考)現行システム機能階層一覧'!$E$3:$E$1048576,sheet1!B279)</f>
        <v>0</v>
      </c>
      <c r="I279" s="37"/>
      <c r="J279" s="37"/>
      <c r="K279" s="37"/>
      <c r="L279" s="37"/>
    </row>
    <row r="280" spans="1:12" ht="15.75" customHeight="1">
      <c r="A280" s="87" t="s">
        <v>3935</v>
      </c>
      <c r="B280" s="87" t="s">
        <v>3031</v>
      </c>
      <c r="C280" s="87" t="s">
        <v>4320</v>
      </c>
      <c r="D280" s="88">
        <v>351</v>
      </c>
      <c r="E280" s="85" t="s">
        <v>3938</v>
      </c>
      <c r="F280" s="87">
        <v>81</v>
      </c>
      <c r="G280" s="37"/>
      <c r="H280" s="37">
        <f>COUNTIF('(参考)現行システム機能階層一覧'!$E$3:$E$1048576,sheet1!B280)</f>
        <v>1</v>
      </c>
      <c r="I280" s="37"/>
      <c r="J280" s="37"/>
      <c r="K280" s="37"/>
      <c r="L280" s="37"/>
    </row>
    <row r="281" spans="1:12" ht="15.75" customHeight="1">
      <c r="A281" s="87" t="s">
        <v>3935</v>
      </c>
      <c r="B281" s="87" t="s">
        <v>4321</v>
      </c>
      <c r="C281" s="87" t="s">
        <v>4319</v>
      </c>
      <c r="D281" s="88">
        <v>366</v>
      </c>
      <c r="E281" s="85" t="s">
        <v>3938</v>
      </c>
      <c r="F281" s="87">
        <v>66</v>
      </c>
      <c r="G281" s="37"/>
      <c r="H281" s="37">
        <f>COUNTIF('(参考)現行システム機能階層一覧'!$E$3:$E$1048576,sheet1!B281)</f>
        <v>0</v>
      </c>
      <c r="I281" s="37"/>
      <c r="J281" s="37"/>
      <c r="K281" s="37"/>
      <c r="L281" s="37"/>
    </row>
    <row r="282" spans="1:12" ht="15.75" customHeight="1">
      <c r="A282" s="87" t="s">
        <v>3935</v>
      </c>
      <c r="B282" s="87" t="s">
        <v>3065</v>
      </c>
      <c r="C282" s="87" t="s">
        <v>4322</v>
      </c>
      <c r="D282" s="88">
        <v>616</v>
      </c>
      <c r="E282" s="85" t="s">
        <v>3938</v>
      </c>
      <c r="F282" s="87">
        <v>8</v>
      </c>
      <c r="G282" s="37"/>
      <c r="H282" s="37">
        <f>COUNTIF('(参考)現行システム機能階層一覧'!$E$3:$E$1048576,sheet1!B282)</f>
        <v>1</v>
      </c>
      <c r="I282" s="37"/>
      <c r="J282" s="37"/>
      <c r="K282" s="37"/>
      <c r="L282" s="37"/>
    </row>
    <row r="283" spans="1:12" ht="15.75" customHeight="1">
      <c r="A283" s="87" t="s">
        <v>3853</v>
      </c>
      <c r="B283" s="87" t="s">
        <v>4323</v>
      </c>
      <c r="C283" s="87" t="s">
        <v>4324</v>
      </c>
      <c r="D283" s="88">
        <v>77</v>
      </c>
      <c r="E283" s="85" t="s">
        <v>3938</v>
      </c>
      <c r="F283" s="87">
        <v>48</v>
      </c>
      <c r="G283" s="37"/>
      <c r="H283" s="37">
        <f>COUNTIF('(参考)現行システム機能階層一覧'!$E$3:$E$1048576,sheet1!B283)</f>
        <v>0</v>
      </c>
      <c r="I283" s="37"/>
      <c r="J283" s="37"/>
      <c r="K283" s="37"/>
      <c r="L283" s="37"/>
    </row>
    <row r="284" spans="1:12" ht="15.75" customHeight="1">
      <c r="A284" s="87" t="s">
        <v>3935</v>
      </c>
      <c r="B284" s="87" t="s">
        <v>3068</v>
      </c>
      <c r="C284" s="87" t="s">
        <v>3098</v>
      </c>
      <c r="D284" s="88">
        <v>358</v>
      </c>
      <c r="E284" s="85" t="s">
        <v>3938</v>
      </c>
      <c r="F284" s="87">
        <v>29</v>
      </c>
      <c r="G284" s="37"/>
      <c r="H284" s="37">
        <f>COUNTIF('(参考)現行システム機能階層一覧'!$E$3:$E$1048576,sheet1!B284)</f>
        <v>1</v>
      </c>
      <c r="I284" s="37"/>
      <c r="J284" s="37"/>
      <c r="K284" s="37"/>
      <c r="L284" s="37"/>
    </row>
    <row r="285" spans="1:12" ht="15.75" customHeight="1">
      <c r="A285" s="87" t="s">
        <v>3853</v>
      </c>
      <c r="B285" s="87" t="s">
        <v>4325</v>
      </c>
      <c r="C285" s="87" t="s">
        <v>4326</v>
      </c>
      <c r="D285" s="88">
        <v>17</v>
      </c>
      <c r="E285" s="85" t="s">
        <v>3938</v>
      </c>
      <c r="F285" s="87">
        <v>29</v>
      </c>
      <c r="G285" s="37"/>
      <c r="H285" s="37">
        <f>COUNTIF('(参考)現行システム機能階層一覧'!$E$3:$E$1048576,sheet1!B285)</f>
        <v>0</v>
      </c>
      <c r="I285" s="37"/>
      <c r="J285" s="37"/>
      <c r="K285" s="37"/>
      <c r="L285" s="37"/>
    </row>
    <row r="286" spans="1:12" ht="15.75" customHeight="1">
      <c r="A286" s="87" t="s">
        <v>3935</v>
      </c>
      <c r="B286" s="87" t="s">
        <v>4327</v>
      </c>
      <c r="C286" s="87" t="s">
        <v>4328</v>
      </c>
      <c r="D286" s="88">
        <v>125</v>
      </c>
      <c r="E286" s="85" t="s">
        <v>3938</v>
      </c>
      <c r="F286" s="87">
        <v>23</v>
      </c>
      <c r="G286" s="37"/>
      <c r="H286" s="37">
        <f>COUNTIF('(参考)現行システム機能階層一覧'!$E$3:$E$1048576,sheet1!B286)</f>
        <v>0</v>
      </c>
      <c r="I286" s="37"/>
      <c r="J286" s="37"/>
      <c r="K286" s="37"/>
      <c r="L286" s="37"/>
    </row>
    <row r="287" spans="1:12" ht="15.75" customHeight="1">
      <c r="A287" s="87" t="s">
        <v>3853</v>
      </c>
      <c r="B287" s="87" t="s">
        <v>4329</v>
      </c>
      <c r="C287" s="87" t="s">
        <v>4330</v>
      </c>
      <c r="D287" s="88">
        <v>46</v>
      </c>
      <c r="E287" s="85" t="s">
        <v>3938</v>
      </c>
      <c r="F287" s="87">
        <v>23</v>
      </c>
      <c r="G287" s="37"/>
      <c r="H287" s="37">
        <f>COUNTIF('(参考)現行システム機能階層一覧'!$E$3:$E$1048576,sheet1!B287)</f>
        <v>0</v>
      </c>
      <c r="I287" s="37"/>
      <c r="J287" s="37"/>
      <c r="K287" s="37"/>
      <c r="L287" s="37"/>
    </row>
    <row r="288" spans="1:12" ht="15.75" customHeight="1">
      <c r="A288" s="87" t="s">
        <v>3853</v>
      </c>
      <c r="B288" s="87" t="s">
        <v>4331</v>
      </c>
      <c r="C288" s="87" t="s">
        <v>4332</v>
      </c>
      <c r="D288" s="88">
        <v>77</v>
      </c>
      <c r="E288" s="85" t="s">
        <v>3938</v>
      </c>
      <c r="F288" s="87">
        <v>6</v>
      </c>
      <c r="G288" s="37"/>
      <c r="H288" s="37">
        <f>COUNTIF('(参考)現行システム機能階層一覧'!$E$3:$E$1048576,sheet1!B288)</f>
        <v>0</v>
      </c>
      <c r="I288" s="37"/>
      <c r="J288" s="37"/>
      <c r="K288" s="37"/>
      <c r="L288" s="37"/>
    </row>
    <row r="289" spans="1:12" ht="15.75" customHeight="1">
      <c r="A289" s="87" t="s">
        <v>3935</v>
      </c>
      <c r="B289" s="87" t="s">
        <v>4333</v>
      </c>
      <c r="C289" s="87" t="s">
        <v>4334</v>
      </c>
      <c r="D289" s="88">
        <v>41</v>
      </c>
      <c r="E289" s="85" t="s">
        <v>3938</v>
      </c>
      <c r="F289" s="87">
        <v>6</v>
      </c>
      <c r="G289" s="37"/>
      <c r="H289" s="37">
        <f>COUNTIF('(参考)現行システム機能階層一覧'!$E$3:$E$1048576,sheet1!B289)</f>
        <v>0</v>
      </c>
      <c r="I289" s="37"/>
      <c r="J289" s="37"/>
      <c r="K289" s="37"/>
      <c r="L289" s="37"/>
    </row>
    <row r="290" spans="1:12" ht="15.75" customHeight="1">
      <c r="A290" s="87" t="s">
        <v>3935</v>
      </c>
      <c r="B290" s="87" t="s">
        <v>4335</v>
      </c>
      <c r="C290" s="87" t="s">
        <v>4336</v>
      </c>
      <c r="D290" s="88">
        <v>72</v>
      </c>
      <c r="E290" s="85" t="s">
        <v>3938</v>
      </c>
      <c r="F290" s="87">
        <v>6</v>
      </c>
      <c r="G290" s="37"/>
      <c r="H290" s="37">
        <f>COUNTIF('(参考)現行システム機能階層一覧'!$E$3:$E$1048576,sheet1!B290)</f>
        <v>0</v>
      </c>
      <c r="I290" s="37"/>
      <c r="J290" s="37"/>
      <c r="K290" s="37"/>
      <c r="L290" s="37"/>
    </row>
    <row r="291" spans="1:12" ht="15.75" customHeight="1">
      <c r="A291" s="87" t="s">
        <v>3935</v>
      </c>
      <c r="B291" s="87" t="s">
        <v>4337</v>
      </c>
      <c r="C291" s="87" t="s">
        <v>4338</v>
      </c>
      <c r="D291" s="88">
        <v>66</v>
      </c>
      <c r="E291" s="85" t="s">
        <v>3938</v>
      </c>
      <c r="F291" s="87">
        <v>1</v>
      </c>
      <c r="G291" s="37"/>
      <c r="H291" s="37">
        <f>COUNTIF('(参考)現行システム機能階層一覧'!$E$3:$E$1048576,sheet1!B291)</f>
        <v>0</v>
      </c>
      <c r="I291" s="37"/>
      <c r="J291" s="37"/>
      <c r="K291" s="37"/>
      <c r="L291" s="37"/>
    </row>
    <row r="292" spans="1:12" ht="15.75" customHeight="1">
      <c r="A292" s="87" t="s">
        <v>3935</v>
      </c>
      <c r="B292" s="87" t="s">
        <v>4339</v>
      </c>
      <c r="C292" s="87" t="s">
        <v>4340</v>
      </c>
      <c r="D292" s="88">
        <v>191</v>
      </c>
      <c r="E292" s="85" t="s">
        <v>3938</v>
      </c>
      <c r="F292" s="87">
        <v>1</v>
      </c>
      <c r="G292" s="37"/>
      <c r="H292" s="37">
        <f>COUNTIF('(参考)現行システム機能階層一覧'!$E$3:$E$1048576,sheet1!B292)</f>
        <v>0</v>
      </c>
      <c r="I292" s="37"/>
      <c r="J292" s="37"/>
      <c r="K292" s="37"/>
      <c r="L292" s="37"/>
    </row>
    <row r="293" spans="1:12" ht="15.75" customHeight="1">
      <c r="A293" s="87" t="s">
        <v>3935</v>
      </c>
      <c r="B293" s="87" t="s">
        <v>4341</v>
      </c>
      <c r="C293" s="87" t="s">
        <v>4342</v>
      </c>
      <c r="D293" s="88">
        <v>35</v>
      </c>
      <c r="E293" s="85" t="s">
        <v>3938</v>
      </c>
      <c r="F293" s="87">
        <v>2</v>
      </c>
      <c r="G293" s="37"/>
      <c r="H293" s="37">
        <f>COUNTIF('(参考)現行システム機能階層一覧'!$E$3:$E$1048576,sheet1!B293)</f>
        <v>0</v>
      </c>
      <c r="I293" s="37"/>
      <c r="J293" s="37"/>
      <c r="K293" s="37"/>
      <c r="L293" s="37"/>
    </row>
    <row r="294" spans="1:12" ht="15.75" customHeight="1">
      <c r="A294" s="87" t="s">
        <v>3935</v>
      </c>
      <c r="B294" s="87" t="s">
        <v>4343</v>
      </c>
      <c r="C294" s="87" t="s">
        <v>4344</v>
      </c>
      <c r="D294" s="88">
        <v>39</v>
      </c>
      <c r="E294" s="85" t="s">
        <v>3938</v>
      </c>
      <c r="F294" s="87">
        <v>2</v>
      </c>
      <c r="G294" s="37"/>
      <c r="H294" s="37">
        <f>COUNTIF('(参考)現行システム機能階層一覧'!$E$3:$E$1048576,sheet1!B294)</f>
        <v>0</v>
      </c>
      <c r="I294" s="37"/>
      <c r="J294" s="37"/>
      <c r="K294" s="37"/>
      <c r="L294" s="37"/>
    </row>
    <row r="295" spans="1:12" ht="15.75" customHeight="1">
      <c r="A295" s="87" t="s">
        <v>3935</v>
      </c>
      <c r="B295" s="87" t="s">
        <v>4345</v>
      </c>
      <c r="C295" s="87" t="s">
        <v>4346</v>
      </c>
      <c r="D295" s="88">
        <v>68</v>
      </c>
      <c r="E295" s="85" t="s">
        <v>3938</v>
      </c>
      <c r="F295" s="87">
        <v>2</v>
      </c>
      <c r="G295" s="37"/>
      <c r="H295" s="37">
        <f>COUNTIF('(参考)現行システム機能階層一覧'!$E$3:$E$1048576,sheet1!B295)</f>
        <v>0</v>
      </c>
      <c r="I295" s="37"/>
      <c r="J295" s="37"/>
      <c r="K295" s="37"/>
      <c r="L295" s="37"/>
    </row>
    <row r="296" spans="1:12" ht="15.75" customHeight="1">
      <c r="A296" s="87" t="s">
        <v>3935</v>
      </c>
      <c r="B296" s="87" t="s">
        <v>4347</v>
      </c>
      <c r="C296" s="87" t="s">
        <v>4348</v>
      </c>
      <c r="D296" s="88">
        <v>132</v>
      </c>
      <c r="E296" s="85" t="s">
        <v>3938</v>
      </c>
      <c r="F296" s="87">
        <v>2</v>
      </c>
      <c r="G296" s="37"/>
      <c r="H296" s="37">
        <f>COUNTIF('(参考)現行システム機能階層一覧'!$E$3:$E$1048576,sheet1!B296)</f>
        <v>0</v>
      </c>
      <c r="I296" s="37"/>
      <c r="J296" s="37"/>
      <c r="K296" s="37"/>
      <c r="L296" s="37"/>
    </row>
    <row r="297" spans="1:12" ht="15.75" customHeight="1">
      <c r="A297" s="87" t="s">
        <v>3935</v>
      </c>
      <c r="B297" s="87" t="s">
        <v>4349</v>
      </c>
      <c r="C297" s="87" t="s">
        <v>4350</v>
      </c>
      <c r="D297" s="88">
        <v>55</v>
      </c>
      <c r="E297" s="85" t="s">
        <v>3938</v>
      </c>
      <c r="F297" s="87">
        <v>8</v>
      </c>
      <c r="G297" s="37"/>
      <c r="H297" s="37">
        <f>COUNTIF('(参考)現行システム機能階層一覧'!$E$3:$E$1048576,sheet1!B297)</f>
        <v>0</v>
      </c>
      <c r="I297" s="37"/>
      <c r="J297" s="37"/>
      <c r="K297" s="37"/>
      <c r="L297" s="37"/>
    </row>
    <row r="298" spans="1:12" ht="15.75" customHeight="1">
      <c r="A298" s="87" t="s">
        <v>3935</v>
      </c>
      <c r="B298" s="87" t="s">
        <v>3091</v>
      </c>
      <c r="C298" s="87" t="s">
        <v>4351</v>
      </c>
      <c r="D298" s="88">
        <v>255</v>
      </c>
      <c r="E298" s="85" t="s">
        <v>3938</v>
      </c>
      <c r="F298" s="87">
        <v>7</v>
      </c>
      <c r="G298" s="37"/>
      <c r="H298" s="37">
        <f>COUNTIF('(参考)現行システム機能階層一覧'!$E$3:$E$1048576,sheet1!B298)</f>
        <v>1</v>
      </c>
      <c r="I298" s="37"/>
      <c r="J298" s="37"/>
      <c r="K298" s="37"/>
      <c r="L298" s="37"/>
    </row>
    <row r="299" spans="1:12" ht="15.75" customHeight="1">
      <c r="A299" s="87" t="s">
        <v>3935</v>
      </c>
      <c r="B299" s="87" t="s">
        <v>4352</v>
      </c>
      <c r="C299" s="87" t="s">
        <v>3126</v>
      </c>
      <c r="D299" s="88">
        <v>272</v>
      </c>
      <c r="E299" s="85" t="s">
        <v>3938</v>
      </c>
      <c r="F299" s="87">
        <v>4</v>
      </c>
      <c r="G299" s="37"/>
      <c r="H299" s="37">
        <f>COUNTIF('(参考)現行システム機能階層一覧'!$E$3:$E$1048576,sheet1!B299)</f>
        <v>0</v>
      </c>
      <c r="I299" s="37"/>
      <c r="J299" s="37"/>
      <c r="K299" s="37"/>
      <c r="L299" s="37"/>
    </row>
    <row r="300" spans="1:12" ht="15.75" customHeight="1">
      <c r="A300" s="87" t="s">
        <v>3853</v>
      </c>
      <c r="B300" s="87" t="s">
        <v>4353</v>
      </c>
      <c r="C300" s="87" t="s">
        <v>3119</v>
      </c>
      <c r="D300" s="88">
        <v>43</v>
      </c>
      <c r="E300" s="85" t="s">
        <v>3938</v>
      </c>
      <c r="F300" s="87">
        <v>2</v>
      </c>
      <c r="G300" s="37"/>
      <c r="H300" s="37">
        <f>COUNTIF('(参考)現行システム機能階層一覧'!$E$3:$E$1048576,sheet1!B300)</f>
        <v>0</v>
      </c>
      <c r="I300" s="37"/>
      <c r="J300" s="37"/>
      <c r="K300" s="37"/>
      <c r="L300" s="37"/>
    </row>
    <row r="301" spans="1:12" ht="15.75" customHeight="1">
      <c r="A301" s="87" t="s">
        <v>3935</v>
      </c>
      <c r="B301" s="87" t="s">
        <v>4354</v>
      </c>
      <c r="C301" s="87" t="s">
        <v>4355</v>
      </c>
      <c r="D301" s="88">
        <v>212</v>
      </c>
      <c r="E301" s="85" t="s">
        <v>3938</v>
      </c>
      <c r="F301" s="87">
        <v>2</v>
      </c>
      <c r="G301" s="37"/>
      <c r="H301" s="37">
        <f>COUNTIF('(参考)現行システム機能階層一覧'!$E$3:$E$1048576,sheet1!B301)</f>
        <v>0</v>
      </c>
      <c r="I301" s="37"/>
      <c r="J301" s="37"/>
      <c r="K301" s="37"/>
      <c r="L301" s="37"/>
    </row>
    <row r="302" spans="1:12" ht="15.75" customHeight="1">
      <c r="A302" s="87" t="s">
        <v>3935</v>
      </c>
      <c r="B302" s="87" t="s">
        <v>4356</v>
      </c>
      <c r="C302" s="87" t="s">
        <v>4357</v>
      </c>
      <c r="D302" s="88">
        <v>114</v>
      </c>
      <c r="E302" s="85" t="s">
        <v>3938</v>
      </c>
      <c r="F302" s="87">
        <v>2</v>
      </c>
      <c r="G302" s="37"/>
      <c r="H302" s="37">
        <f>COUNTIF('(参考)現行システム機能階層一覧'!$E$3:$E$1048576,sheet1!B302)</f>
        <v>0</v>
      </c>
      <c r="I302" s="37"/>
      <c r="J302" s="37"/>
      <c r="K302" s="37"/>
      <c r="L302" s="37"/>
    </row>
    <row r="303" spans="1:12" ht="15.75" customHeight="1">
      <c r="A303" s="87" t="s">
        <v>3853</v>
      </c>
      <c r="B303" s="87" t="s">
        <v>4358</v>
      </c>
      <c r="C303" s="87" t="s">
        <v>4359</v>
      </c>
      <c r="D303" s="88">
        <v>46</v>
      </c>
      <c r="E303" s="85" t="s">
        <v>3938</v>
      </c>
      <c r="F303" s="87">
        <v>15</v>
      </c>
      <c r="G303" s="37"/>
      <c r="H303" s="37">
        <f>COUNTIF('(参考)現行システム機能階層一覧'!$E$3:$E$1048576,sheet1!B303)</f>
        <v>0</v>
      </c>
      <c r="I303" s="37"/>
      <c r="J303" s="37"/>
      <c r="K303" s="37"/>
      <c r="L303" s="37"/>
    </row>
    <row r="304" spans="1:12" ht="15.75" customHeight="1">
      <c r="A304" s="87" t="s">
        <v>3935</v>
      </c>
      <c r="B304" s="87" t="s">
        <v>3269</v>
      </c>
      <c r="C304" s="87" t="s">
        <v>4360</v>
      </c>
      <c r="D304" s="88">
        <v>1280</v>
      </c>
      <c r="E304" s="85" t="s">
        <v>3938</v>
      </c>
      <c r="F304" s="87">
        <v>33</v>
      </c>
      <c r="G304" s="37"/>
      <c r="H304" s="37">
        <f>COUNTIF('(参考)現行システム機能階層一覧'!$E$3:$E$1048576,sheet1!B304)</f>
        <v>1</v>
      </c>
      <c r="I304" s="37"/>
      <c r="J304" s="37"/>
      <c r="K304" s="37"/>
      <c r="L304" s="37"/>
    </row>
    <row r="305" spans="1:12" ht="15.75" customHeight="1">
      <c r="A305" s="87" t="s">
        <v>3935</v>
      </c>
      <c r="B305" s="87" t="s">
        <v>3266</v>
      </c>
      <c r="C305" s="87" t="s">
        <v>4361</v>
      </c>
      <c r="D305" s="88">
        <v>2025</v>
      </c>
      <c r="E305" s="85" t="s">
        <v>3938</v>
      </c>
      <c r="F305" s="87">
        <v>7</v>
      </c>
      <c r="G305" s="37"/>
      <c r="H305" s="37">
        <f>COUNTIF('(参考)現行システム機能階層一覧'!$E$3:$E$1048576,sheet1!B305)</f>
        <v>1</v>
      </c>
      <c r="I305" s="37"/>
      <c r="J305" s="37"/>
      <c r="K305" s="37"/>
      <c r="L305" s="37"/>
    </row>
    <row r="306" spans="1:12" ht="15.75" customHeight="1">
      <c r="A306" s="87" t="s">
        <v>3853</v>
      </c>
      <c r="B306" s="87" t="s">
        <v>4362</v>
      </c>
      <c r="C306" s="87" t="s">
        <v>3296</v>
      </c>
      <c r="D306" s="88">
        <v>67</v>
      </c>
      <c r="E306" s="85" t="s">
        <v>3938</v>
      </c>
      <c r="F306" s="87">
        <v>106</v>
      </c>
      <c r="G306" s="37"/>
      <c r="H306" s="37">
        <f>COUNTIF('(参考)現行システム機能階層一覧'!$E$3:$E$1048576,sheet1!B306)</f>
        <v>0</v>
      </c>
      <c r="I306" s="37"/>
      <c r="J306" s="37"/>
      <c r="K306" s="37"/>
      <c r="L306" s="37"/>
    </row>
    <row r="307" spans="1:12" ht="15.75" customHeight="1">
      <c r="A307" s="87" t="s">
        <v>3935</v>
      </c>
      <c r="B307" s="87" t="s">
        <v>4363</v>
      </c>
      <c r="C307" s="87" t="s">
        <v>4364</v>
      </c>
      <c r="D307" s="88">
        <v>769</v>
      </c>
      <c r="E307" s="85" t="s">
        <v>3938</v>
      </c>
      <c r="F307" s="87">
        <v>18</v>
      </c>
      <c r="G307" s="37"/>
      <c r="H307" s="37">
        <f>COUNTIF('(参考)現行システム機能階層一覧'!$E$3:$E$1048576,sheet1!B307)</f>
        <v>0</v>
      </c>
      <c r="I307" s="37"/>
      <c r="J307" s="37"/>
      <c r="K307" s="37"/>
      <c r="L307" s="37"/>
    </row>
    <row r="308" spans="1:12" ht="15.75" customHeight="1">
      <c r="A308" s="87" t="s">
        <v>3853</v>
      </c>
      <c r="B308" s="87" t="s">
        <v>4365</v>
      </c>
      <c r="C308" s="87" t="s">
        <v>4366</v>
      </c>
      <c r="D308" s="88">
        <v>38</v>
      </c>
      <c r="E308" s="85" t="s">
        <v>3938</v>
      </c>
      <c r="F308" s="87">
        <v>293</v>
      </c>
      <c r="G308" s="37"/>
      <c r="H308" s="37">
        <f>COUNTIF('(参考)現行システム機能階層一覧'!$E$3:$E$1048576,sheet1!B308)</f>
        <v>0</v>
      </c>
      <c r="I308" s="37"/>
      <c r="J308" s="37"/>
      <c r="K308" s="37"/>
      <c r="L308" s="37"/>
    </row>
    <row r="309" spans="1:12" ht="15.75" customHeight="1">
      <c r="A309" s="87" t="s">
        <v>3935</v>
      </c>
      <c r="B309" s="87" t="s">
        <v>4367</v>
      </c>
      <c r="C309" s="87" t="s">
        <v>4368</v>
      </c>
      <c r="D309" s="88">
        <v>191</v>
      </c>
      <c r="E309" s="85" t="s">
        <v>3938</v>
      </c>
      <c r="F309" s="87">
        <v>293</v>
      </c>
      <c r="G309" s="37"/>
      <c r="H309" s="37">
        <f>COUNTIF('(参考)現行システム機能階層一覧'!$E$3:$E$1048576,sheet1!B309)</f>
        <v>0</v>
      </c>
      <c r="I309" s="37"/>
      <c r="J309" s="37"/>
      <c r="K309" s="37"/>
      <c r="L309" s="37"/>
    </row>
    <row r="310" spans="1:12" ht="15.75" customHeight="1">
      <c r="A310" s="87" t="s">
        <v>3935</v>
      </c>
      <c r="B310" s="87" t="s">
        <v>4369</v>
      </c>
      <c r="C310" s="87" t="s">
        <v>4370</v>
      </c>
      <c r="D310" s="88">
        <v>177</v>
      </c>
      <c r="E310" s="85" t="s">
        <v>3938</v>
      </c>
      <c r="F310" s="87">
        <v>274</v>
      </c>
      <c r="G310" s="37"/>
      <c r="H310" s="37">
        <f>COUNTIF('(参考)現行システム機能階層一覧'!$E$3:$E$1048576,sheet1!B310)</f>
        <v>0</v>
      </c>
      <c r="I310" s="37"/>
      <c r="J310" s="37"/>
      <c r="K310" s="37"/>
      <c r="L310" s="37"/>
    </row>
    <row r="311" spans="1:12" ht="15.75" customHeight="1">
      <c r="A311" s="87" t="s">
        <v>3935</v>
      </c>
      <c r="B311" s="87" t="s">
        <v>4371</v>
      </c>
      <c r="C311" s="87" t="s">
        <v>4372</v>
      </c>
      <c r="D311" s="88">
        <v>348</v>
      </c>
      <c r="E311" s="85" t="s">
        <v>3938</v>
      </c>
      <c r="F311" s="87">
        <v>273</v>
      </c>
      <c r="G311" s="37"/>
      <c r="H311" s="37">
        <f>COUNTIF('(参考)現行システム機能階層一覧'!$E$3:$E$1048576,sheet1!B311)</f>
        <v>0</v>
      </c>
      <c r="I311" s="37"/>
      <c r="J311" s="37"/>
      <c r="K311" s="37"/>
      <c r="L311" s="37"/>
    </row>
    <row r="312" spans="1:12" ht="15.75" customHeight="1">
      <c r="A312" s="87" t="s">
        <v>3935</v>
      </c>
      <c r="B312" s="87" t="s">
        <v>4373</v>
      </c>
      <c r="C312" s="87" t="s">
        <v>4374</v>
      </c>
      <c r="D312" s="88">
        <v>535</v>
      </c>
      <c r="E312" s="85" t="s">
        <v>3938</v>
      </c>
      <c r="F312" s="87">
        <v>65</v>
      </c>
      <c r="G312" s="37"/>
      <c r="H312" s="37">
        <f>COUNTIF('(参考)現行システム機能階層一覧'!$E$3:$E$1048576,sheet1!B312)</f>
        <v>0</v>
      </c>
      <c r="I312" s="37"/>
      <c r="J312" s="37"/>
      <c r="K312" s="37"/>
      <c r="L312" s="37"/>
    </row>
    <row r="313" spans="1:12" ht="15.75" customHeight="1">
      <c r="A313" s="87" t="s">
        <v>3853</v>
      </c>
      <c r="B313" s="87" t="s">
        <v>4375</v>
      </c>
      <c r="C313" s="87" t="s">
        <v>4374</v>
      </c>
      <c r="D313" s="88">
        <v>37</v>
      </c>
      <c r="E313" s="85" t="s">
        <v>3938</v>
      </c>
      <c r="F313" s="87">
        <v>117</v>
      </c>
      <c r="G313" s="37"/>
      <c r="H313" s="37">
        <f>COUNTIF('(参考)現行システム機能階層一覧'!$E$3:$E$1048576,sheet1!B313)</f>
        <v>0</v>
      </c>
      <c r="I313" s="37"/>
      <c r="J313" s="37"/>
      <c r="K313" s="37"/>
      <c r="L313" s="37"/>
    </row>
    <row r="314" spans="1:12" ht="15.75" customHeight="1">
      <c r="A314" s="87" t="s">
        <v>3935</v>
      </c>
      <c r="B314" s="87" t="s">
        <v>3281</v>
      </c>
      <c r="C314" s="87" t="s">
        <v>4376</v>
      </c>
      <c r="D314" s="88">
        <v>176</v>
      </c>
      <c r="E314" s="85" t="s">
        <v>3938</v>
      </c>
      <c r="F314" s="87">
        <v>117</v>
      </c>
      <c r="G314" s="37"/>
      <c r="H314" s="37">
        <f>COUNTIF('(参考)現行システム機能階層一覧'!$E$3:$E$1048576,sheet1!B314)</f>
        <v>1</v>
      </c>
      <c r="I314" s="37"/>
      <c r="J314" s="37"/>
      <c r="K314" s="37"/>
      <c r="L314" s="37"/>
    </row>
    <row r="315" spans="1:12" ht="15.75" customHeight="1">
      <c r="A315" s="87" t="s">
        <v>3935</v>
      </c>
      <c r="B315" s="87" t="s">
        <v>3046</v>
      </c>
      <c r="C315" s="87" t="s">
        <v>4377</v>
      </c>
      <c r="D315" s="88">
        <v>700</v>
      </c>
      <c r="E315" s="85" t="s">
        <v>3938</v>
      </c>
      <c r="F315" s="87">
        <v>8</v>
      </c>
      <c r="G315" s="37"/>
      <c r="H315" s="37">
        <f>COUNTIF('(参考)現行システム機能階層一覧'!$E$3:$E$1048576,sheet1!B315)</f>
        <v>1</v>
      </c>
      <c r="I315" s="37"/>
      <c r="J315" s="37"/>
      <c r="K315" s="37"/>
      <c r="L315" s="37"/>
    </row>
    <row r="316" spans="1:12" ht="15.75" customHeight="1">
      <c r="A316" s="87" t="s">
        <v>3935</v>
      </c>
      <c r="B316" s="87" t="s">
        <v>3278</v>
      </c>
      <c r="C316" s="87" t="s">
        <v>4378</v>
      </c>
      <c r="D316" s="88">
        <v>399</v>
      </c>
      <c r="E316" s="85" t="s">
        <v>3938</v>
      </c>
      <c r="F316" s="87">
        <v>112</v>
      </c>
      <c r="G316" s="37"/>
      <c r="H316" s="37">
        <f>COUNTIF('(参考)現行システム機能階層一覧'!$E$3:$E$1048576,sheet1!B316)</f>
        <v>1</v>
      </c>
      <c r="I316" s="37"/>
      <c r="J316" s="37"/>
      <c r="K316" s="37"/>
      <c r="L316" s="37"/>
    </row>
    <row r="317" spans="1:12" ht="15.75" customHeight="1">
      <c r="A317" s="87" t="s">
        <v>3935</v>
      </c>
      <c r="B317" s="87" t="s">
        <v>3272</v>
      </c>
      <c r="C317" s="87" t="s">
        <v>4379</v>
      </c>
      <c r="D317" s="88">
        <v>941</v>
      </c>
      <c r="E317" s="85" t="s">
        <v>3938</v>
      </c>
      <c r="F317" s="87">
        <v>66</v>
      </c>
      <c r="G317" s="37"/>
      <c r="H317" s="37">
        <f>COUNTIF('(参考)現行システム機能階層一覧'!$E$3:$E$1048576,sheet1!B317)</f>
        <v>1</v>
      </c>
      <c r="I317" s="37"/>
      <c r="J317" s="37"/>
      <c r="K317" s="37"/>
      <c r="L317" s="37"/>
    </row>
    <row r="318" spans="1:12" ht="15.75" customHeight="1">
      <c r="A318" s="87" t="s">
        <v>3935</v>
      </c>
      <c r="B318" s="87" t="s">
        <v>3275</v>
      </c>
      <c r="C318" s="87" t="s">
        <v>4380</v>
      </c>
      <c r="D318" s="88">
        <v>391</v>
      </c>
      <c r="E318" s="85" t="s">
        <v>3938</v>
      </c>
      <c r="F318" s="87">
        <v>14</v>
      </c>
      <c r="G318" s="37"/>
      <c r="H318" s="37">
        <f>COUNTIF('(参考)現行システム機能階層一覧'!$E$3:$E$1048576,sheet1!B318)</f>
        <v>1</v>
      </c>
      <c r="I318" s="37"/>
      <c r="J318" s="37"/>
      <c r="K318" s="37"/>
      <c r="L318" s="37"/>
    </row>
    <row r="319" spans="1:12" ht="15.75" customHeight="1">
      <c r="A319" s="87" t="s">
        <v>3935</v>
      </c>
      <c r="B319" s="87" t="s">
        <v>3059</v>
      </c>
      <c r="C319" s="87" t="s">
        <v>4381</v>
      </c>
      <c r="D319" s="88">
        <v>869</v>
      </c>
      <c r="E319" s="85" t="s">
        <v>3938</v>
      </c>
      <c r="F319" s="87">
        <v>170</v>
      </c>
      <c r="G319" s="37"/>
      <c r="H319" s="37">
        <f>COUNTIF('(参考)現行システム機能階層一覧'!$E$3:$E$1048576,sheet1!B319)</f>
        <v>1</v>
      </c>
      <c r="I319" s="37"/>
      <c r="J319" s="37"/>
      <c r="K319" s="37"/>
      <c r="L319" s="37"/>
    </row>
    <row r="320" spans="1:12" ht="15.75" customHeight="1">
      <c r="A320" s="87" t="s">
        <v>3935</v>
      </c>
      <c r="B320" s="87" t="s">
        <v>3062</v>
      </c>
      <c r="C320" s="87" t="s">
        <v>4382</v>
      </c>
      <c r="D320" s="88">
        <v>1079</v>
      </c>
      <c r="E320" s="85" t="s">
        <v>3938</v>
      </c>
      <c r="F320" s="87">
        <v>113</v>
      </c>
      <c r="G320" s="37"/>
      <c r="H320" s="37">
        <f>COUNTIF('(参考)現行システム機能階層一覧'!$E$3:$E$1048576,sheet1!B320)</f>
        <v>1</v>
      </c>
      <c r="I320" s="37"/>
      <c r="J320" s="37"/>
      <c r="K320" s="37"/>
      <c r="L320" s="37"/>
    </row>
    <row r="321" spans="1:12" ht="15.75" customHeight="1">
      <c r="A321" s="87" t="s">
        <v>3935</v>
      </c>
      <c r="B321" s="87" t="s">
        <v>2550</v>
      </c>
      <c r="C321" s="87" t="s">
        <v>2594</v>
      </c>
      <c r="D321" s="88">
        <v>810</v>
      </c>
      <c r="E321" s="85" t="s">
        <v>3938</v>
      </c>
      <c r="F321" s="87">
        <v>170</v>
      </c>
      <c r="G321" s="37"/>
      <c r="H321" s="37">
        <f>COUNTIF('(参考)現行システム機能階層一覧'!$E$3:$E$1048576,sheet1!B321)</f>
        <v>1</v>
      </c>
      <c r="I321" s="37"/>
      <c r="J321" s="37"/>
      <c r="K321" s="37"/>
      <c r="L321" s="37"/>
    </row>
    <row r="322" spans="1:12" ht="15.75" customHeight="1">
      <c r="A322" s="87" t="s">
        <v>3853</v>
      </c>
      <c r="B322" s="87" t="s">
        <v>4383</v>
      </c>
      <c r="C322" s="87" t="s">
        <v>2594</v>
      </c>
      <c r="D322" s="88">
        <v>83</v>
      </c>
      <c r="E322" s="85" t="s">
        <v>3938</v>
      </c>
      <c r="F322" s="87">
        <v>170</v>
      </c>
      <c r="G322" s="37"/>
      <c r="H322" s="37">
        <f>COUNTIF('(参考)現行システム機能階層一覧'!$E$3:$E$1048576,sheet1!B322)</f>
        <v>0</v>
      </c>
      <c r="I322" s="37"/>
      <c r="J322" s="37"/>
      <c r="K322" s="37"/>
      <c r="L322" s="37"/>
    </row>
    <row r="323" spans="1:12" ht="15.75" customHeight="1">
      <c r="A323" s="87" t="s">
        <v>3935</v>
      </c>
      <c r="B323" s="87" t="s">
        <v>3433</v>
      </c>
      <c r="C323" s="87" t="s">
        <v>4384</v>
      </c>
      <c r="D323" s="88">
        <v>122</v>
      </c>
      <c r="E323" s="85" t="s">
        <v>3938</v>
      </c>
      <c r="F323" s="87">
        <v>1</v>
      </c>
      <c r="G323" s="37"/>
      <c r="H323" s="37">
        <f>COUNTIF('(参考)現行システム機能階層一覧'!$E$3:$E$1048576,sheet1!B323)</f>
        <v>1</v>
      </c>
      <c r="I323" s="37"/>
      <c r="J323" s="37"/>
      <c r="K323" s="37"/>
      <c r="L323" s="37"/>
    </row>
    <row r="324" spans="1:12" ht="15.75" customHeight="1">
      <c r="A324" s="87" t="s">
        <v>3853</v>
      </c>
      <c r="B324" s="87" t="s">
        <v>4385</v>
      </c>
      <c r="C324" s="87" t="s">
        <v>4384</v>
      </c>
      <c r="D324" s="88">
        <v>73</v>
      </c>
      <c r="E324" s="85" t="s">
        <v>3938</v>
      </c>
      <c r="F324" s="87">
        <v>1</v>
      </c>
      <c r="G324" s="37"/>
      <c r="H324" s="37">
        <f>COUNTIF('(参考)現行システム機能階層一覧'!$E$3:$E$1048576,sheet1!B324)</f>
        <v>0</v>
      </c>
      <c r="I324" s="37"/>
      <c r="J324" s="37"/>
      <c r="K324" s="37"/>
      <c r="L324" s="37"/>
    </row>
    <row r="325" spans="1:12" ht="15.75" customHeight="1">
      <c r="A325" s="87" t="s">
        <v>3935</v>
      </c>
      <c r="B325" s="87" t="s">
        <v>2476</v>
      </c>
      <c r="C325" s="87" t="s">
        <v>4386</v>
      </c>
      <c r="D325" s="88">
        <v>149</v>
      </c>
      <c r="E325" s="85" t="s">
        <v>3938</v>
      </c>
      <c r="F325" s="87">
        <v>60</v>
      </c>
      <c r="G325" s="37"/>
      <c r="H325" s="37">
        <f>COUNTIF('(参考)現行システム機能階層一覧'!$E$3:$E$1048576,sheet1!B325)</f>
        <v>2</v>
      </c>
      <c r="I325" s="37"/>
      <c r="J325" s="37"/>
      <c r="K325" s="37"/>
      <c r="L325" s="37"/>
    </row>
    <row r="326" spans="1:12" ht="15.75" customHeight="1">
      <c r="A326" s="87" t="s">
        <v>3853</v>
      </c>
      <c r="B326" s="87" t="s">
        <v>4387</v>
      </c>
      <c r="C326" s="87" t="s">
        <v>4388</v>
      </c>
      <c r="D326" s="88">
        <v>68</v>
      </c>
      <c r="E326" s="85" t="s">
        <v>3938</v>
      </c>
      <c r="F326" s="87">
        <v>60</v>
      </c>
      <c r="G326" s="37"/>
      <c r="H326" s="37">
        <f>COUNTIF('(参考)現行システム機能階層一覧'!$E$3:$E$1048576,sheet1!B326)</f>
        <v>0</v>
      </c>
      <c r="I326" s="37"/>
      <c r="J326" s="37"/>
      <c r="K326" s="37"/>
      <c r="L326" s="37"/>
    </row>
    <row r="327" spans="1:12" ht="15.75" customHeight="1">
      <c r="A327" s="87" t="s">
        <v>3935</v>
      </c>
      <c r="B327" s="87" t="s">
        <v>4389</v>
      </c>
      <c r="C327" s="87" t="s">
        <v>4390</v>
      </c>
      <c r="D327" s="88">
        <v>114</v>
      </c>
      <c r="E327" s="85" t="s">
        <v>3938</v>
      </c>
      <c r="F327" s="87">
        <v>20</v>
      </c>
      <c r="G327" s="37"/>
      <c r="H327" s="37">
        <f>COUNTIF('(参考)現行システム機能階層一覧'!$E$3:$E$1048576,sheet1!B327)</f>
        <v>0</v>
      </c>
      <c r="I327" s="37"/>
      <c r="J327" s="37"/>
      <c r="K327" s="37"/>
      <c r="L327" s="37"/>
    </row>
    <row r="328" spans="1:12" ht="15.75" customHeight="1">
      <c r="A328" s="87" t="s">
        <v>3935</v>
      </c>
      <c r="B328" s="87" t="s">
        <v>4391</v>
      </c>
      <c r="C328" s="87" t="s">
        <v>4392</v>
      </c>
      <c r="D328" s="88">
        <v>300</v>
      </c>
      <c r="E328" s="85" t="s">
        <v>3938</v>
      </c>
      <c r="F328" s="87">
        <v>20</v>
      </c>
      <c r="G328" s="37"/>
      <c r="H328" s="37">
        <f>COUNTIF('(参考)現行システム機能階層一覧'!$E$3:$E$1048576,sheet1!B328)</f>
        <v>0</v>
      </c>
      <c r="I328" s="37"/>
      <c r="J328" s="37"/>
      <c r="K328" s="37"/>
      <c r="L328" s="37"/>
    </row>
    <row r="329" spans="1:12" ht="15.75" customHeight="1">
      <c r="A329" s="87" t="s">
        <v>3935</v>
      </c>
      <c r="B329" s="87" t="s">
        <v>2480</v>
      </c>
      <c r="C329" s="87" t="s">
        <v>4393</v>
      </c>
      <c r="D329" s="88">
        <v>161</v>
      </c>
      <c r="E329" s="85" t="s">
        <v>3938</v>
      </c>
      <c r="F329" s="87">
        <v>80</v>
      </c>
      <c r="G329" s="37"/>
      <c r="H329" s="37">
        <f>COUNTIF('(参考)現行システム機能階層一覧'!$E$3:$E$1048576,sheet1!B329)</f>
        <v>3</v>
      </c>
      <c r="I329" s="37"/>
      <c r="J329" s="37"/>
      <c r="K329" s="37"/>
      <c r="L329" s="37"/>
    </row>
    <row r="330" spans="1:12" ht="15.75" customHeight="1">
      <c r="A330" s="87" t="s">
        <v>3853</v>
      </c>
      <c r="B330" s="87" t="s">
        <v>4394</v>
      </c>
      <c r="C330" s="87" t="s">
        <v>4395</v>
      </c>
      <c r="D330" s="88">
        <v>74</v>
      </c>
      <c r="E330" s="85" t="s">
        <v>3938</v>
      </c>
      <c r="F330" s="87">
        <v>80</v>
      </c>
      <c r="G330" s="37"/>
      <c r="H330" s="37">
        <f>COUNTIF('(参考)現行システム機能階層一覧'!$E$3:$E$1048576,sheet1!B330)</f>
        <v>0</v>
      </c>
      <c r="I330" s="37"/>
      <c r="J330" s="37"/>
      <c r="K330" s="37"/>
      <c r="L330" s="37"/>
    </row>
    <row r="331" spans="1:12" ht="15.75" customHeight="1">
      <c r="A331" s="87" t="s">
        <v>3935</v>
      </c>
      <c r="B331" s="87" t="s">
        <v>4396</v>
      </c>
      <c r="C331" s="87" t="s">
        <v>4397</v>
      </c>
      <c r="D331" s="88">
        <v>101</v>
      </c>
      <c r="E331" s="85" t="s">
        <v>3938</v>
      </c>
      <c r="F331" s="87">
        <v>36</v>
      </c>
      <c r="G331" s="37"/>
      <c r="H331" s="37">
        <f>COUNTIF('(参考)現行システム機能階層一覧'!$E$3:$E$1048576,sheet1!B331)</f>
        <v>0</v>
      </c>
      <c r="I331" s="37"/>
      <c r="J331" s="37"/>
      <c r="K331" s="37"/>
      <c r="L331" s="37"/>
    </row>
    <row r="332" spans="1:12" ht="15.75" customHeight="1">
      <c r="A332" s="87" t="s">
        <v>3935</v>
      </c>
      <c r="B332" s="87" t="s">
        <v>4398</v>
      </c>
      <c r="C332" s="87" t="s">
        <v>4399</v>
      </c>
      <c r="D332" s="88">
        <v>363</v>
      </c>
      <c r="E332" s="85" t="s">
        <v>3938</v>
      </c>
      <c r="F332" s="87">
        <v>36</v>
      </c>
      <c r="G332" s="37"/>
      <c r="H332" s="37">
        <f>COUNTIF('(参考)現行システム機能階層一覧'!$E$3:$E$1048576,sheet1!B332)</f>
        <v>0</v>
      </c>
      <c r="I332" s="37"/>
      <c r="J332" s="37"/>
      <c r="K332" s="37"/>
      <c r="L332" s="37"/>
    </row>
    <row r="333" spans="1:12" ht="15.75" customHeight="1">
      <c r="A333" s="87" t="s">
        <v>3935</v>
      </c>
      <c r="B333" s="87" t="s">
        <v>3430</v>
      </c>
      <c r="C333" s="87" t="s">
        <v>4400</v>
      </c>
      <c r="D333" s="88">
        <v>135</v>
      </c>
      <c r="E333" s="85" t="s">
        <v>3938</v>
      </c>
      <c r="F333" s="87">
        <v>1</v>
      </c>
      <c r="G333" s="37"/>
      <c r="H333" s="37">
        <f>COUNTIF('(参考)現行システム機能階層一覧'!$E$3:$E$1048576,sheet1!B333)</f>
        <v>1</v>
      </c>
      <c r="I333" s="37"/>
      <c r="J333" s="37"/>
      <c r="K333" s="37"/>
      <c r="L333" s="37"/>
    </row>
    <row r="334" spans="1:12" ht="15.75" customHeight="1">
      <c r="A334" s="87" t="s">
        <v>3853</v>
      </c>
      <c r="B334" s="87" t="s">
        <v>4401</v>
      </c>
      <c r="C334" s="87" t="s">
        <v>3459</v>
      </c>
      <c r="D334" s="88">
        <v>28</v>
      </c>
      <c r="E334" s="85" t="s">
        <v>3938</v>
      </c>
      <c r="F334" s="87">
        <v>1</v>
      </c>
      <c r="G334" s="37"/>
      <c r="H334" s="37">
        <f>COUNTIF('(参考)現行システム機能階層一覧'!$E$3:$E$1048576,sheet1!B334)</f>
        <v>0</v>
      </c>
      <c r="I334" s="37"/>
      <c r="J334" s="37"/>
      <c r="K334" s="37"/>
      <c r="L334" s="37"/>
    </row>
    <row r="335" spans="1:12" ht="15.75" customHeight="1">
      <c r="A335" s="87" t="s">
        <v>3935</v>
      </c>
      <c r="B335" s="87" t="s">
        <v>2513</v>
      </c>
      <c r="C335" s="87" t="s">
        <v>4402</v>
      </c>
      <c r="D335" s="88">
        <v>576</v>
      </c>
      <c r="E335" s="85" t="s">
        <v>3938</v>
      </c>
      <c r="F335" s="87">
        <v>411</v>
      </c>
      <c r="G335" s="37"/>
      <c r="H335" s="37">
        <f>COUNTIF('(参考)現行システム機能階層一覧'!$E$3:$E$1048576,sheet1!B335)</f>
        <v>1</v>
      </c>
      <c r="I335" s="37"/>
      <c r="J335" s="37"/>
      <c r="K335" s="37"/>
      <c r="L335" s="37"/>
    </row>
    <row r="336" spans="1:12" ht="15.75" customHeight="1">
      <c r="A336" s="87" t="s">
        <v>3853</v>
      </c>
      <c r="B336" s="87" t="s">
        <v>4403</v>
      </c>
      <c r="C336" s="87" t="s">
        <v>4404</v>
      </c>
      <c r="D336" s="88">
        <v>67</v>
      </c>
      <c r="E336" s="85" t="s">
        <v>3938</v>
      </c>
      <c r="F336" s="87">
        <v>411</v>
      </c>
      <c r="G336" s="37"/>
      <c r="H336" s="37">
        <f>COUNTIF('(参考)現行システム機能階層一覧'!$E$3:$E$1048576,sheet1!B336)</f>
        <v>0</v>
      </c>
      <c r="I336" s="37"/>
      <c r="J336" s="37"/>
      <c r="K336" s="37"/>
      <c r="L336" s="37"/>
    </row>
    <row r="337" spans="1:12" ht="15.75" customHeight="1">
      <c r="A337" s="87" t="s">
        <v>3935</v>
      </c>
      <c r="B337" s="87" t="s">
        <v>4405</v>
      </c>
      <c r="C337" s="87" t="s">
        <v>4406</v>
      </c>
      <c r="D337" s="88">
        <v>291</v>
      </c>
      <c r="E337" s="85" t="s">
        <v>3938</v>
      </c>
      <c r="F337" s="87">
        <v>304</v>
      </c>
      <c r="G337" s="37"/>
      <c r="H337" s="37">
        <f>COUNTIF('(参考)現行システム機能階層一覧'!$E$3:$E$1048576,sheet1!B337)</f>
        <v>0</v>
      </c>
      <c r="I337" s="37"/>
      <c r="J337" s="37"/>
      <c r="K337" s="37"/>
      <c r="L337" s="37"/>
    </row>
    <row r="338" spans="1:12" ht="15.75" customHeight="1">
      <c r="A338" s="87" t="s">
        <v>3935</v>
      </c>
      <c r="B338" s="87" t="s">
        <v>4407</v>
      </c>
      <c r="C338" s="87" t="s">
        <v>4408</v>
      </c>
      <c r="D338" s="88">
        <v>284</v>
      </c>
      <c r="E338" s="85" t="s">
        <v>3938</v>
      </c>
      <c r="F338" s="87">
        <v>53</v>
      </c>
      <c r="G338" s="37"/>
      <c r="H338" s="37">
        <f>COUNTIF('(参考)現行システム機能階層一覧'!$E$3:$E$1048576,sheet1!B338)</f>
        <v>0</v>
      </c>
      <c r="I338" s="37"/>
      <c r="J338" s="37"/>
      <c r="K338" s="37"/>
      <c r="L338" s="37"/>
    </row>
    <row r="339" spans="1:12" ht="15.75" customHeight="1">
      <c r="A339" s="87" t="s">
        <v>3935</v>
      </c>
      <c r="B339" s="87" t="s">
        <v>4409</v>
      </c>
      <c r="C339" s="87" t="s">
        <v>4410</v>
      </c>
      <c r="D339" s="88">
        <v>293</v>
      </c>
      <c r="E339" s="85" t="s">
        <v>3938</v>
      </c>
      <c r="F339" s="87">
        <v>53</v>
      </c>
      <c r="G339" s="37"/>
      <c r="H339" s="37">
        <f>COUNTIF('(参考)現行システム機能階層一覧'!$E$3:$E$1048576,sheet1!B339)</f>
        <v>0</v>
      </c>
      <c r="I339" s="37"/>
      <c r="J339" s="37"/>
      <c r="K339" s="37"/>
      <c r="L339" s="37"/>
    </row>
    <row r="340" spans="1:12" ht="15.75" customHeight="1">
      <c r="A340" s="87" t="s">
        <v>3935</v>
      </c>
      <c r="B340" s="87" t="s">
        <v>2517</v>
      </c>
      <c r="C340" s="87" t="s">
        <v>4411</v>
      </c>
      <c r="D340" s="88">
        <v>283</v>
      </c>
      <c r="E340" s="85" t="s">
        <v>3938</v>
      </c>
      <c r="F340" s="87">
        <v>51</v>
      </c>
      <c r="G340" s="37"/>
      <c r="H340" s="37">
        <f>COUNTIF('(参考)現行システム機能階層一覧'!$E$3:$E$1048576,sheet1!B340)</f>
        <v>1</v>
      </c>
      <c r="I340" s="37"/>
      <c r="J340" s="37"/>
      <c r="K340" s="37"/>
      <c r="L340" s="37"/>
    </row>
    <row r="341" spans="1:12" ht="15.75" customHeight="1">
      <c r="A341" s="87" t="s">
        <v>3853</v>
      </c>
      <c r="B341" s="87" t="s">
        <v>4412</v>
      </c>
      <c r="C341" s="87" t="s">
        <v>4404</v>
      </c>
      <c r="D341" s="88">
        <v>12</v>
      </c>
      <c r="E341" s="85" t="s">
        <v>3938</v>
      </c>
      <c r="F341" s="87">
        <v>51</v>
      </c>
      <c r="G341" s="37"/>
      <c r="H341" s="37">
        <f>COUNTIF('(参考)現行システム機能階層一覧'!$E$3:$E$1048576,sheet1!B341)</f>
        <v>0</v>
      </c>
      <c r="I341" s="37"/>
      <c r="J341" s="37"/>
      <c r="K341" s="37"/>
      <c r="L341" s="37"/>
    </row>
    <row r="342" spans="1:12" ht="15.75" customHeight="1">
      <c r="A342" s="87" t="s">
        <v>3935</v>
      </c>
      <c r="B342" s="87" t="s">
        <v>4413</v>
      </c>
      <c r="C342" s="87" t="s">
        <v>4406</v>
      </c>
      <c r="D342" s="88">
        <v>217</v>
      </c>
      <c r="E342" s="85" t="s">
        <v>3938</v>
      </c>
      <c r="F342" s="87">
        <v>13</v>
      </c>
      <c r="G342" s="37"/>
      <c r="H342" s="37">
        <f>COUNTIF('(参考)現行システム機能階層一覧'!$E$3:$E$1048576,sheet1!B342)</f>
        <v>0</v>
      </c>
      <c r="I342" s="37"/>
      <c r="J342" s="37"/>
      <c r="K342" s="37"/>
      <c r="L342" s="37"/>
    </row>
    <row r="343" spans="1:12" ht="15.75" customHeight="1">
      <c r="A343" s="87" t="s">
        <v>3935</v>
      </c>
      <c r="B343" s="87" t="s">
        <v>3466</v>
      </c>
      <c r="C343" s="87" t="s">
        <v>4414</v>
      </c>
      <c r="D343" s="88">
        <v>118</v>
      </c>
      <c r="E343" s="85" t="s">
        <v>3938</v>
      </c>
      <c r="F343" s="87">
        <v>12</v>
      </c>
      <c r="G343" s="37"/>
      <c r="H343" s="37">
        <f>COUNTIF('(参考)現行システム機能階層一覧'!$E$3:$E$1048576,sheet1!B343)</f>
        <v>1</v>
      </c>
      <c r="I343" s="37"/>
      <c r="J343" s="37"/>
      <c r="K343" s="37"/>
      <c r="L343" s="37"/>
    </row>
    <row r="344" spans="1:12" ht="15.75" customHeight="1">
      <c r="A344" s="87" t="s">
        <v>3853</v>
      </c>
      <c r="B344" s="87" t="s">
        <v>4415</v>
      </c>
      <c r="C344" s="87" t="s">
        <v>3493</v>
      </c>
      <c r="D344" s="88">
        <v>67</v>
      </c>
      <c r="E344" s="85" t="s">
        <v>3938</v>
      </c>
      <c r="F344" s="87">
        <v>12</v>
      </c>
      <c r="G344" s="37"/>
      <c r="H344" s="37">
        <f>COUNTIF('(参考)現行システム機能階層一覧'!$E$3:$E$1048576,sheet1!B344)</f>
        <v>0</v>
      </c>
      <c r="I344" s="37"/>
      <c r="J344" s="37"/>
      <c r="K344" s="37"/>
      <c r="L344" s="37"/>
    </row>
    <row r="345" spans="1:12" ht="15.75" customHeight="1">
      <c r="A345" s="87" t="s">
        <v>3935</v>
      </c>
      <c r="B345" s="87" t="s">
        <v>4416</v>
      </c>
      <c r="C345" s="87" t="s">
        <v>4417</v>
      </c>
      <c r="D345" s="88">
        <v>50</v>
      </c>
      <c r="E345" s="85" t="s">
        <v>3938</v>
      </c>
      <c r="F345" s="87">
        <v>11</v>
      </c>
      <c r="G345" s="37"/>
      <c r="H345" s="37">
        <f>COUNTIF('(参考)現行システム機能階層一覧'!$E$3:$E$1048576,sheet1!B345)</f>
        <v>0</v>
      </c>
      <c r="I345" s="37"/>
      <c r="J345" s="37"/>
      <c r="K345" s="37"/>
      <c r="L345" s="37"/>
    </row>
    <row r="346" spans="1:12" ht="15.75" customHeight="1">
      <c r="A346" s="87" t="s">
        <v>3935</v>
      </c>
      <c r="B346" s="87" t="s">
        <v>4418</v>
      </c>
      <c r="C346" s="87" t="s">
        <v>4419</v>
      </c>
      <c r="D346" s="88">
        <v>50</v>
      </c>
      <c r="E346" s="85" t="s">
        <v>3938</v>
      </c>
      <c r="F346" s="87">
        <v>11</v>
      </c>
      <c r="G346" s="37"/>
      <c r="H346" s="37">
        <f>COUNTIF('(参考)現行システム機能階層一覧'!$E$3:$E$1048576,sheet1!B346)</f>
        <v>0</v>
      </c>
      <c r="I346" s="37"/>
      <c r="J346" s="37"/>
      <c r="K346" s="37"/>
      <c r="L346" s="37"/>
    </row>
    <row r="347" spans="1:12" ht="15.75" customHeight="1">
      <c r="A347" s="87" t="s">
        <v>3935</v>
      </c>
      <c r="B347" s="87" t="s">
        <v>2489</v>
      </c>
      <c r="C347" s="87" t="s">
        <v>2532</v>
      </c>
      <c r="D347" s="88">
        <v>505</v>
      </c>
      <c r="E347" s="85" t="s">
        <v>3938</v>
      </c>
      <c r="F347" s="87">
        <v>76</v>
      </c>
      <c r="G347" s="37"/>
      <c r="H347" s="37">
        <f>COUNTIF('(参考)現行システム機能階層一覧'!$E$3:$E$1048576,sheet1!B347)</f>
        <v>1</v>
      </c>
      <c r="I347" s="37"/>
      <c r="J347" s="37"/>
      <c r="K347" s="37"/>
      <c r="L347" s="37"/>
    </row>
    <row r="348" spans="1:12" ht="15.75" customHeight="1">
      <c r="A348" s="87" t="s">
        <v>3853</v>
      </c>
      <c r="B348" s="87" t="s">
        <v>4420</v>
      </c>
      <c r="C348" s="87" t="s">
        <v>2532</v>
      </c>
      <c r="D348" s="88">
        <v>12</v>
      </c>
      <c r="E348" s="85" t="s">
        <v>3938</v>
      </c>
      <c r="F348" s="87">
        <v>76</v>
      </c>
      <c r="G348" s="37"/>
      <c r="H348" s="37">
        <f>COUNTIF('(参考)現行システム機能階層一覧'!$E$3:$E$1048576,sheet1!B348)</f>
        <v>0</v>
      </c>
      <c r="I348" s="37"/>
      <c r="J348" s="37"/>
      <c r="K348" s="37"/>
      <c r="L348" s="37"/>
    </row>
    <row r="349" spans="1:12" ht="15.75" customHeight="1">
      <c r="A349" s="87" t="s">
        <v>3935</v>
      </c>
      <c r="B349" s="87" t="s">
        <v>2494</v>
      </c>
      <c r="C349" s="87" t="s">
        <v>2536</v>
      </c>
      <c r="D349" s="88">
        <v>668</v>
      </c>
      <c r="E349" s="85" t="s">
        <v>3938</v>
      </c>
      <c r="F349" s="87">
        <v>665</v>
      </c>
      <c r="G349" s="37"/>
      <c r="H349" s="37">
        <f>COUNTIF('(参考)現行システム機能階層一覧'!$E$3:$E$1048576,sheet1!B349)</f>
        <v>1</v>
      </c>
      <c r="I349" s="37"/>
      <c r="J349" s="37"/>
      <c r="K349" s="37"/>
      <c r="L349" s="37"/>
    </row>
    <row r="350" spans="1:12" ht="15.75" customHeight="1">
      <c r="A350" s="87" t="s">
        <v>3853</v>
      </c>
      <c r="B350" s="87" t="s">
        <v>4421</v>
      </c>
      <c r="C350" s="87" t="s">
        <v>2536</v>
      </c>
      <c r="D350" s="88">
        <v>12</v>
      </c>
      <c r="E350" s="85" t="s">
        <v>3938</v>
      </c>
      <c r="F350" s="87">
        <v>1038</v>
      </c>
      <c r="G350" s="37"/>
      <c r="H350" s="37">
        <f>COUNTIF('(参考)現行システム機能階層一覧'!$E$3:$E$1048576,sheet1!B350)</f>
        <v>0</v>
      </c>
      <c r="I350" s="37"/>
      <c r="J350" s="37"/>
      <c r="K350" s="37"/>
      <c r="L350" s="37"/>
    </row>
    <row r="351" spans="1:12" ht="15.75" customHeight="1">
      <c r="A351" s="87" t="s">
        <v>3853</v>
      </c>
      <c r="B351" s="87" t="s">
        <v>4422</v>
      </c>
      <c r="C351" s="87" t="s">
        <v>4423</v>
      </c>
      <c r="D351" s="88">
        <v>63</v>
      </c>
      <c r="E351" s="85" t="s">
        <v>3938</v>
      </c>
      <c r="F351" s="87">
        <v>2</v>
      </c>
      <c r="G351" s="37"/>
      <c r="H351" s="37">
        <f>COUNTIF('(参考)現行システム機能階層一覧'!$E$3:$E$1048576,sheet1!B351)</f>
        <v>0</v>
      </c>
      <c r="I351" s="37"/>
      <c r="J351" s="37"/>
      <c r="K351" s="37"/>
      <c r="L351" s="37"/>
    </row>
    <row r="352" spans="1:12" ht="15.75" customHeight="1">
      <c r="A352" s="87" t="s">
        <v>3935</v>
      </c>
      <c r="B352" s="87" t="s">
        <v>2521</v>
      </c>
      <c r="C352" s="87" t="s">
        <v>4424</v>
      </c>
      <c r="D352" s="88">
        <v>612</v>
      </c>
      <c r="E352" s="85" t="s">
        <v>3938</v>
      </c>
      <c r="F352" s="87">
        <v>174</v>
      </c>
      <c r="G352" s="37"/>
      <c r="H352" s="37">
        <f>COUNTIF('(参考)現行システム機能階層一覧'!$E$3:$E$1048576,sheet1!B352)</f>
        <v>1</v>
      </c>
      <c r="I352" s="37"/>
      <c r="J352" s="37"/>
      <c r="K352" s="37"/>
      <c r="L352" s="37"/>
    </row>
    <row r="353" spans="1:12" ht="15.75" customHeight="1">
      <c r="A353" s="87" t="s">
        <v>3853</v>
      </c>
      <c r="B353" s="87" t="s">
        <v>4425</v>
      </c>
      <c r="C353" s="87" t="s">
        <v>4426</v>
      </c>
      <c r="D353" s="88">
        <v>25</v>
      </c>
      <c r="E353" s="85" t="s">
        <v>3938</v>
      </c>
      <c r="F353" s="87">
        <v>174</v>
      </c>
      <c r="G353" s="37"/>
      <c r="H353" s="37">
        <f>COUNTIF('(参考)現行システム機能階層一覧'!$E$3:$E$1048576,sheet1!B353)</f>
        <v>0</v>
      </c>
      <c r="I353" s="37"/>
      <c r="J353" s="37"/>
      <c r="K353" s="37"/>
      <c r="L353" s="37"/>
    </row>
    <row r="354" spans="1:12" ht="15.75" customHeight="1">
      <c r="A354" s="87" t="s">
        <v>3935</v>
      </c>
      <c r="B354" s="87" t="s">
        <v>4427</v>
      </c>
      <c r="C354" s="87" t="s">
        <v>4428</v>
      </c>
      <c r="D354" s="88">
        <v>239</v>
      </c>
      <c r="E354" s="85" t="s">
        <v>3938</v>
      </c>
      <c r="F354" s="87">
        <v>1</v>
      </c>
      <c r="G354" s="37"/>
      <c r="H354" s="37">
        <f>COUNTIF('(参考)現行システム機能階層一覧'!$E$3:$E$1048576,sheet1!B354)</f>
        <v>0</v>
      </c>
      <c r="I354" s="37"/>
      <c r="J354" s="37"/>
      <c r="K354" s="37"/>
      <c r="L354" s="37"/>
    </row>
    <row r="355" spans="1:12" ht="15.75" customHeight="1">
      <c r="A355" s="87" t="s">
        <v>3935</v>
      </c>
      <c r="B355" s="87" t="s">
        <v>4429</v>
      </c>
      <c r="C355" s="87" t="s">
        <v>4430</v>
      </c>
      <c r="D355" s="88">
        <v>356</v>
      </c>
      <c r="E355" s="85" t="s">
        <v>3938</v>
      </c>
      <c r="F355" s="87">
        <v>1</v>
      </c>
      <c r="G355" s="37"/>
      <c r="H355" s="37">
        <f>COUNTIF('(参考)現行システム機能階層一覧'!$E$3:$E$1048576,sheet1!B355)</f>
        <v>0</v>
      </c>
      <c r="I355" s="37"/>
      <c r="J355" s="37"/>
      <c r="K355" s="37"/>
      <c r="L355" s="37"/>
    </row>
    <row r="356" spans="1:12" ht="15.75" customHeight="1">
      <c r="A356" s="87" t="s">
        <v>3935</v>
      </c>
      <c r="B356" s="87" t="s">
        <v>4431</v>
      </c>
      <c r="C356" s="87" t="s">
        <v>4432</v>
      </c>
      <c r="D356" s="88">
        <v>53</v>
      </c>
      <c r="E356" s="85" t="s">
        <v>3938</v>
      </c>
      <c r="F356" s="87">
        <v>1</v>
      </c>
      <c r="G356" s="37"/>
      <c r="H356" s="37">
        <f>COUNTIF('(参考)現行システム機能階層一覧'!$E$3:$E$1048576,sheet1!B356)</f>
        <v>0</v>
      </c>
      <c r="I356" s="37"/>
      <c r="J356" s="37"/>
      <c r="K356" s="37"/>
      <c r="L356" s="37"/>
    </row>
    <row r="357" spans="1:12" ht="15.75" customHeight="1">
      <c r="A357" s="87" t="s">
        <v>3935</v>
      </c>
      <c r="B357" s="87" t="s">
        <v>4433</v>
      </c>
      <c r="C357" s="87" t="s">
        <v>4434</v>
      </c>
      <c r="D357" s="88">
        <v>42</v>
      </c>
      <c r="E357" s="85" t="s">
        <v>3938</v>
      </c>
      <c r="F357" s="87">
        <v>1</v>
      </c>
      <c r="G357" s="37"/>
      <c r="H357" s="37">
        <f>COUNTIF('(参考)現行システム機能階層一覧'!$E$3:$E$1048576,sheet1!B357)</f>
        <v>0</v>
      </c>
      <c r="I357" s="37"/>
      <c r="J357" s="37"/>
      <c r="K357" s="37"/>
      <c r="L357" s="37"/>
    </row>
    <row r="358" spans="1:12" ht="15.75" customHeight="1">
      <c r="A358" s="87" t="s">
        <v>3935</v>
      </c>
      <c r="B358" s="87" t="s">
        <v>3037</v>
      </c>
      <c r="C358" s="87" t="s">
        <v>3069</v>
      </c>
      <c r="D358" s="88">
        <v>590</v>
      </c>
      <c r="E358" s="85" t="s">
        <v>3938</v>
      </c>
      <c r="F358" s="87">
        <v>456</v>
      </c>
      <c r="G358" s="37"/>
      <c r="H358" s="37">
        <f>COUNTIF('(参考)現行システム機能階層一覧'!$E$3:$E$1048576,sheet1!B358)</f>
        <v>1</v>
      </c>
      <c r="I358" s="37"/>
      <c r="J358" s="37"/>
      <c r="K358" s="37"/>
      <c r="L358" s="37"/>
    </row>
    <row r="359" spans="1:12" ht="15.75" customHeight="1">
      <c r="A359" s="87" t="s">
        <v>3853</v>
      </c>
      <c r="B359" s="87" t="s">
        <v>4435</v>
      </c>
      <c r="C359" s="87" t="s">
        <v>3069</v>
      </c>
      <c r="D359" s="88">
        <v>84</v>
      </c>
      <c r="E359" s="85" t="s">
        <v>3938</v>
      </c>
      <c r="F359" s="87">
        <v>506</v>
      </c>
      <c r="G359" s="37"/>
      <c r="H359" s="37">
        <f>COUNTIF('(参考)現行システム機能階層一覧'!$E$3:$E$1048576,sheet1!B359)</f>
        <v>0</v>
      </c>
      <c r="I359" s="37"/>
      <c r="J359" s="37"/>
      <c r="K359" s="37"/>
      <c r="L359" s="37"/>
    </row>
    <row r="360" spans="1:12" ht="15.75" customHeight="1">
      <c r="A360" s="87" t="s">
        <v>3935</v>
      </c>
      <c r="B360" s="87" t="s">
        <v>3040</v>
      </c>
      <c r="C360" s="87" t="s">
        <v>4436</v>
      </c>
      <c r="D360" s="88">
        <v>951</v>
      </c>
      <c r="E360" s="85" t="s">
        <v>3938</v>
      </c>
      <c r="F360" s="87">
        <v>365</v>
      </c>
      <c r="G360" s="37"/>
      <c r="H360" s="37">
        <f>COUNTIF('(参考)現行システム機能階層一覧'!$E$3:$E$1048576,sheet1!B360)</f>
        <v>1</v>
      </c>
      <c r="I360" s="37"/>
      <c r="J360" s="37"/>
      <c r="K360" s="37"/>
      <c r="L360" s="37"/>
    </row>
    <row r="361" spans="1:12" ht="15.75" customHeight="1">
      <c r="A361" s="87" t="s">
        <v>3853</v>
      </c>
      <c r="B361" s="87" t="s">
        <v>4437</v>
      </c>
      <c r="C361" s="87" t="s">
        <v>3072</v>
      </c>
      <c r="D361" s="88">
        <v>25</v>
      </c>
      <c r="E361" s="85" t="s">
        <v>3938</v>
      </c>
      <c r="F361" s="87">
        <v>425</v>
      </c>
      <c r="G361" s="37"/>
      <c r="H361" s="37">
        <f>COUNTIF('(参考)現行システム機能階層一覧'!$E$3:$E$1048576,sheet1!B361)</f>
        <v>0</v>
      </c>
      <c r="I361" s="37"/>
      <c r="J361" s="37"/>
      <c r="K361" s="37"/>
      <c r="L361" s="37"/>
    </row>
    <row r="362" spans="1:12" ht="15.75" customHeight="1">
      <c r="A362" s="87" t="s">
        <v>3935</v>
      </c>
      <c r="B362" s="87" t="s">
        <v>3414</v>
      </c>
      <c r="C362" s="87" t="s">
        <v>4438</v>
      </c>
      <c r="D362" s="88">
        <v>328</v>
      </c>
      <c r="E362" s="85" t="s">
        <v>3938</v>
      </c>
      <c r="F362" s="87">
        <v>75</v>
      </c>
      <c r="G362" s="37"/>
      <c r="H362" s="37">
        <f>COUNTIF('(参考)現行システム機能階層一覧'!$E$3:$E$1048576,sheet1!B362)</f>
        <v>1</v>
      </c>
      <c r="I362" s="37"/>
      <c r="J362" s="37"/>
      <c r="K362" s="37"/>
      <c r="L362" s="37"/>
    </row>
    <row r="363" spans="1:12" ht="15.75" customHeight="1">
      <c r="A363" s="87" t="s">
        <v>3853</v>
      </c>
      <c r="B363" s="87" t="s">
        <v>4439</v>
      </c>
      <c r="C363" s="87" t="s">
        <v>4440</v>
      </c>
      <c r="D363" s="88">
        <v>74</v>
      </c>
      <c r="E363" s="85" t="s">
        <v>3938</v>
      </c>
      <c r="F363" s="87">
        <v>75</v>
      </c>
      <c r="G363" s="37"/>
      <c r="H363" s="37">
        <f>COUNTIF('(参考)現行システム機能階層一覧'!$E$3:$E$1048576,sheet1!B363)</f>
        <v>0</v>
      </c>
      <c r="I363" s="37"/>
      <c r="J363" s="37"/>
      <c r="K363" s="37"/>
      <c r="L363" s="37"/>
    </row>
    <row r="364" spans="1:12" ht="15.75" customHeight="1">
      <c r="A364" s="87" t="s">
        <v>3935</v>
      </c>
      <c r="B364" s="87" t="s">
        <v>4441</v>
      </c>
      <c r="C364" s="87" t="s">
        <v>4442</v>
      </c>
      <c r="D364" s="88">
        <v>474</v>
      </c>
      <c r="E364" s="85" t="s">
        <v>3938</v>
      </c>
      <c r="F364" s="87">
        <v>59</v>
      </c>
      <c r="G364" s="37"/>
      <c r="H364" s="37">
        <f>COUNTIF('(参考)現行システム機能階層一覧'!$E$3:$E$1048576,sheet1!B364)</f>
        <v>0</v>
      </c>
      <c r="I364" s="37"/>
      <c r="J364" s="37"/>
      <c r="K364" s="37"/>
      <c r="L364" s="37"/>
    </row>
    <row r="365" spans="1:12" ht="15.75" customHeight="1">
      <c r="A365" s="87" t="s">
        <v>3935</v>
      </c>
      <c r="B365" s="87" t="s">
        <v>4443</v>
      </c>
      <c r="C365" s="87" t="s">
        <v>4444</v>
      </c>
      <c r="D365" s="88">
        <v>445</v>
      </c>
      <c r="E365" s="85" t="s">
        <v>3938</v>
      </c>
      <c r="F365" s="87">
        <v>59</v>
      </c>
      <c r="G365" s="37"/>
      <c r="H365" s="37">
        <f>COUNTIF('(参考)現行システム機能階層一覧'!$E$3:$E$1048576,sheet1!B365)</f>
        <v>0</v>
      </c>
      <c r="I365" s="37"/>
      <c r="J365" s="37"/>
      <c r="K365" s="37"/>
      <c r="L365" s="37"/>
    </row>
    <row r="366" spans="1:12" ht="15.75" customHeight="1">
      <c r="A366" s="87" t="s">
        <v>3935</v>
      </c>
      <c r="B366" s="87" t="s">
        <v>3417</v>
      </c>
      <c r="C366" s="87" t="s">
        <v>4445</v>
      </c>
      <c r="D366" s="88">
        <v>754</v>
      </c>
      <c r="E366" s="85" t="s">
        <v>3938</v>
      </c>
      <c r="F366" s="87">
        <v>33</v>
      </c>
      <c r="G366" s="37"/>
      <c r="H366" s="37">
        <f>COUNTIF('(参考)現行システム機能階層一覧'!$E$3:$E$1048576,sheet1!B366)</f>
        <v>1</v>
      </c>
      <c r="I366" s="37"/>
      <c r="J366" s="37"/>
      <c r="K366" s="37"/>
      <c r="L366" s="37"/>
    </row>
    <row r="367" spans="1:12" ht="15.75" customHeight="1">
      <c r="A367" s="87" t="s">
        <v>3853</v>
      </c>
      <c r="B367" s="87" t="s">
        <v>4446</v>
      </c>
      <c r="C367" s="87" t="s">
        <v>4447</v>
      </c>
      <c r="D367" s="88">
        <v>12</v>
      </c>
      <c r="E367" s="85" t="s">
        <v>3938</v>
      </c>
      <c r="F367" s="87">
        <v>71</v>
      </c>
      <c r="G367" s="37"/>
      <c r="H367" s="37">
        <f>COUNTIF('(参考)現行システム機能階層一覧'!$E$3:$E$1048576,sheet1!B367)</f>
        <v>0</v>
      </c>
      <c r="I367" s="37"/>
      <c r="J367" s="37"/>
      <c r="K367" s="37"/>
      <c r="L367" s="37"/>
    </row>
    <row r="368" spans="1:12" ht="15.75" customHeight="1">
      <c r="A368" s="87" t="s">
        <v>3853</v>
      </c>
      <c r="B368" s="87" t="s">
        <v>4448</v>
      </c>
      <c r="C368" s="87" t="s">
        <v>4449</v>
      </c>
      <c r="D368" s="88">
        <v>40</v>
      </c>
      <c r="E368" s="85" t="s">
        <v>3938</v>
      </c>
      <c r="F368" s="87">
        <v>10</v>
      </c>
      <c r="G368" s="37"/>
      <c r="H368" s="37">
        <f>COUNTIF('(参考)現行システム機能階層一覧'!$E$3:$E$1048576,sheet1!B368)</f>
        <v>0</v>
      </c>
      <c r="I368" s="37"/>
      <c r="J368" s="37"/>
      <c r="K368" s="37"/>
      <c r="L368" s="37"/>
    </row>
    <row r="369" spans="1:12" ht="15.75" customHeight="1">
      <c r="A369" s="87" t="s">
        <v>3935</v>
      </c>
      <c r="B369" s="87" t="s">
        <v>3043</v>
      </c>
      <c r="C369" s="87" t="s">
        <v>3075</v>
      </c>
      <c r="D369" s="88">
        <v>969</v>
      </c>
      <c r="E369" s="85" t="s">
        <v>3938</v>
      </c>
      <c r="F369" s="87">
        <v>5</v>
      </c>
      <c r="G369" s="37"/>
      <c r="H369" s="37">
        <f>COUNTIF('(参考)現行システム機能階層一覧'!$E$3:$E$1048576,sheet1!B369)</f>
        <v>1</v>
      </c>
      <c r="I369" s="37"/>
      <c r="J369" s="37"/>
      <c r="K369" s="37"/>
      <c r="L369" s="37"/>
    </row>
    <row r="370" spans="1:12" ht="15.75" customHeight="1">
      <c r="A370" s="87" t="s">
        <v>3853</v>
      </c>
      <c r="B370" s="87" t="s">
        <v>4450</v>
      </c>
      <c r="C370" s="87" t="s">
        <v>3075</v>
      </c>
      <c r="D370" s="88">
        <v>17</v>
      </c>
      <c r="E370" s="85" t="s">
        <v>3938</v>
      </c>
      <c r="F370" s="87">
        <v>182</v>
      </c>
      <c r="G370" s="37"/>
      <c r="H370" s="37">
        <f>COUNTIF('(参考)現行システム機能階層一覧'!$E$3:$E$1048576,sheet1!B370)</f>
        <v>0</v>
      </c>
      <c r="I370" s="37"/>
      <c r="J370" s="37"/>
      <c r="K370" s="37"/>
      <c r="L370" s="37"/>
    </row>
    <row r="371" spans="1:12" ht="15.75" customHeight="1">
      <c r="A371" s="87" t="s">
        <v>3853</v>
      </c>
      <c r="B371" s="87" t="s">
        <v>4451</v>
      </c>
      <c r="C371" s="87" t="s">
        <v>4452</v>
      </c>
      <c r="D371" s="88">
        <v>23</v>
      </c>
      <c r="E371" s="85" t="s">
        <v>3938</v>
      </c>
      <c r="F371" s="87">
        <v>101</v>
      </c>
      <c r="G371" s="37"/>
      <c r="H371" s="37">
        <f>COUNTIF('(参考)現行システム機能階層一覧'!$E$3:$E$1048576,sheet1!B371)</f>
        <v>0</v>
      </c>
      <c r="I371" s="37"/>
      <c r="J371" s="37"/>
      <c r="K371" s="37"/>
      <c r="L371" s="37"/>
    </row>
    <row r="372" spans="1:12" ht="15.75" customHeight="1">
      <c r="A372" s="87" t="s">
        <v>3935</v>
      </c>
      <c r="B372" s="87" t="s">
        <v>2987</v>
      </c>
      <c r="C372" s="87" t="s">
        <v>4453</v>
      </c>
      <c r="D372" s="88">
        <v>1114</v>
      </c>
      <c r="E372" s="85" t="s">
        <v>3938</v>
      </c>
      <c r="F372" s="87">
        <v>42</v>
      </c>
      <c r="G372" s="37"/>
      <c r="H372" s="37">
        <f>COUNTIF('(参考)現行システム機能階層一覧'!$E$3:$E$1048576,sheet1!B372)</f>
        <v>1</v>
      </c>
      <c r="I372" s="37"/>
      <c r="J372" s="37"/>
      <c r="K372" s="37"/>
      <c r="L372" s="37"/>
    </row>
    <row r="373" spans="1:12" ht="15.75" customHeight="1">
      <c r="A373" s="87" t="s">
        <v>3935</v>
      </c>
      <c r="B373" s="87" t="s">
        <v>3469</v>
      </c>
      <c r="C373" s="87" t="s">
        <v>4454</v>
      </c>
      <c r="D373" s="88">
        <v>178</v>
      </c>
      <c r="E373" s="85" t="s">
        <v>3938</v>
      </c>
      <c r="F373" s="87">
        <v>103</v>
      </c>
      <c r="G373" s="37"/>
      <c r="H373" s="37">
        <f>COUNTIF('(参考)現行システム機能階層一覧'!$E$3:$E$1048576,sheet1!B373)</f>
        <v>1</v>
      </c>
      <c r="I373" s="37"/>
      <c r="J373" s="37"/>
      <c r="K373" s="37"/>
      <c r="L373" s="37"/>
    </row>
    <row r="374" spans="1:12" ht="15.75" customHeight="1">
      <c r="A374" s="87" t="s">
        <v>3853</v>
      </c>
      <c r="B374" s="87" t="s">
        <v>4455</v>
      </c>
      <c r="C374" s="87" t="s">
        <v>3496</v>
      </c>
      <c r="D374" s="88">
        <v>216</v>
      </c>
      <c r="E374" s="85" t="s">
        <v>3938</v>
      </c>
      <c r="F374" s="87">
        <v>103</v>
      </c>
      <c r="G374" s="37"/>
      <c r="H374" s="37">
        <f>COUNTIF('(参考)現行システム機能階層一覧'!$E$3:$E$1048576,sheet1!B374)</f>
        <v>0</v>
      </c>
      <c r="I374" s="37"/>
      <c r="J374" s="37"/>
      <c r="K374" s="37"/>
      <c r="L374" s="37"/>
    </row>
    <row r="375" spans="1:12" ht="15.75" customHeight="1">
      <c r="A375" s="87" t="s">
        <v>3935</v>
      </c>
      <c r="B375" s="87" t="s">
        <v>4456</v>
      </c>
      <c r="C375" s="87" t="s">
        <v>4457</v>
      </c>
      <c r="D375" s="88">
        <v>1098</v>
      </c>
      <c r="E375" s="85" t="s">
        <v>3938</v>
      </c>
      <c r="F375" s="87">
        <v>169</v>
      </c>
      <c r="G375" s="37"/>
      <c r="H375" s="37">
        <f>COUNTIF('(参考)現行システム機能階層一覧'!$E$3:$E$1048576,sheet1!B375)</f>
        <v>0</v>
      </c>
      <c r="I375" s="37"/>
      <c r="J375" s="37"/>
      <c r="K375" s="37"/>
      <c r="L375" s="37"/>
    </row>
    <row r="376" spans="1:12" ht="15.75" customHeight="1">
      <c r="A376" s="87" t="s">
        <v>3853</v>
      </c>
      <c r="B376" s="87" t="s">
        <v>4458</v>
      </c>
      <c r="C376" s="87" t="s">
        <v>4459</v>
      </c>
      <c r="D376" s="88">
        <v>27</v>
      </c>
      <c r="E376" s="85" t="s">
        <v>3938</v>
      </c>
      <c r="F376" s="87">
        <v>106</v>
      </c>
      <c r="G376" s="37"/>
      <c r="H376" s="37">
        <f>COUNTIF('(参考)現行システム機能階層一覧'!$E$3:$E$1048576,sheet1!B376)</f>
        <v>0</v>
      </c>
      <c r="I376" s="37"/>
      <c r="J376" s="37"/>
      <c r="K376" s="37"/>
      <c r="L376" s="37"/>
    </row>
    <row r="377" spans="1:12" ht="15.75" customHeight="1">
      <c r="A377" s="87" t="s">
        <v>3935</v>
      </c>
      <c r="B377" s="87" t="s">
        <v>2981</v>
      </c>
      <c r="C377" s="87" t="s">
        <v>3012</v>
      </c>
      <c r="D377" s="88">
        <v>704</v>
      </c>
      <c r="E377" s="85" t="s">
        <v>3938</v>
      </c>
      <c r="F377" s="87">
        <v>89</v>
      </c>
      <c r="G377" s="37"/>
      <c r="H377" s="37">
        <f>COUNTIF('(参考)現行システム機能階層一覧'!$E$3:$E$1048576,sheet1!B377)</f>
        <v>1</v>
      </c>
      <c r="I377" s="37"/>
      <c r="J377" s="37"/>
      <c r="K377" s="37"/>
      <c r="L377" s="37"/>
    </row>
    <row r="378" spans="1:12" ht="15.75" customHeight="1">
      <c r="A378" s="87" t="s">
        <v>3935</v>
      </c>
      <c r="B378" s="87" t="s">
        <v>3055</v>
      </c>
      <c r="C378" s="87" t="s">
        <v>4460</v>
      </c>
      <c r="D378" s="88">
        <v>425</v>
      </c>
      <c r="E378" s="85" t="s">
        <v>3938</v>
      </c>
      <c r="F378" s="87">
        <v>193</v>
      </c>
      <c r="G378" s="37"/>
      <c r="H378" s="37">
        <f>COUNTIF('(参考)現行システム機能階層一覧'!$E$3:$E$1048576,sheet1!B378)</f>
        <v>1</v>
      </c>
      <c r="I378" s="37"/>
      <c r="J378" s="37"/>
      <c r="K378" s="37"/>
      <c r="L378" s="37"/>
    </row>
    <row r="379" spans="1:12" ht="15.75" customHeight="1">
      <c r="A379" s="87" t="s">
        <v>3853</v>
      </c>
      <c r="B379" s="87" t="s">
        <v>4461</v>
      </c>
      <c r="C379" s="87" t="s">
        <v>4462</v>
      </c>
      <c r="D379" s="88">
        <v>37</v>
      </c>
      <c r="E379" s="85" t="s">
        <v>3938</v>
      </c>
      <c r="F379" s="87">
        <v>14</v>
      </c>
      <c r="G379" s="37"/>
      <c r="H379" s="37">
        <f>COUNTIF('(参考)現行システム機能階層一覧'!$E$3:$E$1048576,sheet1!B379)</f>
        <v>0</v>
      </c>
      <c r="I379" s="37"/>
      <c r="J379" s="37"/>
      <c r="K379" s="37"/>
      <c r="L379" s="37"/>
    </row>
    <row r="380" spans="1:12" ht="15.75" customHeight="1">
      <c r="A380" s="87" t="s">
        <v>3935</v>
      </c>
      <c r="B380" s="87" t="s">
        <v>4463</v>
      </c>
      <c r="C380" s="87" t="s">
        <v>4464</v>
      </c>
      <c r="D380" s="88">
        <v>705</v>
      </c>
      <c r="E380" s="85" t="s">
        <v>3938</v>
      </c>
      <c r="F380" s="87">
        <v>104</v>
      </c>
      <c r="G380" s="37"/>
      <c r="H380" s="37">
        <f>COUNTIF('(参考)現行システム機能階層一覧'!$E$3:$E$1048576,sheet1!B380)</f>
        <v>0</v>
      </c>
      <c r="I380" s="37"/>
      <c r="J380" s="37"/>
      <c r="K380" s="37"/>
      <c r="L380" s="37"/>
    </row>
    <row r="381" spans="1:12" ht="15.75" customHeight="1">
      <c r="A381" s="87" t="s">
        <v>3853</v>
      </c>
      <c r="B381" s="87" t="s">
        <v>4465</v>
      </c>
      <c r="C381" s="87" t="s">
        <v>4466</v>
      </c>
      <c r="D381" s="88">
        <v>22</v>
      </c>
      <c r="E381" s="85" t="s">
        <v>3938</v>
      </c>
      <c r="F381" s="87">
        <v>106</v>
      </c>
      <c r="G381" s="37"/>
      <c r="H381" s="37">
        <f>COUNTIF('(参考)現行システム機能階層一覧'!$E$3:$E$1048576,sheet1!B381)</f>
        <v>0</v>
      </c>
      <c r="I381" s="37"/>
      <c r="J381" s="37"/>
      <c r="K381" s="37"/>
      <c r="L381" s="37"/>
    </row>
    <row r="382" spans="1:12" ht="15.75" customHeight="1">
      <c r="A382" s="87" t="s">
        <v>3935</v>
      </c>
      <c r="B382" s="87" t="s">
        <v>3022</v>
      </c>
      <c r="C382" s="87" t="s">
        <v>3053</v>
      </c>
      <c r="D382" s="88">
        <v>541</v>
      </c>
      <c r="E382" s="85" t="s">
        <v>3938</v>
      </c>
      <c r="F382" s="87">
        <v>106</v>
      </c>
      <c r="G382" s="37"/>
      <c r="H382" s="37">
        <f>COUNTIF('(参考)現行システム機能階層一覧'!$E$3:$E$1048576,sheet1!B382)</f>
        <v>1</v>
      </c>
      <c r="I382" s="37"/>
      <c r="J382" s="37"/>
      <c r="K382" s="37"/>
      <c r="L382" s="37"/>
    </row>
    <row r="383" spans="1:12" ht="15.75" customHeight="1">
      <c r="A383" s="87" t="s">
        <v>3853</v>
      </c>
      <c r="B383" s="87" t="s">
        <v>4467</v>
      </c>
      <c r="C383" s="87" t="s">
        <v>3015</v>
      </c>
      <c r="D383" s="88">
        <v>23</v>
      </c>
      <c r="E383" s="85" t="s">
        <v>3938</v>
      </c>
      <c r="F383" s="87">
        <v>129</v>
      </c>
      <c r="G383" s="37"/>
      <c r="H383" s="37">
        <f>COUNTIF('(参考)現行システム機能階層一覧'!$E$3:$E$1048576,sheet1!B383)</f>
        <v>0</v>
      </c>
      <c r="I383" s="37"/>
      <c r="J383" s="37"/>
      <c r="K383" s="37"/>
      <c r="L383" s="37"/>
    </row>
    <row r="384" spans="1:12" ht="15.75" customHeight="1">
      <c r="A384" s="87" t="s">
        <v>3935</v>
      </c>
      <c r="B384" s="87" t="s">
        <v>2984</v>
      </c>
      <c r="C384" s="87" t="s">
        <v>3015</v>
      </c>
      <c r="D384" s="88">
        <v>646</v>
      </c>
      <c r="E384" s="85" t="s">
        <v>3938</v>
      </c>
      <c r="F384" s="87">
        <v>106</v>
      </c>
      <c r="G384" s="37"/>
      <c r="H384" s="37">
        <f>COUNTIF('(参考)現行システム機能階層一覧'!$E$3:$E$1048576,sheet1!B384)</f>
        <v>2</v>
      </c>
      <c r="I384" s="37"/>
      <c r="J384" s="37"/>
      <c r="K384" s="37"/>
      <c r="L384" s="37"/>
    </row>
    <row r="385" spans="1:12" ht="15.75" customHeight="1">
      <c r="A385" s="87" t="s">
        <v>3853</v>
      </c>
      <c r="B385" s="87" t="s">
        <v>4468</v>
      </c>
      <c r="C385" s="87" t="s">
        <v>3050</v>
      </c>
      <c r="D385" s="88">
        <v>22</v>
      </c>
      <c r="E385" s="85" t="s">
        <v>3938</v>
      </c>
      <c r="F385" s="87">
        <v>108</v>
      </c>
      <c r="G385" s="37"/>
      <c r="H385" s="37">
        <f>COUNTIF('(参考)現行システム機能階層一覧'!$E$3:$E$1048576,sheet1!B385)</f>
        <v>0</v>
      </c>
      <c r="I385" s="37"/>
      <c r="J385" s="37"/>
      <c r="K385" s="37"/>
      <c r="L385" s="37"/>
    </row>
    <row r="386" spans="1:12" ht="15.75" customHeight="1">
      <c r="A386" s="87" t="s">
        <v>3935</v>
      </c>
      <c r="B386" s="87" t="s">
        <v>4469</v>
      </c>
      <c r="C386" s="87" t="s">
        <v>3050</v>
      </c>
      <c r="D386" s="88">
        <v>642</v>
      </c>
      <c r="E386" s="85" t="s">
        <v>3938</v>
      </c>
      <c r="F386" s="87">
        <v>108</v>
      </c>
      <c r="G386" s="37"/>
      <c r="H386" s="37">
        <f>COUNTIF('(参考)現行システム機能階層一覧'!$E$3:$E$1048576,sheet1!B386)</f>
        <v>0</v>
      </c>
      <c r="I386" s="37"/>
      <c r="J386" s="37"/>
      <c r="K386" s="37"/>
      <c r="L386" s="37"/>
    </row>
    <row r="387" spans="1:12" ht="15.75" customHeight="1">
      <c r="A387" s="87" t="s">
        <v>3935</v>
      </c>
      <c r="B387" s="87" t="s">
        <v>2969</v>
      </c>
      <c r="C387" s="87" t="s">
        <v>4470</v>
      </c>
      <c r="D387" s="88">
        <v>382</v>
      </c>
      <c r="E387" s="85" t="s">
        <v>3938</v>
      </c>
      <c r="F387" s="87">
        <v>168</v>
      </c>
      <c r="G387" s="37"/>
      <c r="H387" s="37">
        <f>COUNTIF('(参考)現行システム機能階層一覧'!$E$3:$E$1048576,sheet1!B387)</f>
        <v>1</v>
      </c>
      <c r="I387" s="37"/>
      <c r="J387" s="37"/>
      <c r="K387" s="37"/>
      <c r="L387" s="37"/>
    </row>
    <row r="388" spans="1:12" ht="15.75" customHeight="1">
      <c r="A388" s="87" t="s">
        <v>3853</v>
      </c>
      <c r="B388" s="87" t="s">
        <v>4471</v>
      </c>
      <c r="C388" s="87" t="s">
        <v>4472</v>
      </c>
      <c r="D388" s="88">
        <v>17</v>
      </c>
      <c r="E388" s="85" t="s">
        <v>3938</v>
      </c>
      <c r="F388" s="87">
        <v>194</v>
      </c>
      <c r="G388" s="37"/>
      <c r="H388" s="37">
        <f>COUNTIF('(参考)現行システム機能階層一覧'!$E$3:$E$1048576,sheet1!B388)</f>
        <v>0</v>
      </c>
      <c r="I388" s="37"/>
      <c r="J388" s="37"/>
      <c r="K388" s="37"/>
      <c r="L388" s="37"/>
    </row>
    <row r="389" spans="1:12" ht="15.75" customHeight="1">
      <c r="A389" s="87" t="s">
        <v>3935</v>
      </c>
      <c r="B389" s="87" t="s">
        <v>4473</v>
      </c>
      <c r="C389" s="87" t="s">
        <v>4474</v>
      </c>
      <c r="D389" s="88">
        <v>290</v>
      </c>
      <c r="E389" s="85" t="s">
        <v>3938</v>
      </c>
      <c r="F389" s="87">
        <v>114</v>
      </c>
      <c r="G389" s="37"/>
      <c r="H389" s="37">
        <f>COUNTIF('(参考)現行システム機能階層一覧'!$E$3:$E$1048576,sheet1!B389)</f>
        <v>0</v>
      </c>
      <c r="I389" s="37"/>
      <c r="J389" s="37"/>
      <c r="K389" s="37"/>
      <c r="L389" s="37"/>
    </row>
    <row r="390" spans="1:12" ht="15.75" customHeight="1">
      <c r="A390" s="87" t="s">
        <v>3853</v>
      </c>
      <c r="B390" s="87" t="s">
        <v>4475</v>
      </c>
      <c r="C390" s="87" t="s">
        <v>4476</v>
      </c>
      <c r="D390" s="88">
        <v>101</v>
      </c>
      <c r="E390" s="85" t="s">
        <v>3938</v>
      </c>
      <c r="F390" s="87">
        <v>129</v>
      </c>
      <c r="G390" s="37"/>
      <c r="H390" s="37">
        <f>COUNTIF('(参考)現行システム機能階層一覧'!$E$3:$E$1048576,sheet1!B390)</f>
        <v>0</v>
      </c>
      <c r="I390" s="37"/>
      <c r="J390" s="37"/>
      <c r="K390" s="37"/>
      <c r="L390" s="37"/>
    </row>
    <row r="391" spans="1:12" ht="15.75" customHeight="1">
      <c r="A391" s="87" t="s">
        <v>3935</v>
      </c>
      <c r="B391" s="87" t="s">
        <v>4477</v>
      </c>
      <c r="C391" s="87" t="s">
        <v>4478</v>
      </c>
      <c r="D391" s="88">
        <v>128</v>
      </c>
      <c r="E391" s="85" t="s">
        <v>3938</v>
      </c>
      <c r="F391" s="87">
        <v>129</v>
      </c>
      <c r="G391" s="37"/>
      <c r="H391" s="37">
        <f>COUNTIF('(参考)現行システム機能階層一覧'!$E$3:$E$1048576,sheet1!B391)</f>
        <v>0</v>
      </c>
      <c r="I391" s="37"/>
      <c r="J391" s="37"/>
      <c r="K391" s="37"/>
      <c r="L391" s="37"/>
    </row>
    <row r="392" spans="1:12" ht="15.75" customHeight="1">
      <c r="A392" s="87" t="s">
        <v>3935</v>
      </c>
      <c r="B392" s="87" t="s">
        <v>4479</v>
      </c>
      <c r="C392" s="87" t="s">
        <v>4480</v>
      </c>
      <c r="D392" s="88">
        <v>291</v>
      </c>
      <c r="E392" s="85" t="s">
        <v>3938</v>
      </c>
      <c r="F392" s="87">
        <v>99</v>
      </c>
      <c r="G392" s="37"/>
      <c r="H392" s="37">
        <f>COUNTIF('(参考)現行システム機能階層一覧'!$E$3:$E$1048576,sheet1!B392)</f>
        <v>0</v>
      </c>
      <c r="I392" s="37"/>
      <c r="J392" s="37"/>
      <c r="K392" s="37"/>
      <c r="L392" s="37"/>
    </row>
    <row r="393" spans="1:12" ht="15.75" customHeight="1">
      <c r="A393" s="87" t="s">
        <v>3853</v>
      </c>
      <c r="B393" s="87" t="s">
        <v>4481</v>
      </c>
      <c r="C393" s="87" t="s">
        <v>4482</v>
      </c>
      <c r="D393" s="88">
        <v>112</v>
      </c>
      <c r="E393" s="85" t="s">
        <v>3938</v>
      </c>
      <c r="F393" s="87">
        <v>102</v>
      </c>
      <c r="G393" s="37"/>
      <c r="H393" s="37">
        <f>COUNTIF('(参考)現行システム機能階層一覧'!$E$3:$E$1048576,sheet1!B393)</f>
        <v>0</v>
      </c>
      <c r="I393" s="37"/>
      <c r="J393" s="37"/>
      <c r="K393" s="37"/>
      <c r="L393" s="37"/>
    </row>
    <row r="394" spans="1:12" ht="15.75" customHeight="1">
      <c r="A394" s="87" t="s">
        <v>3935</v>
      </c>
      <c r="B394" s="87" t="s">
        <v>4483</v>
      </c>
      <c r="C394" s="87" t="s">
        <v>4484</v>
      </c>
      <c r="D394" s="88">
        <v>128</v>
      </c>
      <c r="E394" s="85" t="s">
        <v>3938</v>
      </c>
      <c r="F394" s="87">
        <v>102</v>
      </c>
      <c r="G394" s="37"/>
      <c r="H394" s="37">
        <f>COUNTIF('(参考)現行システム機能階層一覧'!$E$3:$E$1048576,sheet1!B394)</f>
        <v>0</v>
      </c>
      <c r="I394" s="37"/>
      <c r="J394" s="37"/>
      <c r="K394" s="37"/>
      <c r="L394" s="37"/>
    </row>
    <row r="395" spans="1:12" ht="15.75" customHeight="1">
      <c r="A395" s="87" t="s">
        <v>3935</v>
      </c>
      <c r="B395" s="87" t="s">
        <v>2972</v>
      </c>
      <c r="C395" s="87" t="s">
        <v>4485</v>
      </c>
      <c r="D395" s="88">
        <v>534</v>
      </c>
      <c r="E395" s="85" t="s">
        <v>3938</v>
      </c>
      <c r="F395" s="87">
        <v>141</v>
      </c>
      <c r="G395" s="37"/>
      <c r="H395" s="37">
        <f>COUNTIF('(参考)現行システム機能階層一覧'!$E$3:$E$1048576,sheet1!B395)</f>
        <v>1</v>
      </c>
      <c r="I395" s="37"/>
      <c r="J395" s="37"/>
      <c r="K395" s="37"/>
      <c r="L395" s="37"/>
    </row>
    <row r="396" spans="1:12" ht="15.75" customHeight="1">
      <c r="A396" s="87" t="s">
        <v>3853</v>
      </c>
      <c r="B396" s="87" t="s">
        <v>4486</v>
      </c>
      <c r="C396" s="87" t="s">
        <v>4485</v>
      </c>
      <c r="D396" s="88">
        <v>17</v>
      </c>
      <c r="E396" s="85" t="s">
        <v>3938</v>
      </c>
      <c r="F396" s="87">
        <v>167</v>
      </c>
      <c r="G396" s="37"/>
      <c r="H396" s="37">
        <f>COUNTIF('(参考)現行システム機能階層一覧'!$E$3:$E$1048576,sheet1!B396)</f>
        <v>0</v>
      </c>
      <c r="I396" s="37"/>
      <c r="J396" s="37"/>
      <c r="K396" s="37"/>
      <c r="L396" s="37"/>
    </row>
    <row r="397" spans="1:12" ht="15.75" customHeight="1">
      <c r="A397" s="87" t="s">
        <v>3935</v>
      </c>
      <c r="B397" s="87" t="s">
        <v>2975</v>
      </c>
      <c r="C397" s="87" t="s">
        <v>4487</v>
      </c>
      <c r="D397" s="88">
        <v>497</v>
      </c>
      <c r="E397" s="85" t="s">
        <v>3938</v>
      </c>
      <c r="F397" s="87">
        <v>148</v>
      </c>
      <c r="G397" s="37"/>
      <c r="H397" s="37">
        <f>COUNTIF('(参考)現行システム機能階層一覧'!$E$3:$E$1048576,sheet1!B397)</f>
        <v>1</v>
      </c>
      <c r="I397" s="37"/>
      <c r="J397" s="37"/>
      <c r="K397" s="37"/>
      <c r="L397" s="37"/>
    </row>
    <row r="398" spans="1:12" ht="15.75" customHeight="1">
      <c r="A398" s="87" t="s">
        <v>3853</v>
      </c>
      <c r="B398" s="87" t="s">
        <v>4488</v>
      </c>
      <c r="C398" s="87" t="s">
        <v>4487</v>
      </c>
      <c r="D398" s="88">
        <v>19</v>
      </c>
      <c r="E398" s="85" t="s">
        <v>3938</v>
      </c>
      <c r="F398" s="87">
        <v>184</v>
      </c>
      <c r="G398" s="37"/>
      <c r="H398" s="37">
        <f>COUNTIF('(参考)現行システム機能階層一覧'!$E$3:$E$1048576,sheet1!B398)</f>
        <v>0</v>
      </c>
      <c r="I398" s="37"/>
      <c r="J398" s="37"/>
      <c r="K398" s="37"/>
      <c r="L398" s="37"/>
    </row>
    <row r="399" spans="1:12" ht="15.75" customHeight="1">
      <c r="A399" s="87" t="s">
        <v>3935</v>
      </c>
      <c r="B399" s="87" t="s">
        <v>2978</v>
      </c>
      <c r="C399" s="87" t="s">
        <v>3009</v>
      </c>
      <c r="D399" s="88">
        <v>521</v>
      </c>
      <c r="E399" s="85" t="s">
        <v>3938</v>
      </c>
      <c r="F399" s="87">
        <v>46</v>
      </c>
      <c r="G399" s="37"/>
      <c r="H399" s="37">
        <f>COUNTIF('(参考)現行システム機能階層一覧'!$E$3:$E$1048576,sheet1!B399)</f>
        <v>1</v>
      </c>
      <c r="I399" s="37"/>
      <c r="J399" s="37"/>
      <c r="K399" s="37"/>
      <c r="L399" s="37"/>
    </row>
    <row r="400" spans="1:12" ht="15.75" customHeight="1">
      <c r="A400" s="87" t="s">
        <v>3853</v>
      </c>
      <c r="B400" s="87" t="s">
        <v>4489</v>
      </c>
      <c r="C400" s="87" t="s">
        <v>3009</v>
      </c>
      <c r="D400" s="88">
        <v>74</v>
      </c>
      <c r="E400" s="85" t="s">
        <v>3938</v>
      </c>
      <c r="F400" s="87">
        <v>56</v>
      </c>
      <c r="G400" s="37"/>
      <c r="H400" s="37">
        <f>COUNTIF('(参考)現行システム機能階層一覧'!$E$3:$E$1048576,sheet1!B400)</f>
        <v>0</v>
      </c>
      <c r="I400" s="37"/>
      <c r="J400" s="37"/>
      <c r="K400" s="37"/>
      <c r="L400" s="37"/>
    </row>
    <row r="401" spans="1:12" ht="15.75" customHeight="1">
      <c r="A401" s="87" t="s">
        <v>3935</v>
      </c>
      <c r="B401" s="87" t="s">
        <v>3463</v>
      </c>
      <c r="C401" s="87" t="s">
        <v>3490</v>
      </c>
      <c r="D401" s="88">
        <v>381</v>
      </c>
      <c r="E401" s="85" t="s">
        <v>3938</v>
      </c>
      <c r="F401" s="87">
        <v>21</v>
      </c>
      <c r="G401" s="37"/>
      <c r="H401" s="37">
        <f>COUNTIF('(参考)現行システム機能階層一覧'!$E$3:$E$1048576,sheet1!B401)</f>
        <v>1</v>
      </c>
      <c r="I401" s="37"/>
      <c r="J401" s="37"/>
      <c r="K401" s="37"/>
      <c r="L401" s="37"/>
    </row>
    <row r="402" spans="1:12" ht="15.75" customHeight="1">
      <c r="A402" s="87" t="s">
        <v>3853</v>
      </c>
      <c r="B402" s="87" t="s">
        <v>4490</v>
      </c>
      <c r="C402" s="87" t="s">
        <v>3490</v>
      </c>
      <c r="D402" s="88">
        <v>26</v>
      </c>
      <c r="E402" s="85" t="s">
        <v>3938</v>
      </c>
      <c r="F402" s="87">
        <v>21</v>
      </c>
      <c r="G402" s="37"/>
      <c r="H402" s="37">
        <f>COUNTIF('(参考)現行システム機能階層一覧'!$E$3:$E$1048576,sheet1!B402)</f>
        <v>0</v>
      </c>
      <c r="I402" s="37"/>
      <c r="J402" s="37"/>
      <c r="K402" s="37"/>
      <c r="L402" s="37"/>
    </row>
    <row r="403" spans="1:12" ht="15.75" customHeight="1">
      <c r="A403" s="87" t="s">
        <v>3935</v>
      </c>
      <c r="B403" s="87" t="s">
        <v>3077</v>
      </c>
      <c r="C403" s="87" t="s">
        <v>3107</v>
      </c>
      <c r="D403" s="88">
        <v>614</v>
      </c>
      <c r="E403" s="85" t="s">
        <v>3938</v>
      </c>
      <c r="F403" s="87">
        <v>181</v>
      </c>
      <c r="G403" s="37"/>
      <c r="H403" s="37">
        <f>COUNTIF('(参考)現行システム機能階層一覧'!$E$3:$E$1048576,sheet1!B403)</f>
        <v>2</v>
      </c>
      <c r="I403" s="37"/>
      <c r="J403" s="37"/>
      <c r="K403" s="37"/>
      <c r="L403" s="37"/>
    </row>
    <row r="404" spans="1:12" ht="15.75" customHeight="1">
      <c r="A404" s="87" t="s">
        <v>3853</v>
      </c>
      <c r="B404" s="87" t="s">
        <v>4491</v>
      </c>
      <c r="C404" s="87" t="s">
        <v>3107</v>
      </c>
      <c r="D404" s="88">
        <v>19</v>
      </c>
      <c r="E404" s="85" t="s">
        <v>3938</v>
      </c>
      <c r="F404" s="87">
        <v>205</v>
      </c>
      <c r="G404" s="37"/>
      <c r="H404" s="37">
        <f>COUNTIF('(参考)現行システム機能階層一覧'!$E$3:$E$1048576,sheet1!B404)</f>
        <v>0</v>
      </c>
      <c r="I404" s="37"/>
      <c r="J404" s="37"/>
      <c r="K404" s="37"/>
      <c r="L404" s="37"/>
    </row>
    <row r="405" spans="1:12" ht="15.75" customHeight="1">
      <c r="A405" s="87" t="s">
        <v>3935</v>
      </c>
      <c r="B405" s="87" t="s">
        <v>3080</v>
      </c>
      <c r="C405" s="87" t="s">
        <v>3110</v>
      </c>
      <c r="D405" s="88">
        <v>688</v>
      </c>
      <c r="E405" s="85" t="s">
        <v>3938</v>
      </c>
      <c r="F405" s="87">
        <v>182</v>
      </c>
      <c r="G405" s="37"/>
      <c r="H405" s="37">
        <f>COUNTIF('(参考)現行システム機能階層一覧'!$E$3:$E$1048576,sheet1!B405)</f>
        <v>2</v>
      </c>
      <c r="I405" s="37"/>
      <c r="J405" s="37"/>
      <c r="K405" s="37"/>
      <c r="L405" s="37"/>
    </row>
    <row r="406" spans="1:12" ht="15.75" customHeight="1">
      <c r="A406" s="87" t="s">
        <v>3853</v>
      </c>
      <c r="B406" s="87" t="s">
        <v>4492</v>
      </c>
      <c r="C406" s="87" t="s">
        <v>3110</v>
      </c>
      <c r="D406" s="88">
        <v>19</v>
      </c>
      <c r="E406" s="85" t="s">
        <v>3938</v>
      </c>
      <c r="F406" s="87">
        <v>214</v>
      </c>
      <c r="G406" s="37"/>
      <c r="H406" s="37">
        <f>COUNTIF('(参考)現行システム機能階層一覧'!$E$3:$E$1048576,sheet1!B406)</f>
        <v>0</v>
      </c>
      <c r="I406" s="37"/>
      <c r="J406" s="37"/>
      <c r="K406" s="37"/>
      <c r="L406" s="37"/>
    </row>
    <row r="407" spans="1:12" ht="15.75" customHeight="1">
      <c r="A407" s="87" t="s">
        <v>3935</v>
      </c>
      <c r="B407" s="87" t="s">
        <v>2993</v>
      </c>
      <c r="C407" s="87" t="s">
        <v>4493</v>
      </c>
      <c r="D407" s="88">
        <v>230</v>
      </c>
      <c r="E407" s="85" t="s">
        <v>3938</v>
      </c>
      <c r="F407" s="87">
        <v>25</v>
      </c>
      <c r="G407" s="37"/>
      <c r="H407" s="37">
        <f>COUNTIF('(参考)現行システム機能階層一覧'!$E$3:$E$1048576,sheet1!B407)</f>
        <v>1</v>
      </c>
      <c r="I407" s="37"/>
      <c r="J407" s="37"/>
      <c r="K407" s="37"/>
      <c r="L407" s="37"/>
    </row>
    <row r="408" spans="1:12" ht="15.75" customHeight="1">
      <c r="A408" s="87" t="s">
        <v>3853</v>
      </c>
      <c r="B408" s="87" t="s">
        <v>4494</v>
      </c>
      <c r="C408" s="87" t="s">
        <v>4493</v>
      </c>
      <c r="D408" s="88">
        <v>33</v>
      </c>
      <c r="E408" s="85" t="s">
        <v>3938</v>
      </c>
      <c r="F408" s="87">
        <v>25</v>
      </c>
      <c r="G408" s="37"/>
      <c r="H408" s="37">
        <f>COUNTIF('(参考)現行システム機能階層一覧'!$E$3:$E$1048576,sheet1!B408)</f>
        <v>0</v>
      </c>
      <c r="I408" s="37"/>
      <c r="J408" s="37"/>
      <c r="K408" s="37"/>
      <c r="L408" s="37"/>
    </row>
    <row r="409" spans="1:12" ht="15.75" customHeight="1">
      <c r="A409" s="87" t="s">
        <v>3935</v>
      </c>
      <c r="B409" s="87" t="s">
        <v>4495</v>
      </c>
      <c r="C409" s="87" t="s">
        <v>4496</v>
      </c>
      <c r="D409" s="88">
        <v>253</v>
      </c>
      <c r="E409" s="85" t="s">
        <v>3938</v>
      </c>
      <c r="F409" s="87">
        <v>20</v>
      </c>
      <c r="G409" s="37"/>
      <c r="H409" s="37">
        <f>COUNTIF('(参考)現行システム機能階層一覧'!$E$3:$E$1048576,sheet1!B409)</f>
        <v>0</v>
      </c>
      <c r="I409" s="37"/>
      <c r="J409" s="37"/>
      <c r="K409" s="37"/>
      <c r="L409" s="37"/>
    </row>
    <row r="410" spans="1:12" ht="15.75" customHeight="1">
      <c r="A410" s="87" t="s">
        <v>3935</v>
      </c>
      <c r="B410" s="87" t="s">
        <v>3492</v>
      </c>
      <c r="C410" s="87" t="s">
        <v>4497</v>
      </c>
      <c r="D410" s="88">
        <v>1033</v>
      </c>
      <c r="E410" s="85" t="s">
        <v>3938</v>
      </c>
      <c r="F410" s="87">
        <v>1</v>
      </c>
      <c r="G410" s="37"/>
      <c r="H410" s="37">
        <f>COUNTIF('(参考)現行システム機能階層一覧'!$E$3:$E$1048576,sheet1!B410)</f>
        <v>1</v>
      </c>
      <c r="I410" s="37"/>
      <c r="J410" s="37"/>
      <c r="K410" s="37"/>
      <c r="L410" s="37"/>
    </row>
    <row r="411" spans="1:12" ht="15.75" customHeight="1">
      <c r="A411" s="87" t="s">
        <v>3935</v>
      </c>
      <c r="B411" s="87" t="s">
        <v>3489</v>
      </c>
      <c r="C411" s="87" t="s">
        <v>4498</v>
      </c>
      <c r="D411" s="88">
        <v>796</v>
      </c>
      <c r="E411" s="85" t="s">
        <v>3938</v>
      </c>
      <c r="F411" s="87">
        <v>1</v>
      </c>
      <c r="G411" s="37"/>
      <c r="H411" s="37">
        <f>COUNTIF('(参考)現行システム機能階層一覧'!$E$3:$E$1048576,sheet1!B411)</f>
        <v>1</v>
      </c>
      <c r="I411" s="37"/>
      <c r="J411" s="37"/>
      <c r="K411" s="37"/>
      <c r="L411" s="37"/>
    </row>
    <row r="412" spans="1:12" ht="15.75" customHeight="1">
      <c r="A412" s="87" t="s">
        <v>3935</v>
      </c>
      <c r="B412" s="87" t="s">
        <v>3086</v>
      </c>
      <c r="C412" s="87" t="s">
        <v>4499</v>
      </c>
      <c r="D412" s="88">
        <v>801</v>
      </c>
      <c r="E412" s="85" t="s">
        <v>3938</v>
      </c>
      <c r="F412" s="87">
        <v>1</v>
      </c>
      <c r="G412" s="37"/>
      <c r="H412" s="37">
        <f>COUNTIF('(参考)現行システム機能階層一覧'!$E$3:$E$1048576,sheet1!B412)</f>
        <v>1</v>
      </c>
      <c r="I412" s="37"/>
      <c r="J412" s="37"/>
      <c r="K412" s="37"/>
      <c r="L412" s="37"/>
    </row>
    <row r="413" spans="1:12" ht="15.75" customHeight="1">
      <c r="A413" s="87" t="s">
        <v>3935</v>
      </c>
      <c r="B413" s="87" t="s">
        <v>2538</v>
      </c>
      <c r="C413" s="87" t="s">
        <v>4500</v>
      </c>
      <c r="D413" s="88">
        <v>371</v>
      </c>
      <c r="E413" s="85" t="s">
        <v>3938</v>
      </c>
      <c r="F413" s="87">
        <v>286</v>
      </c>
      <c r="G413" s="37"/>
      <c r="H413" s="37">
        <f>COUNTIF('(参考)現行システム機能階層一覧'!$E$3:$E$1048576,sheet1!B413)</f>
        <v>1</v>
      </c>
      <c r="I413" s="37"/>
      <c r="J413" s="37"/>
      <c r="K413" s="37"/>
      <c r="L413" s="37"/>
    </row>
    <row r="414" spans="1:12" ht="15.75" customHeight="1">
      <c r="A414" s="87" t="s">
        <v>3935</v>
      </c>
      <c r="B414" s="87" t="s">
        <v>3495</v>
      </c>
      <c r="C414" s="87" t="s">
        <v>4501</v>
      </c>
      <c r="D414" s="88">
        <v>75</v>
      </c>
      <c r="E414" s="85" t="s">
        <v>3938</v>
      </c>
      <c r="F414" s="87">
        <v>1</v>
      </c>
      <c r="G414" s="37"/>
      <c r="H414" s="37">
        <f>COUNTIF('(参考)現行システム機能階層一覧'!$E$3:$E$1048576,sheet1!B414)</f>
        <v>1</v>
      </c>
      <c r="I414" s="37"/>
      <c r="J414" s="37"/>
      <c r="K414" s="37"/>
      <c r="L414" s="37"/>
    </row>
    <row r="415" spans="1:12" ht="15.75" customHeight="1">
      <c r="A415" s="87" t="s">
        <v>3853</v>
      </c>
      <c r="B415" s="87" t="s">
        <v>4502</v>
      </c>
      <c r="C415" s="87" t="s">
        <v>4503</v>
      </c>
      <c r="D415" s="88">
        <v>41</v>
      </c>
      <c r="E415" s="85" t="s">
        <v>3938</v>
      </c>
      <c r="F415" s="87">
        <v>1</v>
      </c>
      <c r="G415" s="37"/>
      <c r="H415" s="37">
        <f>COUNTIF('(参考)現行システム機能階層一覧'!$E$3:$E$1048576,sheet1!B415)</f>
        <v>0</v>
      </c>
      <c r="I415" s="37"/>
      <c r="J415" s="37"/>
      <c r="K415" s="37"/>
      <c r="L415" s="37"/>
    </row>
    <row r="416" spans="1:12" ht="15.75" customHeight="1">
      <c r="A416" s="87" t="s">
        <v>3935</v>
      </c>
      <c r="B416" s="87" t="s">
        <v>4504</v>
      </c>
      <c r="C416" s="87" t="s">
        <v>4505</v>
      </c>
      <c r="D416" s="88">
        <v>330</v>
      </c>
      <c r="E416" s="85" t="s">
        <v>3938</v>
      </c>
      <c r="F416" s="87">
        <v>1</v>
      </c>
      <c r="G416" s="37"/>
      <c r="H416" s="37">
        <f>COUNTIF('(参考)現行システム機能階層一覧'!$E$3:$E$1048576,sheet1!B416)</f>
        <v>0</v>
      </c>
      <c r="I416" s="37"/>
      <c r="J416" s="37"/>
      <c r="K416" s="37"/>
      <c r="L416" s="37"/>
    </row>
    <row r="417" spans="1:12" ht="15.75" customHeight="1">
      <c r="A417" s="87" t="s">
        <v>3935</v>
      </c>
      <c r="B417" s="87" t="s">
        <v>4506</v>
      </c>
      <c r="C417" s="87" t="s">
        <v>4507</v>
      </c>
      <c r="D417" s="88">
        <v>119</v>
      </c>
      <c r="E417" s="85" t="s">
        <v>3938</v>
      </c>
      <c r="F417" s="87">
        <v>1</v>
      </c>
      <c r="G417" s="37"/>
      <c r="H417" s="37">
        <f>COUNTIF('(参考)現行システム機能階層一覧'!$E$3:$E$1048576,sheet1!B417)</f>
        <v>0</v>
      </c>
      <c r="I417" s="37"/>
      <c r="J417" s="37"/>
      <c r="K417" s="37"/>
      <c r="L417" s="37"/>
    </row>
    <row r="418" spans="1:12" ht="15.75" customHeight="1">
      <c r="A418" s="87" t="s">
        <v>3935</v>
      </c>
      <c r="B418" s="87" t="s">
        <v>2183</v>
      </c>
      <c r="C418" s="87" t="s">
        <v>4508</v>
      </c>
      <c r="D418" s="88">
        <v>605</v>
      </c>
      <c r="E418" s="85" t="s">
        <v>3938</v>
      </c>
      <c r="F418" s="87">
        <v>4</v>
      </c>
      <c r="G418" s="37"/>
      <c r="H418" s="37">
        <f>COUNTIF('(参考)現行システム機能階層一覧'!$E$3:$E$1048576,sheet1!B418)</f>
        <v>1</v>
      </c>
      <c r="I418" s="37"/>
      <c r="J418" s="37"/>
      <c r="K418" s="37"/>
      <c r="L418" s="37"/>
    </row>
    <row r="419" spans="1:12" ht="15.75" customHeight="1">
      <c r="A419" s="87" t="s">
        <v>3853</v>
      </c>
      <c r="B419" s="87" t="s">
        <v>4509</v>
      </c>
      <c r="C419" s="87" t="s">
        <v>4508</v>
      </c>
      <c r="D419" s="88">
        <v>16</v>
      </c>
      <c r="E419" s="85" t="s">
        <v>3938</v>
      </c>
      <c r="F419" s="87">
        <v>54</v>
      </c>
      <c r="G419" s="37"/>
      <c r="H419" s="37">
        <f>COUNTIF('(参考)現行システム機能階層一覧'!$E$3:$E$1048576,sheet1!B419)</f>
        <v>0</v>
      </c>
      <c r="I419" s="37"/>
      <c r="J419" s="37"/>
      <c r="K419" s="37"/>
      <c r="L419" s="37"/>
    </row>
    <row r="420" spans="1:12" ht="15.75" customHeight="1">
      <c r="A420" s="87" t="s">
        <v>3935</v>
      </c>
      <c r="B420" s="87" t="s">
        <v>2789</v>
      </c>
      <c r="C420" s="87" t="s">
        <v>4510</v>
      </c>
      <c r="D420" s="88">
        <v>370</v>
      </c>
      <c r="E420" s="85" t="s">
        <v>3938</v>
      </c>
      <c r="F420" s="87">
        <v>30</v>
      </c>
      <c r="G420" s="37"/>
      <c r="H420" s="37">
        <f>COUNTIF('(参考)現行システム機能階層一覧'!$E$3:$E$1048576,sheet1!B420)</f>
        <v>1</v>
      </c>
      <c r="I420" s="37"/>
      <c r="J420" s="37"/>
      <c r="K420" s="37"/>
      <c r="L420" s="37"/>
    </row>
    <row r="421" spans="1:12" ht="15.75" customHeight="1">
      <c r="A421" s="87" t="s">
        <v>3935</v>
      </c>
      <c r="B421" s="87" t="s">
        <v>2808</v>
      </c>
      <c r="C421" s="87" t="s">
        <v>4511</v>
      </c>
      <c r="D421" s="88">
        <v>382</v>
      </c>
      <c r="E421" s="85" t="s">
        <v>3938</v>
      </c>
      <c r="F421" s="87">
        <v>2</v>
      </c>
      <c r="G421" s="37"/>
      <c r="H421" s="37">
        <f>COUNTIF('(参考)現行システム機能階層一覧'!$E$3:$E$1048576,sheet1!B421)</f>
        <v>2</v>
      </c>
      <c r="I421" s="37"/>
      <c r="J421" s="37"/>
      <c r="K421" s="37"/>
      <c r="L421" s="37"/>
    </row>
    <row r="422" spans="1:12" ht="15.75" customHeight="1">
      <c r="A422" s="87" t="s">
        <v>3935</v>
      </c>
      <c r="B422" s="87" t="s">
        <v>3593</v>
      </c>
      <c r="C422" s="87" t="s">
        <v>4512</v>
      </c>
      <c r="D422" s="88">
        <v>450</v>
      </c>
      <c r="E422" s="85" t="s">
        <v>3938</v>
      </c>
      <c r="F422" s="87">
        <v>33</v>
      </c>
      <c r="G422" s="37"/>
      <c r="H422" s="37">
        <f>COUNTIF('(参考)現行システム機能階層一覧'!$E$3:$E$1048576,sheet1!B422)</f>
        <v>1</v>
      </c>
      <c r="I422" s="37"/>
      <c r="J422" s="37"/>
      <c r="K422" s="37"/>
      <c r="L422" s="37"/>
    </row>
    <row r="423" spans="1:12" ht="15.75" customHeight="1">
      <c r="A423" s="87" t="s">
        <v>3935</v>
      </c>
      <c r="B423" s="87" t="s">
        <v>3711</v>
      </c>
      <c r="C423" s="87" t="s">
        <v>4513</v>
      </c>
      <c r="D423" s="88">
        <v>414</v>
      </c>
      <c r="E423" s="85" t="s">
        <v>3938</v>
      </c>
      <c r="F423" s="87">
        <v>3</v>
      </c>
      <c r="G423" s="37"/>
      <c r="H423" s="37">
        <f>COUNTIF('(参考)現行システム機能階層一覧'!$E$3:$E$1048576,sheet1!B423)</f>
        <v>1</v>
      </c>
      <c r="I423" s="37"/>
      <c r="J423" s="37"/>
      <c r="K423" s="37"/>
      <c r="L423" s="37"/>
    </row>
    <row r="424" spans="1:12" ht="15.75" customHeight="1">
      <c r="A424" s="87" t="s">
        <v>3935</v>
      </c>
      <c r="B424" s="87" t="s">
        <v>2916</v>
      </c>
      <c r="C424" s="87" t="s">
        <v>4514</v>
      </c>
      <c r="D424" s="88">
        <v>875</v>
      </c>
      <c r="E424" s="85" t="s">
        <v>3938</v>
      </c>
      <c r="F424" s="87">
        <v>429</v>
      </c>
      <c r="G424" s="37"/>
      <c r="H424" s="37">
        <f>COUNTIF('(参考)現行システム機能階層一覧'!$E$3:$E$1048576,sheet1!B424)</f>
        <v>1</v>
      </c>
      <c r="I424" s="37"/>
      <c r="J424" s="37"/>
      <c r="K424" s="37"/>
      <c r="L424" s="37"/>
    </row>
    <row r="425" spans="1:12" ht="15.75" customHeight="1">
      <c r="A425" s="87" t="s">
        <v>3853</v>
      </c>
      <c r="B425" s="87" t="s">
        <v>4515</v>
      </c>
      <c r="C425" s="87" t="s">
        <v>4516</v>
      </c>
      <c r="D425" s="88">
        <v>15</v>
      </c>
      <c r="E425" s="85" t="s">
        <v>3938</v>
      </c>
      <c r="F425" s="87">
        <v>432</v>
      </c>
      <c r="G425" s="37"/>
      <c r="H425" s="37">
        <f>COUNTIF('(参考)現行システム機能階層一覧'!$E$3:$E$1048576,sheet1!B425)</f>
        <v>0</v>
      </c>
      <c r="I425" s="37"/>
      <c r="J425" s="37"/>
      <c r="K425" s="37"/>
      <c r="L425" s="37"/>
    </row>
    <row r="426" spans="1:12" ht="15.75" customHeight="1">
      <c r="A426" s="87" t="s">
        <v>3935</v>
      </c>
      <c r="B426" s="87" t="s">
        <v>2859</v>
      </c>
      <c r="C426" s="87" t="s">
        <v>4517</v>
      </c>
      <c r="D426" s="88">
        <v>414</v>
      </c>
      <c r="E426" s="85" t="s">
        <v>3938</v>
      </c>
      <c r="F426" s="87">
        <v>118</v>
      </c>
      <c r="G426" s="37"/>
      <c r="H426" s="37">
        <f>COUNTIF('(参考)現行システム機能階層一覧'!$E$3:$E$1048576,sheet1!B426)</f>
        <v>1</v>
      </c>
      <c r="I426" s="37"/>
      <c r="J426" s="37"/>
      <c r="K426" s="37"/>
      <c r="L426" s="37"/>
    </row>
    <row r="427" spans="1:12" ht="15.75" customHeight="1">
      <c r="A427" s="87" t="s">
        <v>3935</v>
      </c>
      <c r="B427" s="87" t="s">
        <v>2882</v>
      </c>
      <c r="C427" s="87" t="s">
        <v>4518</v>
      </c>
      <c r="D427" s="88">
        <v>430</v>
      </c>
      <c r="E427" s="85" t="s">
        <v>3938</v>
      </c>
      <c r="F427" s="87">
        <v>124</v>
      </c>
      <c r="G427" s="37"/>
      <c r="H427" s="37">
        <f>COUNTIF('(参考)現行システム機能階層一覧'!$E$3:$E$1048576,sheet1!B427)</f>
        <v>1</v>
      </c>
      <c r="I427" s="37"/>
      <c r="J427" s="37"/>
      <c r="K427" s="37"/>
      <c r="L427" s="37"/>
    </row>
    <row r="428" spans="1:12" ht="15.75" customHeight="1">
      <c r="A428" s="87" t="s">
        <v>3935</v>
      </c>
      <c r="B428" s="87" t="s">
        <v>2936</v>
      </c>
      <c r="C428" s="87" t="s">
        <v>4519</v>
      </c>
      <c r="D428" s="88">
        <v>250</v>
      </c>
      <c r="E428" s="85" t="s">
        <v>3938</v>
      </c>
      <c r="F428" s="87">
        <v>185</v>
      </c>
      <c r="G428" s="37"/>
      <c r="H428" s="37">
        <f>COUNTIF('(参考)現行システム機能階層一覧'!$E$3:$E$1048576,sheet1!B428)</f>
        <v>1</v>
      </c>
      <c r="I428" s="37"/>
      <c r="J428" s="37"/>
      <c r="K428" s="37"/>
      <c r="L428" s="37"/>
    </row>
    <row r="429" spans="1:12" ht="15.75" customHeight="1">
      <c r="A429" s="87" t="s">
        <v>3853</v>
      </c>
      <c r="B429" s="87" t="s">
        <v>4520</v>
      </c>
      <c r="C429" s="87" t="s">
        <v>4521</v>
      </c>
      <c r="D429" s="88">
        <v>60</v>
      </c>
      <c r="E429" s="85" t="s">
        <v>3938</v>
      </c>
      <c r="F429" s="87">
        <v>185</v>
      </c>
      <c r="G429" s="37"/>
      <c r="H429" s="37">
        <f>COUNTIF('(参考)現行システム機能階層一覧'!$E$3:$E$1048576,sheet1!B429)</f>
        <v>0</v>
      </c>
      <c r="I429" s="37"/>
      <c r="J429" s="37"/>
      <c r="K429" s="37"/>
      <c r="L429" s="37"/>
    </row>
    <row r="430" spans="1:12" ht="15.75" customHeight="1">
      <c r="A430" s="87" t="s">
        <v>3935</v>
      </c>
      <c r="B430" s="87" t="s">
        <v>4522</v>
      </c>
      <c r="C430" s="87" t="s">
        <v>4523</v>
      </c>
      <c r="D430" s="88">
        <v>336</v>
      </c>
      <c r="E430" s="85" t="s">
        <v>3938</v>
      </c>
      <c r="F430" s="87">
        <v>81</v>
      </c>
      <c r="G430" s="37"/>
      <c r="H430" s="37">
        <f>COUNTIF('(参考)現行システム機能階層一覧'!$E$3:$E$1048576,sheet1!B430)</f>
        <v>0</v>
      </c>
      <c r="I430" s="37"/>
      <c r="J430" s="37"/>
      <c r="K430" s="37"/>
      <c r="L430" s="37"/>
    </row>
    <row r="431" spans="1:12" ht="15.75" customHeight="1">
      <c r="A431" s="87" t="s">
        <v>3935</v>
      </c>
      <c r="B431" s="87" t="s">
        <v>4524</v>
      </c>
      <c r="C431" s="87" t="s">
        <v>4525</v>
      </c>
      <c r="D431" s="88">
        <v>602</v>
      </c>
      <c r="E431" s="85" t="s">
        <v>3938</v>
      </c>
      <c r="F431" s="87">
        <v>81</v>
      </c>
      <c r="G431" s="37"/>
      <c r="H431" s="37">
        <f>COUNTIF('(参考)現行システム機能階層一覧'!$E$3:$E$1048576,sheet1!B431)</f>
        <v>0</v>
      </c>
      <c r="I431" s="37"/>
      <c r="J431" s="37"/>
      <c r="K431" s="37"/>
      <c r="L431" s="37"/>
    </row>
    <row r="432" spans="1:12" ht="15.75" customHeight="1">
      <c r="A432" s="87" t="s">
        <v>3935</v>
      </c>
      <c r="B432" s="87" t="s">
        <v>2867</v>
      </c>
      <c r="C432" s="87" t="s">
        <v>4526</v>
      </c>
      <c r="D432" s="88">
        <v>547</v>
      </c>
      <c r="E432" s="85" t="s">
        <v>3938</v>
      </c>
      <c r="F432" s="87">
        <v>118</v>
      </c>
      <c r="G432" s="37"/>
      <c r="H432" s="37">
        <f>COUNTIF('(参考)現行システム機能階層一覧'!$E$3:$E$1048576,sheet1!B432)</f>
        <v>1</v>
      </c>
      <c r="I432" s="37"/>
      <c r="J432" s="37"/>
      <c r="K432" s="37"/>
      <c r="L432" s="37"/>
    </row>
    <row r="433" spans="1:12" ht="15.75" customHeight="1">
      <c r="A433" s="87" t="s">
        <v>3935</v>
      </c>
      <c r="B433" s="87" t="s">
        <v>2889</v>
      </c>
      <c r="C433" s="87" t="s">
        <v>4527</v>
      </c>
      <c r="D433" s="88">
        <v>236</v>
      </c>
      <c r="E433" s="85" t="s">
        <v>3938</v>
      </c>
      <c r="F433" s="87">
        <v>122</v>
      </c>
      <c r="G433" s="37"/>
      <c r="H433" s="37">
        <f>COUNTIF('(参考)現行システム機能階層一覧'!$E$3:$E$1048576,sheet1!B433)</f>
        <v>1</v>
      </c>
      <c r="I433" s="37"/>
      <c r="J433" s="37"/>
      <c r="K433" s="37"/>
      <c r="L433" s="37"/>
    </row>
    <row r="434" spans="1:12" ht="15.75" customHeight="1">
      <c r="A434" s="87" t="s">
        <v>3853</v>
      </c>
      <c r="B434" s="87" t="s">
        <v>4528</v>
      </c>
      <c r="C434" s="87" t="s">
        <v>2917</v>
      </c>
      <c r="D434" s="88">
        <v>58</v>
      </c>
      <c r="E434" s="85" t="s">
        <v>3938</v>
      </c>
      <c r="F434" s="87">
        <v>182</v>
      </c>
      <c r="G434" s="37"/>
      <c r="H434" s="37">
        <f>COUNTIF('(参考)現行システム機能階層一覧'!$E$3:$E$1048576,sheet1!B434)</f>
        <v>0</v>
      </c>
      <c r="I434" s="37"/>
      <c r="J434" s="37"/>
      <c r="K434" s="37"/>
      <c r="L434" s="37"/>
    </row>
    <row r="435" spans="1:12" ht="15.75" customHeight="1">
      <c r="A435" s="87" t="s">
        <v>3935</v>
      </c>
      <c r="B435" s="87" t="s">
        <v>4529</v>
      </c>
      <c r="C435" s="87" t="s">
        <v>4530</v>
      </c>
      <c r="D435" s="88">
        <v>157</v>
      </c>
      <c r="E435" s="85" t="s">
        <v>3938</v>
      </c>
      <c r="F435" s="87">
        <v>180</v>
      </c>
      <c r="G435" s="37"/>
      <c r="H435" s="37">
        <f>COUNTIF('(参考)現行システム機能階層一覧'!$E$3:$E$1048576,sheet1!B435)</f>
        <v>0</v>
      </c>
      <c r="I435" s="37"/>
      <c r="J435" s="37"/>
      <c r="K435" s="37"/>
      <c r="L435" s="37"/>
    </row>
    <row r="436" spans="1:12" ht="15.75" customHeight="1">
      <c r="A436" s="87" t="s">
        <v>3935</v>
      </c>
      <c r="B436" s="87" t="s">
        <v>4531</v>
      </c>
      <c r="C436" s="87" t="s">
        <v>4532</v>
      </c>
      <c r="D436" s="88">
        <v>406</v>
      </c>
      <c r="E436" s="85" t="s">
        <v>3938</v>
      </c>
      <c r="F436" s="87">
        <v>180</v>
      </c>
      <c r="G436" s="37"/>
      <c r="H436" s="37">
        <f>COUNTIF('(参考)現行システム機能階層一覧'!$E$3:$E$1048576,sheet1!B436)</f>
        <v>0</v>
      </c>
      <c r="I436" s="37"/>
      <c r="J436" s="37"/>
      <c r="K436" s="37"/>
      <c r="L436" s="37"/>
    </row>
    <row r="437" spans="1:12" ht="15.75" customHeight="1">
      <c r="A437" s="87" t="s">
        <v>3935</v>
      </c>
      <c r="B437" s="87" t="s">
        <v>2525</v>
      </c>
      <c r="C437" s="87" t="s">
        <v>4533</v>
      </c>
      <c r="D437" s="88">
        <v>625</v>
      </c>
      <c r="E437" s="85" t="s">
        <v>3938</v>
      </c>
      <c r="F437" s="87">
        <v>30</v>
      </c>
      <c r="G437" s="37"/>
      <c r="H437" s="37">
        <f>COUNTIF('(参考)現行システム機能階層一覧'!$E$3:$E$1048576,sheet1!B437)</f>
        <v>1</v>
      </c>
      <c r="I437" s="37"/>
      <c r="J437" s="37"/>
      <c r="K437" s="37"/>
      <c r="L437" s="37"/>
    </row>
    <row r="438" spans="1:12" ht="15.75" customHeight="1">
      <c r="A438" s="87" t="s">
        <v>3853</v>
      </c>
      <c r="B438" s="87" t="s">
        <v>4534</v>
      </c>
      <c r="C438" s="87" t="s">
        <v>4535</v>
      </c>
      <c r="D438" s="88">
        <v>16</v>
      </c>
      <c r="E438" s="85" t="s">
        <v>3938</v>
      </c>
      <c r="F438" s="87">
        <v>30</v>
      </c>
      <c r="G438" s="37"/>
      <c r="H438" s="37">
        <f>COUNTIF('(参考)現行システム機能階層一覧'!$E$3:$E$1048576,sheet1!B438)</f>
        <v>0</v>
      </c>
      <c r="I438" s="37"/>
      <c r="J438" s="37"/>
      <c r="K438" s="37"/>
      <c r="L438" s="37"/>
    </row>
    <row r="439" spans="1:12" ht="15.75" customHeight="1">
      <c r="A439" s="87" t="s">
        <v>3935</v>
      </c>
      <c r="B439" s="87" t="s">
        <v>2529</v>
      </c>
      <c r="C439" s="87" t="s">
        <v>4536</v>
      </c>
      <c r="D439" s="88">
        <v>750</v>
      </c>
      <c r="E439" s="85" t="s">
        <v>3938</v>
      </c>
      <c r="F439" s="87">
        <v>81</v>
      </c>
      <c r="G439" s="37"/>
      <c r="H439" s="37">
        <f>COUNTIF('(参考)現行システム機能階層一覧'!$E$3:$E$1048576,sheet1!B439)</f>
        <v>1</v>
      </c>
      <c r="I439" s="37"/>
      <c r="J439" s="37"/>
      <c r="K439" s="37"/>
      <c r="L439" s="37"/>
    </row>
    <row r="440" spans="1:12" ht="15.75" customHeight="1">
      <c r="A440" s="87" t="s">
        <v>3853</v>
      </c>
      <c r="B440" s="87" t="s">
        <v>4537</v>
      </c>
      <c r="C440" s="87" t="s">
        <v>4538</v>
      </c>
      <c r="D440" s="88">
        <v>16</v>
      </c>
      <c r="E440" s="85" t="s">
        <v>3938</v>
      </c>
      <c r="F440" s="87">
        <v>81</v>
      </c>
      <c r="G440" s="37"/>
      <c r="H440" s="37">
        <f>COUNTIF('(参考)現行システム機能階層一覧'!$E$3:$E$1048576,sheet1!B440)</f>
        <v>0</v>
      </c>
      <c r="I440" s="37"/>
      <c r="J440" s="37"/>
      <c r="K440" s="37"/>
      <c r="L440" s="37"/>
    </row>
    <row r="441" spans="1:12" ht="15.75" customHeight="1">
      <c r="A441" s="87" t="s">
        <v>3935</v>
      </c>
      <c r="B441" s="87" t="s">
        <v>2499</v>
      </c>
      <c r="C441" s="87" t="s">
        <v>4539</v>
      </c>
      <c r="D441" s="88">
        <v>233</v>
      </c>
      <c r="E441" s="85" t="s">
        <v>3938</v>
      </c>
      <c r="F441" s="87">
        <v>78</v>
      </c>
      <c r="G441" s="37"/>
      <c r="H441" s="37">
        <f>COUNTIF('(参考)現行システム機能階層一覧'!$E$3:$E$1048576,sheet1!B441)</f>
        <v>1</v>
      </c>
      <c r="I441" s="37"/>
      <c r="J441" s="37"/>
      <c r="K441" s="37"/>
      <c r="L441" s="37"/>
    </row>
    <row r="442" spans="1:12" ht="15.75" customHeight="1">
      <c r="A442" s="87" t="s">
        <v>3853</v>
      </c>
      <c r="B442" s="87" t="s">
        <v>4540</v>
      </c>
      <c r="C442" s="87" t="s">
        <v>4541</v>
      </c>
      <c r="D442" s="88">
        <v>49</v>
      </c>
      <c r="E442" s="85" t="s">
        <v>3938</v>
      </c>
      <c r="F442" s="87">
        <v>78</v>
      </c>
      <c r="G442" s="37"/>
      <c r="H442" s="37">
        <f>COUNTIF('(参考)現行システム機能階層一覧'!$E$3:$E$1048576,sheet1!B442)</f>
        <v>0</v>
      </c>
      <c r="I442" s="37"/>
      <c r="J442" s="37"/>
      <c r="K442" s="37"/>
      <c r="L442" s="37"/>
    </row>
    <row r="443" spans="1:12" ht="15.75" customHeight="1">
      <c r="A443" s="87" t="s">
        <v>3935</v>
      </c>
      <c r="B443" s="87" t="s">
        <v>4542</v>
      </c>
      <c r="C443" s="87" t="s">
        <v>4543</v>
      </c>
      <c r="D443" s="88">
        <v>191</v>
      </c>
      <c r="E443" s="85" t="s">
        <v>3938</v>
      </c>
      <c r="F443" s="87">
        <v>37</v>
      </c>
      <c r="G443" s="37"/>
      <c r="H443" s="37">
        <f>COUNTIF('(参考)現行システム機能階層一覧'!$E$3:$E$1048576,sheet1!B443)</f>
        <v>0</v>
      </c>
      <c r="I443" s="37"/>
      <c r="J443" s="37"/>
      <c r="K443" s="37"/>
      <c r="L443" s="37"/>
    </row>
    <row r="444" spans="1:12" ht="15.75" customHeight="1">
      <c r="A444" s="87" t="s">
        <v>3935</v>
      </c>
      <c r="B444" s="87" t="s">
        <v>4544</v>
      </c>
      <c r="C444" s="87" t="s">
        <v>4545</v>
      </c>
      <c r="D444" s="88">
        <v>380</v>
      </c>
      <c r="E444" s="85" t="s">
        <v>3938</v>
      </c>
      <c r="F444" s="87">
        <v>37</v>
      </c>
      <c r="G444" s="37"/>
      <c r="H444" s="37">
        <f>COUNTIF('(参考)現行システム機能階層一覧'!$E$3:$E$1048576,sheet1!B444)</f>
        <v>0</v>
      </c>
      <c r="I444" s="37"/>
      <c r="J444" s="37"/>
      <c r="K444" s="37"/>
      <c r="L444" s="37"/>
    </row>
    <row r="445" spans="1:12" ht="15.75" customHeight="1">
      <c r="A445" s="87" t="s">
        <v>3935</v>
      </c>
      <c r="B445" s="87" t="s">
        <v>2534</v>
      </c>
      <c r="C445" s="87" t="s">
        <v>4546</v>
      </c>
      <c r="D445" s="88">
        <v>617</v>
      </c>
      <c r="E445" s="85" t="s">
        <v>3938</v>
      </c>
      <c r="F445" s="87">
        <v>45</v>
      </c>
      <c r="G445" s="37"/>
      <c r="H445" s="37">
        <f>COUNTIF('(参考)現行システム機能階層一覧'!$E$3:$E$1048576,sheet1!B445)</f>
        <v>1</v>
      </c>
      <c r="I445" s="37"/>
      <c r="J445" s="37"/>
      <c r="K445" s="37"/>
      <c r="L445" s="37"/>
    </row>
    <row r="446" spans="1:12" ht="15.75" customHeight="1">
      <c r="A446" s="87" t="s">
        <v>3853</v>
      </c>
      <c r="B446" s="87" t="s">
        <v>4547</v>
      </c>
      <c r="C446" s="87" t="s">
        <v>4538</v>
      </c>
      <c r="D446" s="88">
        <v>12</v>
      </c>
      <c r="E446" s="85" t="s">
        <v>3938</v>
      </c>
      <c r="F446" s="87">
        <v>45</v>
      </c>
      <c r="G446" s="37"/>
      <c r="H446" s="37">
        <f>COUNTIF('(参考)現行システム機能階層一覧'!$E$3:$E$1048576,sheet1!B446)</f>
        <v>0</v>
      </c>
      <c r="I446" s="37"/>
      <c r="J446" s="37"/>
      <c r="K446" s="37"/>
      <c r="L446" s="37"/>
    </row>
    <row r="447" spans="1:12" ht="15.75" customHeight="1">
      <c r="A447" s="87" t="s">
        <v>3935</v>
      </c>
      <c r="B447" s="87" t="s">
        <v>2576</v>
      </c>
      <c r="C447" s="87" t="s">
        <v>4548</v>
      </c>
      <c r="D447" s="88">
        <v>135</v>
      </c>
      <c r="E447" s="85" t="s">
        <v>3938</v>
      </c>
      <c r="F447" s="87">
        <v>45</v>
      </c>
      <c r="G447" s="37"/>
      <c r="H447" s="37">
        <f>COUNTIF('(参考)現行システム機能階層一覧'!$E$3:$E$1048576,sheet1!B447)</f>
        <v>1</v>
      </c>
      <c r="I447" s="37"/>
      <c r="J447" s="37"/>
      <c r="K447" s="37"/>
      <c r="L447" s="37"/>
    </row>
    <row r="448" spans="1:12" ht="15.75" customHeight="1">
      <c r="A448" s="87" t="s">
        <v>3853</v>
      </c>
      <c r="B448" s="87" t="s">
        <v>4549</v>
      </c>
      <c r="C448" s="87" t="s">
        <v>2621</v>
      </c>
      <c r="D448" s="88">
        <v>40</v>
      </c>
      <c r="E448" s="85" t="s">
        <v>3938</v>
      </c>
      <c r="F448" s="87">
        <v>45</v>
      </c>
      <c r="G448" s="37"/>
      <c r="H448" s="37">
        <f>COUNTIF('(参考)現行システム機能階層一覧'!$E$3:$E$1048576,sheet1!B448)</f>
        <v>0</v>
      </c>
      <c r="I448" s="37"/>
      <c r="J448" s="37"/>
      <c r="K448" s="37"/>
      <c r="L448" s="37"/>
    </row>
    <row r="449" spans="1:12" ht="15.75" customHeight="1">
      <c r="A449" s="87" t="s">
        <v>3935</v>
      </c>
      <c r="B449" s="87" t="s">
        <v>4550</v>
      </c>
      <c r="C449" s="87" t="s">
        <v>4551</v>
      </c>
      <c r="D449" s="88">
        <v>44</v>
      </c>
      <c r="E449" s="85" t="s">
        <v>3938</v>
      </c>
      <c r="F449" s="87">
        <v>23</v>
      </c>
      <c r="G449" s="37"/>
      <c r="H449" s="37">
        <f>COUNTIF('(参考)現行システム機能階層一覧'!$E$3:$E$1048576,sheet1!B449)</f>
        <v>0</v>
      </c>
      <c r="I449" s="37"/>
      <c r="J449" s="37"/>
      <c r="K449" s="37"/>
      <c r="L449" s="37"/>
    </row>
    <row r="450" spans="1:12" ht="15.75" customHeight="1">
      <c r="A450" s="87" t="s">
        <v>3935</v>
      </c>
      <c r="B450" s="87" t="s">
        <v>4552</v>
      </c>
      <c r="C450" s="87" t="s">
        <v>4553</v>
      </c>
      <c r="D450" s="88">
        <v>295</v>
      </c>
      <c r="E450" s="85" t="s">
        <v>3938</v>
      </c>
      <c r="F450" s="87">
        <v>23</v>
      </c>
      <c r="G450" s="37"/>
      <c r="H450" s="37">
        <f>COUNTIF('(参考)現行システム機能階層一覧'!$E$3:$E$1048576,sheet1!B450)</f>
        <v>0</v>
      </c>
      <c r="I450" s="37"/>
      <c r="J450" s="37"/>
      <c r="K450" s="37"/>
      <c r="L450" s="37"/>
    </row>
    <row r="451" spans="1:12" ht="15.75" customHeight="1">
      <c r="A451" s="87" t="s">
        <v>3935</v>
      </c>
      <c r="B451" s="87" t="s">
        <v>4554</v>
      </c>
      <c r="C451" s="87" t="s">
        <v>4555</v>
      </c>
      <c r="D451" s="88">
        <v>128</v>
      </c>
      <c r="E451" s="85" t="s">
        <v>3938</v>
      </c>
      <c r="F451" s="87">
        <v>45</v>
      </c>
      <c r="G451" s="37"/>
      <c r="H451" s="37">
        <f>COUNTIF('(参考)現行システム機能階層一覧'!$E$3:$E$1048576,sheet1!B451)</f>
        <v>0</v>
      </c>
      <c r="I451" s="37"/>
      <c r="J451" s="37"/>
      <c r="K451" s="37"/>
      <c r="L451" s="37"/>
    </row>
    <row r="452" spans="1:12" ht="15.75" customHeight="1">
      <c r="A452" s="87" t="s">
        <v>3935</v>
      </c>
      <c r="B452" s="87" t="s">
        <v>4556</v>
      </c>
      <c r="C452" s="87" t="s">
        <v>4557</v>
      </c>
      <c r="D452" s="88">
        <v>130</v>
      </c>
      <c r="E452" s="85" t="s">
        <v>3938</v>
      </c>
      <c r="F452" s="87">
        <v>1</v>
      </c>
      <c r="G452" s="37"/>
      <c r="H452" s="37">
        <f>COUNTIF('(参考)現行システム機能階層一覧'!$E$3:$E$1048576,sheet1!B452)</f>
        <v>0</v>
      </c>
      <c r="I452" s="37"/>
      <c r="J452" s="37"/>
      <c r="K452" s="37"/>
      <c r="L452" s="37"/>
    </row>
    <row r="453" spans="1:12" ht="15.75" customHeight="1">
      <c r="A453" s="87" t="s">
        <v>3853</v>
      </c>
      <c r="B453" s="87" t="s">
        <v>4558</v>
      </c>
      <c r="C453" s="87" t="s">
        <v>4559</v>
      </c>
      <c r="D453" s="88">
        <v>44</v>
      </c>
      <c r="E453" s="85" t="s">
        <v>3938</v>
      </c>
      <c r="F453" s="87">
        <v>49</v>
      </c>
      <c r="G453" s="37"/>
      <c r="H453" s="37">
        <f>COUNTIF('(参考)現行システム機能階層一覧'!$E$3:$E$1048576,sheet1!B453)</f>
        <v>0</v>
      </c>
      <c r="I453" s="37"/>
      <c r="J453" s="37"/>
      <c r="K453" s="37"/>
      <c r="L453" s="37"/>
    </row>
    <row r="454" spans="1:12" ht="15.75" customHeight="1">
      <c r="A454" s="87" t="s">
        <v>3935</v>
      </c>
      <c r="B454" s="87" t="s">
        <v>3216</v>
      </c>
      <c r="C454" s="87" t="s">
        <v>4560</v>
      </c>
      <c r="D454" s="88">
        <v>76</v>
      </c>
      <c r="E454" s="85" t="s">
        <v>3938</v>
      </c>
      <c r="F454" s="87">
        <v>49</v>
      </c>
      <c r="G454" s="37"/>
      <c r="H454" s="37">
        <f>COUNTIF('(参考)現行システム機能階層一覧'!$E$3:$E$1048576,sheet1!B454)</f>
        <v>1</v>
      </c>
      <c r="I454" s="37"/>
      <c r="J454" s="37"/>
      <c r="K454" s="37"/>
      <c r="L454" s="37"/>
    </row>
    <row r="455" spans="1:12" ht="15.75" customHeight="1">
      <c r="A455" s="87" t="s">
        <v>3935</v>
      </c>
      <c r="B455" s="87" t="s">
        <v>4561</v>
      </c>
      <c r="C455" s="87" t="s">
        <v>4562</v>
      </c>
      <c r="D455" s="88">
        <v>277</v>
      </c>
      <c r="E455" s="85" t="s">
        <v>3938</v>
      </c>
      <c r="F455" s="87">
        <v>45</v>
      </c>
      <c r="G455" s="37"/>
      <c r="H455" s="37">
        <f>COUNTIF('(参考)現行システム機能階層一覧'!$E$3:$E$1048576,sheet1!B455)</f>
        <v>0</v>
      </c>
      <c r="I455" s="37"/>
      <c r="J455" s="37"/>
      <c r="K455" s="37"/>
      <c r="L455" s="37"/>
    </row>
    <row r="456" spans="1:12" ht="15.75" customHeight="1">
      <c r="A456" s="87" t="s">
        <v>3935</v>
      </c>
      <c r="B456" s="87" t="s">
        <v>4563</v>
      </c>
      <c r="C456" s="87" t="s">
        <v>4564</v>
      </c>
      <c r="D456" s="88">
        <v>275</v>
      </c>
      <c r="E456" s="85" t="s">
        <v>3938</v>
      </c>
      <c r="F456" s="87">
        <v>1</v>
      </c>
      <c r="G456" s="37"/>
      <c r="H456" s="37">
        <f>COUNTIF('(参考)現行システム機能階層一覧'!$E$3:$E$1048576,sheet1!B456)</f>
        <v>0</v>
      </c>
      <c r="I456" s="37"/>
      <c r="J456" s="37"/>
      <c r="K456" s="37"/>
      <c r="L456" s="37"/>
    </row>
    <row r="457" spans="1:12" ht="15.75" customHeight="1">
      <c r="A457" s="87" t="s">
        <v>3935</v>
      </c>
      <c r="B457" s="87" t="s">
        <v>3219</v>
      </c>
      <c r="C457" s="87" t="s">
        <v>4565</v>
      </c>
      <c r="D457" s="88">
        <v>425</v>
      </c>
      <c r="E457" s="85" t="s">
        <v>3938</v>
      </c>
      <c r="F457" s="87">
        <v>47</v>
      </c>
      <c r="G457" s="37"/>
      <c r="H457" s="37">
        <f>COUNTIF('(参考)現行システム機能階層一覧'!$E$3:$E$1048576,sheet1!B457)</f>
        <v>2</v>
      </c>
      <c r="I457" s="37"/>
      <c r="J457" s="37"/>
      <c r="K457" s="37"/>
      <c r="L457" s="37"/>
    </row>
    <row r="458" spans="1:12" ht="15.75" customHeight="1">
      <c r="A458" s="87" t="s">
        <v>3853</v>
      </c>
      <c r="B458" s="87" t="s">
        <v>4566</v>
      </c>
      <c r="C458" s="87" t="s">
        <v>4567</v>
      </c>
      <c r="D458" s="88">
        <v>71</v>
      </c>
      <c r="E458" s="85" t="s">
        <v>3938</v>
      </c>
      <c r="F458" s="87">
        <v>47</v>
      </c>
      <c r="G458" s="37"/>
      <c r="H458" s="37">
        <f>COUNTIF('(参考)現行システム機能階層一覧'!$E$3:$E$1048576,sheet1!B458)</f>
        <v>0</v>
      </c>
      <c r="I458" s="37"/>
      <c r="J458" s="37"/>
      <c r="K458" s="37"/>
      <c r="L458" s="37"/>
    </row>
    <row r="459" spans="1:12" ht="15.75" customHeight="1">
      <c r="A459" s="87" t="s">
        <v>3935</v>
      </c>
      <c r="B459" s="87" t="s">
        <v>4568</v>
      </c>
      <c r="C459" s="87" t="s">
        <v>4569</v>
      </c>
      <c r="D459" s="88">
        <v>356</v>
      </c>
      <c r="E459" s="85" t="s">
        <v>3938</v>
      </c>
      <c r="F459" s="87">
        <v>35</v>
      </c>
      <c r="G459" s="37"/>
      <c r="H459" s="37">
        <f>COUNTIF('(参考)現行システム機能階層一覧'!$E$3:$E$1048576,sheet1!B459)</f>
        <v>0</v>
      </c>
      <c r="I459" s="37"/>
      <c r="J459" s="37"/>
      <c r="K459" s="37"/>
      <c r="L459" s="37"/>
    </row>
    <row r="460" spans="1:12" ht="15.75" customHeight="1">
      <c r="A460" s="87" t="s">
        <v>3935</v>
      </c>
      <c r="B460" s="87" t="s">
        <v>3222</v>
      </c>
      <c r="C460" s="87" t="s">
        <v>4570</v>
      </c>
      <c r="D460" s="88">
        <v>420</v>
      </c>
      <c r="E460" s="85" t="s">
        <v>3938</v>
      </c>
      <c r="F460" s="87">
        <v>47</v>
      </c>
      <c r="G460" s="37"/>
      <c r="H460" s="37">
        <f>COUNTIF('(参考)現行システム機能階層一覧'!$E$3:$E$1048576,sheet1!B460)</f>
        <v>2</v>
      </c>
      <c r="I460" s="37"/>
      <c r="J460" s="37"/>
      <c r="K460" s="37"/>
      <c r="L460" s="37"/>
    </row>
    <row r="461" spans="1:12" ht="15.75" customHeight="1">
      <c r="A461" s="87" t="s">
        <v>3853</v>
      </c>
      <c r="B461" s="87" t="s">
        <v>4571</v>
      </c>
      <c r="C461" s="87" t="s">
        <v>4572</v>
      </c>
      <c r="D461" s="88">
        <v>61</v>
      </c>
      <c r="E461" s="85" t="s">
        <v>3938</v>
      </c>
      <c r="F461" s="87">
        <v>47</v>
      </c>
      <c r="G461" s="37"/>
      <c r="H461" s="37">
        <f>COUNTIF('(参考)現行システム機能階層一覧'!$E$3:$E$1048576,sheet1!B461)</f>
        <v>0</v>
      </c>
      <c r="I461" s="37"/>
      <c r="J461" s="37"/>
      <c r="K461" s="37"/>
      <c r="L461" s="37"/>
    </row>
    <row r="462" spans="1:12" ht="15.75" customHeight="1">
      <c r="A462" s="87" t="s">
        <v>3935</v>
      </c>
      <c r="B462" s="87" t="s">
        <v>4573</v>
      </c>
      <c r="C462" s="87" t="s">
        <v>4574</v>
      </c>
      <c r="D462" s="88">
        <v>353</v>
      </c>
      <c r="E462" s="85" t="s">
        <v>3938</v>
      </c>
      <c r="F462" s="87">
        <v>37</v>
      </c>
      <c r="G462" s="37"/>
      <c r="H462" s="37">
        <f>COUNTIF('(参考)現行システム機能階層一覧'!$E$3:$E$1048576,sheet1!B462)</f>
        <v>0</v>
      </c>
      <c r="I462" s="37"/>
      <c r="J462" s="37"/>
      <c r="K462" s="37"/>
      <c r="L462" s="37"/>
    </row>
    <row r="463" spans="1:12" ht="15.75" customHeight="1">
      <c r="A463" s="87" t="s">
        <v>3935</v>
      </c>
      <c r="B463" s="87" t="s">
        <v>2729</v>
      </c>
      <c r="C463" s="87" t="s">
        <v>4575</v>
      </c>
      <c r="D463" s="88">
        <v>652</v>
      </c>
      <c r="E463" s="85" t="s">
        <v>3938</v>
      </c>
      <c r="F463" s="87">
        <v>3</v>
      </c>
      <c r="G463" s="37"/>
      <c r="H463" s="37">
        <f>COUNTIF('(参考)現行システム機能階層一覧'!$E$3:$E$1048576,sheet1!B463)</f>
        <v>1</v>
      </c>
      <c r="I463" s="37"/>
      <c r="J463" s="37"/>
      <c r="K463" s="37"/>
      <c r="L463" s="37"/>
    </row>
    <row r="464" spans="1:12" ht="15.75" customHeight="1">
      <c r="A464" s="87" t="s">
        <v>3935</v>
      </c>
      <c r="B464" s="87" t="s">
        <v>4576</v>
      </c>
      <c r="C464" s="87" t="s">
        <v>4577</v>
      </c>
      <c r="D464" s="88">
        <v>374</v>
      </c>
      <c r="E464" s="85" t="s">
        <v>3938</v>
      </c>
      <c r="F464" s="87">
        <v>35</v>
      </c>
      <c r="G464" s="37"/>
      <c r="H464" s="37">
        <f>COUNTIF('(参考)現行システム機能階層一覧'!$E$3:$E$1048576,sheet1!B464)</f>
        <v>0</v>
      </c>
      <c r="I464" s="37"/>
      <c r="J464" s="37"/>
      <c r="K464" s="37"/>
      <c r="L464" s="37"/>
    </row>
    <row r="465" spans="1:12" ht="15.75" customHeight="1">
      <c r="A465" s="87" t="s">
        <v>3935</v>
      </c>
      <c r="B465" s="87" t="s">
        <v>3204</v>
      </c>
      <c r="C465" s="87" t="s">
        <v>4578</v>
      </c>
      <c r="D465" s="88">
        <v>176</v>
      </c>
      <c r="E465" s="85" t="s">
        <v>3938</v>
      </c>
      <c r="F465" s="87">
        <v>2</v>
      </c>
      <c r="G465" s="37"/>
      <c r="H465" s="37">
        <f>COUNTIF('(参考)現行システム機能階層一覧'!$E$3:$E$1048576,sheet1!B465)</f>
        <v>1</v>
      </c>
      <c r="I465" s="37"/>
      <c r="J465" s="37"/>
      <c r="K465" s="37"/>
      <c r="L465" s="37"/>
    </row>
    <row r="466" spans="1:12" ht="15.75" customHeight="1">
      <c r="A466" s="87" t="s">
        <v>3853</v>
      </c>
      <c r="B466" s="87" t="s">
        <v>4579</v>
      </c>
      <c r="C466" s="87" t="s">
        <v>3235</v>
      </c>
      <c r="D466" s="88">
        <v>85</v>
      </c>
      <c r="E466" s="85" t="s">
        <v>3938</v>
      </c>
      <c r="F466" s="87">
        <v>2</v>
      </c>
      <c r="G466" s="37"/>
      <c r="H466" s="37">
        <f>COUNTIF('(参考)現行システム機能階層一覧'!$E$3:$E$1048576,sheet1!B466)</f>
        <v>0</v>
      </c>
      <c r="I466" s="37"/>
      <c r="J466" s="37"/>
      <c r="K466" s="37"/>
      <c r="L466" s="37"/>
    </row>
    <row r="467" spans="1:12" ht="15.75" customHeight="1">
      <c r="A467" s="87" t="s">
        <v>3935</v>
      </c>
      <c r="B467" s="87" t="s">
        <v>4580</v>
      </c>
      <c r="C467" s="87" t="s">
        <v>4581</v>
      </c>
      <c r="D467" s="88">
        <v>394</v>
      </c>
      <c r="E467" s="85" t="s">
        <v>3938</v>
      </c>
      <c r="F467" s="87">
        <v>3</v>
      </c>
      <c r="G467" s="37"/>
      <c r="H467" s="37">
        <f>COUNTIF('(参考)現行システム機能階層一覧'!$E$3:$E$1048576,sheet1!B467)</f>
        <v>0</v>
      </c>
      <c r="I467" s="37"/>
      <c r="J467" s="37"/>
      <c r="K467" s="37"/>
      <c r="L467" s="37"/>
    </row>
    <row r="468" spans="1:12" ht="15.75" customHeight="1">
      <c r="A468" s="87" t="s">
        <v>3935</v>
      </c>
      <c r="B468" s="87" t="s">
        <v>4582</v>
      </c>
      <c r="C468" s="87" t="s">
        <v>4583</v>
      </c>
      <c r="D468" s="88">
        <v>635</v>
      </c>
      <c r="E468" s="85" t="s">
        <v>3938</v>
      </c>
      <c r="F468" s="87">
        <v>3</v>
      </c>
      <c r="G468" s="37"/>
      <c r="H468" s="37">
        <f>COUNTIF('(参考)現行システム機能階層一覧'!$E$3:$E$1048576,sheet1!B468)</f>
        <v>0</v>
      </c>
      <c r="I468" s="37"/>
      <c r="J468" s="37"/>
      <c r="K468" s="37"/>
      <c r="L468" s="37"/>
    </row>
    <row r="469" spans="1:12" ht="15.75" customHeight="1">
      <c r="A469" s="87" t="s">
        <v>3935</v>
      </c>
      <c r="B469" s="87" t="s">
        <v>4584</v>
      </c>
      <c r="C469" s="87" t="s">
        <v>4585</v>
      </c>
      <c r="D469" s="88">
        <v>332</v>
      </c>
      <c r="E469" s="85" t="s">
        <v>3938</v>
      </c>
      <c r="F469" s="87">
        <v>1</v>
      </c>
      <c r="G469" s="37"/>
      <c r="H469" s="37">
        <f>COUNTIF('(参考)現行システム機能階層一覧'!$E$3:$E$1048576,sheet1!B469)</f>
        <v>0</v>
      </c>
      <c r="I469" s="37"/>
      <c r="J469" s="37"/>
      <c r="K469" s="37"/>
      <c r="L469" s="37"/>
    </row>
    <row r="470" spans="1:12" ht="15.75" customHeight="1">
      <c r="A470" s="87" t="s">
        <v>3935</v>
      </c>
      <c r="B470" s="87" t="s">
        <v>4586</v>
      </c>
      <c r="C470" s="87" t="s">
        <v>4587</v>
      </c>
      <c r="D470" s="88">
        <v>402</v>
      </c>
      <c r="E470" s="85" t="s">
        <v>3938</v>
      </c>
      <c r="F470" s="87">
        <v>1</v>
      </c>
      <c r="G470" s="37"/>
      <c r="H470" s="37">
        <f>COUNTIF('(参考)現行システム機能階層一覧'!$E$3:$E$1048576,sheet1!B470)</f>
        <v>0</v>
      </c>
      <c r="I470" s="37"/>
      <c r="J470" s="37"/>
      <c r="K470" s="37"/>
      <c r="L470" s="37"/>
    </row>
    <row r="471" spans="1:12" ht="15.75" customHeight="1">
      <c r="A471" s="87" t="s">
        <v>3935</v>
      </c>
      <c r="B471" s="87" t="s">
        <v>3213</v>
      </c>
      <c r="C471" s="87" t="s">
        <v>4588</v>
      </c>
      <c r="D471" s="88">
        <v>174</v>
      </c>
      <c r="E471" s="85" t="s">
        <v>3938</v>
      </c>
      <c r="F471" s="87">
        <v>12</v>
      </c>
      <c r="G471" s="37"/>
      <c r="H471" s="37">
        <f>COUNTIF('(参考)現行システム機能階層一覧'!$E$3:$E$1048576,sheet1!B471)</f>
        <v>2</v>
      </c>
      <c r="I471" s="37"/>
      <c r="J471" s="37"/>
      <c r="K471" s="37"/>
      <c r="L471" s="37"/>
    </row>
    <row r="472" spans="1:12" ht="15.75" customHeight="1">
      <c r="A472" s="87" t="s">
        <v>3853</v>
      </c>
      <c r="B472" s="87" t="s">
        <v>4589</v>
      </c>
      <c r="C472" s="87" t="s">
        <v>4590</v>
      </c>
      <c r="D472" s="88">
        <v>67</v>
      </c>
      <c r="E472" s="85" t="s">
        <v>3938</v>
      </c>
      <c r="F472" s="87">
        <v>12</v>
      </c>
      <c r="G472" s="37"/>
      <c r="H472" s="37">
        <f>COUNTIF('(参考)現行システム機能階層一覧'!$E$3:$E$1048576,sheet1!B472)</f>
        <v>0</v>
      </c>
      <c r="I472" s="37"/>
      <c r="J472" s="37"/>
      <c r="K472" s="37"/>
      <c r="L472" s="37"/>
    </row>
    <row r="473" spans="1:12" ht="15.75" customHeight="1">
      <c r="A473" s="87" t="s">
        <v>3935</v>
      </c>
      <c r="B473" s="87" t="s">
        <v>3201</v>
      </c>
      <c r="C473" s="87" t="s">
        <v>4591</v>
      </c>
      <c r="D473" s="88">
        <v>203</v>
      </c>
      <c r="E473" s="85" t="s">
        <v>3938</v>
      </c>
      <c r="F473" s="87">
        <v>2</v>
      </c>
      <c r="G473" s="37"/>
      <c r="H473" s="37">
        <f>COUNTIF('(参考)現行システム機能階層一覧'!$E$3:$E$1048576,sheet1!B473)</f>
        <v>1</v>
      </c>
      <c r="I473" s="37"/>
      <c r="J473" s="37"/>
      <c r="K473" s="37"/>
      <c r="L473" s="37"/>
    </row>
    <row r="474" spans="1:12" ht="15.75" customHeight="1">
      <c r="A474" s="87" t="s">
        <v>3935</v>
      </c>
      <c r="B474" s="87" t="s">
        <v>4592</v>
      </c>
      <c r="C474" s="87" t="s">
        <v>4593</v>
      </c>
      <c r="D474" s="88">
        <v>67</v>
      </c>
      <c r="E474" s="85" t="s">
        <v>3938</v>
      </c>
      <c r="F474" s="87">
        <v>1</v>
      </c>
      <c r="G474" s="37"/>
      <c r="H474" s="37">
        <f>COUNTIF('(参考)現行システム機能階層一覧'!$E$3:$E$1048576,sheet1!B474)</f>
        <v>0</v>
      </c>
      <c r="I474" s="37"/>
      <c r="J474" s="37"/>
      <c r="K474" s="37"/>
      <c r="L474" s="37"/>
    </row>
    <row r="475" spans="1:12" ht="15.75" customHeight="1">
      <c r="A475" s="87" t="s">
        <v>3935</v>
      </c>
      <c r="B475" s="87" t="s">
        <v>4594</v>
      </c>
      <c r="C475" s="87" t="s">
        <v>4595</v>
      </c>
      <c r="D475" s="88">
        <v>397</v>
      </c>
      <c r="E475" s="85" t="s">
        <v>3938</v>
      </c>
      <c r="F475" s="87">
        <v>1</v>
      </c>
      <c r="G475" s="37"/>
      <c r="H475" s="37">
        <f>COUNTIF('(参考)現行システム機能階層一覧'!$E$3:$E$1048576,sheet1!B475)</f>
        <v>0</v>
      </c>
      <c r="I475" s="37"/>
      <c r="J475" s="37"/>
      <c r="K475" s="37"/>
      <c r="L475" s="37"/>
    </row>
    <row r="476" spans="1:12" ht="15.75" customHeight="1">
      <c r="A476" s="87" t="s">
        <v>3935</v>
      </c>
      <c r="B476" s="87" t="s">
        <v>3237</v>
      </c>
      <c r="C476" s="87" t="s">
        <v>4596</v>
      </c>
      <c r="D476" s="88">
        <v>207</v>
      </c>
      <c r="E476" s="85" t="s">
        <v>3938</v>
      </c>
      <c r="F476" s="87">
        <v>5</v>
      </c>
      <c r="G476" s="37"/>
      <c r="H476" s="37">
        <f>COUNTIF('(参考)現行システム機能階層一覧'!$E$3:$E$1048576,sheet1!B476)</f>
        <v>1</v>
      </c>
      <c r="I476" s="37"/>
      <c r="J476" s="37"/>
      <c r="K476" s="37"/>
      <c r="L476" s="37"/>
    </row>
    <row r="477" spans="1:12" ht="15.75" customHeight="1">
      <c r="A477" s="87" t="s">
        <v>3853</v>
      </c>
      <c r="B477" s="87" t="s">
        <v>4597</v>
      </c>
      <c r="C477" s="87" t="s">
        <v>4598</v>
      </c>
      <c r="D477" s="88">
        <v>82</v>
      </c>
      <c r="E477" s="85" t="s">
        <v>3938</v>
      </c>
      <c r="F477" s="87">
        <v>5</v>
      </c>
      <c r="G477" s="37"/>
      <c r="H477" s="37">
        <f>COUNTIF('(参考)現行システム機能階層一覧'!$E$3:$E$1048576,sheet1!B477)</f>
        <v>0</v>
      </c>
      <c r="I477" s="37"/>
      <c r="J477" s="37"/>
      <c r="K477" s="37"/>
      <c r="L477" s="37"/>
    </row>
    <row r="478" spans="1:12" ht="15.75" customHeight="1">
      <c r="A478" s="87" t="s">
        <v>3935</v>
      </c>
      <c r="B478" s="87" t="s">
        <v>4599</v>
      </c>
      <c r="C478" s="87" t="s">
        <v>4600</v>
      </c>
      <c r="D478" s="88">
        <v>334</v>
      </c>
      <c r="E478" s="85" t="s">
        <v>3938</v>
      </c>
      <c r="F478" s="87">
        <v>2</v>
      </c>
      <c r="G478" s="37"/>
      <c r="H478" s="37">
        <f>COUNTIF('(参考)現行システム機能階層一覧'!$E$3:$E$1048576,sheet1!B478)</f>
        <v>0</v>
      </c>
      <c r="I478" s="37"/>
      <c r="J478" s="37"/>
      <c r="K478" s="37"/>
      <c r="L478" s="37"/>
    </row>
    <row r="479" spans="1:12" ht="15.75" customHeight="1">
      <c r="A479" s="87" t="s">
        <v>3935</v>
      </c>
      <c r="B479" s="87" t="s">
        <v>4601</v>
      </c>
      <c r="C479" s="87" t="s">
        <v>4602</v>
      </c>
      <c r="D479" s="88">
        <v>511</v>
      </c>
      <c r="E479" s="85" t="s">
        <v>3938</v>
      </c>
      <c r="F479" s="87">
        <v>2</v>
      </c>
      <c r="G479" s="37"/>
      <c r="H479" s="37">
        <f>COUNTIF('(参考)現行システム機能階層一覧'!$E$3:$E$1048576,sheet1!B479)</f>
        <v>0</v>
      </c>
      <c r="I479" s="37"/>
      <c r="J479" s="37"/>
      <c r="K479" s="37"/>
      <c r="L479" s="37"/>
    </row>
    <row r="480" spans="1:12" ht="15.75" customHeight="1">
      <c r="A480" s="87" t="s">
        <v>3935</v>
      </c>
      <c r="B480" s="87" t="s">
        <v>4603</v>
      </c>
      <c r="C480" s="87" t="s">
        <v>4600</v>
      </c>
      <c r="D480" s="88">
        <v>327</v>
      </c>
      <c r="E480" s="85" t="s">
        <v>3938</v>
      </c>
      <c r="F480" s="87">
        <v>2</v>
      </c>
      <c r="G480" s="37"/>
      <c r="H480" s="37">
        <f>COUNTIF('(参考)現行システム機能階層一覧'!$E$3:$E$1048576,sheet1!B480)</f>
        <v>0</v>
      </c>
      <c r="I480" s="37"/>
      <c r="J480" s="37"/>
      <c r="K480" s="37"/>
      <c r="L480" s="37"/>
    </row>
    <row r="481" spans="1:12" ht="15.75" customHeight="1">
      <c r="A481" s="87" t="s">
        <v>3935</v>
      </c>
      <c r="B481" s="87" t="s">
        <v>4604</v>
      </c>
      <c r="C481" s="87" t="s">
        <v>4602</v>
      </c>
      <c r="D481" s="88">
        <v>588</v>
      </c>
      <c r="E481" s="85" t="s">
        <v>3938</v>
      </c>
      <c r="F481" s="87">
        <v>2</v>
      </c>
      <c r="G481" s="37"/>
      <c r="H481" s="37">
        <f>COUNTIF('(参考)現行システム機能階層一覧'!$E$3:$E$1048576,sheet1!B481)</f>
        <v>0</v>
      </c>
      <c r="I481" s="37"/>
      <c r="J481" s="37"/>
      <c r="K481" s="37"/>
      <c r="L481" s="37"/>
    </row>
    <row r="482" spans="1:12" ht="15.75" customHeight="1">
      <c r="A482" s="87" t="s">
        <v>3935</v>
      </c>
      <c r="B482" s="87" t="s">
        <v>3210</v>
      </c>
      <c r="C482" s="87" t="s">
        <v>4605</v>
      </c>
      <c r="D482" s="88">
        <v>162</v>
      </c>
      <c r="E482" s="85" t="s">
        <v>3938</v>
      </c>
      <c r="F482" s="87">
        <v>1</v>
      </c>
      <c r="G482" s="37"/>
      <c r="H482" s="37">
        <f>COUNTIF('(参考)現行システム機能階層一覧'!$E$3:$E$1048576,sheet1!B482)</f>
        <v>1</v>
      </c>
      <c r="I482" s="37"/>
      <c r="J482" s="37"/>
      <c r="K482" s="37"/>
      <c r="L482" s="37"/>
    </row>
    <row r="483" spans="1:12" ht="15.75" customHeight="1">
      <c r="A483" s="87" t="s">
        <v>3853</v>
      </c>
      <c r="B483" s="87" t="s">
        <v>4606</v>
      </c>
      <c r="C483" s="87" t="s">
        <v>3240</v>
      </c>
      <c r="D483" s="88">
        <v>94</v>
      </c>
      <c r="E483" s="85" t="s">
        <v>3938</v>
      </c>
      <c r="F483" s="87">
        <v>1</v>
      </c>
      <c r="G483" s="37"/>
      <c r="H483" s="37">
        <f>COUNTIF('(参考)現行システム機能階層一覧'!$E$3:$E$1048576,sheet1!B483)</f>
        <v>0</v>
      </c>
      <c r="I483" s="37"/>
      <c r="J483" s="37"/>
      <c r="K483" s="37"/>
      <c r="L483" s="37"/>
    </row>
    <row r="484" spans="1:12" ht="15.75" customHeight="1">
      <c r="A484" s="87" t="s">
        <v>3935</v>
      </c>
      <c r="B484" s="87" t="s">
        <v>4607</v>
      </c>
      <c r="C484" s="87" t="s">
        <v>4608</v>
      </c>
      <c r="D484" s="88">
        <v>100</v>
      </c>
      <c r="E484" s="85" t="s">
        <v>3938</v>
      </c>
      <c r="F484" s="87">
        <v>1</v>
      </c>
      <c r="G484" s="37"/>
      <c r="H484" s="37">
        <f>COUNTIF('(参考)現行システム機能階層一覧'!$E$3:$E$1048576,sheet1!B484)</f>
        <v>0</v>
      </c>
      <c r="I484" s="37"/>
      <c r="J484" s="37"/>
      <c r="K484" s="37"/>
      <c r="L484" s="37"/>
    </row>
    <row r="485" spans="1:12" ht="15.75" customHeight="1">
      <c r="A485" s="87" t="s">
        <v>3935</v>
      </c>
      <c r="B485" s="87" t="s">
        <v>3074</v>
      </c>
      <c r="C485" s="87" t="s">
        <v>3104</v>
      </c>
      <c r="D485" s="88">
        <v>105</v>
      </c>
      <c r="E485" s="85" t="s">
        <v>3938</v>
      </c>
      <c r="F485" s="87">
        <v>207</v>
      </c>
      <c r="G485" s="37"/>
      <c r="H485" s="37">
        <f>COUNTIF('(参考)現行システム機能階層一覧'!$E$3:$E$1048576,sheet1!B485)</f>
        <v>2</v>
      </c>
      <c r="I485" s="37"/>
      <c r="J485" s="37"/>
      <c r="K485" s="37"/>
      <c r="L485" s="37"/>
    </row>
    <row r="486" spans="1:12" ht="15.75" customHeight="1">
      <c r="A486" s="87" t="s">
        <v>3935</v>
      </c>
      <c r="B486" s="87" t="s">
        <v>2856</v>
      </c>
      <c r="C486" s="87" t="s">
        <v>4609</v>
      </c>
      <c r="D486" s="88">
        <v>144</v>
      </c>
      <c r="E486" s="85" t="s">
        <v>3938</v>
      </c>
      <c r="F486" s="87">
        <v>176</v>
      </c>
      <c r="G486" s="37"/>
      <c r="H486" s="37">
        <f>COUNTIF('(参考)現行システム機能階層一覧'!$E$3:$E$1048576,sheet1!B486)</f>
        <v>1</v>
      </c>
      <c r="I486" s="37"/>
      <c r="J486" s="37"/>
      <c r="K486" s="37"/>
      <c r="L486" s="37"/>
    </row>
    <row r="487" spans="1:12" ht="15.75" customHeight="1">
      <c r="A487" s="87" t="s">
        <v>3935</v>
      </c>
      <c r="B487" s="87" t="s">
        <v>2852</v>
      </c>
      <c r="C487" s="87" t="s">
        <v>4610</v>
      </c>
      <c r="D487" s="88">
        <v>146</v>
      </c>
      <c r="E487" s="85" t="s">
        <v>3938</v>
      </c>
      <c r="F487" s="87">
        <v>122</v>
      </c>
      <c r="G487" s="37"/>
      <c r="H487" s="37">
        <f>COUNTIF('(参考)現行システム機能階層一覧'!$E$3:$E$1048576,sheet1!B487)</f>
        <v>1</v>
      </c>
      <c r="I487" s="37"/>
      <c r="J487" s="37"/>
      <c r="K487" s="37"/>
      <c r="L487" s="37"/>
    </row>
    <row r="488" spans="1:12" ht="15.75" customHeight="1">
      <c r="A488" s="87" t="s">
        <v>3853</v>
      </c>
      <c r="B488" s="87" t="s">
        <v>4611</v>
      </c>
      <c r="C488" s="87" t="s">
        <v>2890</v>
      </c>
      <c r="D488" s="88">
        <v>109</v>
      </c>
      <c r="E488" s="85" t="s">
        <v>3938</v>
      </c>
      <c r="F488" s="87">
        <v>181</v>
      </c>
      <c r="G488" s="37"/>
      <c r="H488" s="37">
        <f>COUNTIF('(参考)現行システム機能階層一覧'!$E$3:$E$1048576,sheet1!B488)</f>
        <v>0</v>
      </c>
      <c r="I488" s="37"/>
      <c r="J488" s="37"/>
      <c r="K488" s="37"/>
      <c r="L488" s="37"/>
    </row>
    <row r="489" spans="1:12" ht="15.75" customHeight="1">
      <c r="A489" s="87" t="s">
        <v>3935</v>
      </c>
      <c r="B489" s="87" t="s">
        <v>4612</v>
      </c>
      <c r="C489" s="87" t="s">
        <v>4613</v>
      </c>
      <c r="D489" s="88">
        <v>578</v>
      </c>
      <c r="E489" s="85" t="s">
        <v>3938</v>
      </c>
      <c r="F489" s="87">
        <v>174</v>
      </c>
      <c r="G489" s="37"/>
      <c r="H489" s="37">
        <f>COUNTIF('(参考)現行システム機能階層一覧'!$E$3:$E$1048576,sheet1!B489)</f>
        <v>0</v>
      </c>
      <c r="I489" s="37"/>
      <c r="J489" s="37"/>
      <c r="K489" s="37"/>
      <c r="L489" s="37"/>
    </row>
    <row r="490" spans="1:12" ht="15.75" customHeight="1">
      <c r="A490" s="87" t="s">
        <v>3935</v>
      </c>
      <c r="B490" s="87" t="s">
        <v>4614</v>
      </c>
      <c r="C490" s="87" t="s">
        <v>4615</v>
      </c>
      <c r="D490" s="88">
        <v>590</v>
      </c>
      <c r="E490" s="85" t="s">
        <v>3938</v>
      </c>
      <c r="F490" s="87">
        <v>173</v>
      </c>
      <c r="G490" s="37"/>
      <c r="H490" s="37">
        <f>COUNTIF('(参考)現行システム機能階層一覧'!$E$3:$E$1048576,sheet1!B490)</f>
        <v>0</v>
      </c>
      <c r="I490" s="37"/>
      <c r="J490" s="37"/>
      <c r="K490" s="37"/>
      <c r="L490" s="37"/>
    </row>
    <row r="491" spans="1:12" ht="15.75" customHeight="1">
      <c r="A491" s="87" t="s">
        <v>3935</v>
      </c>
      <c r="B491" s="87" t="s">
        <v>2871</v>
      </c>
      <c r="C491" s="87" t="s">
        <v>4616</v>
      </c>
      <c r="D491" s="88">
        <v>157</v>
      </c>
      <c r="E491" s="85" t="s">
        <v>3938</v>
      </c>
      <c r="F491" s="87">
        <v>126</v>
      </c>
      <c r="G491" s="37"/>
      <c r="H491" s="37">
        <f>COUNTIF('(参考)現行システム機能階層一覧'!$E$3:$E$1048576,sheet1!B491)</f>
        <v>1</v>
      </c>
      <c r="I491" s="37"/>
      <c r="J491" s="37"/>
      <c r="K491" s="37"/>
      <c r="L491" s="37"/>
    </row>
    <row r="492" spans="1:12" ht="15.75" customHeight="1">
      <c r="A492" s="87" t="s">
        <v>3853</v>
      </c>
      <c r="B492" s="87" t="s">
        <v>4617</v>
      </c>
      <c r="C492" s="87" t="s">
        <v>4618</v>
      </c>
      <c r="D492" s="88">
        <v>64</v>
      </c>
      <c r="E492" s="85" t="s">
        <v>3938</v>
      </c>
      <c r="F492" s="87">
        <v>189</v>
      </c>
      <c r="G492" s="37"/>
      <c r="H492" s="37">
        <f>COUNTIF('(参考)現行システム機能階層一覧'!$E$3:$E$1048576,sheet1!B492)</f>
        <v>0</v>
      </c>
      <c r="I492" s="37"/>
      <c r="J492" s="37"/>
      <c r="K492" s="37"/>
      <c r="L492" s="37"/>
    </row>
    <row r="493" spans="1:12" ht="15.75" customHeight="1">
      <c r="A493" s="87" t="s">
        <v>3935</v>
      </c>
      <c r="B493" s="87" t="s">
        <v>4619</v>
      </c>
      <c r="C493" s="87" t="s">
        <v>4620</v>
      </c>
      <c r="D493" s="88">
        <v>219</v>
      </c>
      <c r="E493" s="85" t="s">
        <v>3938</v>
      </c>
      <c r="F493" s="87">
        <v>181</v>
      </c>
      <c r="G493" s="37"/>
      <c r="H493" s="37">
        <f>COUNTIF('(参考)現行システム機能階層一覧'!$E$3:$E$1048576,sheet1!B493)</f>
        <v>0</v>
      </c>
      <c r="I493" s="37"/>
      <c r="J493" s="37"/>
      <c r="K493" s="37"/>
      <c r="L493" s="37"/>
    </row>
    <row r="494" spans="1:12" ht="15.75" customHeight="1">
      <c r="A494" s="87" t="s">
        <v>3935</v>
      </c>
      <c r="B494" s="87" t="s">
        <v>4621</v>
      </c>
      <c r="C494" s="87" t="s">
        <v>4622</v>
      </c>
      <c r="D494" s="88">
        <v>219</v>
      </c>
      <c r="E494" s="85" t="s">
        <v>3938</v>
      </c>
      <c r="F494" s="87">
        <v>181</v>
      </c>
      <c r="G494" s="37"/>
      <c r="H494" s="37">
        <f>COUNTIF('(参考)現行システム機能階層一覧'!$E$3:$E$1048576,sheet1!B494)</f>
        <v>0</v>
      </c>
      <c r="I494" s="37"/>
      <c r="J494" s="37"/>
      <c r="K494" s="37"/>
      <c r="L494" s="37"/>
    </row>
    <row r="495" spans="1:12" ht="15.75" customHeight="1">
      <c r="A495" s="87" t="s">
        <v>3935</v>
      </c>
      <c r="B495" s="87" t="s">
        <v>4623</v>
      </c>
      <c r="C495" s="87" t="s">
        <v>4624</v>
      </c>
      <c r="D495" s="88">
        <v>87</v>
      </c>
      <c r="E495" s="85" t="s">
        <v>3938</v>
      </c>
      <c r="F495" s="87">
        <v>181</v>
      </c>
      <c r="G495" s="37"/>
      <c r="H495" s="37">
        <f>COUNTIF('(参考)現行システム機能階層一覧'!$E$3:$E$1048576,sheet1!B495)</f>
        <v>0</v>
      </c>
      <c r="I495" s="37"/>
      <c r="J495" s="37"/>
      <c r="K495" s="37"/>
      <c r="L495" s="37"/>
    </row>
    <row r="496" spans="1:12" ht="15.75" customHeight="1">
      <c r="A496" s="87" t="s">
        <v>3935</v>
      </c>
      <c r="B496" s="87" t="s">
        <v>2878</v>
      </c>
      <c r="C496" s="87" t="s">
        <v>4625</v>
      </c>
      <c r="D496" s="88">
        <v>144</v>
      </c>
      <c r="E496" s="85" t="s">
        <v>3938</v>
      </c>
      <c r="F496" s="87">
        <v>181</v>
      </c>
      <c r="G496" s="37"/>
      <c r="H496" s="37">
        <f>COUNTIF('(参考)現行システム機能階層一覧'!$E$3:$E$1048576,sheet1!B496)</f>
        <v>1</v>
      </c>
      <c r="I496" s="37"/>
      <c r="J496" s="37"/>
      <c r="K496" s="37"/>
      <c r="L496" s="37"/>
    </row>
    <row r="497" spans="1:12" ht="15.75" customHeight="1">
      <c r="A497" s="87" t="s">
        <v>3935</v>
      </c>
      <c r="B497" s="87" t="s">
        <v>4626</v>
      </c>
      <c r="C497" s="87" t="s">
        <v>4627</v>
      </c>
      <c r="D497" s="88">
        <v>291</v>
      </c>
      <c r="E497" s="85" t="s">
        <v>3938</v>
      </c>
      <c r="F497" s="87">
        <v>6</v>
      </c>
      <c r="G497" s="37"/>
      <c r="H497" s="37">
        <f>COUNTIF('(参考)現行システム機能階層一覧'!$E$3:$E$1048576,sheet1!B497)</f>
        <v>0</v>
      </c>
      <c r="I497" s="37"/>
      <c r="J497" s="37"/>
      <c r="K497" s="37"/>
      <c r="L497" s="37"/>
    </row>
    <row r="498" spans="1:12" ht="15.75" customHeight="1">
      <c r="A498" s="87" t="s">
        <v>3935</v>
      </c>
      <c r="B498" s="87" t="s">
        <v>4628</v>
      </c>
      <c r="C498" s="87" t="s">
        <v>4629</v>
      </c>
      <c r="D498" s="88">
        <v>280</v>
      </c>
      <c r="E498" s="85" t="s">
        <v>3938</v>
      </c>
      <c r="F498" s="87">
        <v>6</v>
      </c>
      <c r="G498" s="37"/>
      <c r="H498" s="37">
        <f>COUNTIF('(参考)現行システム機能階層一覧'!$E$3:$E$1048576,sheet1!B498)</f>
        <v>0</v>
      </c>
      <c r="I498" s="37"/>
      <c r="J498" s="37"/>
      <c r="K498" s="37"/>
      <c r="L498" s="37"/>
    </row>
    <row r="499" spans="1:12" ht="15.75" customHeight="1">
      <c r="A499" s="87" t="s">
        <v>3935</v>
      </c>
      <c r="B499" s="87" t="s">
        <v>4630</v>
      </c>
      <c r="C499" s="87" t="s">
        <v>4631</v>
      </c>
      <c r="D499" s="88">
        <v>84</v>
      </c>
      <c r="E499" s="85" t="s">
        <v>3938</v>
      </c>
      <c r="F499" s="87">
        <v>1896</v>
      </c>
      <c r="G499" s="37"/>
      <c r="H499" s="37">
        <f>COUNTIF('(参考)現行システム機能階層一覧'!$E$3:$E$1048576,sheet1!B499)</f>
        <v>0</v>
      </c>
      <c r="I499" s="37"/>
      <c r="J499" s="37"/>
      <c r="K499" s="37"/>
      <c r="L499" s="37"/>
    </row>
    <row r="500" spans="1:12" ht="15.75" customHeight="1">
      <c r="A500" s="87" t="s">
        <v>3935</v>
      </c>
      <c r="B500" s="87" t="s">
        <v>4632</v>
      </c>
      <c r="C500" s="87" t="s">
        <v>4618</v>
      </c>
      <c r="D500" s="88">
        <v>262</v>
      </c>
      <c r="E500" s="85" t="s">
        <v>3938</v>
      </c>
      <c r="F500" s="87">
        <v>181</v>
      </c>
      <c r="G500" s="37"/>
      <c r="H500" s="37">
        <f>COUNTIF('(参考)現行システム機能階層一覧'!$E$3:$E$1048576,sheet1!B500)</f>
        <v>0</v>
      </c>
      <c r="I500" s="37"/>
      <c r="J500" s="37"/>
      <c r="K500" s="37"/>
      <c r="L500" s="37"/>
    </row>
    <row r="501" spans="1:12" ht="15.75" customHeight="1">
      <c r="A501" s="87" t="s">
        <v>3935</v>
      </c>
      <c r="B501" s="87" t="s">
        <v>2504</v>
      </c>
      <c r="C501" s="87" t="s">
        <v>4633</v>
      </c>
      <c r="D501" s="88">
        <v>130</v>
      </c>
      <c r="E501" s="85" t="s">
        <v>3938</v>
      </c>
      <c r="F501" s="87">
        <v>146</v>
      </c>
      <c r="G501" s="37"/>
      <c r="H501" s="37">
        <f>COUNTIF('(参考)現行システム機能階層一覧'!$E$3:$E$1048576,sheet1!B501)</f>
        <v>2</v>
      </c>
      <c r="I501" s="37"/>
      <c r="J501" s="37"/>
      <c r="K501" s="37"/>
      <c r="L501" s="37"/>
    </row>
    <row r="502" spans="1:12" ht="15.75" customHeight="1">
      <c r="A502" s="87" t="s">
        <v>3853</v>
      </c>
      <c r="B502" s="87" t="s">
        <v>4634</v>
      </c>
      <c r="C502" s="87" t="s">
        <v>2544</v>
      </c>
      <c r="D502" s="88">
        <v>163</v>
      </c>
      <c r="E502" s="85" t="s">
        <v>3938</v>
      </c>
      <c r="F502" s="87">
        <v>220</v>
      </c>
      <c r="G502" s="37"/>
      <c r="H502" s="37">
        <f>COUNTIF('(参考)現行システム機能階層一覧'!$E$3:$E$1048576,sheet1!B502)</f>
        <v>0</v>
      </c>
      <c r="I502" s="37"/>
      <c r="J502" s="37"/>
      <c r="K502" s="37"/>
      <c r="L502" s="37"/>
    </row>
    <row r="503" spans="1:12" ht="15.75" customHeight="1">
      <c r="A503" s="87" t="s">
        <v>3935</v>
      </c>
      <c r="B503" s="87" t="s">
        <v>4635</v>
      </c>
      <c r="C503" s="87" t="s">
        <v>4636</v>
      </c>
      <c r="D503" s="88">
        <v>207</v>
      </c>
      <c r="E503" s="85" t="s">
        <v>3938</v>
      </c>
      <c r="F503" s="87">
        <v>191</v>
      </c>
      <c r="G503" s="37"/>
      <c r="H503" s="37">
        <f>COUNTIF('(参考)現行システム機能階層一覧'!$E$3:$E$1048576,sheet1!B503)</f>
        <v>0</v>
      </c>
      <c r="I503" s="37"/>
      <c r="J503" s="37"/>
      <c r="K503" s="37"/>
      <c r="L503" s="37"/>
    </row>
    <row r="504" spans="1:12" ht="15.75" customHeight="1">
      <c r="A504" s="87" t="s">
        <v>3935</v>
      </c>
      <c r="B504" s="87" t="s">
        <v>4637</v>
      </c>
      <c r="C504" s="87" t="s">
        <v>4638</v>
      </c>
      <c r="D504" s="88">
        <v>449</v>
      </c>
      <c r="E504" s="85" t="s">
        <v>3938</v>
      </c>
      <c r="F504" s="87">
        <v>191</v>
      </c>
      <c r="G504" s="37"/>
      <c r="H504" s="37">
        <f>COUNTIF('(参考)現行システム機能階層一覧'!$E$3:$E$1048576,sheet1!B504)</f>
        <v>0</v>
      </c>
      <c r="I504" s="37"/>
      <c r="J504" s="37"/>
      <c r="K504" s="37"/>
      <c r="L504" s="37"/>
    </row>
    <row r="505" spans="1:12" ht="15.75" customHeight="1">
      <c r="A505" s="87" t="s">
        <v>3935</v>
      </c>
      <c r="B505" s="87" t="s">
        <v>4639</v>
      </c>
      <c r="C505" s="87" t="s">
        <v>4640</v>
      </c>
      <c r="D505" s="88">
        <v>210</v>
      </c>
      <c r="E505" s="85" t="s">
        <v>3938</v>
      </c>
      <c r="F505" s="87">
        <v>191</v>
      </c>
      <c r="G505" s="37"/>
      <c r="H505" s="37">
        <f>COUNTIF('(参考)現行システム機能階層一覧'!$E$3:$E$1048576,sheet1!B505)</f>
        <v>0</v>
      </c>
      <c r="I505" s="37"/>
      <c r="J505" s="37"/>
      <c r="K505" s="37"/>
      <c r="L505" s="37"/>
    </row>
    <row r="506" spans="1:12" ht="15.75" customHeight="1">
      <c r="A506" s="87" t="s">
        <v>3935</v>
      </c>
      <c r="B506" s="87" t="s">
        <v>4641</v>
      </c>
      <c r="C506" s="87" t="s">
        <v>4642</v>
      </c>
      <c r="D506" s="88">
        <v>396</v>
      </c>
      <c r="E506" s="85" t="s">
        <v>3938</v>
      </c>
      <c r="F506" s="87">
        <v>191</v>
      </c>
      <c r="G506" s="37"/>
      <c r="H506" s="37">
        <f>COUNTIF('(参考)現行システム機能階層一覧'!$E$3:$E$1048576,sheet1!B506)</f>
        <v>0</v>
      </c>
      <c r="I506" s="37"/>
      <c r="J506" s="37"/>
      <c r="K506" s="37"/>
      <c r="L506" s="37"/>
    </row>
    <row r="507" spans="1:12" ht="15.75" customHeight="1">
      <c r="A507" s="87" t="s">
        <v>3935</v>
      </c>
      <c r="B507" s="87" t="s">
        <v>2892</v>
      </c>
      <c r="C507" s="87" t="s">
        <v>2921</v>
      </c>
      <c r="D507" s="88">
        <v>365</v>
      </c>
      <c r="E507" s="85" t="s">
        <v>3938</v>
      </c>
      <c r="F507" s="87">
        <v>109</v>
      </c>
      <c r="G507" s="37"/>
      <c r="H507" s="37">
        <f>COUNTIF('(参考)現行システム機能階層一覧'!$E$3:$E$1048576,sheet1!B507)</f>
        <v>1</v>
      </c>
      <c r="I507" s="37"/>
      <c r="J507" s="37"/>
      <c r="K507" s="37"/>
      <c r="L507" s="37"/>
    </row>
    <row r="508" spans="1:12" ht="15.75" customHeight="1">
      <c r="A508" s="87" t="s">
        <v>3853</v>
      </c>
      <c r="B508" s="87" t="s">
        <v>4643</v>
      </c>
      <c r="C508" s="87" t="s">
        <v>4644</v>
      </c>
      <c r="D508" s="88">
        <v>11</v>
      </c>
      <c r="E508" s="85" t="s">
        <v>3938</v>
      </c>
      <c r="F508" s="87">
        <v>126</v>
      </c>
      <c r="G508" s="37"/>
      <c r="H508" s="37">
        <f>COUNTIF('(参考)現行システム機能階層一覧'!$E$3:$E$1048576,sheet1!B508)</f>
        <v>0</v>
      </c>
      <c r="I508" s="37"/>
      <c r="J508" s="37"/>
      <c r="K508" s="37"/>
      <c r="L508" s="37"/>
    </row>
    <row r="509" spans="1:12" ht="15.75" customHeight="1">
      <c r="A509" s="87" t="s">
        <v>3935</v>
      </c>
      <c r="B509" s="87" t="s">
        <v>4645</v>
      </c>
      <c r="C509" s="87" t="s">
        <v>4646</v>
      </c>
      <c r="D509" s="88">
        <v>96</v>
      </c>
      <c r="E509" s="85" t="s">
        <v>3938</v>
      </c>
      <c r="F509" s="87">
        <v>1</v>
      </c>
      <c r="G509" s="37"/>
      <c r="H509" s="37">
        <f>COUNTIF('(参考)現行システム機能階層一覧'!$E$3:$E$1048576,sheet1!B509)</f>
        <v>0</v>
      </c>
      <c r="I509" s="37"/>
      <c r="J509" s="37"/>
      <c r="K509" s="37"/>
      <c r="L509" s="37"/>
    </row>
    <row r="510" spans="1:12" ht="15.75" customHeight="1">
      <c r="A510" s="87" t="s">
        <v>3935</v>
      </c>
      <c r="B510" s="87" t="s">
        <v>2895</v>
      </c>
      <c r="C510" s="87" t="s">
        <v>4647</v>
      </c>
      <c r="D510" s="88">
        <v>565</v>
      </c>
      <c r="E510" s="85" t="s">
        <v>3938</v>
      </c>
      <c r="F510" s="87">
        <v>113</v>
      </c>
      <c r="G510" s="37"/>
      <c r="H510" s="37">
        <f>COUNTIF('(参考)現行システム機能階層一覧'!$E$3:$E$1048576,sheet1!B510)</f>
        <v>1</v>
      </c>
      <c r="I510" s="37"/>
      <c r="J510" s="37"/>
      <c r="K510" s="37"/>
      <c r="L510" s="37"/>
    </row>
    <row r="511" spans="1:12" ht="15.75" customHeight="1">
      <c r="A511" s="87" t="s">
        <v>3935</v>
      </c>
      <c r="B511" s="87" t="s">
        <v>2898</v>
      </c>
      <c r="C511" s="87" t="s">
        <v>4648</v>
      </c>
      <c r="D511" s="88">
        <v>358</v>
      </c>
      <c r="E511" s="85" t="s">
        <v>3938</v>
      </c>
      <c r="F511" s="87">
        <v>107</v>
      </c>
      <c r="G511" s="37"/>
      <c r="H511" s="37">
        <f>COUNTIF('(参考)現行システム機能階層一覧'!$E$3:$E$1048576,sheet1!B511)</f>
        <v>1</v>
      </c>
      <c r="I511" s="37"/>
      <c r="J511" s="37"/>
      <c r="K511" s="37"/>
      <c r="L511" s="37"/>
    </row>
    <row r="512" spans="1:12" ht="15.75" customHeight="1">
      <c r="A512" s="87" t="s">
        <v>3935</v>
      </c>
      <c r="B512" s="87" t="s">
        <v>3155</v>
      </c>
      <c r="C512" s="87" t="s">
        <v>4649</v>
      </c>
      <c r="D512" s="88">
        <v>1283</v>
      </c>
      <c r="E512" s="85" t="s">
        <v>3938</v>
      </c>
      <c r="F512" s="87">
        <v>12</v>
      </c>
      <c r="G512" s="37"/>
      <c r="H512" s="37">
        <f>COUNTIF('(参考)現行システム機能階層一覧'!$E$3:$E$1048576,sheet1!B512)</f>
        <v>2</v>
      </c>
      <c r="I512" s="37"/>
      <c r="J512" s="37"/>
      <c r="K512" s="37"/>
      <c r="L512" s="37"/>
    </row>
    <row r="513" spans="1:12" ht="15.75" customHeight="1">
      <c r="A513" s="87" t="s">
        <v>3935</v>
      </c>
      <c r="B513" s="87" t="s">
        <v>4650</v>
      </c>
      <c r="C513" s="87" t="s">
        <v>4649</v>
      </c>
      <c r="D513" s="88">
        <v>1254</v>
      </c>
      <c r="E513" s="85" t="s">
        <v>3938</v>
      </c>
      <c r="F513" s="87">
        <v>2</v>
      </c>
      <c r="G513" s="37"/>
      <c r="H513" s="37">
        <f>COUNTIF('(参考)現行システム機能階層一覧'!$E$3:$E$1048576,sheet1!B513)</f>
        <v>0</v>
      </c>
      <c r="I513" s="37"/>
      <c r="J513" s="37"/>
      <c r="K513" s="37"/>
      <c r="L513" s="37"/>
    </row>
    <row r="514" spans="1:12" ht="15.75" customHeight="1">
      <c r="A514" s="87" t="s">
        <v>3935</v>
      </c>
      <c r="B514" s="87" t="s">
        <v>3483</v>
      </c>
      <c r="C514" s="87" t="s">
        <v>4651</v>
      </c>
      <c r="D514" s="88">
        <v>192</v>
      </c>
      <c r="E514" s="85" t="s">
        <v>3938</v>
      </c>
      <c r="F514" s="87">
        <v>174</v>
      </c>
      <c r="G514" s="37"/>
      <c r="H514" s="37">
        <f>COUNTIF('(参考)現行システム機能階層一覧'!$E$3:$E$1048576,sheet1!B514)</f>
        <v>1</v>
      </c>
      <c r="I514" s="37"/>
      <c r="J514" s="37"/>
      <c r="K514" s="37"/>
      <c r="L514" s="37"/>
    </row>
    <row r="515" spans="1:12" ht="15.75" customHeight="1">
      <c r="A515" s="87" t="s">
        <v>3853</v>
      </c>
      <c r="B515" s="87" t="s">
        <v>4652</v>
      </c>
      <c r="C515" s="87" t="s">
        <v>4653</v>
      </c>
      <c r="D515" s="88">
        <v>33</v>
      </c>
      <c r="E515" s="85" t="s">
        <v>3938</v>
      </c>
      <c r="F515" s="87">
        <v>174</v>
      </c>
      <c r="G515" s="37"/>
      <c r="H515" s="37">
        <f>COUNTIF('(参考)現行システム機能階層一覧'!$E$3:$E$1048576,sheet1!B515)</f>
        <v>0</v>
      </c>
      <c r="I515" s="37"/>
      <c r="J515" s="37"/>
      <c r="K515" s="37"/>
      <c r="L515" s="37"/>
    </row>
    <row r="516" spans="1:12" ht="15.75" customHeight="1">
      <c r="A516" s="87" t="s">
        <v>3935</v>
      </c>
      <c r="B516" s="87" t="s">
        <v>4654</v>
      </c>
      <c r="C516" s="87" t="s">
        <v>4655</v>
      </c>
      <c r="D516" s="88">
        <v>1654</v>
      </c>
      <c r="E516" s="85" t="s">
        <v>3938</v>
      </c>
      <c r="F516" s="87">
        <v>147</v>
      </c>
      <c r="G516" s="37"/>
      <c r="H516" s="37">
        <f>COUNTIF('(参考)現行システム機能階層一覧'!$E$3:$E$1048576,sheet1!B516)</f>
        <v>0</v>
      </c>
      <c r="I516" s="37"/>
      <c r="J516" s="37"/>
      <c r="K516" s="37"/>
      <c r="L516" s="37"/>
    </row>
    <row r="517" spans="1:12" ht="15.75" customHeight="1">
      <c r="A517" s="87" t="s">
        <v>3853</v>
      </c>
      <c r="B517" s="87" t="s">
        <v>4656</v>
      </c>
      <c r="C517" s="87" t="s">
        <v>4657</v>
      </c>
      <c r="D517" s="88">
        <v>27</v>
      </c>
      <c r="E517" s="85" t="s">
        <v>3938</v>
      </c>
      <c r="F517" s="87">
        <v>147</v>
      </c>
      <c r="G517" s="37"/>
      <c r="H517" s="37">
        <f>COUNTIF('(参考)現行システム機能階層一覧'!$E$3:$E$1048576,sheet1!B517)</f>
        <v>0</v>
      </c>
      <c r="I517" s="37"/>
      <c r="J517" s="37"/>
      <c r="K517" s="37"/>
      <c r="L517" s="37"/>
    </row>
    <row r="518" spans="1:12" ht="15.75" customHeight="1">
      <c r="A518" s="87" t="s">
        <v>3935</v>
      </c>
      <c r="B518" s="87" t="s">
        <v>3158</v>
      </c>
      <c r="C518" s="87" t="s">
        <v>4658</v>
      </c>
      <c r="D518" s="88">
        <v>1385</v>
      </c>
      <c r="E518" s="85" t="s">
        <v>3938</v>
      </c>
      <c r="F518" s="87">
        <v>82</v>
      </c>
      <c r="G518" s="37"/>
      <c r="H518" s="37">
        <f>COUNTIF('(参考)現行システム機能階層一覧'!$E$3:$E$1048576,sheet1!B518)</f>
        <v>2</v>
      </c>
      <c r="I518" s="37"/>
      <c r="J518" s="37"/>
      <c r="K518" s="37"/>
      <c r="L518" s="37"/>
    </row>
    <row r="519" spans="1:12" ht="15.75" customHeight="1">
      <c r="A519" s="87" t="s">
        <v>3935</v>
      </c>
      <c r="B519" s="87" t="s">
        <v>4659</v>
      </c>
      <c r="C519" s="87" t="s">
        <v>4660</v>
      </c>
      <c r="D519" s="88">
        <v>270</v>
      </c>
      <c r="E519" s="85" t="s">
        <v>3938</v>
      </c>
      <c r="F519" s="87">
        <v>9</v>
      </c>
      <c r="G519" s="37"/>
      <c r="H519" s="37">
        <f>COUNTIF('(参考)現行システム機能階層一覧'!$E$3:$E$1048576,sheet1!B519)</f>
        <v>0</v>
      </c>
      <c r="I519" s="37"/>
      <c r="J519" s="37"/>
      <c r="K519" s="37"/>
      <c r="L519" s="37"/>
    </row>
    <row r="520" spans="1:12" ht="15.75" customHeight="1">
      <c r="A520" s="87" t="s">
        <v>3853</v>
      </c>
      <c r="B520" s="87" t="s">
        <v>4661</v>
      </c>
      <c r="C520" s="87" t="s">
        <v>4660</v>
      </c>
      <c r="D520" s="88">
        <v>41</v>
      </c>
      <c r="E520" s="85" t="s">
        <v>3938</v>
      </c>
      <c r="F520" s="87">
        <v>49</v>
      </c>
      <c r="G520" s="37"/>
      <c r="H520" s="37">
        <f>COUNTIF('(参考)現行システム機能階層一覧'!$E$3:$E$1048576,sheet1!B520)</f>
        <v>0</v>
      </c>
      <c r="I520" s="37"/>
      <c r="J520" s="37"/>
      <c r="K520" s="37"/>
      <c r="L520" s="37"/>
    </row>
    <row r="521" spans="1:12" ht="15.75" customHeight="1">
      <c r="A521" s="87" t="s">
        <v>3853</v>
      </c>
      <c r="B521" s="87" t="s">
        <v>4662</v>
      </c>
      <c r="C521" s="87" t="s">
        <v>4660</v>
      </c>
      <c r="D521" s="88">
        <v>53</v>
      </c>
      <c r="E521" s="85" t="s">
        <v>3938</v>
      </c>
      <c r="F521" s="87">
        <v>9</v>
      </c>
      <c r="G521" s="37"/>
      <c r="H521" s="37">
        <f>COUNTIF('(参考)現行システム機能階層一覧'!$E$3:$E$1048576,sheet1!B521)</f>
        <v>0</v>
      </c>
      <c r="I521" s="37"/>
      <c r="J521" s="37"/>
      <c r="K521" s="37"/>
      <c r="L521" s="37"/>
    </row>
    <row r="522" spans="1:12" ht="15.75" customHeight="1">
      <c r="A522" s="87" t="s">
        <v>3935</v>
      </c>
      <c r="B522" s="87" t="s">
        <v>3152</v>
      </c>
      <c r="C522" s="87" t="s">
        <v>4663</v>
      </c>
      <c r="D522" s="88">
        <v>943</v>
      </c>
      <c r="E522" s="85" t="s">
        <v>3938</v>
      </c>
      <c r="F522" s="87">
        <v>84</v>
      </c>
      <c r="G522" s="37"/>
      <c r="H522" s="37">
        <f>COUNTIF('(参考)現行システム機能階層一覧'!$E$3:$E$1048576,sheet1!B522)</f>
        <v>1</v>
      </c>
      <c r="I522" s="37"/>
      <c r="J522" s="37"/>
      <c r="K522" s="37"/>
      <c r="L522" s="37"/>
    </row>
    <row r="523" spans="1:12" ht="15.75" customHeight="1">
      <c r="A523" s="87" t="s">
        <v>3853</v>
      </c>
      <c r="B523" s="87" t="s">
        <v>4664</v>
      </c>
      <c r="C523" s="87" t="s">
        <v>4663</v>
      </c>
      <c r="D523" s="88">
        <v>36</v>
      </c>
      <c r="E523" s="85" t="s">
        <v>3938</v>
      </c>
      <c r="F523" s="87">
        <v>84</v>
      </c>
      <c r="G523" s="37"/>
      <c r="H523" s="37">
        <f>COUNTIF('(参考)現行システム機能階層一覧'!$E$3:$E$1048576,sheet1!B523)</f>
        <v>0</v>
      </c>
      <c r="I523" s="37"/>
      <c r="J523" s="37"/>
      <c r="K523" s="37"/>
      <c r="L523" s="37"/>
    </row>
    <row r="524" spans="1:12" ht="15.75" customHeight="1">
      <c r="A524" s="87" t="s">
        <v>3935</v>
      </c>
      <c r="B524" s="87" t="s">
        <v>3302</v>
      </c>
      <c r="C524" s="87" t="s">
        <v>4665</v>
      </c>
      <c r="D524" s="88">
        <v>437</v>
      </c>
      <c r="E524" s="85" t="s">
        <v>3938</v>
      </c>
      <c r="F524" s="87">
        <v>6</v>
      </c>
      <c r="G524" s="37"/>
      <c r="H524" s="37">
        <f>COUNTIF('(参考)現行システム機能階層一覧'!$E$3:$E$1048576,sheet1!B524)</f>
        <v>1</v>
      </c>
      <c r="I524" s="37"/>
      <c r="J524" s="37"/>
      <c r="K524" s="37"/>
      <c r="L524" s="37"/>
    </row>
    <row r="525" spans="1:12" ht="15.75" customHeight="1">
      <c r="A525" s="87" t="s">
        <v>3935</v>
      </c>
      <c r="B525" s="87" t="s">
        <v>4666</v>
      </c>
      <c r="C525" s="87" t="s">
        <v>4667</v>
      </c>
      <c r="D525" s="88">
        <v>505</v>
      </c>
      <c r="E525" s="85" t="s">
        <v>3938</v>
      </c>
      <c r="F525" s="87">
        <v>3</v>
      </c>
      <c r="G525" s="37"/>
      <c r="H525" s="37">
        <f>COUNTIF('(参考)現行システム機能階層一覧'!$E$3:$E$1048576,sheet1!B525)</f>
        <v>0</v>
      </c>
      <c r="I525" s="37"/>
      <c r="J525" s="37"/>
      <c r="K525" s="37"/>
      <c r="L525" s="37"/>
    </row>
    <row r="526" spans="1:12" ht="15.75" customHeight="1">
      <c r="A526" s="87" t="s">
        <v>3935</v>
      </c>
      <c r="B526" s="87" t="s">
        <v>4668</v>
      </c>
      <c r="C526" s="87" t="s">
        <v>4669</v>
      </c>
      <c r="D526" s="88">
        <v>270</v>
      </c>
      <c r="E526" s="85" t="s">
        <v>3938</v>
      </c>
      <c r="F526" s="87">
        <v>85</v>
      </c>
      <c r="G526" s="37"/>
      <c r="H526" s="37">
        <f>COUNTIF('(参考)現行システム機能階層一覧'!$E$3:$E$1048576,sheet1!B526)</f>
        <v>0</v>
      </c>
      <c r="I526" s="37"/>
      <c r="J526" s="37"/>
      <c r="K526" s="37"/>
      <c r="L526" s="37"/>
    </row>
    <row r="527" spans="1:12" ht="15.75" customHeight="1">
      <c r="A527" s="87" t="s">
        <v>3935</v>
      </c>
      <c r="B527" s="87" t="s">
        <v>4670</v>
      </c>
      <c r="C527" s="87" t="s">
        <v>4671</v>
      </c>
      <c r="D527" s="88">
        <v>177</v>
      </c>
      <c r="E527" s="85" t="s">
        <v>3938</v>
      </c>
      <c r="F527" s="87">
        <v>85</v>
      </c>
      <c r="G527" s="37"/>
      <c r="H527" s="37">
        <f>COUNTIF('(参考)現行システム機能階層一覧'!$E$3:$E$1048576,sheet1!B527)</f>
        <v>0</v>
      </c>
      <c r="I527" s="37"/>
      <c r="J527" s="37"/>
      <c r="K527" s="37"/>
      <c r="L527" s="37"/>
    </row>
    <row r="528" spans="1:12" ht="15.75" customHeight="1">
      <c r="A528" s="87" t="s">
        <v>3935</v>
      </c>
      <c r="B528" s="87" t="s">
        <v>3287</v>
      </c>
      <c r="C528" s="87" t="s">
        <v>4672</v>
      </c>
      <c r="D528" s="88">
        <v>282</v>
      </c>
      <c r="E528" s="85" t="s">
        <v>3938</v>
      </c>
      <c r="F528" s="87">
        <v>22</v>
      </c>
      <c r="G528" s="37"/>
      <c r="H528" s="37">
        <f>COUNTIF('(参考)現行システム機能階層一覧'!$E$3:$E$1048576,sheet1!B528)</f>
        <v>1</v>
      </c>
      <c r="I528" s="37"/>
      <c r="J528" s="37"/>
      <c r="K528" s="37"/>
      <c r="L528" s="37"/>
    </row>
    <row r="529" spans="1:12" ht="15.75" customHeight="1">
      <c r="A529" s="87" t="s">
        <v>3935</v>
      </c>
      <c r="B529" s="87" t="s">
        <v>4673</v>
      </c>
      <c r="C529" s="87" t="s">
        <v>4674</v>
      </c>
      <c r="D529" s="88">
        <v>203</v>
      </c>
      <c r="E529" s="85" t="s">
        <v>3938</v>
      </c>
      <c r="F529" s="87">
        <v>30</v>
      </c>
      <c r="G529" s="37"/>
      <c r="H529" s="37">
        <f>COUNTIF('(参考)現行システム機能階層一覧'!$E$3:$E$1048576,sheet1!B529)</f>
        <v>0</v>
      </c>
      <c r="I529" s="37"/>
      <c r="J529" s="37"/>
      <c r="K529" s="37"/>
      <c r="L529" s="37"/>
    </row>
    <row r="530" spans="1:12" ht="15.75" customHeight="1">
      <c r="A530" s="87" t="s">
        <v>3935</v>
      </c>
      <c r="B530" s="87" t="s">
        <v>4675</v>
      </c>
      <c r="C530" s="87" t="s">
        <v>4674</v>
      </c>
      <c r="D530" s="88">
        <v>195</v>
      </c>
      <c r="E530" s="85" t="s">
        <v>3938</v>
      </c>
      <c r="F530" s="87">
        <v>35</v>
      </c>
      <c r="G530" s="37"/>
      <c r="H530" s="37">
        <f>COUNTIF('(参考)現行システム機能階層一覧'!$E$3:$E$1048576,sheet1!B530)</f>
        <v>0</v>
      </c>
      <c r="I530" s="37"/>
      <c r="J530" s="37"/>
      <c r="K530" s="37"/>
      <c r="L530" s="37"/>
    </row>
    <row r="531" spans="1:12" ht="15.75" customHeight="1">
      <c r="A531" s="87" t="s">
        <v>3935</v>
      </c>
      <c r="B531" s="87" t="s">
        <v>3135</v>
      </c>
      <c r="C531" s="87" t="s">
        <v>4676</v>
      </c>
      <c r="D531" s="88">
        <v>1581</v>
      </c>
      <c r="E531" s="85" t="s">
        <v>3938</v>
      </c>
      <c r="F531" s="87">
        <v>10</v>
      </c>
      <c r="G531" s="37"/>
      <c r="H531" s="37">
        <f>COUNTIF('(参考)現行システム機能階層一覧'!$E$3:$E$1048576,sheet1!B531)</f>
        <v>1</v>
      </c>
      <c r="I531" s="37"/>
      <c r="J531" s="37"/>
      <c r="K531" s="37"/>
      <c r="L531" s="37"/>
    </row>
    <row r="532" spans="1:12" ht="15.75" customHeight="1">
      <c r="A532" s="87" t="s">
        <v>3853</v>
      </c>
      <c r="B532" s="87" t="s">
        <v>4677</v>
      </c>
      <c r="C532" s="87" t="s">
        <v>4676</v>
      </c>
      <c r="D532" s="88">
        <v>17</v>
      </c>
      <c r="E532" s="85" t="s">
        <v>3938</v>
      </c>
      <c r="F532" s="87">
        <v>10</v>
      </c>
      <c r="G532" s="37"/>
      <c r="H532" s="37">
        <f>COUNTIF('(参考)現行システム機能階層一覧'!$E$3:$E$1048576,sheet1!B532)</f>
        <v>0</v>
      </c>
      <c r="I532" s="37"/>
      <c r="J532" s="37"/>
      <c r="K532" s="37"/>
      <c r="L532" s="37"/>
    </row>
    <row r="533" spans="1:12" ht="15.75" customHeight="1">
      <c r="A533" s="87" t="s">
        <v>3935</v>
      </c>
      <c r="B533" s="87" t="s">
        <v>2647</v>
      </c>
      <c r="C533" s="87" t="s">
        <v>4678</v>
      </c>
      <c r="D533" s="88">
        <v>2391</v>
      </c>
      <c r="E533" s="85" t="s">
        <v>3938</v>
      </c>
      <c r="F533" s="87">
        <v>1288</v>
      </c>
      <c r="G533" s="37"/>
      <c r="H533" s="37">
        <f>COUNTIF('(参考)現行システム機能階層一覧'!$E$3:$E$1048576,sheet1!B533)</f>
        <v>1</v>
      </c>
      <c r="I533" s="37"/>
      <c r="J533" s="37"/>
      <c r="K533" s="37"/>
      <c r="L533" s="37"/>
    </row>
    <row r="534" spans="1:12" ht="15.75" customHeight="1">
      <c r="A534" s="87" t="s">
        <v>3935</v>
      </c>
      <c r="B534" s="87" t="s">
        <v>4679</v>
      </c>
      <c r="C534" s="87" t="s">
        <v>4680</v>
      </c>
      <c r="D534" s="88">
        <v>821</v>
      </c>
      <c r="E534" s="85" t="s">
        <v>3938</v>
      </c>
      <c r="F534" s="87">
        <v>1</v>
      </c>
      <c r="G534" s="37"/>
      <c r="H534" s="37">
        <f>COUNTIF('(参考)現行システム機能階層一覧'!$E$3:$E$1048576,sheet1!B534)</f>
        <v>0</v>
      </c>
      <c r="I534" s="37"/>
      <c r="J534" s="37"/>
      <c r="K534" s="37"/>
      <c r="L534" s="37"/>
    </row>
    <row r="535" spans="1:12" ht="15.75" customHeight="1">
      <c r="A535" s="87" t="s">
        <v>3853</v>
      </c>
      <c r="B535" s="87" t="s">
        <v>4681</v>
      </c>
      <c r="C535" s="87" t="s">
        <v>4680</v>
      </c>
      <c r="D535" s="88">
        <v>20</v>
      </c>
      <c r="E535" s="85" t="s">
        <v>3938</v>
      </c>
      <c r="F535" s="87">
        <v>201</v>
      </c>
      <c r="G535" s="37"/>
      <c r="H535" s="37">
        <f>COUNTIF('(参考)現行システム機能階層一覧'!$E$3:$E$1048576,sheet1!B535)</f>
        <v>0</v>
      </c>
      <c r="I535" s="37"/>
      <c r="J535" s="37"/>
      <c r="K535" s="37"/>
      <c r="L535" s="37"/>
    </row>
    <row r="536" spans="1:12" ht="15.75" customHeight="1">
      <c r="A536" s="87" t="s">
        <v>3935</v>
      </c>
      <c r="B536" s="87" t="s">
        <v>3161</v>
      </c>
      <c r="C536" s="87" t="s">
        <v>4680</v>
      </c>
      <c r="D536" s="88">
        <v>712</v>
      </c>
      <c r="E536" s="85" t="s">
        <v>3938</v>
      </c>
      <c r="F536" s="87">
        <v>201</v>
      </c>
      <c r="G536" s="37"/>
      <c r="H536" s="37">
        <f>COUNTIF('(参考)現行システム機能階層一覧'!$E$3:$E$1048576,sheet1!B536)</f>
        <v>1</v>
      </c>
      <c r="I536" s="37"/>
      <c r="J536" s="37"/>
      <c r="K536" s="37"/>
      <c r="L536" s="37"/>
    </row>
    <row r="537" spans="1:12" ht="15.75" customHeight="1">
      <c r="A537" s="87" t="s">
        <v>3935</v>
      </c>
      <c r="B537" s="87" t="s">
        <v>2650</v>
      </c>
      <c r="C537" s="87" t="s">
        <v>4682</v>
      </c>
      <c r="D537" s="88">
        <v>685</v>
      </c>
      <c r="E537" s="85" t="s">
        <v>3938</v>
      </c>
      <c r="F537" s="87">
        <v>668</v>
      </c>
      <c r="G537" s="37"/>
      <c r="H537" s="37">
        <f>COUNTIF('(参考)現行システム機能階層一覧'!$E$3:$E$1048576,sheet1!B537)</f>
        <v>1</v>
      </c>
      <c r="I537" s="37"/>
      <c r="J537" s="37"/>
      <c r="K537" s="37"/>
      <c r="L537" s="37"/>
    </row>
    <row r="538" spans="1:12" ht="15.75" customHeight="1">
      <c r="A538" s="87" t="s">
        <v>3935</v>
      </c>
      <c r="B538" s="87" t="s">
        <v>3141</v>
      </c>
      <c r="C538" s="87" t="s">
        <v>4683</v>
      </c>
      <c r="D538" s="88">
        <v>135</v>
      </c>
      <c r="E538" s="85" t="s">
        <v>3938</v>
      </c>
      <c r="F538" s="87">
        <v>1</v>
      </c>
      <c r="G538" s="37"/>
      <c r="H538" s="37">
        <f>COUNTIF('(参考)現行システム機能階層一覧'!$E$3:$E$1048576,sheet1!B538)</f>
        <v>1</v>
      </c>
      <c r="I538" s="37"/>
      <c r="J538" s="37"/>
      <c r="K538" s="37"/>
      <c r="L538" s="37"/>
    </row>
    <row r="539" spans="1:12" ht="15.75" customHeight="1">
      <c r="A539" s="87" t="s">
        <v>3853</v>
      </c>
      <c r="B539" s="87" t="s">
        <v>4684</v>
      </c>
      <c r="C539" s="87" t="s">
        <v>4685</v>
      </c>
      <c r="D539" s="88">
        <v>51</v>
      </c>
      <c r="E539" s="85" t="s">
        <v>3938</v>
      </c>
      <c r="F539" s="87">
        <v>1</v>
      </c>
      <c r="G539" s="37"/>
      <c r="H539" s="37">
        <f>COUNTIF('(参考)現行システム機能階層一覧'!$E$3:$E$1048576,sheet1!B539)</f>
        <v>0</v>
      </c>
      <c r="I539" s="37"/>
      <c r="J539" s="37"/>
      <c r="K539" s="37"/>
      <c r="L539" s="37"/>
    </row>
    <row r="540" spans="1:12" ht="15.75" customHeight="1">
      <c r="A540" s="87" t="s">
        <v>3935</v>
      </c>
      <c r="B540" s="87" t="s">
        <v>4686</v>
      </c>
      <c r="C540" s="87" t="s">
        <v>4687</v>
      </c>
      <c r="D540" s="88">
        <v>1194</v>
      </c>
      <c r="E540" s="85" t="s">
        <v>3938</v>
      </c>
      <c r="F540" s="87">
        <v>1</v>
      </c>
      <c r="G540" s="37"/>
      <c r="H540" s="37">
        <f>COUNTIF('(参考)現行システム機能階層一覧'!$E$3:$E$1048576,sheet1!B540)</f>
        <v>0</v>
      </c>
      <c r="I540" s="37"/>
      <c r="J540" s="37"/>
      <c r="K540" s="37"/>
      <c r="L540" s="37"/>
    </row>
    <row r="541" spans="1:12" ht="15.75" customHeight="1">
      <c r="A541" s="87" t="s">
        <v>3935</v>
      </c>
      <c r="B541" s="87" t="s">
        <v>3144</v>
      </c>
      <c r="C541" s="87" t="s">
        <v>4688</v>
      </c>
      <c r="D541" s="88">
        <v>696</v>
      </c>
      <c r="E541" s="85" t="s">
        <v>3938</v>
      </c>
      <c r="F541" s="87">
        <v>3</v>
      </c>
      <c r="G541" s="37"/>
      <c r="H541" s="37">
        <f>COUNTIF('(参考)現行システム機能階層一覧'!$E$3:$E$1048576,sheet1!B541)</f>
        <v>1</v>
      </c>
      <c r="I541" s="37"/>
      <c r="J541" s="37"/>
      <c r="K541" s="37"/>
      <c r="L541" s="37"/>
    </row>
    <row r="542" spans="1:12" ht="15.75" customHeight="1">
      <c r="A542" s="87" t="s">
        <v>3853</v>
      </c>
      <c r="B542" s="87" t="s">
        <v>4689</v>
      </c>
      <c r="C542" s="87" t="s">
        <v>3173</v>
      </c>
      <c r="D542" s="88">
        <v>15</v>
      </c>
      <c r="E542" s="85" t="s">
        <v>3938</v>
      </c>
      <c r="F542" s="87">
        <v>3</v>
      </c>
      <c r="G542" s="37"/>
      <c r="H542" s="37">
        <f>COUNTIF('(参考)現行システム機能階層一覧'!$E$3:$E$1048576,sheet1!B542)</f>
        <v>0</v>
      </c>
      <c r="I542" s="37"/>
      <c r="J542" s="37"/>
      <c r="K542" s="37"/>
      <c r="L542" s="37"/>
    </row>
    <row r="543" spans="1:12" ht="15.75" customHeight="1">
      <c r="A543" s="87" t="s">
        <v>3935</v>
      </c>
      <c r="B543" s="87" t="s">
        <v>4690</v>
      </c>
      <c r="C543" s="87" t="s">
        <v>4691</v>
      </c>
      <c r="D543" s="88">
        <v>764</v>
      </c>
      <c r="E543" s="85" t="s">
        <v>3938</v>
      </c>
      <c r="F543" s="87">
        <v>1</v>
      </c>
      <c r="G543" s="37"/>
      <c r="H543" s="37">
        <f>COUNTIF('(参考)現行システム機能階層一覧'!$E$3:$E$1048576,sheet1!B543)</f>
        <v>0</v>
      </c>
      <c r="I543" s="37"/>
      <c r="J543" s="37"/>
      <c r="K543" s="37"/>
      <c r="L543" s="37"/>
    </row>
    <row r="544" spans="1:12" ht="15.75" customHeight="1">
      <c r="A544" s="87" t="s">
        <v>3853</v>
      </c>
      <c r="B544" s="87" t="s">
        <v>3147</v>
      </c>
      <c r="C544" s="87" t="s">
        <v>4692</v>
      </c>
      <c r="D544" s="88">
        <v>26</v>
      </c>
      <c r="E544" s="85" t="s">
        <v>3938</v>
      </c>
      <c r="F544" s="87">
        <v>10</v>
      </c>
      <c r="G544" s="37"/>
      <c r="H544" s="37">
        <f>COUNTIF('(参考)現行システム機能階層一覧'!$E$3:$E$1048576,sheet1!B544)</f>
        <v>1</v>
      </c>
      <c r="I544" s="37"/>
      <c r="J544" s="37"/>
      <c r="K544" s="37"/>
      <c r="L544" s="37"/>
    </row>
    <row r="545" spans="1:12" ht="15.75" customHeight="1">
      <c r="A545" s="87" t="s">
        <v>3935</v>
      </c>
      <c r="B545" s="87" t="s">
        <v>4693</v>
      </c>
      <c r="C545" s="87" t="s">
        <v>4694</v>
      </c>
      <c r="D545" s="88">
        <v>386</v>
      </c>
      <c r="E545" s="85" t="s">
        <v>3938</v>
      </c>
      <c r="F545" s="87">
        <v>1</v>
      </c>
      <c r="G545" s="37"/>
      <c r="H545" s="37">
        <f>COUNTIF('(参考)現行システム機能階層一覧'!$E$3:$E$1048576,sheet1!B545)</f>
        <v>0</v>
      </c>
      <c r="I545" s="37"/>
      <c r="J545" s="37"/>
      <c r="K545" s="37"/>
      <c r="L545" s="37"/>
    </row>
    <row r="546" spans="1:12" ht="15.75" customHeight="1">
      <c r="A546" s="87" t="s">
        <v>3935</v>
      </c>
      <c r="B546" s="87" t="s">
        <v>3128</v>
      </c>
      <c r="C546" s="87" t="s">
        <v>4695</v>
      </c>
      <c r="D546" s="88">
        <v>851</v>
      </c>
      <c r="E546" s="85" t="s">
        <v>3938</v>
      </c>
      <c r="F546" s="87">
        <v>2</v>
      </c>
      <c r="G546" s="37"/>
      <c r="H546" s="37">
        <f>COUNTIF('(参考)現行システム機能階層一覧'!$E$3:$E$1048576,sheet1!B546)</f>
        <v>1</v>
      </c>
      <c r="I546" s="37"/>
      <c r="J546" s="37"/>
      <c r="K546" s="37"/>
      <c r="L546" s="37"/>
    </row>
    <row r="547" spans="1:12" ht="15.75" customHeight="1">
      <c r="A547" s="87" t="s">
        <v>3853</v>
      </c>
      <c r="B547" s="87" t="s">
        <v>4696</v>
      </c>
      <c r="C547" s="87" t="s">
        <v>4697</v>
      </c>
      <c r="D547" s="88">
        <v>27</v>
      </c>
      <c r="E547" s="85" t="s">
        <v>3938</v>
      </c>
      <c r="F547" s="87">
        <v>2</v>
      </c>
      <c r="G547" s="37"/>
      <c r="H547" s="37">
        <f>COUNTIF('(参考)現行システム機能階層一覧'!$E$3:$E$1048576,sheet1!B547)</f>
        <v>0</v>
      </c>
      <c r="I547" s="37"/>
      <c r="J547" s="37"/>
      <c r="K547" s="37"/>
      <c r="L547" s="37"/>
    </row>
    <row r="548" spans="1:12" ht="15.75" customHeight="1">
      <c r="A548" s="87" t="s">
        <v>3935</v>
      </c>
      <c r="B548" s="87" t="s">
        <v>4698</v>
      </c>
      <c r="C548" s="87" t="s">
        <v>4699</v>
      </c>
      <c r="D548" s="88">
        <v>720</v>
      </c>
      <c r="E548" s="85" t="s">
        <v>3938</v>
      </c>
      <c r="F548" s="87">
        <v>1</v>
      </c>
      <c r="G548" s="37"/>
      <c r="H548" s="37">
        <f>COUNTIF('(参考)現行システム機能階層一覧'!$E$3:$E$1048576,sheet1!B548)</f>
        <v>0</v>
      </c>
      <c r="I548" s="37"/>
      <c r="J548" s="37"/>
      <c r="K548" s="37"/>
      <c r="L548" s="37"/>
    </row>
    <row r="549" spans="1:12" ht="15.75" customHeight="1">
      <c r="A549" s="87" t="s">
        <v>3935</v>
      </c>
      <c r="B549" s="87" t="s">
        <v>3132</v>
      </c>
      <c r="C549" s="87" t="s">
        <v>4700</v>
      </c>
      <c r="D549" s="88">
        <v>351</v>
      </c>
      <c r="E549" s="85" t="s">
        <v>3938</v>
      </c>
      <c r="F549" s="87">
        <v>1</v>
      </c>
      <c r="G549" s="37"/>
      <c r="H549" s="37">
        <f>COUNTIF('(参考)現行システム機能階層一覧'!$E$3:$E$1048576,sheet1!B549)</f>
        <v>1</v>
      </c>
      <c r="I549" s="37"/>
      <c r="J549" s="37"/>
      <c r="K549" s="37"/>
      <c r="L549" s="37"/>
    </row>
    <row r="550" spans="1:12" ht="15.75" customHeight="1">
      <c r="A550" s="87" t="s">
        <v>3853</v>
      </c>
      <c r="B550" s="87" t="s">
        <v>4701</v>
      </c>
      <c r="C550" s="87" t="s">
        <v>3162</v>
      </c>
      <c r="D550" s="88">
        <v>39</v>
      </c>
      <c r="E550" s="85" t="s">
        <v>3938</v>
      </c>
      <c r="F550" s="87">
        <v>1</v>
      </c>
      <c r="G550" s="37"/>
      <c r="H550" s="37">
        <f>COUNTIF('(参考)現行システム機能階層一覧'!$E$3:$E$1048576,sheet1!B550)</f>
        <v>0</v>
      </c>
      <c r="I550" s="37"/>
      <c r="J550" s="37"/>
      <c r="K550" s="37"/>
      <c r="L550" s="37"/>
    </row>
    <row r="551" spans="1:12" ht="15.75" customHeight="1">
      <c r="A551" s="87" t="s">
        <v>3935</v>
      </c>
      <c r="B551" s="87" t="s">
        <v>4702</v>
      </c>
      <c r="C551" s="87" t="s">
        <v>4703</v>
      </c>
      <c r="D551" s="88">
        <v>1938</v>
      </c>
      <c r="E551" s="85" t="s">
        <v>3938</v>
      </c>
      <c r="F551" s="87">
        <v>10</v>
      </c>
      <c r="G551" s="37"/>
      <c r="H551" s="37">
        <f>COUNTIF('(参考)現行システム機能階層一覧'!$E$3:$E$1048576,sheet1!B551)</f>
        <v>0</v>
      </c>
      <c r="I551" s="37"/>
      <c r="J551" s="37"/>
      <c r="K551" s="37"/>
      <c r="L551" s="37"/>
    </row>
    <row r="552" spans="1:12" ht="15.75" customHeight="1">
      <c r="A552" s="87" t="s">
        <v>3853</v>
      </c>
      <c r="B552" s="87" t="s">
        <v>4704</v>
      </c>
      <c r="C552" s="87" t="s">
        <v>4705</v>
      </c>
      <c r="D552" s="88">
        <v>63</v>
      </c>
      <c r="E552" s="85" t="s">
        <v>3938</v>
      </c>
      <c r="F552" s="87">
        <v>10</v>
      </c>
      <c r="G552" s="37"/>
      <c r="H552" s="37">
        <f>COUNTIF('(参考)現行システム機能階層一覧'!$E$3:$E$1048576,sheet1!B552)</f>
        <v>0</v>
      </c>
      <c r="I552" s="37"/>
      <c r="J552" s="37"/>
      <c r="K552" s="37"/>
      <c r="L552" s="37"/>
    </row>
    <row r="553" spans="1:12" ht="15.75" customHeight="1">
      <c r="A553" s="87" t="s">
        <v>3935</v>
      </c>
      <c r="B553" s="87" t="s">
        <v>4706</v>
      </c>
      <c r="C553" s="87" t="s">
        <v>4707</v>
      </c>
      <c r="D553" s="88">
        <v>612</v>
      </c>
      <c r="E553" s="85" t="s">
        <v>3938</v>
      </c>
      <c r="F553" s="87">
        <v>1</v>
      </c>
      <c r="G553" s="37"/>
      <c r="H553" s="37">
        <f>COUNTIF('(参考)現行システム機能階層一覧'!$E$3:$E$1048576,sheet1!B553)</f>
        <v>0</v>
      </c>
      <c r="I553" s="37"/>
      <c r="J553" s="37"/>
      <c r="K553" s="37"/>
      <c r="L553" s="37"/>
    </row>
    <row r="554" spans="1:12" ht="15.75" customHeight="1">
      <c r="A554" s="87" t="s">
        <v>3935</v>
      </c>
      <c r="B554" s="87" t="s">
        <v>3103</v>
      </c>
      <c r="C554" s="87" t="s">
        <v>3136</v>
      </c>
      <c r="D554" s="88">
        <v>494</v>
      </c>
      <c r="E554" s="85" t="s">
        <v>3938</v>
      </c>
      <c r="F554" s="87">
        <v>3</v>
      </c>
      <c r="G554" s="37"/>
      <c r="H554" s="37">
        <f>COUNTIF('(参考)現行システム機能階層一覧'!$E$3:$E$1048576,sheet1!B554)</f>
        <v>1</v>
      </c>
      <c r="I554" s="37"/>
      <c r="J554" s="37"/>
      <c r="K554" s="37"/>
      <c r="L554" s="37"/>
    </row>
    <row r="555" spans="1:12" ht="15.75" customHeight="1">
      <c r="A555" s="87" t="s">
        <v>3853</v>
      </c>
      <c r="B555" s="87" t="s">
        <v>4708</v>
      </c>
      <c r="C555" s="87" t="s">
        <v>3136</v>
      </c>
      <c r="D555" s="88">
        <v>23</v>
      </c>
      <c r="E555" s="85" t="s">
        <v>3938</v>
      </c>
      <c r="F555" s="87">
        <v>3</v>
      </c>
      <c r="G555" s="37"/>
      <c r="H555" s="37">
        <f>COUNTIF('(参考)現行システム機能階層一覧'!$E$3:$E$1048576,sheet1!B555)</f>
        <v>0</v>
      </c>
      <c r="I555" s="37"/>
      <c r="J555" s="37"/>
      <c r="K555" s="37"/>
      <c r="L555" s="37"/>
    </row>
    <row r="556" spans="1:12" ht="15.75" customHeight="1">
      <c r="A556" s="87" t="s">
        <v>3935</v>
      </c>
      <c r="B556" s="87" t="s">
        <v>3106</v>
      </c>
      <c r="C556" s="87" t="s">
        <v>3139</v>
      </c>
      <c r="D556" s="88">
        <v>595</v>
      </c>
      <c r="E556" s="85" t="s">
        <v>3938</v>
      </c>
      <c r="F556" s="87">
        <v>3</v>
      </c>
      <c r="G556" s="37"/>
      <c r="H556" s="37">
        <f>COUNTIF('(参考)現行システム機能階層一覧'!$E$3:$E$1048576,sheet1!B556)</f>
        <v>1</v>
      </c>
      <c r="I556" s="37"/>
      <c r="J556" s="37"/>
      <c r="K556" s="37"/>
      <c r="L556" s="37"/>
    </row>
    <row r="557" spans="1:12" ht="15.75" customHeight="1">
      <c r="A557" s="87" t="s">
        <v>3853</v>
      </c>
      <c r="B557" s="87" t="s">
        <v>4709</v>
      </c>
      <c r="C557" s="87" t="s">
        <v>3139</v>
      </c>
      <c r="D557" s="88">
        <v>16</v>
      </c>
      <c r="E557" s="85" t="s">
        <v>3938</v>
      </c>
      <c r="F557" s="87">
        <v>3</v>
      </c>
      <c r="G557" s="37"/>
      <c r="H557" s="37">
        <f>COUNTIF('(参考)現行システム機能階層一覧'!$E$3:$E$1048576,sheet1!B557)</f>
        <v>0</v>
      </c>
      <c r="I557" s="37"/>
      <c r="J557" s="37"/>
      <c r="K557" s="37"/>
      <c r="L557" s="37"/>
    </row>
    <row r="558" spans="1:12" ht="15.75" customHeight="1">
      <c r="A558" s="87" t="s">
        <v>3935</v>
      </c>
      <c r="B558" s="87" t="s">
        <v>3109</v>
      </c>
      <c r="C558" s="87" t="s">
        <v>3142</v>
      </c>
      <c r="D558" s="88">
        <v>399</v>
      </c>
      <c r="E558" s="85" t="s">
        <v>3938</v>
      </c>
      <c r="F558" s="87">
        <v>3</v>
      </c>
      <c r="G558" s="37"/>
      <c r="H558" s="37">
        <f>COUNTIF('(参考)現行システム機能階層一覧'!$E$3:$E$1048576,sheet1!B558)</f>
        <v>1</v>
      </c>
      <c r="I558" s="37"/>
      <c r="J558" s="37"/>
      <c r="K558" s="37"/>
      <c r="L558" s="37"/>
    </row>
    <row r="559" spans="1:12" ht="15.75" customHeight="1">
      <c r="A559" s="87" t="s">
        <v>3853</v>
      </c>
      <c r="B559" s="87" t="s">
        <v>4710</v>
      </c>
      <c r="C559" s="87" t="s">
        <v>3142</v>
      </c>
      <c r="D559" s="88">
        <v>16</v>
      </c>
      <c r="E559" s="85" t="s">
        <v>3938</v>
      </c>
      <c r="F559" s="87">
        <v>3</v>
      </c>
      <c r="G559" s="37"/>
      <c r="H559" s="37">
        <f>COUNTIF('(参考)現行システム機能階層一覧'!$E$3:$E$1048576,sheet1!B559)</f>
        <v>0</v>
      </c>
      <c r="I559" s="37"/>
      <c r="J559" s="37"/>
      <c r="K559" s="37"/>
      <c r="L559" s="37"/>
    </row>
    <row r="560" spans="1:12" ht="15.75" customHeight="1">
      <c r="A560" s="87" t="s">
        <v>3935</v>
      </c>
      <c r="B560" s="87" t="s">
        <v>3118</v>
      </c>
      <c r="C560" s="87" t="s">
        <v>4711</v>
      </c>
      <c r="D560" s="88">
        <v>223</v>
      </c>
      <c r="E560" s="85" t="s">
        <v>3938</v>
      </c>
      <c r="F560" s="87">
        <v>4</v>
      </c>
      <c r="G560" s="37"/>
      <c r="H560" s="37">
        <f>COUNTIF('(参考)現行システム機能階層一覧'!$E$3:$E$1048576,sheet1!B560)</f>
        <v>1</v>
      </c>
      <c r="I560" s="37"/>
      <c r="J560" s="37"/>
      <c r="K560" s="37"/>
      <c r="L560" s="37"/>
    </row>
    <row r="561" spans="1:12" ht="15.75" customHeight="1">
      <c r="A561" s="87" t="s">
        <v>3853</v>
      </c>
      <c r="B561" s="87" t="s">
        <v>4712</v>
      </c>
      <c r="C561" s="87" t="s">
        <v>3150</v>
      </c>
      <c r="D561" s="88">
        <v>50</v>
      </c>
      <c r="E561" s="85" t="s">
        <v>3938</v>
      </c>
      <c r="F561" s="87">
        <v>4</v>
      </c>
      <c r="G561" s="37"/>
      <c r="H561" s="37">
        <f>COUNTIF('(参考)現行システム機能階層一覧'!$E$3:$E$1048576,sheet1!B561)</f>
        <v>0</v>
      </c>
      <c r="I561" s="37"/>
      <c r="J561" s="37"/>
      <c r="K561" s="37"/>
      <c r="L561" s="37"/>
    </row>
    <row r="562" spans="1:12" ht="15.75" customHeight="1">
      <c r="A562" s="87" t="s">
        <v>3935</v>
      </c>
      <c r="B562" s="87" t="s">
        <v>4713</v>
      </c>
      <c r="C562" s="87" t="s">
        <v>4714</v>
      </c>
      <c r="D562" s="88">
        <v>754</v>
      </c>
      <c r="E562" s="85" t="s">
        <v>3938</v>
      </c>
      <c r="F562" s="87">
        <v>1</v>
      </c>
      <c r="G562" s="37"/>
      <c r="H562" s="37">
        <f>COUNTIF('(参考)現行システム機能階層一覧'!$E$3:$E$1048576,sheet1!B562)</f>
        <v>0</v>
      </c>
      <c r="I562" s="37"/>
      <c r="J562" s="37"/>
      <c r="K562" s="37"/>
      <c r="L562" s="37"/>
    </row>
    <row r="563" spans="1:12" ht="15.75" customHeight="1">
      <c r="A563" s="87" t="s">
        <v>3935</v>
      </c>
      <c r="B563" s="87" t="s">
        <v>3125</v>
      </c>
      <c r="C563" s="87" t="s">
        <v>4711</v>
      </c>
      <c r="D563" s="88">
        <v>320</v>
      </c>
      <c r="E563" s="85" t="s">
        <v>3938</v>
      </c>
      <c r="F563" s="87">
        <v>3</v>
      </c>
      <c r="G563" s="37"/>
      <c r="H563" s="37">
        <f>COUNTIF('(参考)現行システム機能階層一覧'!$E$3:$E$1048576,sheet1!B563)</f>
        <v>1</v>
      </c>
      <c r="I563" s="37"/>
      <c r="J563" s="37"/>
      <c r="K563" s="37"/>
      <c r="L563" s="37"/>
    </row>
    <row r="564" spans="1:12" ht="15.75" customHeight="1">
      <c r="A564" s="87" t="s">
        <v>3853</v>
      </c>
      <c r="B564" s="87" t="s">
        <v>4715</v>
      </c>
      <c r="C564" s="87" t="s">
        <v>3150</v>
      </c>
      <c r="D564" s="88">
        <v>60</v>
      </c>
      <c r="E564" s="85" t="s">
        <v>3938</v>
      </c>
      <c r="F564" s="87">
        <v>3</v>
      </c>
      <c r="G564" s="37"/>
      <c r="H564" s="37">
        <f>COUNTIF('(参考)現行システム機能階層一覧'!$E$3:$E$1048576,sheet1!B564)</f>
        <v>0</v>
      </c>
      <c r="I564" s="37"/>
      <c r="J564" s="37"/>
      <c r="K564" s="37"/>
      <c r="L564" s="37"/>
    </row>
    <row r="565" spans="1:12" ht="15.75" customHeight="1">
      <c r="A565" s="87" t="s">
        <v>3935</v>
      </c>
      <c r="B565" s="87" t="s">
        <v>4716</v>
      </c>
      <c r="C565" s="87" t="s">
        <v>4714</v>
      </c>
      <c r="D565" s="88">
        <v>825</v>
      </c>
      <c r="E565" s="85" t="s">
        <v>3938</v>
      </c>
      <c r="F565" s="87">
        <v>3</v>
      </c>
      <c r="G565" s="37"/>
      <c r="H565" s="37">
        <f>COUNTIF('(参考)現行システム機能階層一覧'!$E$3:$E$1048576,sheet1!B565)</f>
        <v>0</v>
      </c>
      <c r="I565" s="37"/>
      <c r="J565" s="37"/>
      <c r="K565" s="37"/>
      <c r="L565" s="37"/>
    </row>
    <row r="566" spans="1:12" ht="15.75" customHeight="1">
      <c r="A566" s="87" t="s">
        <v>3935</v>
      </c>
      <c r="B566" s="87" t="s">
        <v>3122</v>
      </c>
      <c r="C566" s="87" t="s">
        <v>4717</v>
      </c>
      <c r="D566" s="88">
        <v>274</v>
      </c>
      <c r="E566" s="85" t="s">
        <v>3938</v>
      </c>
      <c r="F566" s="87">
        <v>2</v>
      </c>
      <c r="G566" s="37"/>
      <c r="H566" s="37">
        <f>COUNTIF('(参考)現行システム機能階層一覧'!$E$3:$E$1048576,sheet1!B566)</f>
        <v>1</v>
      </c>
      <c r="I566" s="37"/>
      <c r="J566" s="37"/>
      <c r="K566" s="37"/>
      <c r="L566" s="37"/>
    </row>
    <row r="567" spans="1:12" ht="15.75" customHeight="1">
      <c r="A567" s="87" t="s">
        <v>3853</v>
      </c>
      <c r="B567" s="87" t="s">
        <v>4718</v>
      </c>
      <c r="C567" s="87" t="s">
        <v>4719</v>
      </c>
      <c r="D567" s="88">
        <v>97</v>
      </c>
      <c r="E567" s="85" t="s">
        <v>3938</v>
      </c>
      <c r="F567" s="87">
        <v>2</v>
      </c>
      <c r="G567" s="37"/>
      <c r="H567" s="37">
        <f>COUNTIF('(参考)現行システム機能階層一覧'!$E$3:$E$1048576,sheet1!B567)</f>
        <v>0</v>
      </c>
      <c r="I567" s="37"/>
      <c r="J567" s="37"/>
      <c r="K567" s="37"/>
      <c r="L567" s="37"/>
    </row>
    <row r="568" spans="1:12" ht="15.75" customHeight="1">
      <c r="A568" s="87" t="s">
        <v>3935</v>
      </c>
      <c r="B568" s="87" t="s">
        <v>4720</v>
      </c>
      <c r="C568" s="87" t="s">
        <v>4721</v>
      </c>
      <c r="D568" s="88">
        <v>351</v>
      </c>
      <c r="E568" s="85" t="s">
        <v>3938</v>
      </c>
      <c r="F568" s="87">
        <v>1</v>
      </c>
      <c r="G568" s="37"/>
      <c r="H568" s="37">
        <f>COUNTIF('(参考)現行システム機能階層一覧'!$E$3:$E$1048576,sheet1!B568)</f>
        <v>0</v>
      </c>
      <c r="I568" s="37"/>
      <c r="J568" s="37"/>
      <c r="K568" s="37"/>
      <c r="L568" s="37"/>
    </row>
    <row r="569" spans="1:12" ht="15.75" customHeight="1">
      <c r="A569" s="87" t="s">
        <v>3935</v>
      </c>
      <c r="B569" s="87" t="s">
        <v>4722</v>
      </c>
      <c r="C569" s="87" t="s">
        <v>4723</v>
      </c>
      <c r="D569" s="88">
        <v>265</v>
      </c>
      <c r="E569" s="85" t="s">
        <v>3938</v>
      </c>
      <c r="F569" s="87">
        <v>1</v>
      </c>
      <c r="G569" s="37"/>
      <c r="H569" s="37">
        <f>COUNTIF('(参考)現行システム機能階層一覧'!$E$3:$E$1048576,sheet1!B569)</f>
        <v>0</v>
      </c>
      <c r="I569" s="37"/>
      <c r="J569" s="37"/>
      <c r="K569" s="37"/>
      <c r="L569" s="37"/>
    </row>
    <row r="570" spans="1:12" ht="15.75" customHeight="1">
      <c r="A570" s="87" t="s">
        <v>3935</v>
      </c>
      <c r="B570" s="87" t="s">
        <v>3112</v>
      </c>
      <c r="C570" s="87" t="s">
        <v>4724</v>
      </c>
      <c r="D570" s="88">
        <v>155</v>
      </c>
      <c r="E570" s="85" t="s">
        <v>3938</v>
      </c>
      <c r="F570" s="87">
        <v>2</v>
      </c>
      <c r="G570" s="37"/>
      <c r="H570" s="37">
        <f>COUNTIF('(参考)現行システム機能階層一覧'!$E$3:$E$1048576,sheet1!B570)</f>
        <v>1</v>
      </c>
      <c r="I570" s="37"/>
      <c r="J570" s="37"/>
      <c r="K570" s="37"/>
      <c r="L570" s="37"/>
    </row>
    <row r="571" spans="1:12" ht="15.75" customHeight="1">
      <c r="A571" s="87" t="s">
        <v>3853</v>
      </c>
      <c r="B571" s="87" t="s">
        <v>4725</v>
      </c>
      <c r="C571" s="87" t="s">
        <v>4726</v>
      </c>
      <c r="D571" s="88">
        <v>51</v>
      </c>
      <c r="E571" s="85" t="s">
        <v>3938</v>
      </c>
      <c r="F571" s="87">
        <v>2</v>
      </c>
      <c r="G571" s="37"/>
      <c r="H571" s="37">
        <f>COUNTIF('(参考)現行システム機能階層一覧'!$E$3:$E$1048576,sheet1!B571)</f>
        <v>0</v>
      </c>
      <c r="I571" s="37"/>
      <c r="J571" s="37"/>
      <c r="K571" s="37"/>
      <c r="L571" s="37"/>
    </row>
    <row r="572" spans="1:12" ht="15.75" customHeight="1">
      <c r="A572" s="87" t="s">
        <v>3935</v>
      </c>
      <c r="B572" s="87" t="s">
        <v>4727</v>
      </c>
      <c r="C572" s="87" t="s">
        <v>4728</v>
      </c>
      <c r="D572" s="88">
        <v>502</v>
      </c>
      <c r="E572" s="85" t="s">
        <v>3938</v>
      </c>
      <c r="F572" s="87">
        <v>2</v>
      </c>
      <c r="G572" s="37"/>
      <c r="H572" s="37">
        <f>COUNTIF('(参考)現行システム機能階層一覧'!$E$3:$E$1048576,sheet1!B572)</f>
        <v>0</v>
      </c>
      <c r="I572" s="37"/>
      <c r="J572" s="37"/>
      <c r="K572" s="37"/>
      <c r="L572" s="37"/>
    </row>
    <row r="573" spans="1:12" ht="15.75" customHeight="1">
      <c r="A573" s="87" t="s">
        <v>3935</v>
      </c>
      <c r="B573" s="87" t="s">
        <v>3115</v>
      </c>
      <c r="C573" s="87" t="s">
        <v>4729</v>
      </c>
      <c r="D573" s="88">
        <v>233</v>
      </c>
      <c r="E573" s="85" t="s">
        <v>3938</v>
      </c>
      <c r="F573" s="87">
        <v>4</v>
      </c>
      <c r="G573" s="37"/>
      <c r="H573" s="37">
        <f>COUNTIF('(参考)現行システム機能階層一覧'!$E$3:$E$1048576,sheet1!B573)</f>
        <v>1</v>
      </c>
      <c r="I573" s="37"/>
      <c r="J573" s="37"/>
      <c r="K573" s="37"/>
      <c r="L573" s="37"/>
    </row>
    <row r="574" spans="1:12" ht="15.75" customHeight="1">
      <c r="A574" s="87" t="s">
        <v>3853</v>
      </c>
      <c r="B574" s="87" t="s">
        <v>4730</v>
      </c>
      <c r="C574" s="87" t="s">
        <v>3148</v>
      </c>
      <c r="D574" s="88">
        <v>53</v>
      </c>
      <c r="E574" s="85" t="s">
        <v>3938</v>
      </c>
      <c r="F574" s="87">
        <v>4</v>
      </c>
      <c r="G574" s="37"/>
      <c r="H574" s="37">
        <f>COUNTIF('(参考)現行システム機能階層一覧'!$E$3:$E$1048576,sheet1!B574)</f>
        <v>0</v>
      </c>
      <c r="I574" s="37"/>
      <c r="J574" s="37"/>
      <c r="K574" s="37"/>
      <c r="L574" s="37"/>
    </row>
    <row r="575" spans="1:12" ht="15.75" customHeight="1">
      <c r="A575" s="87" t="s">
        <v>3935</v>
      </c>
      <c r="B575" s="87" t="s">
        <v>4731</v>
      </c>
      <c r="C575" s="87" t="s">
        <v>4732</v>
      </c>
      <c r="D575" s="88">
        <v>814</v>
      </c>
      <c r="E575" s="85" t="s">
        <v>3938</v>
      </c>
      <c r="F575" s="87">
        <v>2</v>
      </c>
      <c r="G575" s="37"/>
      <c r="H575" s="37">
        <f>COUNTIF('(参考)現行システム機能階層一覧'!$E$3:$E$1048576,sheet1!B575)</f>
        <v>0</v>
      </c>
      <c r="I575" s="37"/>
      <c r="J575" s="37"/>
      <c r="K575" s="37"/>
      <c r="L575" s="37"/>
    </row>
    <row r="576" spans="1:12" ht="15.75" customHeight="1">
      <c r="A576" s="87" t="s">
        <v>3935</v>
      </c>
      <c r="B576" s="87" t="s">
        <v>3100</v>
      </c>
      <c r="C576" s="87" t="s">
        <v>4733</v>
      </c>
      <c r="D576" s="88">
        <v>370</v>
      </c>
      <c r="E576" s="85" t="s">
        <v>3938</v>
      </c>
      <c r="F576" s="87">
        <v>10</v>
      </c>
      <c r="G576" s="37"/>
      <c r="H576" s="37">
        <f>COUNTIF('(参考)現行システム機能階層一覧'!$E$3:$E$1048576,sheet1!B576)</f>
        <v>1</v>
      </c>
      <c r="I576" s="37"/>
      <c r="J576" s="37"/>
      <c r="K576" s="37"/>
      <c r="L576" s="37"/>
    </row>
    <row r="577" spans="1:12" ht="15.75" customHeight="1">
      <c r="A577" s="87" t="s">
        <v>3853</v>
      </c>
      <c r="B577" s="87" t="s">
        <v>4734</v>
      </c>
      <c r="C577" s="87" t="s">
        <v>4735</v>
      </c>
      <c r="D577" s="88">
        <v>75</v>
      </c>
      <c r="E577" s="85" t="s">
        <v>3938</v>
      </c>
      <c r="F577" s="87">
        <v>10</v>
      </c>
      <c r="G577" s="37"/>
      <c r="H577" s="37">
        <f>COUNTIF('(参考)現行システム機能階層一覧'!$E$3:$E$1048576,sheet1!B577)</f>
        <v>0</v>
      </c>
      <c r="I577" s="37"/>
      <c r="J577" s="37"/>
      <c r="K577" s="37"/>
      <c r="L577" s="37"/>
    </row>
    <row r="578" spans="1:12" ht="15.75" customHeight="1">
      <c r="A578" s="87" t="s">
        <v>3935</v>
      </c>
      <c r="B578" s="87" t="s">
        <v>4736</v>
      </c>
      <c r="C578" s="87" t="s">
        <v>4737</v>
      </c>
      <c r="D578" s="88">
        <v>256</v>
      </c>
      <c r="E578" s="85" t="s">
        <v>3938</v>
      </c>
      <c r="F578" s="87">
        <v>1</v>
      </c>
      <c r="G578" s="37"/>
      <c r="H578" s="37">
        <f>COUNTIF('(参考)現行システム機能階層一覧'!$E$3:$E$1048576,sheet1!B578)</f>
        <v>0</v>
      </c>
      <c r="I578" s="37"/>
      <c r="J578" s="37"/>
      <c r="K578" s="37"/>
      <c r="L578" s="37"/>
    </row>
    <row r="579" spans="1:12" ht="15.75" customHeight="1">
      <c r="A579" s="87" t="s">
        <v>3935</v>
      </c>
      <c r="B579" s="87" t="s">
        <v>4738</v>
      </c>
      <c r="C579" s="87" t="s">
        <v>4739</v>
      </c>
      <c r="D579" s="88">
        <v>125</v>
      </c>
      <c r="E579" s="85" t="s">
        <v>3938</v>
      </c>
      <c r="F579" s="87">
        <v>1</v>
      </c>
      <c r="G579" s="37"/>
      <c r="H579" s="37">
        <f>COUNTIF('(参考)現行システム機能階層一覧'!$E$3:$E$1048576,sheet1!B579)</f>
        <v>0</v>
      </c>
      <c r="I579" s="37"/>
      <c r="J579" s="37"/>
      <c r="K579" s="37"/>
      <c r="L579" s="37"/>
    </row>
    <row r="580" spans="1:12" ht="15.75" customHeight="1">
      <c r="A580" s="87" t="s">
        <v>3935</v>
      </c>
      <c r="B580" s="87" t="s">
        <v>4740</v>
      </c>
      <c r="C580" s="87" t="s">
        <v>4741</v>
      </c>
      <c r="D580" s="88">
        <v>394</v>
      </c>
      <c r="E580" s="85" t="s">
        <v>3938</v>
      </c>
      <c r="F580" s="87">
        <v>1</v>
      </c>
      <c r="G580" s="37"/>
      <c r="H580" s="37">
        <f>COUNTIF('(参考)現行システム機能階層一覧'!$E$3:$E$1048576,sheet1!B580)</f>
        <v>0</v>
      </c>
      <c r="I580" s="37"/>
      <c r="J580" s="37"/>
      <c r="K580" s="37"/>
      <c r="L580" s="37"/>
    </row>
    <row r="581" spans="1:12" ht="15.75" customHeight="1">
      <c r="A581" s="87" t="s">
        <v>3935</v>
      </c>
      <c r="B581" s="87" t="s">
        <v>4742</v>
      </c>
      <c r="C581" s="87" t="s">
        <v>4743</v>
      </c>
      <c r="D581" s="88">
        <v>555</v>
      </c>
      <c r="E581" s="85" t="s">
        <v>3938</v>
      </c>
      <c r="F581" s="87">
        <v>1</v>
      </c>
      <c r="G581" s="37"/>
      <c r="H581" s="37">
        <f>COUNTIF('(参考)現行システム機能階層一覧'!$E$3:$E$1048576,sheet1!B581)</f>
        <v>0</v>
      </c>
      <c r="I581" s="37"/>
      <c r="J581" s="37"/>
      <c r="K581" s="37"/>
      <c r="L581" s="37"/>
    </row>
    <row r="582" spans="1:12" ht="15.75" customHeight="1">
      <c r="A582" s="87" t="s">
        <v>3935</v>
      </c>
      <c r="B582" s="87" t="s">
        <v>3034</v>
      </c>
      <c r="C582" s="87" t="s">
        <v>4744</v>
      </c>
      <c r="D582" s="88">
        <v>901</v>
      </c>
      <c r="E582" s="85" t="s">
        <v>3938</v>
      </c>
      <c r="F582" s="87">
        <v>135</v>
      </c>
      <c r="G582" s="37"/>
      <c r="H582" s="37">
        <f>COUNTIF('(参考)現行システム機能階層一覧'!$E$3:$E$1048576,sheet1!B582)</f>
        <v>1</v>
      </c>
      <c r="I582" s="37"/>
      <c r="J582" s="37"/>
      <c r="K582" s="37"/>
      <c r="L582" s="37"/>
    </row>
    <row r="583" spans="1:12" ht="15.75" customHeight="1">
      <c r="A583" s="87" t="s">
        <v>3935</v>
      </c>
      <c r="B583" s="87" t="s">
        <v>2999</v>
      </c>
      <c r="C583" s="87" t="s">
        <v>3029</v>
      </c>
      <c r="D583" s="88">
        <v>649</v>
      </c>
      <c r="E583" s="85" t="s">
        <v>3938</v>
      </c>
      <c r="F583" s="87">
        <v>87</v>
      </c>
      <c r="G583" s="37"/>
      <c r="H583" s="37">
        <f>COUNTIF('(参考)現行システム機能階層一覧'!$E$3:$E$1048576,sheet1!B583)</f>
        <v>1</v>
      </c>
      <c r="I583" s="37"/>
      <c r="J583" s="37"/>
      <c r="K583" s="37"/>
      <c r="L583" s="37"/>
    </row>
    <row r="584" spans="1:12" ht="15.75" customHeight="1">
      <c r="A584" s="87" t="s">
        <v>3935</v>
      </c>
      <c r="B584" s="87" t="s">
        <v>2996</v>
      </c>
      <c r="C584" s="87" t="s">
        <v>4745</v>
      </c>
      <c r="D584" s="88">
        <v>295</v>
      </c>
      <c r="E584" s="85" t="s">
        <v>3938</v>
      </c>
      <c r="F584" s="87">
        <v>120</v>
      </c>
      <c r="G584" s="37"/>
      <c r="H584" s="37">
        <f>COUNTIF('(参考)現行システム機能階層一覧'!$E$3:$E$1048576,sheet1!B584)</f>
        <v>1</v>
      </c>
      <c r="I584" s="37"/>
      <c r="J584" s="37"/>
      <c r="K584" s="37"/>
      <c r="L584" s="37"/>
    </row>
    <row r="585" spans="1:12" ht="15.75" customHeight="1">
      <c r="A585" s="87" t="s">
        <v>3935</v>
      </c>
      <c r="B585" s="87" t="s">
        <v>3003</v>
      </c>
      <c r="C585" s="87" t="s">
        <v>3032</v>
      </c>
      <c r="D585" s="88">
        <v>211</v>
      </c>
      <c r="E585" s="85" t="s">
        <v>3938</v>
      </c>
      <c r="F585" s="87">
        <v>117</v>
      </c>
      <c r="G585" s="37"/>
      <c r="H585" s="37">
        <f>COUNTIF('(参考)現行システム機能階層一覧'!$E$3:$E$1048576,sheet1!B585)</f>
        <v>1</v>
      </c>
      <c r="I585" s="37"/>
      <c r="J585" s="37"/>
      <c r="K585" s="37"/>
      <c r="L585" s="37"/>
    </row>
    <row r="586" spans="1:12" ht="15.75" customHeight="1">
      <c r="A586" s="87" t="s">
        <v>3935</v>
      </c>
      <c r="B586" s="87" t="s">
        <v>3006</v>
      </c>
      <c r="C586" s="87" t="s">
        <v>3035</v>
      </c>
      <c r="D586" s="88">
        <v>277</v>
      </c>
      <c r="E586" s="85" t="s">
        <v>3938</v>
      </c>
      <c r="F586" s="87">
        <v>115</v>
      </c>
      <c r="G586" s="37"/>
      <c r="H586" s="37">
        <f>COUNTIF('(参考)現行システム機能階層一覧'!$E$3:$E$1048576,sheet1!B586)</f>
        <v>1</v>
      </c>
      <c r="I586" s="37"/>
      <c r="J586" s="37"/>
      <c r="K586" s="37"/>
      <c r="L586" s="37"/>
    </row>
    <row r="587" spans="1:12" ht="15.75" customHeight="1">
      <c r="A587" s="87" t="s">
        <v>3853</v>
      </c>
      <c r="B587" s="87" t="s">
        <v>4746</v>
      </c>
      <c r="C587" s="87" t="s">
        <v>3035</v>
      </c>
      <c r="D587" s="88">
        <v>41</v>
      </c>
      <c r="E587" s="85" t="s">
        <v>3938</v>
      </c>
      <c r="F587" s="87">
        <v>115</v>
      </c>
      <c r="G587" s="37"/>
      <c r="H587" s="37">
        <f>COUNTIF('(参考)現行システム機能階層一覧'!$E$3:$E$1048576,sheet1!B587)</f>
        <v>0</v>
      </c>
      <c r="I587" s="37"/>
      <c r="J587" s="37"/>
      <c r="K587" s="37"/>
      <c r="L587" s="37"/>
    </row>
    <row r="588" spans="1:12" ht="15.75" customHeight="1">
      <c r="A588" s="87" t="s">
        <v>3853</v>
      </c>
      <c r="B588" s="87" t="s">
        <v>4747</v>
      </c>
      <c r="C588" s="87" t="s">
        <v>4748</v>
      </c>
      <c r="D588" s="88">
        <v>40</v>
      </c>
      <c r="E588" s="85" t="s">
        <v>3938</v>
      </c>
      <c r="F588" s="87">
        <v>117</v>
      </c>
      <c r="G588" s="37"/>
      <c r="H588" s="37">
        <f>COUNTIF('(参考)現行システム機能階層一覧'!$E$3:$E$1048576,sheet1!B588)</f>
        <v>0</v>
      </c>
      <c r="I588" s="37"/>
      <c r="J588" s="37"/>
      <c r="K588" s="37"/>
      <c r="L588" s="37"/>
    </row>
    <row r="589" spans="1:12" ht="15.75" customHeight="1">
      <c r="A589" s="87" t="s">
        <v>3935</v>
      </c>
      <c r="B589" s="87" t="s">
        <v>3011</v>
      </c>
      <c r="C589" s="87" t="s">
        <v>4749</v>
      </c>
      <c r="D589" s="88">
        <v>110</v>
      </c>
      <c r="E589" s="85" t="s">
        <v>3938</v>
      </c>
      <c r="F589" s="87">
        <v>129</v>
      </c>
      <c r="G589" s="37"/>
      <c r="H589" s="37">
        <f>COUNTIF('(参考)現行システム機能階層一覧'!$E$3:$E$1048576,sheet1!B589)</f>
        <v>1</v>
      </c>
      <c r="I589" s="37"/>
      <c r="J589" s="37"/>
      <c r="K589" s="37"/>
      <c r="L589" s="37"/>
    </row>
    <row r="590" spans="1:12" ht="15.75" customHeight="1">
      <c r="A590" s="87" t="s">
        <v>3853</v>
      </c>
      <c r="B590" s="87" t="s">
        <v>4750</v>
      </c>
      <c r="C590" s="87" t="s">
        <v>4751</v>
      </c>
      <c r="D590" s="88">
        <v>79</v>
      </c>
      <c r="E590" s="85" t="s">
        <v>3938</v>
      </c>
      <c r="F590" s="87">
        <v>129</v>
      </c>
      <c r="G590" s="37"/>
      <c r="H590" s="37">
        <f>COUNTIF('(参考)現行システム機能階層一覧'!$E$3:$E$1048576,sheet1!B590)</f>
        <v>0</v>
      </c>
      <c r="I590" s="37"/>
      <c r="J590" s="37"/>
      <c r="K590" s="37"/>
      <c r="L590" s="37"/>
    </row>
    <row r="591" spans="1:12" ht="15.75" customHeight="1">
      <c r="A591" s="87" t="s">
        <v>3935</v>
      </c>
      <c r="B591" s="87" t="s">
        <v>4752</v>
      </c>
      <c r="C591" s="87" t="s">
        <v>4753</v>
      </c>
      <c r="D591" s="88">
        <v>480</v>
      </c>
      <c r="E591" s="85" t="s">
        <v>3938</v>
      </c>
      <c r="F591" s="87">
        <v>117</v>
      </c>
      <c r="G591" s="37"/>
      <c r="H591" s="37">
        <f>COUNTIF('(参考)現行システム機能階層一覧'!$E$3:$E$1048576,sheet1!B591)</f>
        <v>0</v>
      </c>
      <c r="I591" s="37"/>
      <c r="J591" s="37"/>
      <c r="K591" s="37"/>
      <c r="L591" s="37"/>
    </row>
    <row r="592" spans="1:12" ht="15.75" customHeight="1">
      <c r="A592" s="87" t="s">
        <v>3935</v>
      </c>
      <c r="B592" s="87" t="s">
        <v>4754</v>
      </c>
      <c r="C592" s="87" t="s">
        <v>4755</v>
      </c>
      <c r="D592" s="88">
        <v>333</v>
      </c>
      <c r="E592" s="85" t="s">
        <v>3938</v>
      </c>
      <c r="F592" s="87">
        <v>87</v>
      </c>
      <c r="G592" s="37"/>
      <c r="H592" s="37">
        <f>COUNTIF('(参考)現行システム機能階層一覧'!$E$3:$E$1048576,sheet1!B592)</f>
        <v>0</v>
      </c>
      <c r="I592" s="37"/>
      <c r="J592" s="37"/>
      <c r="K592" s="37"/>
      <c r="L592" s="37"/>
    </row>
    <row r="593" spans="1:12" ht="15.75" customHeight="1">
      <c r="A593" s="87" t="s">
        <v>3935</v>
      </c>
      <c r="B593" s="87" t="s">
        <v>4756</v>
      </c>
      <c r="C593" s="87" t="s">
        <v>4757</v>
      </c>
      <c r="D593" s="88">
        <v>106</v>
      </c>
      <c r="E593" s="85" t="s">
        <v>3938</v>
      </c>
      <c r="F593" s="87">
        <v>117</v>
      </c>
      <c r="G593" s="37"/>
      <c r="H593" s="37">
        <f>COUNTIF('(参考)現行システム機能階層一覧'!$E$3:$E$1048576,sheet1!B593)</f>
        <v>0</v>
      </c>
      <c r="I593" s="37"/>
      <c r="J593" s="37"/>
      <c r="K593" s="37"/>
      <c r="L593" s="37"/>
    </row>
    <row r="594" spans="1:12" ht="15.75" customHeight="1">
      <c r="A594" s="87" t="s">
        <v>3935</v>
      </c>
      <c r="B594" s="87" t="s">
        <v>4758</v>
      </c>
      <c r="C594" s="87" t="s">
        <v>4759</v>
      </c>
      <c r="D594" s="88">
        <v>264</v>
      </c>
      <c r="E594" s="85" t="s">
        <v>3938</v>
      </c>
      <c r="F594" s="87">
        <v>117</v>
      </c>
      <c r="G594" s="37"/>
      <c r="H594" s="37">
        <f>COUNTIF('(参考)現行システム機能階層一覧'!$E$3:$E$1048576,sheet1!B594)</f>
        <v>0</v>
      </c>
      <c r="I594" s="37"/>
      <c r="J594" s="37"/>
      <c r="K594" s="37"/>
      <c r="L594" s="37"/>
    </row>
    <row r="595" spans="1:12" ht="15.75" customHeight="1">
      <c r="A595" s="87" t="s">
        <v>3935</v>
      </c>
      <c r="B595" s="87" t="s">
        <v>4760</v>
      </c>
      <c r="C595" s="87" t="s">
        <v>4761</v>
      </c>
      <c r="D595" s="88">
        <v>211</v>
      </c>
      <c r="E595" s="85" t="s">
        <v>3938</v>
      </c>
      <c r="F595" s="87">
        <v>117</v>
      </c>
      <c r="G595" s="37"/>
      <c r="H595" s="37">
        <f>COUNTIF('(参考)現行システム機能階層一覧'!$E$3:$E$1048576,sheet1!B595)</f>
        <v>0</v>
      </c>
      <c r="I595" s="37"/>
      <c r="J595" s="37"/>
      <c r="K595" s="37"/>
      <c r="L595" s="37"/>
    </row>
    <row r="596" spans="1:12" ht="15.75" customHeight="1">
      <c r="A596" s="87" t="s">
        <v>3935</v>
      </c>
      <c r="B596" s="87" t="s">
        <v>4762</v>
      </c>
      <c r="C596" s="87" t="s">
        <v>4763</v>
      </c>
      <c r="D596" s="88">
        <v>119</v>
      </c>
      <c r="E596" s="85" t="s">
        <v>3938</v>
      </c>
      <c r="F596" s="87">
        <v>117</v>
      </c>
      <c r="G596" s="37"/>
      <c r="H596" s="37">
        <f>COUNTIF('(参考)現行システム機能階層一覧'!$E$3:$E$1048576,sheet1!B596)</f>
        <v>0</v>
      </c>
      <c r="I596" s="37"/>
      <c r="J596" s="37"/>
      <c r="K596" s="37"/>
      <c r="L596" s="37"/>
    </row>
    <row r="597" spans="1:12" ht="15.75" customHeight="1">
      <c r="A597" s="87" t="s">
        <v>3935</v>
      </c>
      <c r="B597" s="87" t="s">
        <v>4764</v>
      </c>
      <c r="C597" s="87" t="s">
        <v>4765</v>
      </c>
      <c r="D597" s="88">
        <v>127</v>
      </c>
      <c r="E597" s="85" t="s">
        <v>3938</v>
      </c>
      <c r="F597" s="87">
        <v>117</v>
      </c>
      <c r="G597" s="37"/>
      <c r="H597" s="37">
        <f>COUNTIF('(参考)現行システム機能階層一覧'!$E$3:$E$1048576,sheet1!B597)</f>
        <v>0</v>
      </c>
      <c r="I597" s="37"/>
      <c r="J597" s="37"/>
      <c r="K597" s="37"/>
      <c r="L597" s="37"/>
    </row>
    <row r="598" spans="1:12" ht="15.75" customHeight="1">
      <c r="A598" s="87" t="s">
        <v>3935</v>
      </c>
      <c r="B598" s="87" t="s">
        <v>4766</v>
      </c>
      <c r="C598" s="87" t="s">
        <v>4767</v>
      </c>
      <c r="D598" s="88">
        <v>134</v>
      </c>
      <c r="E598" s="85" t="s">
        <v>3938</v>
      </c>
      <c r="F598" s="87">
        <v>117</v>
      </c>
      <c r="G598" s="37"/>
      <c r="H598" s="37">
        <f>COUNTIF('(参考)現行システム機能階層一覧'!$E$3:$E$1048576,sheet1!B598)</f>
        <v>0</v>
      </c>
      <c r="I598" s="37"/>
      <c r="J598" s="37"/>
      <c r="K598" s="37"/>
      <c r="L598" s="37"/>
    </row>
    <row r="599" spans="1:12" ht="15.75" customHeight="1">
      <c r="A599" s="87" t="s">
        <v>3935</v>
      </c>
      <c r="B599" s="87" t="s">
        <v>4768</v>
      </c>
      <c r="C599" s="87" t="s">
        <v>4769</v>
      </c>
      <c r="D599" s="88">
        <v>613</v>
      </c>
      <c r="E599" s="85" t="s">
        <v>3938</v>
      </c>
      <c r="F599" s="87">
        <v>128</v>
      </c>
      <c r="G599" s="37"/>
      <c r="H599" s="37">
        <f>COUNTIF('(参考)現行システム機能階層一覧'!$E$3:$E$1048576,sheet1!B599)</f>
        <v>0</v>
      </c>
      <c r="I599" s="37"/>
      <c r="J599" s="37"/>
      <c r="K599" s="37"/>
      <c r="L599" s="37"/>
    </row>
    <row r="600" spans="1:12" ht="15.75" customHeight="1">
      <c r="A600" s="87" t="s">
        <v>3853</v>
      </c>
      <c r="B600" s="87" t="s">
        <v>4770</v>
      </c>
      <c r="C600" s="87" t="s">
        <v>4771</v>
      </c>
      <c r="D600" s="88">
        <v>53</v>
      </c>
      <c r="E600" s="85" t="s">
        <v>3938</v>
      </c>
      <c r="F600" s="87">
        <v>128</v>
      </c>
      <c r="G600" s="37"/>
      <c r="H600" s="37">
        <f>COUNTIF('(参考)現行システム機能階層一覧'!$E$3:$E$1048576,sheet1!B600)</f>
        <v>0</v>
      </c>
      <c r="I600" s="37"/>
      <c r="J600" s="37"/>
      <c r="K600" s="37"/>
      <c r="L600" s="37"/>
    </row>
    <row r="601" spans="1:12" ht="15.75" customHeight="1">
      <c r="A601" s="87" t="s">
        <v>3935</v>
      </c>
      <c r="B601" s="87" t="s">
        <v>3017</v>
      </c>
      <c r="C601" s="87" t="s">
        <v>4772</v>
      </c>
      <c r="D601" s="88">
        <v>708</v>
      </c>
      <c r="E601" s="85" t="s">
        <v>3938</v>
      </c>
      <c r="F601" s="87">
        <v>61</v>
      </c>
      <c r="G601" s="37"/>
      <c r="H601" s="37">
        <f>COUNTIF('(参考)現行システム機能階層一覧'!$E$3:$E$1048576,sheet1!B601)</f>
        <v>1</v>
      </c>
      <c r="I601" s="37"/>
      <c r="J601" s="37"/>
      <c r="K601" s="37"/>
      <c r="L601" s="37"/>
    </row>
    <row r="602" spans="1:12" ht="15.75" customHeight="1">
      <c r="A602" s="87" t="s">
        <v>3853</v>
      </c>
      <c r="B602" s="87" t="s">
        <v>4773</v>
      </c>
      <c r="C602" s="87" t="s">
        <v>4774</v>
      </c>
      <c r="D602" s="88">
        <v>85</v>
      </c>
      <c r="E602" s="85" t="s">
        <v>3938</v>
      </c>
      <c r="F602" s="87">
        <v>81</v>
      </c>
      <c r="G602" s="37"/>
      <c r="H602" s="37">
        <f>COUNTIF('(参考)現行システム機能階層一覧'!$E$3:$E$1048576,sheet1!B602)</f>
        <v>0</v>
      </c>
      <c r="I602" s="37"/>
      <c r="J602" s="37"/>
      <c r="K602" s="37"/>
      <c r="L602" s="37"/>
    </row>
    <row r="603" spans="1:12" ht="15.75" customHeight="1">
      <c r="A603" s="87" t="s">
        <v>3935</v>
      </c>
      <c r="B603" s="87" t="s">
        <v>3456</v>
      </c>
      <c r="C603" s="87" t="s">
        <v>4775</v>
      </c>
      <c r="D603" s="88">
        <v>481</v>
      </c>
      <c r="E603" s="85" t="s">
        <v>3938</v>
      </c>
      <c r="F603" s="87">
        <v>13</v>
      </c>
      <c r="G603" s="37"/>
      <c r="H603" s="37">
        <f>COUNTIF('(参考)現行システム機能階層一覧'!$E$3:$E$1048576,sheet1!B603)</f>
        <v>1</v>
      </c>
      <c r="I603" s="37"/>
      <c r="J603" s="37"/>
      <c r="K603" s="37"/>
      <c r="L603" s="37"/>
    </row>
    <row r="604" spans="1:12" ht="15.75" customHeight="1">
      <c r="A604" s="87" t="s">
        <v>3853</v>
      </c>
      <c r="B604" s="87" t="s">
        <v>4776</v>
      </c>
      <c r="C604" s="87" t="s">
        <v>4777</v>
      </c>
      <c r="D604" s="88">
        <v>18</v>
      </c>
      <c r="E604" s="85" t="s">
        <v>3938</v>
      </c>
      <c r="F604" s="87">
        <v>13</v>
      </c>
      <c r="G604" s="37"/>
      <c r="H604" s="37">
        <f>COUNTIF('(参考)現行システム機能階層一覧'!$E$3:$E$1048576,sheet1!B604)</f>
        <v>0</v>
      </c>
      <c r="I604" s="37"/>
      <c r="J604" s="37"/>
      <c r="K604" s="37"/>
      <c r="L604" s="37"/>
    </row>
    <row r="605" spans="1:12" ht="15.75" customHeight="1">
      <c r="A605" s="87" t="s">
        <v>3935</v>
      </c>
      <c r="B605" s="87" t="s">
        <v>3443</v>
      </c>
      <c r="C605" s="87" t="s">
        <v>3470</v>
      </c>
      <c r="D605" s="88">
        <v>550</v>
      </c>
      <c r="E605" s="85" t="s">
        <v>3938</v>
      </c>
      <c r="F605" s="87">
        <v>8</v>
      </c>
      <c r="G605" s="37"/>
      <c r="H605" s="37">
        <f>COUNTIF('(参考)現行システム機能階層一覧'!$E$3:$E$1048576,sheet1!B605)</f>
        <v>1</v>
      </c>
      <c r="I605" s="37"/>
      <c r="J605" s="37"/>
      <c r="K605" s="37"/>
      <c r="L605" s="37"/>
    </row>
    <row r="606" spans="1:12" ht="15.75" customHeight="1">
      <c r="A606" s="87" t="s">
        <v>3853</v>
      </c>
      <c r="B606" s="87" t="s">
        <v>4778</v>
      </c>
      <c r="C606" s="87" t="s">
        <v>3470</v>
      </c>
      <c r="D606" s="88">
        <v>25</v>
      </c>
      <c r="E606" s="85" t="s">
        <v>3938</v>
      </c>
      <c r="F606" s="87">
        <v>8</v>
      </c>
      <c r="G606" s="37"/>
      <c r="H606" s="37">
        <f>COUNTIF('(参考)現行システム機能階層一覧'!$E$3:$E$1048576,sheet1!B606)</f>
        <v>0</v>
      </c>
      <c r="I606" s="37"/>
      <c r="J606" s="37"/>
      <c r="K606" s="37"/>
      <c r="L606" s="37"/>
    </row>
    <row r="607" spans="1:12" ht="15.75" customHeight="1">
      <c r="A607" s="87" t="s">
        <v>3935</v>
      </c>
      <c r="B607" s="87" t="s">
        <v>4779</v>
      </c>
      <c r="C607" s="87" t="s">
        <v>4780</v>
      </c>
      <c r="D607" s="88">
        <v>560</v>
      </c>
      <c r="E607" s="85" t="s">
        <v>3938</v>
      </c>
      <c r="F607" s="87">
        <v>2</v>
      </c>
      <c r="G607" s="37"/>
      <c r="H607" s="37">
        <f>COUNTIF('(参考)現行システム機能階層一覧'!$E$3:$E$1048576,sheet1!B607)</f>
        <v>0</v>
      </c>
      <c r="I607" s="37"/>
      <c r="J607" s="37"/>
      <c r="K607" s="37"/>
      <c r="L607" s="37"/>
    </row>
    <row r="608" spans="1:12" ht="15.75" customHeight="1">
      <c r="A608" s="87" t="s">
        <v>3935</v>
      </c>
      <c r="B608" s="87" t="s">
        <v>3398</v>
      </c>
      <c r="C608" s="87" t="s">
        <v>4781</v>
      </c>
      <c r="D608" s="88">
        <v>205</v>
      </c>
      <c r="E608" s="85" t="s">
        <v>3938</v>
      </c>
      <c r="F608" s="87">
        <v>1</v>
      </c>
      <c r="G608" s="37"/>
      <c r="H608" s="37">
        <f>COUNTIF('(参考)現行システム機能階層一覧'!$E$3:$E$1048576,sheet1!B608)</f>
        <v>2</v>
      </c>
      <c r="I608" s="37"/>
      <c r="J608" s="37"/>
      <c r="K608" s="37"/>
      <c r="L608" s="37"/>
    </row>
    <row r="609" spans="1:12" ht="15.75" customHeight="1">
      <c r="A609" s="87" t="s">
        <v>3853</v>
      </c>
      <c r="B609" s="87" t="s">
        <v>4782</v>
      </c>
      <c r="C609" s="87" t="s">
        <v>3428</v>
      </c>
      <c r="D609" s="88">
        <v>344</v>
      </c>
      <c r="E609" s="85" t="s">
        <v>3938</v>
      </c>
      <c r="F609" s="87">
        <v>1</v>
      </c>
      <c r="G609" s="37"/>
      <c r="H609" s="37">
        <f>COUNTIF('(参考)現行システム機能階層一覧'!$E$3:$E$1048576,sheet1!B609)</f>
        <v>0</v>
      </c>
      <c r="I609" s="37"/>
      <c r="J609" s="37"/>
      <c r="K609" s="37"/>
      <c r="L609" s="37"/>
    </row>
    <row r="610" spans="1:12" ht="15.75" customHeight="1">
      <c r="A610" s="87" t="s">
        <v>3935</v>
      </c>
      <c r="B610" s="87" t="s">
        <v>4783</v>
      </c>
      <c r="C610" s="87" t="s">
        <v>4784</v>
      </c>
      <c r="D610" s="88">
        <v>540</v>
      </c>
      <c r="E610" s="85" t="s">
        <v>3938</v>
      </c>
      <c r="F610" s="87">
        <v>1</v>
      </c>
      <c r="G610" s="37"/>
      <c r="H610" s="37">
        <f>COUNTIF('(参考)現行システム機能階層一覧'!$E$3:$E$1048576,sheet1!B610)</f>
        <v>0</v>
      </c>
      <c r="I610" s="37"/>
      <c r="J610" s="37"/>
      <c r="K610" s="37"/>
      <c r="L610" s="37"/>
    </row>
    <row r="611" spans="1:12" ht="15.75" customHeight="1">
      <c r="A611" s="87" t="s">
        <v>3935</v>
      </c>
      <c r="B611" s="87" t="s">
        <v>4785</v>
      </c>
      <c r="C611" s="87" t="s">
        <v>4786</v>
      </c>
      <c r="D611" s="88">
        <v>97</v>
      </c>
      <c r="E611" s="85" t="s">
        <v>3938</v>
      </c>
      <c r="F611" s="87">
        <v>1</v>
      </c>
      <c r="G611" s="37"/>
      <c r="H611" s="37">
        <f>COUNTIF('(参考)現行システム機能階層一覧'!$E$3:$E$1048576,sheet1!B611)</f>
        <v>0</v>
      </c>
      <c r="I611" s="37"/>
      <c r="J611" s="37"/>
      <c r="K611" s="37"/>
      <c r="L611" s="37"/>
    </row>
    <row r="612" spans="1:12" ht="15.75" customHeight="1">
      <c r="A612" s="87" t="s">
        <v>3935</v>
      </c>
      <c r="B612" s="87" t="s">
        <v>4787</v>
      </c>
      <c r="C612" s="87" t="s">
        <v>4786</v>
      </c>
      <c r="D612" s="88">
        <v>136</v>
      </c>
      <c r="E612" s="85" t="s">
        <v>3938</v>
      </c>
      <c r="F612" s="87">
        <v>1</v>
      </c>
      <c r="G612" s="37"/>
      <c r="H612" s="37">
        <f>COUNTIF('(参考)現行システム機能階層一覧'!$E$3:$E$1048576,sheet1!B612)</f>
        <v>0</v>
      </c>
      <c r="I612" s="37"/>
      <c r="J612" s="37"/>
      <c r="K612" s="37"/>
      <c r="L612" s="37"/>
    </row>
    <row r="613" spans="1:12" ht="15.75" customHeight="1">
      <c r="A613" s="87" t="s">
        <v>3935</v>
      </c>
      <c r="B613" s="87" t="s">
        <v>3367</v>
      </c>
      <c r="C613" s="87" t="s">
        <v>3400</v>
      </c>
      <c r="D613" s="88">
        <v>981</v>
      </c>
      <c r="E613" s="85" t="s">
        <v>3938</v>
      </c>
      <c r="F613" s="87">
        <v>1</v>
      </c>
      <c r="G613" s="37"/>
      <c r="H613" s="37">
        <f>COUNTIF('(参考)現行システム機能階層一覧'!$E$3:$E$1048576,sheet1!B613)</f>
        <v>2</v>
      </c>
      <c r="I613" s="37"/>
      <c r="J613" s="37"/>
      <c r="K613" s="37"/>
      <c r="L613" s="37"/>
    </row>
    <row r="614" spans="1:12" ht="15.75" customHeight="1">
      <c r="A614" s="87" t="s">
        <v>3853</v>
      </c>
      <c r="B614" s="87" t="s">
        <v>4788</v>
      </c>
      <c r="C614" s="87" t="s">
        <v>3400</v>
      </c>
      <c r="D614" s="88">
        <v>12</v>
      </c>
      <c r="E614" s="85" t="s">
        <v>3938</v>
      </c>
      <c r="F614" s="87">
        <v>1</v>
      </c>
      <c r="G614" s="37"/>
      <c r="H614" s="37">
        <f>COUNTIF('(参考)現行システム機能階層一覧'!$E$3:$E$1048576,sheet1!B614)</f>
        <v>0</v>
      </c>
      <c r="I614" s="37"/>
      <c r="J614" s="37"/>
      <c r="K614" s="37"/>
      <c r="L614" s="37"/>
    </row>
    <row r="615" spans="1:12" ht="15.75" customHeight="1">
      <c r="A615" s="87" t="s">
        <v>3935</v>
      </c>
      <c r="B615" s="87" t="s">
        <v>3371</v>
      </c>
      <c r="C615" s="87" t="s">
        <v>4789</v>
      </c>
      <c r="D615" s="88">
        <v>752</v>
      </c>
      <c r="E615" s="85" t="s">
        <v>3938</v>
      </c>
      <c r="F615" s="87">
        <v>1</v>
      </c>
      <c r="G615" s="37"/>
      <c r="H615" s="37">
        <f>COUNTIF('(参考)現行システム機能階層一覧'!$E$3:$E$1048576,sheet1!B615)</f>
        <v>2</v>
      </c>
      <c r="I615" s="37"/>
      <c r="J615" s="37"/>
      <c r="K615" s="37"/>
      <c r="L615" s="37"/>
    </row>
    <row r="616" spans="1:12" ht="15.75" customHeight="1">
      <c r="A616" s="87" t="s">
        <v>3853</v>
      </c>
      <c r="B616" s="87" t="s">
        <v>4790</v>
      </c>
      <c r="C616" s="87" t="s">
        <v>4791</v>
      </c>
      <c r="D616" s="88">
        <v>12</v>
      </c>
      <c r="E616" s="85" t="s">
        <v>3938</v>
      </c>
      <c r="F616" s="87">
        <v>1</v>
      </c>
      <c r="G616" s="37"/>
      <c r="H616" s="37">
        <f>COUNTIF('(参考)現行システム機能階層一覧'!$E$3:$E$1048576,sheet1!B616)</f>
        <v>0</v>
      </c>
      <c r="I616" s="37"/>
      <c r="J616" s="37"/>
      <c r="K616" s="37"/>
      <c r="L616" s="37"/>
    </row>
    <row r="617" spans="1:12" ht="15.75" customHeight="1">
      <c r="A617" s="87" t="s">
        <v>3935</v>
      </c>
      <c r="B617" s="87" t="s">
        <v>3374</v>
      </c>
      <c r="C617" s="87" t="s">
        <v>4792</v>
      </c>
      <c r="D617" s="88">
        <v>792</v>
      </c>
      <c r="E617" s="85" t="s">
        <v>3938</v>
      </c>
      <c r="F617" s="87">
        <v>4</v>
      </c>
      <c r="G617" s="37"/>
      <c r="H617" s="37">
        <f>COUNTIF('(参考)現行システム機能階層一覧'!$E$3:$E$1048576,sheet1!B617)</f>
        <v>1</v>
      </c>
      <c r="I617" s="37"/>
      <c r="J617" s="37"/>
      <c r="K617" s="37"/>
      <c r="L617" s="37"/>
    </row>
    <row r="618" spans="1:12" ht="15.75" customHeight="1">
      <c r="A618" s="87" t="s">
        <v>3853</v>
      </c>
      <c r="B618" s="87" t="s">
        <v>4793</v>
      </c>
      <c r="C618" s="87" t="s">
        <v>4794</v>
      </c>
      <c r="D618" s="88">
        <v>12</v>
      </c>
      <c r="E618" s="85" t="s">
        <v>3938</v>
      </c>
      <c r="F618" s="87">
        <v>4</v>
      </c>
      <c r="G618" s="37"/>
      <c r="H618" s="37">
        <f>COUNTIF('(参考)現行システム機能階層一覧'!$E$3:$E$1048576,sheet1!B618)</f>
        <v>0</v>
      </c>
      <c r="I618" s="37"/>
      <c r="J618" s="37"/>
      <c r="K618" s="37"/>
      <c r="L618" s="37"/>
    </row>
    <row r="619" spans="1:12" ht="15.75" customHeight="1">
      <c r="A619" s="87" t="s">
        <v>3935</v>
      </c>
      <c r="B619" s="87" t="s">
        <v>3386</v>
      </c>
      <c r="C619" s="87" t="s">
        <v>4795</v>
      </c>
      <c r="D619" s="88">
        <v>1700</v>
      </c>
      <c r="E619" s="85" t="s">
        <v>3938</v>
      </c>
      <c r="F619" s="87">
        <v>2</v>
      </c>
      <c r="G619" s="37"/>
      <c r="H619" s="37">
        <f>COUNTIF('(参考)現行システム機能階層一覧'!$E$3:$E$1048576,sheet1!B619)</f>
        <v>2</v>
      </c>
      <c r="I619" s="37"/>
      <c r="J619" s="37"/>
      <c r="K619" s="37"/>
      <c r="L619" s="37"/>
    </row>
    <row r="620" spans="1:12" ht="15.75" customHeight="1">
      <c r="A620" s="87" t="s">
        <v>3853</v>
      </c>
      <c r="B620" s="87" t="s">
        <v>4796</v>
      </c>
      <c r="C620" s="87" t="s">
        <v>4797</v>
      </c>
      <c r="D620" s="88">
        <v>19</v>
      </c>
      <c r="E620" s="85" t="s">
        <v>3938</v>
      </c>
      <c r="F620" s="87">
        <v>2</v>
      </c>
      <c r="G620" s="37"/>
      <c r="H620" s="37">
        <f>COUNTIF('(参考)現行システム機能階層一覧'!$E$3:$E$1048576,sheet1!B620)</f>
        <v>0</v>
      </c>
      <c r="I620" s="37"/>
      <c r="J620" s="37"/>
      <c r="K620" s="37"/>
      <c r="L620" s="37"/>
    </row>
    <row r="621" spans="1:12" ht="15.75" customHeight="1">
      <c r="A621" s="87" t="s">
        <v>3935</v>
      </c>
      <c r="B621" s="87" t="s">
        <v>3389</v>
      </c>
      <c r="C621" s="87" t="s">
        <v>4798</v>
      </c>
      <c r="D621" s="88">
        <v>204</v>
      </c>
      <c r="E621" s="85" t="s">
        <v>3938</v>
      </c>
      <c r="F621" s="87">
        <v>1</v>
      </c>
      <c r="G621" s="37"/>
      <c r="H621" s="37">
        <f>COUNTIF('(参考)現行システム機能階層一覧'!$E$3:$E$1048576,sheet1!B621)</f>
        <v>2</v>
      </c>
      <c r="I621" s="37"/>
      <c r="J621" s="37"/>
      <c r="K621" s="37"/>
      <c r="L621" s="37"/>
    </row>
    <row r="622" spans="1:12" ht="15.75" customHeight="1">
      <c r="A622" s="87" t="s">
        <v>3853</v>
      </c>
      <c r="B622" s="87" t="s">
        <v>4799</v>
      </c>
      <c r="C622" s="87" t="s">
        <v>3421</v>
      </c>
      <c r="D622" s="88">
        <v>104</v>
      </c>
      <c r="E622" s="85" t="s">
        <v>3938</v>
      </c>
      <c r="F622" s="87">
        <v>1</v>
      </c>
      <c r="G622" s="37"/>
      <c r="H622" s="37">
        <f>COUNTIF('(参考)現行システム機能階層一覧'!$E$3:$E$1048576,sheet1!B622)</f>
        <v>0</v>
      </c>
      <c r="I622" s="37"/>
      <c r="J622" s="37"/>
      <c r="K622" s="37"/>
      <c r="L622" s="37"/>
    </row>
    <row r="623" spans="1:12" ht="15.75" customHeight="1">
      <c r="A623" s="87" t="s">
        <v>3935</v>
      </c>
      <c r="B623" s="87" t="s">
        <v>4800</v>
      </c>
      <c r="C623" s="87" t="s">
        <v>4801</v>
      </c>
      <c r="D623" s="88">
        <v>89</v>
      </c>
      <c r="E623" s="85" t="s">
        <v>3938</v>
      </c>
      <c r="F623" s="87">
        <v>1</v>
      </c>
      <c r="G623" s="37"/>
      <c r="H623" s="37">
        <f>COUNTIF('(参考)現行システム機能階層一覧'!$E$3:$E$1048576,sheet1!B623)</f>
        <v>0</v>
      </c>
      <c r="I623" s="37"/>
      <c r="J623" s="37"/>
      <c r="K623" s="37"/>
      <c r="L623" s="37"/>
    </row>
    <row r="624" spans="1:12" ht="15.75" customHeight="1">
      <c r="A624" s="87" t="s">
        <v>3935</v>
      </c>
      <c r="B624" s="87" t="s">
        <v>4802</v>
      </c>
      <c r="C624" s="87" t="s">
        <v>4803</v>
      </c>
      <c r="D624" s="88">
        <v>447</v>
      </c>
      <c r="E624" s="85" t="s">
        <v>3938</v>
      </c>
      <c r="F624" s="87">
        <v>1</v>
      </c>
      <c r="G624" s="37"/>
      <c r="H624" s="37">
        <f>COUNTIF('(参考)現行システム機能階層一覧'!$E$3:$E$1048576,sheet1!B624)</f>
        <v>0</v>
      </c>
      <c r="I624" s="37"/>
      <c r="J624" s="37"/>
      <c r="K624" s="37"/>
      <c r="L624" s="37"/>
    </row>
    <row r="625" spans="1:12" ht="15.75" customHeight="1">
      <c r="A625" s="87" t="s">
        <v>3935</v>
      </c>
      <c r="B625" s="87" t="s">
        <v>4804</v>
      </c>
      <c r="C625" s="87" t="s">
        <v>4805</v>
      </c>
      <c r="D625" s="88">
        <v>498</v>
      </c>
      <c r="E625" s="85" t="s">
        <v>3938</v>
      </c>
      <c r="F625" s="87">
        <v>1</v>
      </c>
      <c r="G625" s="37"/>
      <c r="H625" s="37">
        <f>COUNTIF('(参考)現行システム機能階層一覧'!$E$3:$E$1048576,sheet1!B625)</f>
        <v>0</v>
      </c>
      <c r="I625" s="37"/>
      <c r="J625" s="37"/>
      <c r="K625" s="37"/>
      <c r="L625" s="37"/>
    </row>
    <row r="626" spans="1:12" ht="15.75" customHeight="1">
      <c r="A626" s="87" t="s">
        <v>3935</v>
      </c>
      <c r="B626" s="87" t="s">
        <v>4806</v>
      </c>
      <c r="C626" s="87" t="s">
        <v>4807</v>
      </c>
      <c r="D626" s="88">
        <v>387</v>
      </c>
      <c r="E626" s="85" t="s">
        <v>3938</v>
      </c>
      <c r="F626" s="87">
        <v>1</v>
      </c>
      <c r="G626" s="37"/>
      <c r="H626" s="37">
        <f>COUNTIF('(参考)現行システム機能階層一覧'!$E$3:$E$1048576,sheet1!B626)</f>
        <v>0</v>
      </c>
      <c r="I626" s="37"/>
      <c r="J626" s="37"/>
      <c r="K626" s="37"/>
      <c r="L626" s="37"/>
    </row>
    <row r="627" spans="1:12" ht="15.75" customHeight="1">
      <c r="A627" s="87" t="s">
        <v>3935</v>
      </c>
      <c r="B627" s="87" t="s">
        <v>3392</v>
      </c>
      <c r="C627" s="87" t="s">
        <v>4808</v>
      </c>
      <c r="D627" s="88">
        <v>1262</v>
      </c>
      <c r="E627" s="85" t="s">
        <v>3938</v>
      </c>
      <c r="F627" s="87">
        <v>1</v>
      </c>
      <c r="G627" s="37"/>
      <c r="H627" s="37">
        <f>COUNTIF('(参考)現行システム機能階層一覧'!$E$3:$E$1048576,sheet1!B627)</f>
        <v>2</v>
      </c>
      <c r="I627" s="37"/>
      <c r="J627" s="37"/>
      <c r="K627" s="37"/>
      <c r="L627" s="37"/>
    </row>
    <row r="628" spans="1:12" ht="15.75" customHeight="1">
      <c r="A628" s="87" t="s">
        <v>3853</v>
      </c>
      <c r="B628" s="87" t="s">
        <v>4809</v>
      </c>
      <c r="C628" s="87" t="s">
        <v>4808</v>
      </c>
      <c r="D628" s="88">
        <v>17</v>
      </c>
      <c r="E628" s="85" t="s">
        <v>3938</v>
      </c>
      <c r="F628" s="87">
        <v>1</v>
      </c>
      <c r="G628" s="37"/>
      <c r="H628" s="37">
        <f>COUNTIF('(参考)現行システム機能階層一覧'!$E$3:$E$1048576,sheet1!B628)</f>
        <v>0</v>
      </c>
      <c r="I628" s="37"/>
      <c r="J628" s="37"/>
      <c r="K628" s="37"/>
      <c r="L628" s="37"/>
    </row>
    <row r="629" spans="1:12" ht="15.75" customHeight="1">
      <c r="A629" s="87" t="s">
        <v>3935</v>
      </c>
      <c r="B629" s="87" t="s">
        <v>3395</v>
      </c>
      <c r="C629" s="87" t="s">
        <v>4810</v>
      </c>
      <c r="D629" s="88">
        <v>1238</v>
      </c>
      <c r="E629" s="85" t="s">
        <v>3938</v>
      </c>
      <c r="F629" s="87">
        <v>1</v>
      </c>
      <c r="G629" s="37"/>
      <c r="H629" s="37">
        <f>COUNTIF('(参考)現行システム機能階層一覧'!$E$3:$E$1048576,sheet1!B629)</f>
        <v>1</v>
      </c>
      <c r="I629" s="37"/>
      <c r="J629" s="37"/>
      <c r="K629" s="37"/>
      <c r="L629" s="37"/>
    </row>
    <row r="630" spans="1:12" ht="15.75" customHeight="1">
      <c r="A630" s="87" t="s">
        <v>3853</v>
      </c>
      <c r="B630" s="87" t="s">
        <v>4811</v>
      </c>
      <c r="C630" s="87" t="s">
        <v>4808</v>
      </c>
      <c r="D630" s="88">
        <v>17</v>
      </c>
      <c r="E630" s="85" t="s">
        <v>3938</v>
      </c>
      <c r="F630" s="87">
        <v>1</v>
      </c>
      <c r="G630" s="37"/>
      <c r="H630" s="37">
        <f>COUNTIF('(参考)現行システム機能階層一覧'!$E$3:$E$1048576,sheet1!B630)</f>
        <v>0</v>
      </c>
      <c r="I630" s="37"/>
      <c r="J630" s="37"/>
      <c r="K630" s="37"/>
      <c r="L630" s="37"/>
    </row>
    <row r="631" spans="1:12" ht="15.75" customHeight="1">
      <c r="A631" s="87" t="s">
        <v>3935</v>
      </c>
      <c r="B631" s="87" t="s">
        <v>3402</v>
      </c>
      <c r="C631" s="87" t="s">
        <v>4812</v>
      </c>
      <c r="D631" s="88">
        <v>1450</v>
      </c>
      <c r="E631" s="85" t="s">
        <v>3938</v>
      </c>
      <c r="F631" s="87">
        <v>1</v>
      </c>
      <c r="G631" s="37"/>
      <c r="H631" s="37">
        <f>COUNTIF('(参考)現行システム機能階層一覧'!$E$3:$E$1048576,sheet1!B631)</f>
        <v>1</v>
      </c>
      <c r="I631" s="37"/>
      <c r="J631" s="37"/>
      <c r="K631" s="37"/>
      <c r="L631" s="37"/>
    </row>
    <row r="632" spans="1:12" ht="15.75" customHeight="1">
      <c r="A632" s="87" t="s">
        <v>3853</v>
      </c>
      <c r="B632" s="87" t="s">
        <v>4813</v>
      </c>
      <c r="C632" s="87" t="s">
        <v>4812</v>
      </c>
      <c r="D632" s="88">
        <v>17</v>
      </c>
      <c r="E632" s="85" t="s">
        <v>3938</v>
      </c>
      <c r="F632" s="87">
        <v>1</v>
      </c>
      <c r="G632" s="37"/>
      <c r="H632" s="37">
        <f>COUNTIF('(参考)現行システム機能階層一覧'!$E$3:$E$1048576,sheet1!B632)</f>
        <v>0</v>
      </c>
      <c r="I632" s="37"/>
      <c r="J632" s="37"/>
      <c r="K632" s="37"/>
      <c r="L632" s="37"/>
    </row>
    <row r="633" spans="1:12" ht="15.75" customHeight="1">
      <c r="A633" s="87" t="s">
        <v>3935</v>
      </c>
      <c r="B633" s="87" t="s">
        <v>3405</v>
      </c>
      <c r="C633" s="87" t="s">
        <v>4814</v>
      </c>
      <c r="D633" s="88">
        <v>1470</v>
      </c>
      <c r="E633" s="85" t="s">
        <v>3938</v>
      </c>
      <c r="F633" s="87">
        <v>1</v>
      </c>
      <c r="G633" s="37"/>
      <c r="H633" s="37">
        <f>COUNTIF('(参考)現行システム機能階層一覧'!$E$3:$E$1048576,sheet1!B633)</f>
        <v>1</v>
      </c>
      <c r="I633" s="37"/>
      <c r="J633" s="37"/>
      <c r="K633" s="37"/>
      <c r="L633" s="37"/>
    </row>
    <row r="634" spans="1:12" ht="15.75" customHeight="1">
      <c r="A634" s="87" t="s">
        <v>3853</v>
      </c>
      <c r="B634" s="87" t="s">
        <v>4815</v>
      </c>
      <c r="C634" s="87" t="s">
        <v>4814</v>
      </c>
      <c r="D634" s="88">
        <v>17</v>
      </c>
      <c r="E634" s="85" t="s">
        <v>3938</v>
      </c>
      <c r="F634" s="87">
        <v>1</v>
      </c>
      <c r="G634" s="37"/>
      <c r="H634" s="37">
        <f>COUNTIF('(参考)現行システム機能階層一覧'!$E$3:$E$1048576,sheet1!B634)</f>
        <v>0</v>
      </c>
      <c r="I634" s="37"/>
      <c r="J634" s="37"/>
      <c r="K634" s="37"/>
      <c r="L634" s="37"/>
    </row>
    <row r="635" spans="1:12" ht="15.75" customHeight="1">
      <c r="A635" s="87" t="s">
        <v>3935</v>
      </c>
      <c r="B635" s="87" t="s">
        <v>3408</v>
      </c>
      <c r="C635" s="87" t="s">
        <v>4816</v>
      </c>
      <c r="D635" s="88">
        <v>1051</v>
      </c>
      <c r="E635" s="85" t="s">
        <v>3938</v>
      </c>
      <c r="F635" s="87">
        <v>3</v>
      </c>
      <c r="G635" s="37"/>
      <c r="H635" s="37">
        <f>COUNTIF('(参考)現行システム機能階層一覧'!$E$3:$E$1048576,sheet1!B635)</f>
        <v>1</v>
      </c>
      <c r="I635" s="37"/>
      <c r="J635" s="37"/>
      <c r="K635" s="37"/>
      <c r="L635" s="37"/>
    </row>
    <row r="636" spans="1:12" ht="15.75" customHeight="1">
      <c r="A636" s="87" t="s">
        <v>3853</v>
      </c>
      <c r="B636" s="87" t="s">
        <v>4817</v>
      </c>
      <c r="C636" s="87" t="s">
        <v>4816</v>
      </c>
      <c r="D636" s="88">
        <v>17</v>
      </c>
      <c r="E636" s="85" t="s">
        <v>3938</v>
      </c>
      <c r="F636" s="87">
        <v>3</v>
      </c>
      <c r="G636" s="37"/>
      <c r="H636" s="37">
        <f>COUNTIF('(参考)現行システム機能階層一覧'!$E$3:$E$1048576,sheet1!B636)</f>
        <v>0</v>
      </c>
      <c r="I636" s="37"/>
      <c r="J636" s="37"/>
      <c r="K636" s="37"/>
      <c r="L636" s="37"/>
    </row>
    <row r="637" spans="1:12" ht="15.75" customHeight="1">
      <c r="A637" s="87" t="s">
        <v>3935</v>
      </c>
      <c r="B637" s="87" t="s">
        <v>3377</v>
      </c>
      <c r="C637" s="87" t="s">
        <v>4818</v>
      </c>
      <c r="D637" s="88">
        <v>658</v>
      </c>
      <c r="E637" s="85" t="s">
        <v>3938</v>
      </c>
      <c r="F637" s="87">
        <v>1</v>
      </c>
      <c r="G637" s="37"/>
      <c r="H637" s="37">
        <f>COUNTIF('(参考)現行システム機能階層一覧'!$E$3:$E$1048576,sheet1!B637)</f>
        <v>2</v>
      </c>
      <c r="I637" s="37"/>
      <c r="J637" s="37"/>
      <c r="K637" s="37"/>
      <c r="L637" s="37"/>
    </row>
    <row r="638" spans="1:12" ht="15.75" customHeight="1">
      <c r="A638" s="87" t="s">
        <v>3853</v>
      </c>
      <c r="B638" s="87" t="s">
        <v>4819</v>
      </c>
      <c r="C638" s="87" t="s">
        <v>4820</v>
      </c>
      <c r="D638" s="88">
        <v>30</v>
      </c>
      <c r="E638" s="85" t="s">
        <v>3938</v>
      </c>
      <c r="F638" s="87">
        <v>1</v>
      </c>
      <c r="G638" s="37"/>
      <c r="H638" s="37">
        <f>COUNTIF('(参考)現行システム機能階層一覧'!$E$3:$E$1048576,sheet1!B638)</f>
        <v>0</v>
      </c>
      <c r="I638" s="37"/>
      <c r="J638" s="37"/>
      <c r="K638" s="37"/>
      <c r="L638" s="37"/>
    </row>
    <row r="639" spans="1:12" ht="15.75" customHeight="1">
      <c r="A639" s="87" t="s">
        <v>3853</v>
      </c>
      <c r="B639" s="87" t="s">
        <v>4821</v>
      </c>
      <c r="C639" s="87" t="s">
        <v>4820</v>
      </c>
      <c r="D639" s="88">
        <v>12</v>
      </c>
      <c r="E639" s="85" t="s">
        <v>3938</v>
      </c>
      <c r="F639" s="87">
        <v>1</v>
      </c>
      <c r="G639" s="37"/>
      <c r="H639" s="37">
        <f>COUNTIF('(参考)現行システム機能階層一覧'!$E$3:$E$1048576,sheet1!B639)</f>
        <v>0</v>
      </c>
      <c r="I639" s="37"/>
      <c r="J639" s="37"/>
      <c r="K639" s="37"/>
      <c r="L639" s="37"/>
    </row>
    <row r="640" spans="1:12" ht="15.75" customHeight="1">
      <c r="A640" s="87" t="s">
        <v>3935</v>
      </c>
      <c r="B640" s="87" t="s">
        <v>3380</v>
      </c>
      <c r="C640" s="87" t="s">
        <v>4822</v>
      </c>
      <c r="D640" s="88">
        <v>520</v>
      </c>
      <c r="E640" s="85" t="s">
        <v>3938</v>
      </c>
      <c r="F640" s="87">
        <v>1</v>
      </c>
      <c r="G640" s="37"/>
      <c r="H640" s="37">
        <f>COUNTIF('(参考)現行システム機能階層一覧'!$E$3:$E$1048576,sheet1!B640)</f>
        <v>2</v>
      </c>
      <c r="I640" s="37"/>
      <c r="J640" s="37"/>
      <c r="K640" s="37"/>
      <c r="L640" s="37"/>
    </row>
    <row r="641" spans="1:12" ht="15.75" customHeight="1">
      <c r="A641" s="87" t="s">
        <v>3853</v>
      </c>
      <c r="B641" s="87" t="s">
        <v>4823</v>
      </c>
      <c r="C641" s="87" t="s">
        <v>4824</v>
      </c>
      <c r="D641" s="88">
        <v>6</v>
      </c>
      <c r="E641" s="85" t="s">
        <v>3938</v>
      </c>
      <c r="F641" s="87">
        <v>1</v>
      </c>
      <c r="G641" s="37"/>
      <c r="H641" s="37">
        <f>COUNTIF('(参考)現行システム機能階層一覧'!$E$3:$E$1048576,sheet1!B641)</f>
        <v>0</v>
      </c>
      <c r="I641" s="37"/>
      <c r="J641" s="37"/>
      <c r="K641" s="37"/>
      <c r="L641" s="37"/>
    </row>
    <row r="642" spans="1:12" ht="15.75" customHeight="1">
      <c r="A642" s="87" t="s">
        <v>3853</v>
      </c>
      <c r="B642" s="87" t="s">
        <v>4825</v>
      </c>
      <c r="C642" s="87" t="s">
        <v>4824</v>
      </c>
      <c r="D642" s="88">
        <v>12</v>
      </c>
      <c r="E642" s="85" t="s">
        <v>3938</v>
      </c>
      <c r="F642" s="87">
        <v>1</v>
      </c>
      <c r="G642" s="37"/>
      <c r="H642" s="37">
        <f>COUNTIF('(参考)現行システム機能階層一覧'!$E$3:$E$1048576,sheet1!B642)</f>
        <v>0</v>
      </c>
      <c r="I642" s="37"/>
      <c r="J642" s="37"/>
      <c r="K642" s="37"/>
      <c r="L642" s="37"/>
    </row>
    <row r="643" spans="1:12" ht="15.75" customHeight="1">
      <c r="A643" s="87" t="s">
        <v>3935</v>
      </c>
      <c r="B643" s="87" t="s">
        <v>3383</v>
      </c>
      <c r="C643" s="87" t="s">
        <v>4826</v>
      </c>
      <c r="D643" s="88">
        <v>544</v>
      </c>
      <c r="E643" s="85" t="s">
        <v>3938</v>
      </c>
      <c r="F643" s="87">
        <v>3</v>
      </c>
      <c r="G643" s="37"/>
      <c r="H643" s="37">
        <f>COUNTIF('(参考)現行システム機能階層一覧'!$E$3:$E$1048576,sheet1!B643)</f>
        <v>1</v>
      </c>
      <c r="I643" s="37"/>
      <c r="J643" s="37"/>
      <c r="K643" s="37"/>
      <c r="L643" s="37"/>
    </row>
    <row r="644" spans="1:12" ht="15.75" customHeight="1">
      <c r="A644" s="87" t="s">
        <v>3853</v>
      </c>
      <c r="B644" s="87" t="s">
        <v>4827</v>
      </c>
      <c r="C644" s="87" t="s">
        <v>4828</v>
      </c>
      <c r="D644" s="88">
        <v>5</v>
      </c>
      <c r="E644" s="85" t="s">
        <v>3938</v>
      </c>
      <c r="F644" s="87">
        <v>1</v>
      </c>
      <c r="G644" s="37"/>
      <c r="H644" s="37">
        <f>COUNTIF('(参考)現行システム機能階層一覧'!$E$3:$E$1048576,sheet1!B644)</f>
        <v>0</v>
      </c>
      <c r="I644" s="37"/>
      <c r="J644" s="37"/>
      <c r="K644" s="37"/>
      <c r="L644" s="37"/>
    </row>
    <row r="645" spans="1:12" ht="15.75" customHeight="1">
      <c r="A645" s="87" t="s">
        <v>3853</v>
      </c>
      <c r="B645" s="87" t="s">
        <v>4829</v>
      </c>
      <c r="C645" s="87" t="s">
        <v>4828</v>
      </c>
      <c r="D645" s="88">
        <v>12</v>
      </c>
      <c r="E645" s="85" t="s">
        <v>3938</v>
      </c>
      <c r="F645" s="87">
        <v>3</v>
      </c>
      <c r="G645" s="37"/>
      <c r="H645" s="37">
        <f>COUNTIF('(参考)現行システム機能階層一覧'!$E$3:$E$1048576,sheet1!B645)</f>
        <v>0</v>
      </c>
      <c r="I645" s="37"/>
      <c r="J645" s="37"/>
      <c r="K645" s="37"/>
      <c r="L645" s="37"/>
    </row>
    <row r="646" spans="1:12" ht="15.75" customHeight="1">
      <c r="A646" s="87" t="s">
        <v>3853</v>
      </c>
      <c r="B646" s="87" t="s">
        <v>4830</v>
      </c>
      <c r="C646" s="87" t="s">
        <v>4831</v>
      </c>
      <c r="D646" s="88">
        <v>97</v>
      </c>
      <c r="E646" s="85" t="s">
        <v>3938</v>
      </c>
      <c r="F646" s="87">
        <v>1</v>
      </c>
      <c r="G646" s="37"/>
      <c r="H646" s="37">
        <f>COUNTIF('(参考)現行システム機能階層一覧'!$E$3:$E$1048576,sheet1!B646)</f>
        <v>0</v>
      </c>
      <c r="I646" s="37"/>
      <c r="J646" s="37"/>
      <c r="K646" s="37"/>
      <c r="L646" s="37"/>
    </row>
    <row r="647" spans="1:12" ht="15.75" customHeight="1">
      <c r="A647" s="87" t="s">
        <v>3935</v>
      </c>
      <c r="B647" s="87" t="s">
        <v>4832</v>
      </c>
      <c r="C647" s="87" t="s">
        <v>4833</v>
      </c>
      <c r="D647" s="88">
        <v>99</v>
      </c>
      <c r="E647" s="85" t="s">
        <v>3938</v>
      </c>
      <c r="F647" s="87">
        <v>415</v>
      </c>
      <c r="G647" s="37"/>
      <c r="H647" s="37">
        <f>COUNTIF('(参考)現行システム機能階層一覧'!$E$3:$E$1048576,sheet1!B647)</f>
        <v>0</v>
      </c>
      <c r="I647" s="37"/>
      <c r="J647" s="37"/>
      <c r="K647" s="37"/>
      <c r="L647" s="37"/>
    </row>
    <row r="648" spans="1:12" ht="15.75" customHeight="1">
      <c r="A648" s="87" t="s">
        <v>3935</v>
      </c>
      <c r="B648" s="87" t="s">
        <v>4834</v>
      </c>
      <c r="C648" s="87" t="s">
        <v>4835</v>
      </c>
      <c r="D648" s="88">
        <v>99</v>
      </c>
      <c r="E648" s="85" t="s">
        <v>3938</v>
      </c>
      <c r="F648" s="87">
        <v>191</v>
      </c>
      <c r="G648" s="37"/>
      <c r="H648" s="37">
        <f>COUNTIF('(参考)現行システム機能階層一覧'!$E$3:$E$1048576,sheet1!B648)</f>
        <v>0</v>
      </c>
      <c r="I648" s="37"/>
      <c r="J648" s="37"/>
      <c r="K648" s="37"/>
      <c r="L648" s="37"/>
    </row>
    <row r="649" spans="1:12" ht="15.75" customHeight="1">
      <c r="A649" s="87" t="s">
        <v>3935</v>
      </c>
      <c r="B649" s="87" t="s">
        <v>4836</v>
      </c>
      <c r="C649" s="87" t="s">
        <v>4837</v>
      </c>
      <c r="D649" s="88">
        <v>99</v>
      </c>
      <c r="E649" s="85" t="s">
        <v>3938</v>
      </c>
      <c r="F649" s="87">
        <v>2</v>
      </c>
      <c r="G649" s="37"/>
      <c r="H649" s="37">
        <f>COUNTIF('(参考)現行システム機能階層一覧'!$E$3:$E$1048576,sheet1!B649)</f>
        <v>0</v>
      </c>
      <c r="I649" s="37"/>
      <c r="J649" s="37"/>
      <c r="K649" s="37"/>
      <c r="L649" s="37"/>
    </row>
    <row r="650" spans="1:12" ht="15.75" customHeight="1">
      <c r="A650" s="87" t="s">
        <v>3935</v>
      </c>
      <c r="B650" s="87" t="s">
        <v>4838</v>
      </c>
      <c r="C650" s="87" t="s">
        <v>4839</v>
      </c>
      <c r="D650" s="88">
        <v>238</v>
      </c>
      <c r="E650" s="85" t="s">
        <v>3938</v>
      </c>
      <c r="F650" s="87">
        <v>65</v>
      </c>
      <c r="G650" s="37"/>
      <c r="H650" s="37">
        <f>COUNTIF('(参考)現行システム機能階層一覧'!$E$3:$E$1048576,sheet1!B650)</f>
        <v>0</v>
      </c>
      <c r="I650" s="37"/>
      <c r="J650" s="37"/>
      <c r="K650" s="37"/>
      <c r="L650" s="37"/>
    </row>
    <row r="651" spans="1:12" ht="15.75" customHeight="1">
      <c r="A651" s="87" t="s">
        <v>3853</v>
      </c>
      <c r="B651" s="87" t="s">
        <v>4840</v>
      </c>
      <c r="C651" s="87" t="s">
        <v>4841</v>
      </c>
      <c r="D651" s="88">
        <v>35</v>
      </c>
      <c r="E651" s="85" t="s">
        <v>3938</v>
      </c>
      <c r="F651" s="87">
        <v>75</v>
      </c>
      <c r="G651" s="37"/>
      <c r="H651" s="37">
        <f>COUNTIF('(参考)現行システム機能階層一覧'!$E$3:$E$1048576,sheet1!B651)</f>
        <v>0</v>
      </c>
      <c r="I651" s="37"/>
      <c r="J651" s="37"/>
      <c r="K651" s="37"/>
      <c r="L651" s="37"/>
    </row>
    <row r="652" spans="1:12" ht="15.75" customHeight="1">
      <c r="A652" s="87" t="s">
        <v>3935</v>
      </c>
      <c r="B652" s="87" t="s">
        <v>4842</v>
      </c>
      <c r="C652" s="87" t="s">
        <v>4843</v>
      </c>
      <c r="D652" s="88">
        <v>109</v>
      </c>
      <c r="E652" s="85" t="s">
        <v>3938</v>
      </c>
      <c r="F652" s="87">
        <v>75</v>
      </c>
      <c r="G652" s="37"/>
      <c r="H652" s="37">
        <f>COUNTIF('(参考)現行システム機能階層一覧'!$E$3:$E$1048576,sheet1!B652)</f>
        <v>0</v>
      </c>
      <c r="I652" s="37"/>
      <c r="J652" s="37"/>
      <c r="K652" s="37"/>
      <c r="L652" s="37"/>
    </row>
    <row r="653" spans="1:12" ht="15.75" customHeight="1">
      <c r="A653" s="87" t="s">
        <v>3853</v>
      </c>
      <c r="B653" s="87" t="s">
        <v>4844</v>
      </c>
      <c r="C653" s="87" t="s">
        <v>4845</v>
      </c>
      <c r="D653" s="88">
        <v>98</v>
      </c>
      <c r="E653" s="85" t="s">
        <v>4846</v>
      </c>
      <c r="F653" s="87">
        <v>153</v>
      </c>
      <c r="G653" s="37"/>
      <c r="H653" s="37">
        <f>COUNTIF('(参考)現行システム機能階層一覧'!$E$3:$E$1048576,sheet1!B653)</f>
        <v>0</v>
      </c>
      <c r="I653" s="37"/>
      <c r="J653" s="37"/>
      <c r="K653" s="37"/>
      <c r="L653" s="37"/>
    </row>
    <row r="654" spans="1:12" ht="15.75" customHeight="1">
      <c r="A654" s="87" t="s">
        <v>3853</v>
      </c>
      <c r="B654" s="87" t="s">
        <v>4847</v>
      </c>
      <c r="C654" s="87" t="s">
        <v>4848</v>
      </c>
      <c r="D654" s="88">
        <v>61</v>
      </c>
      <c r="E654" s="85" t="s">
        <v>4849</v>
      </c>
      <c r="F654" s="87">
        <v>49</v>
      </c>
      <c r="G654" s="37"/>
      <c r="H654" s="37">
        <f>COUNTIF('(参考)現行システム機能階層一覧'!$E$3:$E$1048576,sheet1!B654)</f>
        <v>0</v>
      </c>
      <c r="I654" s="37"/>
      <c r="J654" s="37"/>
      <c r="K654" s="37"/>
      <c r="L654" s="37"/>
    </row>
    <row r="655" spans="1:12" ht="15.75" customHeight="1">
      <c r="A655" s="87" t="s">
        <v>3935</v>
      </c>
      <c r="B655" s="87" t="s">
        <v>2903</v>
      </c>
      <c r="C655" s="87" t="s">
        <v>4850</v>
      </c>
      <c r="D655" s="88">
        <v>202</v>
      </c>
      <c r="E655" s="85" t="s">
        <v>4851</v>
      </c>
      <c r="F655" s="87">
        <v>70</v>
      </c>
      <c r="G655" s="37"/>
      <c r="H655" s="37">
        <f>COUNTIF('(参考)現行システム機能階層一覧'!$E$3:$E$1048576,sheet1!B655)</f>
        <v>1</v>
      </c>
      <c r="I655" s="37"/>
      <c r="J655" s="37"/>
      <c r="K655" s="37"/>
      <c r="L655" s="37"/>
    </row>
    <row r="656" spans="1:12" ht="15.75" customHeight="1">
      <c r="A656" s="87" t="s">
        <v>3853</v>
      </c>
      <c r="B656" s="87" t="s">
        <v>4852</v>
      </c>
      <c r="C656" s="87" t="s">
        <v>4853</v>
      </c>
      <c r="D656" s="88">
        <v>54</v>
      </c>
      <c r="E656" s="85" t="s">
        <v>4851</v>
      </c>
      <c r="F656" s="87">
        <v>70</v>
      </c>
      <c r="G656" s="37"/>
      <c r="H656" s="37">
        <f>COUNTIF('(参考)現行システム機能階層一覧'!$E$3:$E$1048576,sheet1!B656)</f>
        <v>0</v>
      </c>
      <c r="I656" s="37"/>
      <c r="J656" s="37"/>
      <c r="K656" s="37"/>
      <c r="L656" s="37"/>
    </row>
    <row r="657" spans="1:12" ht="15.75" customHeight="1">
      <c r="A657" s="87" t="s">
        <v>3935</v>
      </c>
      <c r="B657" s="87" t="s">
        <v>4854</v>
      </c>
      <c r="C657" s="87" t="s">
        <v>4855</v>
      </c>
      <c r="D657" s="88">
        <v>264</v>
      </c>
      <c r="E657" s="85" t="s">
        <v>4851</v>
      </c>
      <c r="F657" s="87">
        <v>66</v>
      </c>
      <c r="G657" s="37"/>
      <c r="H657" s="37">
        <f>COUNTIF('(参考)現行システム機能階層一覧'!$E$3:$E$1048576,sheet1!B657)</f>
        <v>0</v>
      </c>
      <c r="I657" s="37"/>
      <c r="J657" s="37"/>
      <c r="K657" s="37"/>
      <c r="L657" s="37"/>
    </row>
    <row r="658" spans="1:12" ht="15.75" customHeight="1">
      <c r="A658" s="87" t="s">
        <v>3935</v>
      </c>
      <c r="B658" s="87" t="s">
        <v>4856</v>
      </c>
      <c r="C658" s="87" t="s">
        <v>4857</v>
      </c>
      <c r="D658" s="88">
        <v>83</v>
      </c>
      <c r="E658" s="85" t="s">
        <v>4851</v>
      </c>
      <c r="F658" s="87">
        <v>66</v>
      </c>
      <c r="G658" s="37"/>
      <c r="H658" s="37">
        <f>COUNTIF('(参考)現行システム機能階層一覧'!$E$3:$E$1048576,sheet1!B658)</f>
        <v>0</v>
      </c>
      <c r="I658" s="37"/>
      <c r="J658" s="37"/>
      <c r="K658" s="37"/>
      <c r="L658" s="37"/>
    </row>
    <row r="659" spans="1:12" ht="15.75" customHeight="1">
      <c r="A659" s="87" t="s">
        <v>3935</v>
      </c>
      <c r="B659" s="87" t="s">
        <v>2909</v>
      </c>
      <c r="C659" s="87" t="s">
        <v>4858</v>
      </c>
      <c r="D659" s="88">
        <v>144</v>
      </c>
      <c r="E659" s="85" t="s">
        <v>4851</v>
      </c>
      <c r="F659" s="87">
        <v>70</v>
      </c>
      <c r="G659" s="37"/>
      <c r="H659" s="37">
        <f>COUNTIF('(参考)現行システム機能階層一覧'!$E$3:$E$1048576,sheet1!B659)</f>
        <v>1</v>
      </c>
      <c r="I659" s="37"/>
      <c r="J659" s="37"/>
      <c r="K659" s="37"/>
      <c r="L659" s="37"/>
    </row>
    <row r="660" spans="1:12" ht="15.75" customHeight="1">
      <c r="A660" s="87" t="s">
        <v>3935</v>
      </c>
      <c r="B660" s="87" t="s">
        <v>4859</v>
      </c>
      <c r="C660" s="87" t="s">
        <v>4860</v>
      </c>
      <c r="D660" s="88">
        <v>543</v>
      </c>
      <c r="E660" s="85" t="s">
        <v>4851</v>
      </c>
      <c r="F660" s="87">
        <v>128</v>
      </c>
      <c r="G660" s="37"/>
      <c r="H660" s="37">
        <f>COUNTIF('(参考)現行システム機能階層一覧'!$E$3:$E$1048576,sheet1!B660)</f>
        <v>0</v>
      </c>
      <c r="I660" s="37"/>
      <c r="J660" s="37"/>
      <c r="K660" s="37"/>
      <c r="L660" s="37"/>
    </row>
    <row r="661" spans="1:12" ht="15.75" customHeight="1">
      <c r="A661" s="87" t="s">
        <v>3935</v>
      </c>
      <c r="B661" s="87" t="s">
        <v>2907</v>
      </c>
      <c r="C661" s="87" t="s">
        <v>4861</v>
      </c>
      <c r="D661" s="88">
        <v>487</v>
      </c>
      <c r="E661" s="85" t="s">
        <v>4851</v>
      </c>
      <c r="F661" s="87">
        <v>73</v>
      </c>
      <c r="G661" s="37"/>
      <c r="H661" s="37">
        <f>COUNTIF('(参考)現行システム機能階層一覧'!$E$3:$E$1048576,sheet1!B661)</f>
        <v>1</v>
      </c>
      <c r="I661" s="37"/>
      <c r="J661" s="37"/>
      <c r="K661" s="37"/>
      <c r="L661" s="37"/>
    </row>
    <row r="662" spans="1:12" ht="15.75" customHeight="1">
      <c r="A662" s="87" t="s">
        <v>3935</v>
      </c>
      <c r="B662" s="87" t="s">
        <v>2912</v>
      </c>
      <c r="C662" s="87" t="s">
        <v>4862</v>
      </c>
      <c r="D662" s="88">
        <v>377</v>
      </c>
      <c r="E662" s="85" t="s">
        <v>4851</v>
      </c>
      <c r="F662" s="87">
        <v>70</v>
      </c>
      <c r="G662" s="37"/>
      <c r="H662" s="37">
        <f>COUNTIF('(参考)現行システム機能階層一覧'!$E$3:$E$1048576,sheet1!B662)</f>
        <v>1</v>
      </c>
      <c r="I662" s="37"/>
      <c r="J662" s="37"/>
      <c r="K662" s="37"/>
      <c r="L662" s="37"/>
    </row>
    <row r="663" spans="1:12" ht="15.75" customHeight="1">
      <c r="A663" s="87" t="s">
        <v>3935</v>
      </c>
      <c r="B663" s="87" t="s">
        <v>2914</v>
      </c>
      <c r="C663" s="87" t="s">
        <v>4863</v>
      </c>
      <c r="D663" s="88">
        <v>667</v>
      </c>
      <c r="E663" s="85" t="s">
        <v>4851</v>
      </c>
      <c r="F663" s="87">
        <v>71</v>
      </c>
      <c r="G663" s="37"/>
      <c r="H663" s="37">
        <f>COUNTIF('(参考)現行システム機能階層一覧'!$E$3:$E$1048576,sheet1!B663)</f>
        <v>1</v>
      </c>
      <c r="I663" s="37"/>
      <c r="J663" s="37"/>
      <c r="K663" s="37"/>
      <c r="L663" s="37"/>
    </row>
    <row r="664" spans="1:12" ht="15.75" customHeight="1">
      <c r="A664" s="87" t="s">
        <v>3853</v>
      </c>
      <c r="B664" s="87" t="s">
        <v>4864</v>
      </c>
      <c r="C664" s="87" t="s">
        <v>4865</v>
      </c>
      <c r="D664" s="88">
        <v>46</v>
      </c>
      <c r="E664" s="85" t="s">
        <v>4851</v>
      </c>
      <c r="F664" s="87">
        <v>71</v>
      </c>
      <c r="G664" s="37"/>
      <c r="H664" s="37">
        <f>COUNTIF('(参考)現行システム機能階層一覧'!$E$3:$E$1048576,sheet1!B664)</f>
        <v>0</v>
      </c>
      <c r="I664" s="37"/>
      <c r="J664" s="37"/>
      <c r="K664" s="37"/>
      <c r="L664" s="37"/>
    </row>
    <row r="665" spans="1:12" ht="15.75" customHeight="1">
      <c r="A665" s="87" t="s">
        <v>3935</v>
      </c>
      <c r="B665" s="87" t="s">
        <v>3195</v>
      </c>
      <c r="C665" s="87" t="s">
        <v>4866</v>
      </c>
      <c r="D665" s="88">
        <v>254</v>
      </c>
      <c r="E665" s="85" t="s">
        <v>4851</v>
      </c>
      <c r="F665" s="87">
        <v>32</v>
      </c>
      <c r="G665" s="37"/>
      <c r="H665" s="37">
        <f>COUNTIF('(参考)現行システム機能階層一覧'!$E$3:$E$1048576,sheet1!B665)</f>
        <v>2</v>
      </c>
      <c r="I665" s="37"/>
      <c r="J665" s="37"/>
      <c r="K665" s="37"/>
      <c r="L665" s="37"/>
    </row>
    <row r="666" spans="1:12" ht="15.75" customHeight="1">
      <c r="A666" s="87" t="s">
        <v>3853</v>
      </c>
      <c r="B666" s="87" t="s">
        <v>4867</v>
      </c>
      <c r="C666" s="87" t="s">
        <v>3986</v>
      </c>
      <c r="D666" s="88">
        <v>244</v>
      </c>
      <c r="E666" s="85" t="s">
        <v>4851</v>
      </c>
      <c r="F666" s="87">
        <v>32</v>
      </c>
      <c r="G666" s="37"/>
      <c r="H666" s="37">
        <f>COUNTIF('(参考)現行システム機能階層一覧'!$E$3:$E$1048576,sheet1!B666)</f>
        <v>0</v>
      </c>
      <c r="I666" s="37"/>
      <c r="J666" s="37"/>
      <c r="K666" s="37"/>
      <c r="L666" s="37"/>
    </row>
    <row r="667" spans="1:12" ht="15.75" customHeight="1">
      <c r="A667" s="87" t="s">
        <v>3935</v>
      </c>
      <c r="B667" s="87" t="s">
        <v>4868</v>
      </c>
      <c r="C667" s="87" t="s">
        <v>4869</v>
      </c>
      <c r="D667" s="88">
        <v>166</v>
      </c>
      <c r="E667" s="85" t="s">
        <v>4851</v>
      </c>
      <c r="F667" s="87">
        <v>4</v>
      </c>
      <c r="G667" s="37"/>
      <c r="H667" s="37">
        <f>COUNTIF('(参考)現行システム機能階層一覧'!$E$3:$E$1048576,sheet1!B667)</f>
        <v>0</v>
      </c>
      <c r="I667" s="37"/>
      <c r="J667" s="37"/>
      <c r="K667" s="37"/>
      <c r="L667" s="37"/>
    </row>
    <row r="668" spans="1:12" ht="15.75" customHeight="1">
      <c r="A668" s="87" t="s">
        <v>3935</v>
      </c>
      <c r="B668" s="87" t="s">
        <v>4870</v>
      </c>
      <c r="C668" s="87" t="s">
        <v>4869</v>
      </c>
      <c r="D668" s="88">
        <v>53</v>
      </c>
      <c r="E668" s="85" t="s">
        <v>4851</v>
      </c>
      <c r="F668" s="87">
        <v>4</v>
      </c>
      <c r="G668" s="37"/>
      <c r="H668" s="37">
        <f>COUNTIF('(参考)現行システム機能階層一覧'!$E$3:$E$1048576,sheet1!B668)</f>
        <v>0</v>
      </c>
      <c r="I668" s="37"/>
      <c r="J668" s="37"/>
      <c r="K668" s="37"/>
      <c r="L668" s="37"/>
    </row>
    <row r="669" spans="1:12" ht="15.75" customHeight="1">
      <c r="A669" s="87" t="s">
        <v>3853</v>
      </c>
      <c r="B669" s="87" t="s">
        <v>4871</v>
      </c>
      <c r="C669" s="87" t="s">
        <v>4872</v>
      </c>
      <c r="D669" s="88">
        <v>85</v>
      </c>
      <c r="E669" s="85" t="s">
        <v>4873</v>
      </c>
      <c r="F669" s="87">
        <v>71</v>
      </c>
      <c r="G669" s="37"/>
      <c r="H669" s="37">
        <f>COUNTIF('(参考)現行システム機能階層一覧'!$E$3:$E$1048576,sheet1!B669)</f>
        <v>0</v>
      </c>
      <c r="I669" s="37"/>
      <c r="J669" s="37"/>
      <c r="K669" s="37"/>
      <c r="L669" s="37"/>
    </row>
    <row r="670" spans="1:12" ht="15.75" customHeight="1">
      <c r="A670" s="87" t="s">
        <v>3853</v>
      </c>
      <c r="B670" s="87" t="s">
        <v>4874</v>
      </c>
      <c r="C670" s="87" t="s">
        <v>4875</v>
      </c>
      <c r="D670" s="88">
        <v>68</v>
      </c>
      <c r="E670" s="85" t="s">
        <v>4876</v>
      </c>
      <c r="F670" s="87">
        <v>67</v>
      </c>
      <c r="G670" s="37"/>
      <c r="H670" s="37">
        <f>COUNTIF('(参考)現行システム機能階層一覧'!$E$3:$E$1048576,sheet1!B670)</f>
        <v>0</v>
      </c>
      <c r="I670" s="37"/>
      <c r="J670" s="37"/>
      <c r="K670" s="37"/>
      <c r="L670" s="37"/>
    </row>
    <row r="671" spans="1:12" ht="15.75" customHeight="1">
      <c r="A671" s="87" t="s">
        <v>3853</v>
      </c>
      <c r="B671" s="87" t="s">
        <v>4877</v>
      </c>
      <c r="C671" s="87" t="s">
        <v>2069</v>
      </c>
      <c r="D671" s="88">
        <v>52</v>
      </c>
      <c r="E671" s="85" t="s">
        <v>4876</v>
      </c>
      <c r="F671" s="87">
        <v>9</v>
      </c>
      <c r="G671" s="37"/>
      <c r="H671" s="37">
        <f>COUNTIF('(参考)現行システム機能階層一覧'!$E$3:$E$1048576,sheet1!B671)</f>
        <v>0</v>
      </c>
      <c r="I671" s="37"/>
      <c r="J671" s="37"/>
      <c r="K671" s="37"/>
      <c r="L671" s="37"/>
    </row>
    <row r="672" spans="1:12" ht="15.75" customHeight="1">
      <c r="A672" s="87" t="s">
        <v>3853</v>
      </c>
      <c r="B672" s="87" t="s">
        <v>4878</v>
      </c>
      <c r="C672" s="87" t="s">
        <v>4879</v>
      </c>
      <c r="D672" s="88">
        <v>71</v>
      </c>
      <c r="E672" s="85" t="s">
        <v>4876</v>
      </c>
      <c r="F672" s="87">
        <v>2</v>
      </c>
      <c r="G672" s="37"/>
      <c r="H672" s="37">
        <f>COUNTIF('(参考)現行システム機能階層一覧'!$E$3:$E$1048576,sheet1!B672)</f>
        <v>0</v>
      </c>
      <c r="I672" s="37"/>
      <c r="J672" s="37"/>
      <c r="K672" s="37"/>
      <c r="L672" s="37"/>
    </row>
    <row r="673" spans="1:12" ht="15.75" customHeight="1">
      <c r="A673" s="87" t="s">
        <v>3935</v>
      </c>
      <c r="B673" s="87" t="s">
        <v>4880</v>
      </c>
      <c r="C673" s="87" t="s">
        <v>2069</v>
      </c>
      <c r="D673" s="88">
        <v>107</v>
      </c>
      <c r="E673" s="85" t="s">
        <v>4876</v>
      </c>
      <c r="F673" s="87">
        <v>9</v>
      </c>
      <c r="G673" s="37"/>
      <c r="H673" s="37">
        <f>COUNTIF('(参考)現行システム機能階層一覧'!$E$3:$E$1048576,sheet1!B673)</f>
        <v>0</v>
      </c>
      <c r="I673" s="37"/>
      <c r="J673" s="37"/>
      <c r="K673" s="37"/>
      <c r="L673" s="37"/>
    </row>
    <row r="674" spans="1:12" ht="15.75" customHeight="1">
      <c r="A674" s="87" t="s">
        <v>3935</v>
      </c>
      <c r="B674" s="87" t="s">
        <v>4881</v>
      </c>
      <c r="C674" s="87" t="s">
        <v>4882</v>
      </c>
      <c r="D674" s="88">
        <v>119</v>
      </c>
      <c r="E674" s="85" t="s">
        <v>4876</v>
      </c>
      <c r="F674" s="87">
        <v>2</v>
      </c>
      <c r="G674" s="37"/>
      <c r="H674" s="37">
        <f>COUNTIF('(参考)現行システム機能階層一覧'!$E$3:$E$1048576,sheet1!B674)</f>
        <v>0</v>
      </c>
      <c r="I674" s="37"/>
      <c r="J674" s="37"/>
      <c r="K674" s="37"/>
      <c r="L674" s="37"/>
    </row>
    <row r="675" spans="1:12" ht="15.75" customHeight="1">
      <c r="A675" s="87" t="s">
        <v>3853</v>
      </c>
      <c r="B675" s="87" t="s">
        <v>4883</v>
      </c>
      <c r="C675" s="87" t="s">
        <v>4884</v>
      </c>
      <c r="D675" s="88">
        <v>65</v>
      </c>
      <c r="E675" s="85" t="s">
        <v>4885</v>
      </c>
      <c r="F675" s="87">
        <v>28</v>
      </c>
      <c r="G675" s="37"/>
      <c r="H675" s="37">
        <f>COUNTIF('(参考)現行システム機能階層一覧'!$E$3:$E$1048576,sheet1!B675)</f>
        <v>0</v>
      </c>
      <c r="I675" s="37"/>
      <c r="J675" s="37"/>
      <c r="K675" s="37"/>
      <c r="L675" s="37"/>
    </row>
    <row r="676" spans="1:12" ht="15.75" customHeight="1">
      <c r="A676" s="87" t="s">
        <v>3853</v>
      </c>
      <c r="B676" s="87" t="s">
        <v>4886</v>
      </c>
      <c r="C676" s="87" t="s">
        <v>4884</v>
      </c>
      <c r="D676" s="88">
        <v>59</v>
      </c>
      <c r="E676" s="85" t="s">
        <v>4885</v>
      </c>
      <c r="F676" s="87">
        <v>30</v>
      </c>
      <c r="G676" s="37"/>
      <c r="H676" s="37">
        <f>COUNTIF('(参考)現行システム機能階層一覧'!$E$3:$E$1048576,sheet1!B676)</f>
        <v>0</v>
      </c>
      <c r="I676" s="37"/>
      <c r="J676" s="37"/>
      <c r="K676" s="37"/>
      <c r="L676" s="37"/>
    </row>
    <row r="677" spans="1:12" ht="15.75" customHeight="1">
      <c r="A677" s="87" t="s">
        <v>3935</v>
      </c>
      <c r="B677" s="87" t="s">
        <v>2266</v>
      </c>
      <c r="C677" s="87" t="s">
        <v>4887</v>
      </c>
      <c r="D677" s="88">
        <v>425</v>
      </c>
      <c r="E677" s="85" t="s">
        <v>4888</v>
      </c>
      <c r="F677" s="87">
        <v>14</v>
      </c>
      <c r="G677" s="37"/>
      <c r="H677" s="37">
        <f>COUNTIF('(参考)現行システム機能階層一覧'!$E$3:$E$1048576,sheet1!B677)</f>
        <v>1</v>
      </c>
      <c r="I677" s="37"/>
      <c r="J677" s="37"/>
      <c r="K677" s="37"/>
      <c r="L677" s="37"/>
    </row>
    <row r="678" spans="1:12" ht="15.75" customHeight="1">
      <c r="A678" s="87" t="s">
        <v>3935</v>
      </c>
      <c r="B678" s="87" t="s">
        <v>2357</v>
      </c>
      <c r="C678" s="87" t="s">
        <v>2401</v>
      </c>
      <c r="D678" s="88">
        <v>456</v>
      </c>
      <c r="E678" s="85" t="s">
        <v>4888</v>
      </c>
      <c r="F678" s="87">
        <v>8</v>
      </c>
      <c r="G678" s="37"/>
      <c r="H678" s="37">
        <f>COUNTIF('(参考)現行システム機能階層一覧'!$E$3:$E$1048576,sheet1!B678)</f>
        <v>1</v>
      </c>
      <c r="I678" s="37"/>
      <c r="J678" s="37"/>
      <c r="K678" s="37"/>
      <c r="L678" s="37"/>
    </row>
    <row r="679" spans="1:12" ht="15.75" customHeight="1">
      <c r="A679" s="87" t="s">
        <v>3935</v>
      </c>
      <c r="B679" s="87" t="s">
        <v>2270</v>
      </c>
      <c r="C679" s="87" t="s">
        <v>4889</v>
      </c>
      <c r="D679" s="88">
        <v>890</v>
      </c>
      <c r="E679" s="85" t="s">
        <v>4888</v>
      </c>
      <c r="F679" s="87">
        <v>5</v>
      </c>
      <c r="G679" s="37"/>
      <c r="H679" s="37">
        <f>COUNTIF('(参考)現行システム機能階層一覧'!$E$3:$E$1048576,sheet1!B679)</f>
        <v>1</v>
      </c>
      <c r="I679" s="37"/>
      <c r="J679" s="37"/>
      <c r="K679" s="37"/>
      <c r="L679" s="37"/>
    </row>
    <row r="680" spans="1:12" ht="15.75" customHeight="1">
      <c r="A680" s="87" t="s">
        <v>3935</v>
      </c>
      <c r="B680" s="87" t="s">
        <v>2274</v>
      </c>
      <c r="C680" s="87" t="s">
        <v>4890</v>
      </c>
      <c r="D680" s="88">
        <v>999</v>
      </c>
      <c r="E680" s="85" t="s">
        <v>4888</v>
      </c>
      <c r="F680" s="87">
        <v>1</v>
      </c>
      <c r="G680" s="37"/>
      <c r="H680" s="37">
        <f>COUNTIF('(参考)現行システム機能階層一覧'!$E$3:$E$1048576,sheet1!B680)</f>
        <v>1</v>
      </c>
      <c r="I680" s="37"/>
      <c r="J680" s="37"/>
      <c r="K680" s="37"/>
      <c r="L680" s="37"/>
    </row>
    <row r="681" spans="1:12" ht="15.75" customHeight="1">
      <c r="A681" s="87" t="s">
        <v>3935</v>
      </c>
      <c r="B681" s="87" t="s">
        <v>2277</v>
      </c>
      <c r="C681" s="87" t="s">
        <v>4891</v>
      </c>
      <c r="D681" s="88">
        <v>939</v>
      </c>
      <c r="E681" s="85" t="s">
        <v>4888</v>
      </c>
      <c r="F681" s="87">
        <v>572</v>
      </c>
      <c r="G681" s="37"/>
      <c r="H681" s="37">
        <f>COUNTIF('(参考)現行システム機能階層一覧'!$E$3:$E$1048576,sheet1!B681)</f>
        <v>1</v>
      </c>
      <c r="I681" s="37"/>
      <c r="J681" s="37"/>
      <c r="K681" s="37"/>
      <c r="L681" s="37"/>
    </row>
    <row r="682" spans="1:12" ht="15.75" customHeight="1">
      <c r="A682" s="87" t="s">
        <v>3935</v>
      </c>
      <c r="B682" s="87" t="s">
        <v>2419</v>
      </c>
      <c r="C682" s="87" t="s">
        <v>4892</v>
      </c>
      <c r="D682" s="88">
        <v>389</v>
      </c>
      <c r="E682" s="85" t="s">
        <v>4888</v>
      </c>
      <c r="F682" s="87">
        <v>5</v>
      </c>
      <c r="G682" s="37"/>
      <c r="H682" s="37">
        <f>COUNTIF('(参考)現行システム機能階層一覧'!$E$3:$E$1048576,sheet1!B682)</f>
        <v>1</v>
      </c>
      <c r="I682" s="37"/>
      <c r="J682" s="37"/>
      <c r="K682" s="37"/>
      <c r="L682" s="37"/>
    </row>
    <row r="683" spans="1:12" ht="15.75" customHeight="1">
      <c r="A683" s="87" t="s">
        <v>3935</v>
      </c>
      <c r="B683" s="87" t="s">
        <v>2281</v>
      </c>
      <c r="C683" s="87" t="s">
        <v>4893</v>
      </c>
      <c r="D683" s="88">
        <v>745</v>
      </c>
      <c r="E683" s="85" t="s">
        <v>4888</v>
      </c>
      <c r="F683" s="87">
        <v>498</v>
      </c>
      <c r="G683" s="37"/>
      <c r="H683" s="37">
        <f>COUNTIF('(参考)現行システム機能階層一覧'!$E$3:$E$1048576,sheet1!B683)</f>
        <v>1</v>
      </c>
      <c r="I683" s="37"/>
      <c r="J683" s="37"/>
      <c r="K683" s="37"/>
      <c r="L683" s="37"/>
    </row>
    <row r="684" spans="1:12" ht="15.75" customHeight="1">
      <c r="A684" s="87" t="s">
        <v>3935</v>
      </c>
      <c r="B684" s="87" t="s">
        <v>4894</v>
      </c>
      <c r="C684" s="87" t="s">
        <v>4895</v>
      </c>
      <c r="D684" s="88">
        <v>463</v>
      </c>
      <c r="E684" s="85" t="s">
        <v>4888</v>
      </c>
      <c r="F684" s="87">
        <v>29</v>
      </c>
      <c r="G684" s="37"/>
      <c r="H684" s="37">
        <f>COUNTIF('(参考)現行システム機能階層一覧'!$E$3:$E$1048576,sheet1!B684)</f>
        <v>0</v>
      </c>
      <c r="I684" s="37"/>
      <c r="J684" s="37"/>
      <c r="K684" s="37"/>
      <c r="L684" s="37"/>
    </row>
    <row r="685" spans="1:12" ht="15.75" customHeight="1">
      <c r="A685" s="87" t="s">
        <v>3853</v>
      </c>
      <c r="B685" s="87" t="s">
        <v>4896</v>
      </c>
      <c r="C685" s="87" t="s">
        <v>4895</v>
      </c>
      <c r="D685" s="88">
        <v>11</v>
      </c>
      <c r="E685" s="85" t="s">
        <v>4888</v>
      </c>
      <c r="F685" s="87">
        <v>29</v>
      </c>
      <c r="G685" s="37"/>
      <c r="H685" s="37">
        <f>COUNTIF('(参考)現行システム機能階層一覧'!$E$3:$E$1048576,sheet1!B685)</f>
        <v>0</v>
      </c>
      <c r="I685" s="37"/>
      <c r="J685" s="37"/>
      <c r="K685" s="37"/>
      <c r="L685" s="37"/>
    </row>
    <row r="686" spans="1:12" ht="15.75" customHeight="1">
      <c r="A686" s="87" t="s">
        <v>3935</v>
      </c>
      <c r="B686" s="87" t="s">
        <v>2287</v>
      </c>
      <c r="C686" s="87" t="s">
        <v>4897</v>
      </c>
      <c r="D686" s="88">
        <v>229</v>
      </c>
      <c r="E686" s="85" t="s">
        <v>4888</v>
      </c>
      <c r="F686" s="87">
        <v>14</v>
      </c>
      <c r="G686" s="37"/>
      <c r="H686" s="37">
        <f>COUNTIF('(参考)現行システム機能階層一覧'!$E$3:$E$1048576,sheet1!B686)</f>
        <v>1</v>
      </c>
      <c r="I686" s="37"/>
      <c r="J686" s="37"/>
      <c r="K686" s="37"/>
      <c r="L686" s="37"/>
    </row>
    <row r="687" spans="1:12" ht="15.75" customHeight="1">
      <c r="A687" s="87" t="s">
        <v>3935</v>
      </c>
      <c r="B687" s="87" t="s">
        <v>2292</v>
      </c>
      <c r="C687" s="87" t="s">
        <v>4898</v>
      </c>
      <c r="D687" s="88">
        <v>516</v>
      </c>
      <c r="E687" s="85" t="s">
        <v>4888</v>
      </c>
      <c r="F687" s="87">
        <v>2</v>
      </c>
      <c r="G687" s="37"/>
      <c r="H687" s="37">
        <f>COUNTIF('(参考)現行システム機能階層一覧'!$E$3:$E$1048576,sheet1!B687)</f>
        <v>1</v>
      </c>
      <c r="I687" s="37"/>
      <c r="J687" s="37"/>
      <c r="K687" s="37"/>
      <c r="L687" s="37"/>
    </row>
    <row r="688" spans="1:12" ht="15.75" customHeight="1">
      <c r="A688" s="87" t="s">
        <v>3935</v>
      </c>
      <c r="B688" s="87" t="s">
        <v>2297</v>
      </c>
      <c r="C688" s="87" t="s">
        <v>4899</v>
      </c>
      <c r="D688" s="88">
        <v>543</v>
      </c>
      <c r="E688" s="85" t="s">
        <v>4888</v>
      </c>
      <c r="F688" s="87">
        <v>2</v>
      </c>
      <c r="G688" s="37"/>
      <c r="H688" s="37">
        <f>COUNTIF('(参考)現行システム機能階層一覧'!$E$3:$E$1048576,sheet1!B688)</f>
        <v>1</v>
      </c>
      <c r="I688" s="37"/>
      <c r="J688" s="37"/>
      <c r="K688" s="37"/>
      <c r="L688" s="37"/>
    </row>
    <row r="689" spans="1:12" ht="15.75" customHeight="1">
      <c r="A689" s="87" t="s">
        <v>3935</v>
      </c>
      <c r="B689" s="87" t="s">
        <v>2302</v>
      </c>
      <c r="C689" s="87" t="s">
        <v>4900</v>
      </c>
      <c r="D689" s="88">
        <v>543</v>
      </c>
      <c r="E689" s="85" t="s">
        <v>4888</v>
      </c>
      <c r="F689" s="87">
        <v>2</v>
      </c>
      <c r="G689" s="37"/>
      <c r="H689" s="37">
        <f>COUNTIF('(参考)現行システム機能階層一覧'!$E$3:$E$1048576,sheet1!B689)</f>
        <v>1</v>
      </c>
      <c r="I689" s="37"/>
      <c r="J689" s="37"/>
      <c r="K689" s="37"/>
      <c r="L689" s="37"/>
    </row>
    <row r="690" spans="1:12" ht="15.75" customHeight="1">
      <c r="A690" s="87" t="s">
        <v>3935</v>
      </c>
      <c r="B690" s="87" t="s">
        <v>2421</v>
      </c>
      <c r="C690" s="87" t="s">
        <v>4901</v>
      </c>
      <c r="D690" s="88">
        <v>218</v>
      </c>
      <c r="E690" s="85" t="s">
        <v>4888</v>
      </c>
      <c r="F690" s="87">
        <v>93</v>
      </c>
      <c r="G690" s="37"/>
      <c r="H690" s="37">
        <f>COUNTIF('(参考)現行システム機能階層一覧'!$E$3:$E$1048576,sheet1!B690)</f>
        <v>1</v>
      </c>
      <c r="I690" s="37"/>
      <c r="J690" s="37"/>
      <c r="K690" s="37"/>
      <c r="L690" s="37"/>
    </row>
    <row r="691" spans="1:12" ht="15.75" customHeight="1">
      <c r="A691" s="87" t="s">
        <v>3935</v>
      </c>
      <c r="B691" s="87" t="s">
        <v>2306</v>
      </c>
      <c r="C691" s="87" t="s">
        <v>4902</v>
      </c>
      <c r="D691" s="88">
        <v>623</v>
      </c>
      <c r="E691" s="85" t="s">
        <v>4888</v>
      </c>
      <c r="F691" s="87">
        <v>6</v>
      </c>
      <c r="G691" s="37"/>
      <c r="H691" s="37">
        <f>COUNTIF('(参考)現行システム機能階層一覧'!$E$3:$E$1048576,sheet1!B691)</f>
        <v>1</v>
      </c>
      <c r="I691" s="37"/>
      <c r="J691" s="37"/>
      <c r="K691" s="37"/>
      <c r="L691" s="37"/>
    </row>
    <row r="692" spans="1:12" ht="15.75" customHeight="1">
      <c r="A692" s="87" t="s">
        <v>3935</v>
      </c>
      <c r="B692" s="87" t="s">
        <v>2310</v>
      </c>
      <c r="C692" s="87" t="s">
        <v>4903</v>
      </c>
      <c r="D692" s="88">
        <v>227</v>
      </c>
      <c r="E692" s="85" t="s">
        <v>4888</v>
      </c>
      <c r="F692" s="87">
        <v>6</v>
      </c>
      <c r="G692" s="37"/>
      <c r="H692" s="37">
        <f>COUNTIF('(参考)現行システム機能階層一覧'!$E$3:$E$1048576,sheet1!B692)</f>
        <v>1</v>
      </c>
      <c r="I692" s="37"/>
      <c r="J692" s="37"/>
      <c r="K692" s="37"/>
      <c r="L692" s="37"/>
    </row>
    <row r="693" spans="1:12" ht="15.75" customHeight="1">
      <c r="A693" s="87" t="s">
        <v>3935</v>
      </c>
      <c r="B693" s="87" t="s">
        <v>2315</v>
      </c>
      <c r="C693" s="87" t="s">
        <v>4904</v>
      </c>
      <c r="D693" s="88">
        <v>425</v>
      </c>
      <c r="E693" s="85" t="s">
        <v>4888</v>
      </c>
      <c r="F693" s="87">
        <v>1</v>
      </c>
      <c r="G693" s="37"/>
      <c r="H693" s="37">
        <f>COUNTIF('(参考)現行システム機能階層一覧'!$E$3:$E$1048576,sheet1!B693)</f>
        <v>1</v>
      </c>
      <c r="I693" s="37"/>
      <c r="J693" s="37"/>
      <c r="K693" s="37"/>
      <c r="L693" s="37"/>
    </row>
    <row r="694" spans="1:12" ht="15.75" customHeight="1">
      <c r="A694" s="87" t="s">
        <v>3935</v>
      </c>
      <c r="B694" s="87" t="s">
        <v>2319</v>
      </c>
      <c r="C694" s="87" t="s">
        <v>4905</v>
      </c>
      <c r="D694" s="88">
        <v>469</v>
      </c>
      <c r="E694" s="85" t="s">
        <v>4888</v>
      </c>
      <c r="F694" s="87">
        <v>1</v>
      </c>
      <c r="G694" s="37"/>
      <c r="H694" s="37">
        <f>COUNTIF('(参考)現行システム機能階層一覧'!$E$3:$E$1048576,sheet1!B694)</f>
        <v>1</v>
      </c>
      <c r="I694" s="37"/>
      <c r="J694" s="37"/>
      <c r="K694" s="37"/>
      <c r="L694" s="37"/>
    </row>
    <row r="695" spans="1:12" ht="15.75" customHeight="1">
      <c r="A695" s="87" t="s">
        <v>3935</v>
      </c>
      <c r="B695" s="87" t="s">
        <v>2323</v>
      </c>
      <c r="C695" s="87" t="s">
        <v>4906</v>
      </c>
      <c r="D695" s="88">
        <v>461</v>
      </c>
      <c r="E695" s="85" t="s">
        <v>4888</v>
      </c>
      <c r="F695" s="87">
        <v>2</v>
      </c>
      <c r="G695" s="37"/>
      <c r="H695" s="37">
        <f>COUNTIF('(参考)現行システム機能階層一覧'!$E$3:$E$1048576,sheet1!B695)</f>
        <v>1</v>
      </c>
      <c r="I695" s="37"/>
      <c r="J695" s="37"/>
      <c r="K695" s="37"/>
      <c r="L695" s="37"/>
    </row>
    <row r="696" spans="1:12" ht="15.75" customHeight="1">
      <c r="A696" s="87" t="s">
        <v>3935</v>
      </c>
      <c r="B696" s="87" t="s">
        <v>2425</v>
      </c>
      <c r="C696" s="87" t="s">
        <v>4907</v>
      </c>
      <c r="D696" s="88">
        <v>210</v>
      </c>
      <c r="E696" s="85" t="s">
        <v>4888</v>
      </c>
      <c r="F696" s="87">
        <v>10</v>
      </c>
      <c r="G696" s="37"/>
      <c r="H696" s="37">
        <f>COUNTIF('(参考)現行システム機能階層一覧'!$E$3:$E$1048576,sheet1!B696)</f>
        <v>1</v>
      </c>
      <c r="I696" s="37"/>
      <c r="J696" s="37"/>
      <c r="K696" s="37"/>
      <c r="L696" s="37"/>
    </row>
    <row r="697" spans="1:12" ht="15.75" customHeight="1">
      <c r="A697" s="87" t="s">
        <v>3935</v>
      </c>
      <c r="B697" s="87" t="s">
        <v>2327</v>
      </c>
      <c r="C697" s="87" t="s">
        <v>4908</v>
      </c>
      <c r="D697" s="88">
        <v>548</v>
      </c>
      <c r="E697" s="85" t="s">
        <v>4888</v>
      </c>
      <c r="F697" s="87">
        <v>1</v>
      </c>
      <c r="G697" s="37"/>
      <c r="H697" s="37">
        <f>COUNTIF('(参考)現行システム機能階層一覧'!$E$3:$E$1048576,sheet1!B697)</f>
        <v>1</v>
      </c>
      <c r="I697" s="37"/>
      <c r="J697" s="37"/>
      <c r="K697" s="37"/>
      <c r="L697" s="37"/>
    </row>
    <row r="698" spans="1:12" ht="15.75" customHeight="1">
      <c r="A698" s="87" t="s">
        <v>3935</v>
      </c>
      <c r="B698" s="87" t="s">
        <v>2248</v>
      </c>
      <c r="C698" s="87" t="s">
        <v>2285</v>
      </c>
      <c r="D698" s="88">
        <v>1250</v>
      </c>
      <c r="E698" s="85" t="s">
        <v>4888</v>
      </c>
      <c r="F698" s="87">
        <v>1</v>
      </c>
      <c r="G698" s="37"/>
      <c r="H698" s="37">
        <f>COUNTIF('(参考)現行システム機能階層一覧'!$E$3:$E$1048576,sheet1!B698)</f>
        <v>1</v>
      </c>
      <c r="I698" s="37"/>
      <c r="J698" s="37"/>
      <c r="K698" s="37"/>
      <c r="L698" s="37"/>
    </row>
    <row r="699" spans="1:12" ht="15.75" customHeight="1">
      <c r="A699" s="87" t="s">
        <v>3935</v>
      </c>
      <c r="B699" s="87" t="s">
        <v>2261</v>
      </c>
      <c r="C699" s="87" t="s">
        <v>4909</v>
      </c>
      <c r="D699" s="88">
        <v>1403</v>
      </c>
      <c r="E699" s="85" t="s">
        <v>4888</v>
      </c>
      <c r="F699" s="87">
        <v>1</v>
      </c>
      <c r="G699" s="37"/>
      <c r="H699" s="37">
        <f>COUNTIF('(参考)現行システム機能階層一覧'!$E$3:$E$1048576,sheet1!B699)</f>
        <v>1</v>
      </c>
      <c r="I699" s="37"/>
      <c r="J699" s="37"/>
      <c r="K699" s="37"/>
      <c r="L699" s="37"/>
    </row>
    <row r="700" spans="1:12" ht="15.75" customHeight="1">
      <c r="A700" s="87" t="s">
        <v>3935</v>
      </c>
      <c r="B700" s="87" t="s">
        <v>4910</v>
      </c>
      <c r="C700" s="87" t="s">
        <v>4911</v>
      </c>
      <c r="D700" s="88">
        <v>398</v>
      </c>
      <c r="E700" s="85" t="s">
        <v>4888</v>
      </c>
      <c r="F700" s="87">
        <v>1</v>
      </c>
      <c r="G700" s="37"/>
      <c r="H700" s="37">
        <f>COUNTIF('(参考)現行システム機能階層一覧'!$E$3:$E$1048576,sheet1!B700)</f>
        <v>0</v>
      </c>
      <c r="I700" s="37"/>
      <c r="J700" s="37"/>
      <c r="K700" s="37"/>
      <c r="L700" s="37"/>
    </row>
    <row r="701" spans="1:12" ht="15.75" customHeight="1">
      <c r="A701" s="87" t="s">
        <v>3935</v>
      </c>
      <c r="B701" s="87" t="s">
        <v>2251</v>
      </c>
      <c r="C701" s="87" t="s">
        <v>2290</v>
      </c>
      <c r="D701" s="88">
        <v>470</v>
      </c>
      <c r="E701" s="85" t="s">
        <v>4888</v>
      </c>
      <c r="F701" s="87">
        <v>168</v>
      </c>
      <c r="G701" s="37"/>
      <c r="H701" s="37">
        <f>COUNTIF('(参考)現行システム機能階層一覧'!$E$3:$E$1048576,sheet1!B701)</f>
        <v>1</v>
      </c>
      <c r="I701" s="37"/>
      <c r="J701" s="37"/>
      <c r="K701" s="37"/>
      <c r="L701" s="37"/>
    </row>
    <row r="702" spans="1:12" ht="15.75" customHeight="1">
      <c r="A702" s="87" t="s">
        <v>3935</v>
      </c>
      <c r="B702" s="87" t="s">
        <v>4912</v>
      </c>
      <c r="C702" s="87" t="s">
        <v>4913</v>
      </c>
      <c r="D702" s="88">
        <v>290</v>
      </c>
      <c r="E702" s="85" t="s">
        <v>4888</v>
      </c>
      <c r="F702" s="87">
        <v>14</v>
      </c>
      <c r="G702" s="37"/>
      <c r="H702" s="37">
        <f>COUNTIF('(参考)現行システム機能階層一覧'!$E$3:$E$1048576,sheet1!B702)</f>
        <v>0</v>
      </c>
      <c r="I702" s="37"/>
      <c r="J702" s="37"/>
      <c r="K702" s="37"/>
      <c r="L702" s="37"/>
    </row>
    <row r="703" spans="1:12" ht="15.75" customHeight="1">
      <c r="A703" s="87" t="s">
        <v>3935</v>
      </c>
      <c r="B703" s="87" t="s">
        <v>2256</v>
      </c>
      <c r="C703" s="87" t="s">
        <v>4914</v>
      </c>
      <c r="D703" s="88">
        <v>379</v>
      </c>
      <c r="E703" s="85" t="s">
        <v>4888</v>
      </c>
      <c r="F703" s="87">
        <v>147</v>
      </c>
      <c r="G703" s="37"/>
      <c r="H703" s="37">
        <f>COUNTIF('(参考)現行システム機能階層一覧'!$E$3:$E$1048576,sheet1!B703)</f>
        <v>1</v>
      </c>
      <c r="I703" s="37"/>
      <c r="J703" s="37"/>
      <c r="K703" s="37"/>
      <c r="L703" s="37"/>
    </row>
    <row r="704" spans="1:12" ht="15.75" customHeight="1">
      <c r="A704" s="87" t="s">
        <v>3935</v>
      </c>
      <c r="B704" s="87" t="s">
        <v>2258</v>
      </c>
      <c r="C704" s="87" t="s">
        <v>4915</v>
      </c>
      <c r="D704" s="88">
        <v>306</v>
      </c>
      <c r="E704" s="85" t="s">
        <v>4888</v>
      </c>
      <c r="F704" s="87">
        <v>13</v>
      </c>
      <c r="G704" s="37"/>
      <c r="H704" s="37">
        <f>COUNTIF('(参考)現行システム機能階層一覧'!$E$3:$E$1048576,sheet1!B704)</f>
        <v>1</v>
      </c>
      <c r="I704" s="37"/>
      <c r="J704" s="37"/>
      <c r="K704" s="37"/>
      <c r="L704" s="37"/>
    </row>
    <row r="705" spans="1:12" ht="15.75" customHeight="1">
      <c r="A705" s="87" t="s">
        <v>3935</v>
      </c>
      <c r="B705" s="87" t="s">
        <v>4916</v>
      </c>
      <c r="C705" s="87" t="s">
        <v>4917</v>
      </c>
      <c r="D705" s="88">
        <v>147</v>
      </c>
      <c r="E705" s="85" t="s">
        <v>4888</v>
      </c>
      <c r="F705" s="87">
        <v>1</v>
      </c>
      <c r="G705" s="37"/>
      <c r="H705" s="37">
        <f>COUNTIF('(参考)現行システム機能階層一覧'!$E$3:$E$1048576,sheet1!B705)</f>
        <v>0</v>
      </c>
      <c r="I705" s="37"/>
      <c r="J705" s="37"/>
      <c r="K705" s="37"/>
      <c r="L705" s="37"/>
    </row>
    <row r="706" spans="1:12" ht="15.75" customHeight="1">
      <c r="A706" s="87" t="s">
        <v>3935</v>
      </c>
      <c r="B706" s="87" t="s">
        <v>2264</v>
      </c>
      <c r="C706" s="87" t="s">
        <v>4918</v>
      </c>
      <c r="D706" s="88">
        <v>372</v>
      </c>
      <c r="E706" s="85" t="s">
        <v>4888</v>
      </c>
      <c r="F706" s="87">
        <v>19</v>
      </c>
      <c r="G706" s="37"/>
      <c r="H706" s="37">
        <f>COUNTIF('(参考)現行システム機能階層一覧'!$E$3:$E$1048576,sheet1!B706)</f>
        <v>1</v>
      </c>
      <c r="I706" s="37"/>
      <c r="J706" s="37"/>
      <c r="K706" s="37"/>
      <c r="L706" s="37"/>
    </row>
    <row r="707" spans="1:12" ht="15.75" customHeight="1">
      <c r="A707" s="87" t="s">
        <v>3853</v>
      </c>
      <c r="B707" s="87" t="s">
        <v>4919</v>
      </c>
      <c r="C707" s="87" t="s">
        <v>4920</v>
      </c>
      <c r="D707" s="88">
        <v>111</v>
      </c>
      <c r="E707" s="85" t="s">
        <v>4888</v>
      </c>
      <c r="F707" s="87">
        <v>8</v>
      </c>
      <c r="G707" s="37"/>
      <c r="H707" s="37">
        <f>COUNTIF('(参考)現行システム機能階層一覧'!$E$3:$E$1048576,sheet1!B707)</f>
        <v>0</v>
      </c>
      <c r="I707" s="37"/>
      <c r="J707" s="37"/>
      <c r="K707" s="37"/>
      <c r="L707" s="37"/>
    </row>
    <row r="708" spans="1:12" ht="15.75" customHeight="1">
      <c r="A708" s="87" t="s">
        <v>3935</v>
      </c>
      <c r="B708" s="87" t="s">
        <v>4921</v>
      </c>
      <c r="C708" s="87" t="s">
        <v>4922</v>
      </c>
      <c r="D708" s="88">
        <v>568</v>
      </c>
      <c r="E708" s="85" t="s">
        <v>4888</v>
      </c>
      <c r="F708" s="87">
        <v>15</v>
      </c>
      <c r="G708" s="37"/>
      <c r="H708" s="37">
        <f>COUNTIF('(参考)現行システム機能階層一覧'!$E$3:$E$1048576,sheet1!B708)</f>
        <v>0</v>
      </c>
      <c r="I708" s="37"/>
      <c r="J708" s="37"/>
      <c r="K708" s="37"/>
      <c r="L708" s="37"/>
    </row>
    <row r="709" spans="1:12" ht="15.75" customHeight="1">
      <c r="A709" s="87" t="s">
        <v>3935</v>
      </c>
      <c r="B709" s="87" t="s">
        <v>2351</v>
      </c>
      <c r="C709" s="87" t="s">
        <v>4923</v>
      </c>
      <c r="D709" s="88">
        <v>762</v>
      </c>
      <c r="E709" s="85" t="s">
        <v>4888</v>
      </c>
      <c r="F709" s="87">
        <v>4</v>
      </c>
      <c r="G709" s="37"/>
      <c r="H709" s="37">
        <f>COUNTIF('(参考)現行システム機能階層一覧'!$E$3:$E$1048576,sheet1!B709)</f>
        <v>1</v>
      </c>
      <c r="I709" s="37"/>
      <c r="J709" s="37"/>
      <c r="K709" s="37"/>
      <c r="L709" s="37"/>
    </row>
    <row r="710" spans="1:12" ht="15.75" customHeight="1">
      <c r="A710" s="87" t="s">
        <v>3935</v>
      </c>
      <c r="B710" s="87" t="s">
        <v>2354</v>
      </c>
      <c r="C710" s="87" t="s">
        <v>4924</v>
      </c>
      <c r="D710" s="88">
        <v>1005</v>
      </c>
      <c r="E710" s="85" t="s">
        <v>4888</v>
      </c>
      <c r="F710" s="87">
        <v>1</v>
      </c>
      <c r="G710" s="37"/>
      <c r="H710" s="37">
        <f>COUNTIF('(参考)現行システム機能階層一覧'!$E$3:$E$1048576,sheet1!B710)</f>
        <v>1</v>
      </c>
      <c r="I710" s="37"/>
      <c r="J710" s="37"/>
      <c r="K710" s="37"/>
      <c r="L710" s="37"/>
    </row>
    <row r="711" spans="1:12" ht="15.75" customHeight="1">
      <c r="A711" s="87" t="s">
        <v>3935</v>
      </c>
      <c r="B711" s="87" t="s">
        <v>2331</v>
      </c>
      <c r="C711" s="87" t="s">
        <v>4925</v>
      </c>
      <c r="D711" s="88">
        <v>120</v>
      </c>
      <c r="E711" s="85" t="s">
        <v>4888</v>
      </c>
      <c r="F711" s="87">
        <v>1</v>
      </c>
      <c r="G711" s="37"/>
      <c r="H711" s="37">
        <f>COUNTIF('(参考)現行システム機能階層一覧'!$E$3:$E$1048576,sheet1!B711)</f>
        <v>1</v>
      </c>
      <c r="I711" s="37"/>
      <c r="J711" s="37"/>
      <c r="K711" s="37"/>
      <c r="L711" s="37"/>
    </row>
    <row r="712" spans="1:12" ht="15.75" customHeight="1">
      <c r="A712" s="87" t="s">
        <v>3853</v>
      </c>
      <c r="B712" s="87" t="s">
        <v>4926</v>
      </c>
      <c r="C712" s="87" t="s">
        <v>4927</v>
      </c>
      <c r="D712" s="88">
        <v>74</v>
      </c>
      <c r="E712" s="85" t="s">
        <v>4888</v>
      </c>
      <c r="F712" s="87">
        <v>1</v>
      </c>
      <c r="G712" s="37"/>
      <c r="H712" s="37">
        <f>COUNTIF('(参考)現行システム機能階層一覧'!$E$3:$E$1048576,sheet1!B712)</f>
        <v>0</v>
      </c>
      <c r="I712" s="37"/>
      <c r="J712" s="37"/>
      <c r="K712" s="37"/>
      <c r="L712" s="37"/>
    </row>
    <row r="713" spans="1:12" ht="15.75" customHeight="1">
      <c r="A713" s="87" t="s">
        <v>3935</v>
      </c>
      <c r="B713" s="87" t="s">
        <v>4928</v>
      </c>
      <c r="C713" s="87" t="s">
        <v>4929</v>
      </c>
      <c r="D713" s="88">
        <v>271</v>
      </c>
      <c r="E713" s="85" t="s">
        <v>4888</v>
      </c>
      <c r="F713" s="87">
        <v>8</v>
      </c>
      <c r="G713" s="37"/>
      <c r="H713" s="37">
        <f>COUNTIF('(参考)現行システム機能階層一覧'!$E$3:$E$1048576,sheet1!B713)</f>
        <v>0</v>
      </c>
      <c r="I713" s="37"/>
      <c r="J713" s="37"/>
      <c r="K713" s="37"/>
      <c r="L713" s="37"/>
    </row>
    <row r="714" spans="1:12" ht="15.75" customHeight="1">
      <c r="A714" s="87" t="s">
        <v>3935</v>
      </c>
      <c r="B714" s="87" t="s">
        <v>4930</v>
      </c>
      <c r="C714" s="87" t="s">
        <v>4931</v>
      </c>
      <c r="D714" s="88">
        <v>850</v>
      </c>
      <c r="E714" s="85" t="s">
        <v>4888</v>
      </c>
      <c r="F714" s="87">
        <v>8</v>
      </c>
      <c r="G714" s="37"/>
      <c r="H714" s="37">
        <f>COUNTIF('(参考)現行システム機能階層一覧'!$E$3:$E$1048576,sheet1!B714)</f>
        <v>0</v>
      </c>
      <c r="I714" s="37"/>
      <c r="J714" s="37"/>
      <c r="K714" s="37"/>
      <c r="L714" s="37"/>
    </row>
    <row r="715" spans="1:12" ht="15.75" customHeight="1">
      <c r="A715" s="87" t="s">
        <v>3935</v>
      </c>
      <c r="B715" s="87" t="s">
        <v>4932</v>
      </c>
      <c r="C715" s="87" t="s">
        <v>4933</v>
      </c>
      <c r="D715" s="88">
        <v>114</v>
      </c>
      <c r="E715" s="85" t="s">
        <v>4888</v>
      </c>
      <c r="F715" s="87">
        <v>8</v>
      </c>
      <c r="G715" s="37"/>
      <c r="H715" s="37">
        <f>COUNTIF('(参考)現行システム機能階層一覧'!$E$3:$E$1048576,sheet1!B715)</f>
        <v>0</v>
      </c>
      <c r="I715" s="37"/>
      <c r="J715" s="37"/>
      <c r="K715" s="37"/>
      <c r="L715" s="37"/>
    </row>
    <row r="716" spans="1:12" ht="15.75" customHeight="1">
      <c r="A716" s="87" t="s">
        <v>3935</v>
      </c>
      <c r="B716" s="87" t="s">
        <v>4934</v>
      </c>
      <c r="C716" s="87" t="s">
        <v>4935</v>
      </c>
      <c r="D716" s="88">
        <v>541</v>
      </c>
      <c r="E716" s="85" t="s">
        <v>4888</v>
      </c>
      <c r="F716" s="87">
        <v>8</v>
      </c>
      <c r="G716" s="37"/>
      <c r="H716" s="37">
        <f>COUNTIF('(参考)現行システム機能階層一覧'!$E$3:$E$1048576,sheet1!B716)</f>
        <v>0</v>
      </c>
      <c r="I716" s="37"/>
      <c r="J716" s="37"/>
      <c r="K716" s="37"/>
      <c r="L716" s="37"/>
    </row>
    <row r="717" spans="1:12" ht="15.75" customHeight="1">
      <c r="A717" s="87" t="s">
        <v>3935</v>
      </c>
      <c r="B717" s="87" t="s">
        <v>2395</v>
      </c>
      <c r="C717" s="87" t="s">
        <v>4936</v>
      </c>
      <c r="D717" s="88">
        <v>743</v>
      </c>
      <c r="E717" s="85" t="s">
        <v>4888</v>
      </c>
      <c r="F717" s="87">
        <v>54</v>
      </c>
      <c r="G717" s="37"/>
      <c r="H717" s="37">
        <f>COUNTIF('(参考)現行システム機能階層一覧'!$E$3:$E$1048576,sheet1!B717)</f>
        <v>1</v>
      </c>
      <c r="I717" s="37"/>
      <c r="J717" s="37"/>
      <c r="K717" s="37"/>
      <c r="L717" s="37"/>
    </row>
    <row r="718" spans="1:12" ht="15.75" customHeight="1">
      <c r="A718" s="87" t="s">
        <v>3935</v>
      </c>
      <c r="B718" s="87" t="s">
        <v>2399</v>
      </c>
      <c r="C718" s="87" t="s">
        <v>4937</v>
      </c>
      <c r="D718" s="88">
        <v>942</v>
      </c>
      <c r="E718" s="85" t="s">
        <v>4888</v>
      </c>
      <c r="F718" s="87">
        <v>32</v>
      </c>
      <c r="G718" s="37"/>
      <c r="H718" s="37">
        <f>COUNTIF('(参考)現行システム機能階層一覧'!$E$3:$E$1048576,sheet1!B718)</f>
        <v>1</v>
      </c>
      <c r="I718" s="37"/>
      <c r="J718" s="37"/>
      <c r="K718" s="37"/>
      <c r="L718" s="37"/>
    </row>
    <row r="719" spans="1:12" ht="15.75" customHeight="1">
      <c r="A719" s="87" t="s">
        <v>3935</v>
      </c>
      <c r="B719" s="87" t="s">
        <v>2403</v>
      </c>
      <c r="C719" s="87" t="s">
        <v>4938</v>
      </c>
      <c r="D719" s="88">
        <v>995</v>
      </c>
      <c r="E719" s="85" t="s">
        <v>4888</v>
      </c>
      <c r="F719" s="87">
        <v>39</v>
      </c>
      <c r="G719" s="37"/>
      <c r="H719" s="37">
        <f>COUNTIF('(参考)現行システム機能階層一覧'!$E$3:$E$1048576,sheet1!B719)</f>
        <v>1</v>
      </c>
      <c r="I719" s="37"/>
      <c r="J719" s="37"/>
      <c r="K719" s="37"/>
      <c r="L719" s="37"/>
    </row>
    <row r="720" spans="1:12" ht="15.75" customHeight="1">
      <c r="A720" s="87" t="s">
        <v>3935</v>
      </c>
      <c r="B720" s="87" t="s">
        <v>4939</v>
      </c>
      <c r="C720" s="87" t="s">
        <v>4940</v>
      </c>
      <c r="D720" s="88">
        <v>396</v>
      </c>
      <c r="E720" s="85" t="s">
        <v>4888</v>
      </c>
      <c r="F720" s="87">
        <v>1</v>
      </c>
      <c r="G720" s="37"/>
      <c r="H720" s="37">
        <f>COUNTIF('(参考)現行システム機能階層一覧'!$E$3:$E$1048576,sheet1!B720)</f>
        <v>0</v>
      </c>
      <c r="I720" s="37"/>
      <c r="J720" s="37"/>
      <c r="K720" s="37"/>
      <c r="L720" s="37"/>
    </row>
    <row r="721" spans="1:12" ht="15.75" customHeight="1">
      <c r="A721" s="87" t="s">
        <v>3853</v>
      </c>
      <c r="B721" s="87" t="s">
        <v>4941</v>
      </c>
      <c r="C721" s="87" t="s">
        <v>4940</v>
      </c>
      <c r="D721" s="88">
        <v>36</v>
      </c>
      <c r="E721" s="85" t="s">
        <v>4888</v>
      </c>
      <c r="F721" s="87">
        <v>1</v>
      </c>
      <c r="G721" s="37"/>
      <c r="H721" s="37">
        <f>COUNTIF('(参考)現行システム機能階層一覧'!$E$3:$E$1048576,sheet1!B721)</f>
        <v>0</v>
      </c>
      <c r="I721" s="37"/>
      <c r="J721" s="37"/>
      <c r="K721" s="37"/>
      <c r="L721" s="37"/>
    </row>
    <row r="722" spans="1:12" ht="15.75" customHeight="1">
      <c r="A722" s="87" t="s">
        <v>3935</v>
      </c>
      <c r="B722" s="87" t="s">
        <v>2334</v>
      </c>
      <c r="C722" s="87" t="s">
        <v>4942</v>
      </c>
      <c r="D722" s="88">
        <v>83</v>
      </c>
      <c r="E722" s="85" t="s">
        <v>4888</v>
      </c>
      <c r="F722" s="87">
        <v>1</v>
      </c>
      <c r="G722" s="37"/>
      <c r="H722" s="37">
        <f>COUNTIF('(参考)現行システム機能階層一覧'!$E$3:$E$1048576,sheet1!B722)</f>
        <v>1</v>
      </c>
      <c r="I722" s="37"/>
      <c r="J722" s="37"/>
      <c r="K722" s="37"/>
      <c r="L722" s="37"/>
    </row>
    <row r="723" spans="1:12" ht="15.75" customHeight="1">
      <c r="A723" s="87" t="s">
        <v>3935</v>
      </c>
      <c r="B723" s="87" t="s">
        <v>2386</v>
      </c>
      <c r="C723" s="87" t="s">
        <v>4943</v>
      </c>
      <c r="D723" s="88">
        <v>2780</v>
      </c>
      <c r="E723" s="85" t="s">
        <v>4888</v>
      </c>
      <c r="F723" s="87">
        <v>1187</v>
      </c>
      <c r="G723" s="37"/>
      <c r="H723" s="37">
        <f>COUNTIF('(参考)現行システム機能階層一覧'!$E$3:$E$1048576,sheet1!B723)</f>
        <v>1</v>
      </c>
      <c r="I723" s="37"/>
      <c r="J723" s="37"/>
      <c r="K723" s="37"/>
      <c r="L723" s="37"/>
    </row>
    <row r="724" spans="1:12" ht="15.75" customHeight="1">
      <c r="A724" s="87" t="s">
        <v>3853</v>
      </c>
      <c r="B724" s="87" t="s">
        <v>4944</v>
      </c>
      <c r="C724" s="87" t="s">
        <v>4943</v>
      </c>
      <c r="D724" s="88">
        <v>37</v>
      </c>
      <c r="E724" s="85" t="s">
        <v>4888</v>
      </c>
      <c r="F724" s="87">
        <v>1187</v>
      </c>
      <c r="G724" s="37"/>
      <c r="H724" s="37">
        <f>COUNTIF('(参考)現行システム機能階層一覧'!$E$3:$E$1048576,sheet1!B724)</f>
        <v>0</v>
      </c>
      <c r="I724" s="37"/>
      <c r="J724" s="37"/>
      <c r="K724" s="37"/>
      <c r="L724" s="37"/>
    </row>
    <row r="725" spans="1:12" ht="15.75" customHeight="1">
      <c r="A725" s="87" t="s">
        <v>3935</v>
      </c>
      <c r="B725" s="87" t="s">
        <v>2361</v>
      </c>
      <c r="C725" s="87" t="s">
        <v>4945</v>
      </c>
      <c r="D725" s="88">
        <v>442</v>
      </c>
      <c r="E725" s="85" t="s">
        <v>4888</v>
      </c>
      <c r="F725" s="87">
        <v>757</v>
      </c>
      <c r="G725" s="37"/>
      <c r="H725" s="37">
        <f>COUNTIF('(参考)現行システム機能階層一覧'!$E$3:$E$1048576,sheet1!B725)</f>
        <v>1</v>
      </c>
      <c r="I725" s="37"/>
      <c r="J725" s="37"/>
      <c r="K725" s="37"/>
      <c r="L725" s="37"/>
    </row>
    <row r="726" spans="1:12" ht="15.75" customHeight="1">
      <c r="A726" s="87" t="s">
        <v>3853</v>
      </c>
      <c r="B726" s="87" t="s">
        <v>4946</v>
      </c>
      <c r="C726" s="87" t="s">
        <v>4947</v>
      </c>
      <c r="D726" s="88">
        <v>60</v>
      </c>
      <c r="E726" s="85" t="s">
        <v>4888</v>
      </c>
      <c r="F726" s="87">
        <v>2</v>
      </c>
      <c r="G726" s="37"/>
      <c r="H726" s="37">
        <f>COUNTIF('(参考)現行システム機能階層一覧'!$E$3:$E$1048576,sheet1!B726)</f>
        <v>0</v>
      </c>
      <c r="I726" s="37"/>
      <c r="J726" s="37"/>
      <c r="K726" s="37"/>
      <c r="L726" s="37"/>
    </row>
    <row r="727" spans="1:12" ht="15.75" customHeight="1">
      <c r="A727" s="87" t="s">
        <v>3935</v>
      </c>
      <c r="B727" s="87" t="s">
        <v>2390</v>
      </c>
      <c r="C727" s="87" t="s">
        <v>2429</v>
      </c>
      <c r="D727" s="88">
        <v>703</v>
      </c>
      <c r="E727" s="85" t="s">
        <v>4888</v>
      </c>
      <c r="F727" s="87">
        <v>752</v>
      </c>
      <c r="G727" s="37"/>
      <c r="H727" s="37">
        <f>COUNTIF('(参考)現行システム機能階層一覧'!$E$3:$E$1048576,sheet1!B727)</f>
        <v>1</v>
      </c>
      <c r="I727" s="37"/>
      <c r="J727" s="37"/>
      <c r="K727" s="37"/>
      <c r="L727" s="37"/>
    </row>
    <row r="728" spans="1:12" ht="15.75" customHeight="1">
      <c r="A728" s="87" t="s">
        <v>3935</v>
      </c>
      <c r="B728" s="87" t="s">
        <v>2407</v>
      </c>
      <c r="C728" s="87" t="s">
        <v>4948</v>
      </c>
      <c r="D728" s="88">
        <v>290</v>
      </c>
      <c r="E728" s="85" t="s">
        <v>4888</v>
      </c>
      <c r="F728" s="87">
        <v>11</v>
      </c>
      <c r="G728" s="37"/>
      <c r="H728" s="37">
        <f>COUNTIF('(参考)現行システム機能階層一覧'!$E$3:$E$1048576,sheet1!B728)</f>
        <v>1</v>
      </c>
      <c r="I728" s="37"/>
      <c r="J728" s="37"/>
      <c r="K728" s="37"/>
      <c r="L728" s="37"/>
    </row>
    <row r="729" spans="1:12" ht="15.75" customHeight="1">
      <c r="A729" s="87" t="s">
        <v>3935</v>
      </c>
      <c r="B729" s="87" t="s">
        <v>2411</v>
      </c>
      <c r="C729" s="87" t="s">
        <v>4949</v>
      </c>
      <c r="D729" s="88">
        <v>290</v>
      </c>
      <c r="E729" s="85" t="s">
        <v>4888</v>
      </c>
      <c r="F729" s="87">
        <v>8</v>
      </c>
      <c r="G729" s="37"/>
      <c r="H729" s="37">
        <f>COUNTIF('(参考)現行システム機能階層一覧'!$E$3:$E$1048576,sheet1!B729)</f>
        <v>1</v>
      </c>
      <c r="I729" s="37"/>
      <c r="J729" s="37"/>
      <c r="K729" s="37"/>
      <c r="L729" s="37"/>
    </row>
    <row r="730" spans="1:12" ht="15.75" customHeight="1">
      <c r="A730" s="87" t="s">
        <v>3935</v>
      </c>
      <c r="B730" s="87" t="s">
        <v>4950</v>
      </c>
      <c r="C730" s="87" t="s">
        <v>4945</v>
      </c>
      <c r="D730" s="88">
        <v>440</v>
      </c>
      <c r="E730" s="85" t="s">
        <v>4888</v>
      </c>
      <c r="F730" s="87">
        <v>3</v>
      </c>
      <c r="G730" s="37"/>
      <c r="H730" s="37">
        <f>COUNTIF('(参考)現行システム機能階層一覧'!$E$3:$E$1048576,sheet1!B730)</f>
        <v>0</v>
      </c>
      <c r="I730" s="37"/>
      <c r="J730" s="37"/>
      <c r="K730" s="37"/>
      <c r="L730" s="37"/>
    </row>
    <row r="731" spans="1:12" ht="15.75" customHeight="1">
      <c r="A731" s="87" t="s">
        <v>3935</v>
      </c>
      <c r="B731" s="87" t="s">
        <v>2373</v>
      </c>
      <c r="C731" s="87" t="s">
        <v>2417</v>
      </c>
      <c r="D731" s="88">
        <v>545</v>
      </c>
      <c r="E731" s="85" t="s">
        <v>4888</v>
      </c>
      <c r="F731" s="87">
        <v>1318</v>
      </c>
      <c r="G731" s="37"/>
      <c r="H731" s="37">
        <f>COUNTIF('(参考)現行システム機能階層一覧'!$E$3:$E$1048576,sheet1!B731)</f>
        <v>1</v>
      </c>
      <c r="I731" s="37"/>
      <c r="J731" s="37"/>
      <c r="K731" s="37"/>
      <c r="L731" s="37"/>
    </row>
    <row r="732" spans="1:12" ht="15.75" customHeight="1">
      <c r="A732" s="87" t="s">
        <v>3935</v>
      </c>
      <c r="B732" s="87" t="s">
        <v>2378</v>
      </c>
      <c r="C732" s="87" t="s">
        <v>2337</v>
      </c>
      <c r="D732" s="88">
        <v>952</v>
      </c>
      <c r="E732" s="85" t="s">
        <v>4888</v>
      </c>
      <c r="F732" s="87">
        <v>207</v>
      </c>
      <c r="G732" s="37"/>
      <c r="H732" s="37">
        <f>COUNTIF('(参考)現行システム機能階層一覧'!$E$3:$E$1048576,sheet1!B732)</f>
        <v>1</v>
      </c>
      <c r="I732" s="37"/>
      <c r="J732" s="37"/>
      <c r="K732" s="37"/>
      <c r="L732" s="37"/>
    </row>
    <row r="733" spans="1:12" ht="15.75" customHeight="1">
      <c r="A733" s="87" t="s">
        <v>3935</v>
      </c>
      <c r="B733" s="87" t="s">
        <v>2382</v>
      </c>
      <c r="C733" s="87" t="s">
        <v>4951</v>
      </c>
      <c r="D733" s="88">
        <v>492</v>
      </c>
      <c r="E733" s="85" t="s">
        <v>4888</v>
      </c>
      <c r="F733" s="87">
        <v>156</v>
      </c>
      <c r="G733" s="37"/>
      <c r="H733" s="37">
        <f>COUNTIF('(参考)現行システム機能階層一覧'!$E$3:$E$1048576,sheet1!B733)</f>
        <v>1</v>
      </c>
      <c r="I733" s="37"/>
      <c r="J733" s="37"/>
      <c r="K733" s="37"/>
      <c r="L733" s="37"/>
    </row>
    <row r="734" spans="1:12" ht="15.75" customHeight="1">
      <c r="A734" s="87" t="s">
        <v>3935</v>
      </c>
      <c r="B734" s="87" t="s">
        <v>4952</v>
      </c>
      <c r="C734" s="87" t="s">
        <v>4953</v>
      </c>
      <c r="D734" s="88">
        <v>544</v>
      </c>
      <c r="E734" s="85" t="s">
        <v>4888</v>
      </c>
      <c r="F734" s="87">
        <v>1886</v>
      </c>
      <c r="G734" s="37"/>
      <c r="H734" s="37">
        <f>COUNTIF('(参考)現行システム機能階層一覧'!$E$3:$E$1048576,sheet1!B734)</f>
        <v>0</v>
      </c>
      <c r="I734" s="37"/>
      <c r="J734" s="37"/>
      <c r="K734" s="37"/>
      <c r="L734" s="37"/>
    </row>
    <row r="735" spans="1:12" ht="15.75" customHeight="1">
      <c r="A735" s="87" t="s">
        <v>3853</v>
      </c>
      <c r="B735" s="87" t="s">
        <v>4954</v>
      </c>
      <c r="C735" s="87" t="s">
        <v>4955</v>
      </c>
      <c r="D735" s="88">
        <v>90</v>
      </c>
      <c r="E735" s="85" t="s">
        <v>4888</v>
      </c>
      <c r="F735" s="87">
        <v>64</v>
      </c>
      <c r="G735" s="37"/>
      <c r="H735" s="37">
        <f>COUNTIF('(参考)現行システム機能階層一覧'!$E$3:$E$1048576,sheet1!B735)</f>
        <v>0</v>
      </c>
      <c r="I735" s="37"/>
      <c r="J735" s="37"/>
      <c r="K735" s="37"/>
      <c r="L735" s="37"/>
    </row>
    <row r="736" spans="1:12" ht="15.75" customHeight="1">
      <c r="A736" s="87" t="s">
        <v>3935</v>
      </c>
      <c r="B736" s="87" t="s">
        <v>2440</v>
      </c>
      <c r="C736" s="87" t="s">
        <v>4956</v>
      </c>
      <c r="D736" s="88">
        <v>1149</v>
      </c>
      <c r="E736" s="85" t="s">
        <v>4888</v>
      </c>
      <c r="F736" s="87">
        <v>107</v>
      </c>
      <c r="G736" s="37"/>
      <c r="H736" s="37">
        <f>COUNTIF('(参考)現行システム機能階層一覧'!$E$3:$E$1048576,sheet1!B736)</f>
        <v>1</v>
      </c>
      <c r="I736" s="37"/>
      <c r="J736" s="37"/>
      <c r="K736" s="37"/>
      <c r="L736" s="37"/>
    </row>
    <row r="737" spans="1:12" ht="15.75" customHeight="1">
      <c r="A737" s="87" t="s">
        <v>3935</v>
      </c>
      <c r="B737" s="87" t="s">
        <v>2445</v>
      </c>
      <c r="C737" s="87" t="s">
        <v>4957</v>
      </c>
      <c r="D737" s="88">
        <v>979</v>
      </c>
      <c r="E737" s="85" t="s">
        <v>4888</v>
      </c>
      <c r="F737" s="87">
        <v>5</v>
      </c>
      <c r="G737" s="37"/>
      <c r="H737" s="37">
        <f>COUNTIF('(参考)現行システム機能階層一覧'!$E$3:$E$1048576,sheet1!B737)</f>
        <v>1</v>
      </c>
      <c r="I737" s="37"/>
      <c r="J737" s="37"/>
      <c r="K737" s="37"/>
      <c r="L737" s="37"/>
    </row>
    <row r="738" spans="1:12" ht="15.75" customHeight="1">
      <c r="A738" s="87" t="s">
        <v>3935</v>
      </c>
      <c r="B738" s="87" t="s">
        <v>2448</v>
      </c>
      <c r="C738" s="87" t="s">
        <v>4958</v>
      </c>
      <c r="D738" s="88">
        <v>580</v>
      </c>
      <c r="E738" s="85" t="s">
        <v>4888</v>
      </c>
      <c r="F738" s="87">
        <v>10</v>
      </c>
      <c r="G738" s="37"/>
      <c r="H738" s="37">
        <f>COUNTIF('(参考)現行システム機能階層一覧'!$E$3:$E$1048576,sheet1!B738)</f>
        <v>1</v>
      </c>
      <c r="I738" s="37"/>
      <c r="J738" s="37"/>
      <c r="K738" s="37"/>
      <c r="L738" s="37"/>
    </row>
    <row r="739" spans="1:12" ht="15.75" customHeight="1">
      <c r="A739" s="87" t="s">
        <v>3935</v>
      </c>
      <c r="B739" s="87" t="s">
        <v>4959</v>
      </c>
      <c r="C739" s="87" t="s">
        <v>4960</v>
      </c>
      <c r="D739" s="88">
        <v>503</v>
      </c>
      <c r="E739" s="85" t="s">
        <v>4888</v>
      </c>
      <c r="F739" s="87">
        <v>4</v>
      </c>
      <c r="G739" s="37"/>
      <c r="H739" s="37">
        <f>COUNTIF('(参考)現行システム機能階層一覧'!$E$3:$E$1048576,sheet1!B739)</f>
        <v>0</v>
      </c>
      <c r="I739" s="37"/>
      <c r="J739" s="37"/>
      <c r="K739" s="37"/>
      <c r="L739" s="37"/>
    </row>
    <row r="740" spans="1:12" ht="15.75" customHeight="1">
      <c r="A740" s="87" t="s">
        <v>3853</v>
      </c>
      <c r="B740" s="87" t="s">
        <v>4961</v>
      </c>
      <c r="C740" s="87" t="s">
        <v>4962</v>
      </c>
      <c r="D740" s="88">
        <v>36</v>
      </c>
      <c r="E740" s="85" t="s">
        <v>4888</v>
      </c>
      <c r="F740" s="87">
        <v>4</v>
      </c>
      <c r="G740" s="37"/>
      <c r="H740" s="37">
        <f>COUNTIF('(参考)現行システム機能階層一覧'!$E$3:$E$1048576,sheet1!B740)</f>
        <v>0</v>
      </c>
      <c r="I740" s="37"/>
      <c r="J740" s="37"/>
      <c r="K740" s="37"/>
      <c r="L740" s="37"/>
    </row>
    <row r="741" spans="1:12" ht="15.75" customHeight="1">
      <c r="A741" s="87" t="s">
        <v>3935</v>
      </c>
      <c r="B741" s="87" t="s">
        <v>4963</v>
      </c>
      <c r="C741" s="87" t="s">
        <v>2483</v>
      </c>
      <c r="D741" s="88">
        <v>1243</v>
      </c>
      <c r="E741" s="85" t="s">
        <v>4888</v>
      </c>
      <c r="F741" s="87">
        <v>4</v>
      </c>
      <c r="G741" s="37"/>
      <c r="H741" s="37">
        <f>COUNTIF('(参考)現行システム機能階層一覧'!$E$3:$E$1048576,sheet1!B741)</f>
        <v>0</v>
      </c>
      <c r="I741" s="37"/>
      <c r="J741" s="37"/>
      <c r="K741" s="37"/>
      <c r="L741" s="37"/>
    </row>
    <row r="742" spans="1:12" ht="15.75" customHeight="1">
      <c r="A742" s="87" t="s">
        <v>3853</v>
      </c>
      <c r="B742" s="87" t="s">
        <v>4964</v>
      </c>
      <c r="C742" s="87" t="s">
        <v>2483</v>
      </c>
      <c r="D742" s="88">
        <v>53</v>
      </c>
      <c r="E742" s="85" t="s">
        <v>4888</v>
      </c>
      <c r="F742" s="87">
        <v>4</v>
      </c>
      <c r="G742" s="37"/>
      <c r="H742" s="37">
        <f>COUNTIF('(参考)現行システム機能階層一覧'!$E$3:$E$1048576,sheet1!B742)</f>
        <v>0</v>
      </c>
      <c r="I742" s="37"/>
      <c r="J742" s="37"/>
      <c r="K742" s="37"/>
      <c r="L742" s="37"/>
    </row>
    <row r="743" spans="1:12" ht="15.75" customHeight="1">
      <c r="A743" s="87" t="s">
        <v>3935</v>
      </c>
      <c r="B743" s="87" t="s">
        <v>2451</v>
      </c>
      <c r="C743" s="87" t="s">
        <v>2487</v>
      </c>
      <c r="D743" s="88">
        <v>1119</v>
      </c>
      <c r="E743" s="85" t="s">
        <v>4888</v>
      </c>
      <c r="F743" s="87">
        <v>22</v>
      </c>
      <c r="G743" s="37"/>
      <c r="H743" s="37">
        <f>COUNTIF('(参考)現行システム機能階層一覧'!$E$3:$E$1048576,sheet1!B743)</f>
        <v>1</v>
      </c>
      <c r="I743" s="37"/>
      <c r="J743" s="37"/>
      <c r="K743" s="37"/>
      <c r="L743" s="37"/>
    </row>
    <row r="744" spans="1:12" ht="15.75" customHeight="1">
      <c r="A744" s="87" t="s">
        <v>3853</v>
      </c>
      <c r="B744" s="87" t="s">
        <v>4965</v>
      </c>
      <c r="C744" s="87" t="s">
        <v>2487</v>
      </c>
      <c r="D744" s="88">
        <v>17</v>
      </c>
      <c r="E744" s="85" t="s">
        <v>4888</v>
      </c>
      <c r="F744" s="87">
        <v>22</v>
      </c>
      <c r="G744" s="37"/>
      <c r="H744" s="37">
        <f>COUNTIF('(参考)現行システム機能階層一覧'!$E$3:$E$1048576,sheet1!B744)</f>
        <v>0</v>
      </c>
      <c r="I744" s="37"/>
      <c r="J744" s="37"/>
      <c r="K744" s="37"/>
      <c r="L744" s="37"/>
    </row>
    <row r="745" spans="1:12" ht="15.75" customHeight="1">
      <c r="A745" s="87" t="s">
        <v>3935</v>
      </c>
      <c r="B745" s="87" t="s">
        <v>2454</v>
      </c>
      <c r="C745" s="87" t="s">
        <v>4966</v>
      </c>
      <c r="D745" s="88">
        <v>506</v>
      </c>
      <c r="E745" s="85" t="s">
        <v>4888</v>
      </c>
      <c r="F745" s="87">
        <v>6</v>
      </c>
      <c r="G745" s="37"/>
      <c r="H745" s="37">
        <f>COUNTIF('(参考)現行システム機能階層一覧'!$E$3:$E$1048576,sheet1!B745)</f>
        <v>1</v>
      </c>
      <c r="I745" s="37"/>
      <c r="J745" s="37"/>
      <c r="K745" s="37"/>
      <c r="L745" s="37"/>
    </row>
    <row r="746" spans="1:12" ht="15.75" customHeight="1">
      <c r="A746" s="87" t="s">
        <v>3853</v>
      </c>
      <c r="B746" s="87" t="s">
        <v>4967</v>
      </c>
      <c r="C746" s="87" t="s">
        <v>4968</v>
      </c>
      <c r="D746" s="88">
        <v>28</v>
      </c>
      <c r="E746" s="85" t="s">
        <v>4888</v>
      </c>
      <c r="F746" s="87">
        <v>6</v>
      </c>
      <c r="G746" s="37"/>
      <c r="H746" s="37">
        <f>COUNTIF('(参考)現行システム機能階層一覧'!$E$3:$E$1048576,sheet1!B746)</f>
        <v>0</v>
      </c>
      <c r="I746" s="37"/>
      <c r="J746" s="37"/>
      <c r="K746" s="37"/>
      <c r="L746" s="37"/>
    </row>
    <row r="747" spans="1:12" ht="15.75" customHeight="1">
      <c r="A747" s="87" t="s">
        <v>3935</v>
      </c>
      <c r="B747" s="87" t="s">
        <v>4969</v>
      </c>
      <c r="C747" s="87" t="s">
        <v>4970</v>
      </c>
      <c r="D747" s="88">
        <v>725</v>
      </c>
      <c r="E747" s="85" t="s">
        <v>4888</v>
      </c>
      <c r="F747" s="87">
        <v>1</v>
      </c>
      <c r="G747" s="37"/>
      <c r="H747" s="37">
        <f>COUNTIF('(参考)現行システム機能階層一覧'!$E$3:$E$1048576,sheet1!B747)</f>
        <v>0</v>
      </c>
      <c r="I747" s="37"/>
      <c r="J747" s="37"/>
      <c r="K747" s="37"/>
      <c r="L747" s="37"/>
    </row>
    <row r="748" spans="1:12" ht="15.75" customHeight="1">
      <c r="A748" s="87" t="s">
        <v>3853</v>
      </c>
      <c r="B748" s="87" t="s">
        <v>4971</v>
      </c>
      <c r="C748" s="87" t="s">
        <v>4970</v>
      </c>
      <c r="D748" s="88">
        <v>46</v>
      </c>
      <c r="E748" s="85" t="s">
        <v>4888</v>
      </c>
      <c r="F748" s="87">
        <v>1</v>
      </c>
      <c r="G748" s="37"/>
      <c r="H748" s="37">
        <f>COUNTIF('(参考)現行システム機能階層一覧'!$E$3:$E$1048576,sheet1!B748)</f>
        <v>0</v>
      </c>
      <c r="I748" s="37"/>
      <c r="J748" s="37"/>
      <c r="K748" s="37"/>
      <c r="L748" s="37"/>
    </row>
    <row r="749" spans="1:12" ht="15.75" customHeight="1">
      <c r="A749" s="87" t="s">
        <v>3935</v>
      </c>
      <c r="B749" s="87" t="s">
        <v>2458</v>
      </c>
      <c r="C749" s="87" t="s">
        <v>2497</v>
      </c>
      <c r="D749" s="88">
        <v>1394</v>
      </c>
      <c r="E749" s="85" t="s">
        <v>4888</v>
      </c>
      <c r="F749" s="87">
        <v>8</v>
      </c>
      <c r="G749" s="37"/>
      <c r="H749" s="37">
        <f>COUNTIF('(参考)現行システム機能階層一覧'!$E$3:$E$1048576,sheet1!B749)</f>
        <v>1</v>
      </c>
      <c r="I749" s="37"/>
      <c r="J749" s="37"/>
      <c r="K749" s="37"/>
      <c r="L749" s="37"/>
    </row>
    <row r="750" spans="1:12" ht="15.75" customHeight="1">
      <c r="A750" s="87" t="s">
        <v>3935</v>
      </c>
      <c r="B750" s="87" t="s">
        <v>2462</v>
      </c>
      <c r="C750" s="87" t="s">
        <v>4972</v>
      </c>
      <c r="D750" s="88">
        <v>135</v>
      </c>
      <c r="E750" s="85" t="s">
        <v>4888</v>
      </c>
      <c r="F750" s="87">
        <v>4</v>
      </c>
      <c r="G750" s="37"/>
      <c r="H750" s="37">
        <f>COUNTIF('(参考)現行システム機能階層一覧'!$E$3:$E$1048576,sheet1!B750)</f>
        <v>1</v>
      </c>
      <c r="I750" s="37"/>
      <c r="J750" s="37"/>
      <c r="K750" s="37"/>
      <c r="L750" s="37"/>
    </row>
    <row r="751" spans="1:12" ht="15.75" customHeight="1">
      <c r="A751" s="87" t="s">
        <v>3935</v>
      </c>
      <c r="B751" s="87" t="s">
        <v>4973</v>
      </c>
      <c r="C751" s="87" t="s">
        <v>4974</v>
      </c>
      <c r="D751" s="88">
        <v>759</v>
      </c>
      <c r="E751" s="85" t="s">
        <v>4888</v>
      </c>
      <c r="F751" s="87">
        <v>1</v>
      </c>
      <c r="G751" s="37"/>
      <c r="H751" s="37">
        <f>COUNTIF('(参考)現行システム機能階層一覧'!$E$3:$E$1048576,sheet1!B751)</f>
        <v>0</v>
      </c>
      <c r="I751" s="37"/>
      <c r="J751" s="37"/>
      <c r="K751" s="37"/>
      <c r="L751" s="37"/>
    </row>
    <row r="752" spans="1:12" ht="15.75" customHeight="1">
      <c r="A752" s="87" t="s">
        <v>3935</v>
      </c>
      <c r="B752" s="87" t="s">
        <v>2466</v>
      </c>
      <c r="C752" s="87" t="s">
        <v>4975</v>
      </c>
      <c r="D752" s="88">
        <v>138</v>
      </c>
      <c r="E752" s="85" t="s">
        <v>4888</v>
      </c>
      <c r="F752" s="87">
        <v>52</v>
      </c>
      <c r="G752" s="37"/>
      <c r="H752" s="37">
        <f>COUNTIF('(参考)現行システム機能階層一覧'!$E$3:$E$1048576,sheet1!B752)</f>
        <v>1</v>
      </c>
      <c r="I752" s="37"/>
      <c r="J752" s="37"/>
      <c r="K752" s="37"/>
      <c r="L752" s="37"/>
    </row>
    <row r="753" spans="1:12" ht="15.75" customHeight="1">
      <c r="A753" s="87" t="s">
        <v>3935</v>
      </c>
      <c r="B753" s="87" t="s">
        <v>4976</v>
      </c>
      <c r="C753" s="87" t="s">
        <v>4977</v>
      </c>
      <c r="D753" s="88">
        <v>1085</v>
      </c>
      <c r="E753" s="85" t="s">
        <v>4888</v>
      </c>
      <c r="F753" s="87">
        <v>9</v>
      </c>
      <c r="G753" s="37"/>
      <c r="H753" s="37">
        <f>COUNTIF('(参考)現行システム機能階層一覧'!$E$3:$E$1048576,sheet1!B753)</f>
        <v>0</v>
      </c>
      <c r="I753" s="37"/>
      <c r="J753" s="37"/>
      <c r="K753" s="37"/>
      <c r="L753" s="37"/>
    </row>
    <row r="754" spans="1:12" ht="15.75" customHeight="1">
      <c r="A754" s="87" t="s">
        <v>3853</v>
      </c>
      <c r="B754" s="87" t="s">
        <v>4978</v>
      </c>
      <c r="C754" s="87" t="s">
        <v>4979</v>
      </c>
      <c r="D754" s="88">
        <v>40</v>
      </c>
      <c r="E754" s="85" t="s">
        <v>4888</v>
      </c>
      <c r="F754" s="87">
        <v>9</v>
      </c>
      <c r="G754" s="37"/>
      <c r="H754" s="37">
        <f>COUNTIF('(参考)現行システム機能階層一覧'!$E$3:$E$1048576,sheet1!B754)</f>
        <v>0</v>
      </c>
      <c r="I754" s="37"/>
      <c r="J754" s="37"/>
      <c r="K754" s="37"/>
      <c r="L754" s="37"/>
    </row>
    <row r="755" spans="1:12" ht="15.75" customHeight="1">
      <c r="A755" s="87" t="s">
        <v>3935</v>
      </c>
      <c r="B755" s="87" t="s">
        <v>2433</v>
      </c>
      <c r="C755" s="87" t="s">
        <v>4980</v>
      </c>
      <c r="D755" s="88">
        <v>643</v>
      </c>
      <c r="E755" s="85" t="s">
        <v>4888</v>
      </c>
      <c r="F755" s="87">
        <v>214</v>
      </c>
      <c r="G755" s="37"/>
      <c r="H755" s="37">
        <f>COUNTIF('(参考)現行システム機能階層一覧'!$E$3:$E$1048576,sheet1!B755)</f>
        <v>1</v>
      </c>
      <c r="I755" s="37"/>
      <c r="J755" s="37"/>
      <c r="K755" s="37"/>
      <c r="L755" s="37"/>
    </row>
    <row r="756" spans="1:12" ht="15.75" customHeight="1">
      <c r="A756" s="87" t="s">
        <v>3935</v>
      </c>
      <c r="B756" s="87" t="s">
        <v>2431</v>
      </c>
      <c r="C756" s="87" t="s">
        <v>4981</v>
      </c>
      <c r="D756" s="88">
        <v>1098</v>
      </c>
      <c r="E756" s="85" t="s">
        <v>4888</v>
      </c>
      <c r="F756" s="87">
        <v>90</v>
      </c>
      <c r="G756" s="37"/>
      <c r="H756" s="37">
        <f>COUNTIF('(参考)現行システム機能階層一覧'!$E$3:$E$1048576,sheet1!B756)</f>
        <v>1</v>
      </c>
      <c r="I756" s="37"/>
      <c r="J756" s="37"/>
      <c r="K756" s="37"/>
      <c r="L756" s="37"/>
    </row>
    <row r="757" spans="1:12" ht="15.75" customHeight="1">
      <c r="A757" s="87" t="s">
        <v>3935</v>
      </c>
      <c r="B757" s="87" t="s">
        <v>4982</v>
      </c>
      <c r="C757" s="87" t="s">
        <v>4983</v>
      </c>
      <c r="D757" s="88">
        <v>490</v>
      </c>
      <c r="E757" s="85" t="s">
        <v>4888</v>
      </c>
      <c r="F757" s="87">
        <v>681</v>
      </c>
      <c r="G757" s="37"/>
      <c r="H757" s="37">
        <f>COUNTIF('(参考)現行システム機能階層一覧'!$E$3:$E$1048576,sheet1!B757)</f>
        <v>0</v>
      </c>
      <c r="I757" s="37"/>
      <c r="J757" s="37"/>
      <c r="K757" s="37"/>
      <c r="L757" s="37"/>
    </row>
    <row r="758" spans="1:12" ht="15.75" customHeight="1">
      <c r="A758" s="87" t="s">
        <v>3853</v>
      </c>
      <c r="B758" s="87" t="s">
        <v>2435</v>
      </c>
      <c r="C758" s="87" t="s">
        <v>4983</v>
      </c>
      <c r="D758" s="88">
        <v>25</v>
      </c>
      <c r="E758" s="85" t="s">
        <v>4888</v>
      </c>
      <c r="F758" s="87">
        <v>681</v>
      </c>
      <c r="G758" s="37"/>
      <c r="H758" s="37">
        <f>COUNTIF('(参考)現行システム機能階層一覧'!$E$3:$E$1048576,sheet1!B758)</f>
        <v>1</v>
      </c>
      <c r="I758" s="37"/>
      <c r="J758" s="37"/>
      <c r="K758" s="37"/>
      <c r="L758" s="37"/>
    </row>
    <row r="759" spans="1:12" ht="15.75" customHeight="1">
      <c r="A759" s="87" t="s">
        <v>3935</v>
      </c>
      <c r="B759" s="87" t="s">
        <v>4984</v>
      </c>
      <c r="C759" s="87" t="s">
        <v>4985</v>
      </c>
      <c r="D759" s="88">
        <v>467</v>
      </c>
      <c r="E759" s="85" t="s">
        <v>4888</v>
      </c>
      <c r="F759" s="87">
        <v>613</v>
      </c>
      <c r="G759" s="37"/>
      <c r="H759" s="37">
        <f>COUNTIF('(参考)現行システム機能階層一覧'!$E$3:$E$1048576,sheet1!B759)</f>
        <v>0</v>
      </c>
      <c r="I759" s="37"/>
      <c r="J759" s="37"/>
      <c r="K759" s="37"/>
      <c r="L759" s="37"/>
    </row>
    <row r="760" spans="1:12" ht="15.75" customHeight="1">
      <c r="A760" s="87" t="s">
        <v>3853</v>
      </c>
      <c r="B760" s="87" t="s">
        <v>4986</v>
      </c>
      <c r="C760" s="87" t="s">
        <v>4987</v>
      </c>
      <c r="D760" s="88">
        <v>51</v>
      </c>
      <c r="E760" s="85" t="s">
        <v>4888</v>
      </c>
      <c r="F760" s="87">
        <v>613</v>
      </c>
      <c r="G760" s="37"/>
      <c r="H760" s="37">
        <f>COUNTIF('(参考)現行システム機能階層一覧'!$E$3:$E$1048576,sheet1!B760)</f>
        <v>0</v>
      </c>
      <c r="I760" s="37"/>
      <c r="J760" s="37"/>
      <c r="K760" s="37"/>
      <c r="L760" s="37"/>
    </row>
    <row r="761" spans="1:12" ht="15.75" customHeight="1">
      <c r="A761" s="87" t="s">
        <v>3935</v>
      </c>
      <c r="B761" s="87" t="s">
        <v>4988</v>
      </c>
      <c r="C761" s="87" t="s">
        <v>4989</v>
      </c>
      <c r="D761" s="88">
        <v>3007</v>
      </c>
      <c r="E761" s="85" t="s">
        <v>4888</v>
      </c>
      <c r="F761" s="87">
        <v>613</v>
      </c>
      <c r="G761" s="37"/>
      <c r="H761" s="37">
        <f>COUNTIF('(参考)現行システム機能階層一覧'!$E$3:$E$1048576,sheet1!B761)</f>
        <v>0</v>
      </c>
      <c r="I761" s="37"/>
      <c r="J761" s="37"/>
      <c r="K761" s="37"/>
      <c r="L761" s="37"/>
    </row>
    <row r="762" spans="1:12" ht="15.75" customHeight="1">
      <c r="A762" s="87" t="s">
        <v>3853</v>
      </c>
      <c r="B762" s="87" t="s">
        <v>4990</v>
      </c>
      <c r="C762" s="87" t="s">
        <v>4991</v>
      </c>
      <c r="D762" s="88">
        <v>102</v>
      </c>
      <c r="E762" s="85" t="s">
        <v>4888</v>
      </c>
      <c r="F762" s="87">
        <v>126</v>
      </c>
      <c r="G762" s="37"/>
      <c r="H762" s="37">
        <f>COUNTIF('(参考)現行システム機能階層一覧'!$E$3:$E$1048576,sheet1!B762)</f>
        <v>0</v>
      </c>
      <c r="I762" s="37"/>
      <c r="J762" s="37"/>
      <c r="K762" s="37"/>
      <c r="L762" s="37"/>
    </row>
    <row r="763" spans="1:12" ht="15.75" customHeight="1">
      <c r="A763" s="87" t="s">
        <v>3853</v>
      </c>
      <c r="B763" s="87" t="s">
        <v>4992</v>
      </c>
      <c r="C763" s="87" t="s">
        <v>4993</v>
      </c>
      <c r="D763" s="88">
        <v>102</v>
      </c>
      <c r="E763" s="85" t="s">
        <v>4888</v>
      </c>
      <c r="F763" s="87">
        <v>1</v>
      </c>
      <c r="G763" s="37"/>
      <c r="H763" s="37">
        <f>COUNTIF('(参考)現行システム機能階層一覧'!$E$3:$E$1048576,sheet1!B763)</f>
        <v>0</v>
      </c>
      <c r="I763" s="37"/>
      <c r="J763" s="37"/>
      <c r="K763" s="37"/>
      <c r="L763" s="37"/>
    </row>
    <row r="764" spans="1:12" ht="15.75" customHeight="1">
      <c r="A764" s="87" t="s">
        <v>3853</v>
      </c>
      <c r="B764" s="87" t="s">
        <v>4994</v>
      </c>
      <c r="C764" s="87" t="s">
        <v>4995</v>
      </c>
      <c r="D764" s="88">
        <v>170</v>
      </c>
      <c r="E764" s="85" t="s">
        <v>4888</v>
      </c>
      <c r="F764" s="87">
        <v>64</v>
      </c>
      <c r="G764" s="37"/>
      <c r="H764" s="37">
        <f>COUNTIF('(参考)現行システム機能階層一覧'!$E$3:$E$1048576,sheet1!B764)</f>
        <v>0</v>
      </c>
      <c r="I764" s="37"/>
      <c r="J764" s="37"/>
      <c r="K764" s="37"/>
      <c r="L764" s="37"/>
    </row>
    <row r="765" spans="1:12" ht="15.75" customHeight="1">
      <c r="A765" s="87" t="s">
        <v>3853</v>
      </c>
      <c r="B765" s="87" t="s">
        <v>4996</v>
      </c>
      <c r="C765" s="87" t="s">
        <v>4997</v>
      </c>
      <c r="D765" s="88">
        <v>197</v>
      </c>
      <c r="E765" s="85" t="s">
        <v>4888</v>
      </c>
      <c r="F765" s="87">
        <v>71</v>
      </c>
      <c r="G765" s="37"/>
      <c r="H765" s="37">
        <f>COUNTIF('(参考)現行システム機能階層一覧'!$E$3:$E$1048576,sheet1!B765)</f>
        <v>0</v>
      </c>
      <c r="I765" s="37"/>
      <c r="J765" s="37"/>
      <c r="K765" s="37"/>
      <c r="L765" s="37"/>
    </row>
    <row r="766" spans="1:12" ht="15.75" customHeight="1">
      <c r="A766" s="87" t="s">
        <v>3935</v>
      </c>
      <c r="B766" s="87" t="s">
        <v>2469</v>
      </c>
      <c r="C766" s="87" t="s">
        <v>4998</v>
      </c>
      <c r="D766" s="88">
        <v>216</v>
      </c>
      <c r="E766" s="85" t="s">
        <v>4888</v>
      </c>
      <c r="F766" s="87">
        <v>114</v>
      </c>
      <c r="G766" s="37"/>
      <c r="H766" s="37">
        <f>COUNTIF('(参考)現行システム機能階層一覧'!$E$3:$E$1048576,sheet1!B766)</f>
        <v>1</v>
      </c>
      <c r="I766" s="37"/>
      <c r="J766" s="37"/>
      <c r="K766" s="37"/>
      <c r="L766" s="37"/>
    </row>
    <row r="767" spans="1:12" ht="15.75" customHeight="1">
      <c r="A767" s="87" t="s">
        <v>3853</v>
      </c>
      <c r="B767" s="87" t="s">
        <v>4999</v>
      </c>
      <c r="C767" s="87" t="s">
        <v>5000</v>
      </c>
      <c r="D767" s="88">
        <v>38</v>
      </c>
      <c r="E767" s="85" t="s">
        <v>4888</v>
      </c>
      <c r="F767" s="87">
        <v>110</v>
      </c>
      <c r="G767" s="37"/>
      <c r="H767" s="37">
        <f>COUNTIF('(参考)現行システム機能階層一覧'!$E$3:$E$1048576,sheet1!B767)</f>
        <v>0</v>
      </c>
      <c r="I767" s="37"/>
      <c r="J767" s="37"/>
      <c r="K767" s="37"/>
      <c r="L767" s="37"/>
    </row>
    <row r="768" spans="1:12" ht="15.75" customHeight="1">
      <c r="A768" s="87" t="s">
        <v>3935</v>
      </c>
      <c r="B768" s="87" t="s">
        <v>2472</v>
      </c>
      <c r="C768" s="87" t="s">
        <v>5001</v>
      </c>
      <c r="D768" s="88">
        <v>216</v>
      </c>
      <c r="E768" s="85" t="s">
        <v>4888</v>
      </c>
      <c r="F768" s="87">
        <v>69</v>
      </c>
      <c r="G768" s="37"/>
      <c r="H768" s="37">
        <f>COUNTIF('(参考)現行システム機能階層一覧'!$E$3:$E$1048576,sheet1!B768)</f>
        <v>1</v>
      </c>
      <c r="I768" s="37"/>
      <c r="J768" s="37"/>
      <c r="K768" s="37"/>
      <c r="L768" s="37"/>
    </row>
    <row r="769" spans="1:12" ht="15.75" customHeight="1">
      <c r="A769" s="87" t="s">
        <v>3853</v>
      </c>
      <c r="B769" s="87" t="s">
        <v>5002</v>
      </c>
      <c r="C769" s="87" t="s">
        <v>5003</v>
      </c>
      <c r="D769" s="88">
        <v>38</v>
      </c>
      <c r="E769" s="85" t="s">
        <v>4888</v>
      </c>
      <c r="F769" s="87">
        <v>65</v>
      </c>
      <c r="G769" s="37"/>
      <c r="H769" s="37">
        <f>COUNTIF('(参考)現行システム機能階層一覧'!$E$3:$E$1048576,sheet1!B769)</f>
        <v>0</v>
      </c>
      <c r="I769" s="37"/>
      <c r="J769" s="37"/>
      <c r="K769" s="37"/>
      <c r="L769" s="37"/>
    </row>
    <row r="770" spans="1:12" ht="15.75" customHeight="1">
      <c r="A770" s="87" t="s">
        <v>3935</v>
      </c>
      <c r="B770" s="87" t="s">
        <v>5004</v>
      </c>
      <c r="C770" s="87" t="s">
        <v>5005</v>
      </c>
      <c r="D770" s="88">
        <v>219</v>
      </c>
      <c r="E770" s="85" t="s">
        <v>4888</v>
      </c>
      <c r="F770" s="87">
        <v>53</v>
      </c>
      <c r="G770" s="37"/>
      <c r="H770" s="37">
        <f>COUNTIF('(参考)現行システム機能階層一覧'!$E$3:$E$1048576,sheet1!B770)</f>
        <v>0</v>
      </c>
      <c r="I770" s="37"/>
      <c r="J770" s="37"/>
      <c r="K770" s="37"/>
      <c r="L770" s="37"/>
    </row>
    <row r="771" spans="1:12" ht="15.75" customHeight="1">
      <c r="A771" s="87" t="s">
        <v>3853</v>
      </c>
      <c r="B771" s="87" t="s">
        <v>5006</v>
      </c>
      <c r="C771" s="87" t="s">
        <v>5007</v>
      </c>
      <c r="D771" s="88">
        <v>39</v>
      </c>
      <c r="E771" s="85" t="s">
        <v>4888</v>
      </c>
      <c r="F771" s="87">
        <v>53</v>
      </c>
      <c r="G771" s="37"/>
      <c r="H771" s="37">
        <f>COUNTIF('(参考)現行システム機能階層一覧'!$E$3:$E$1048576,sheet1!B771)</f>
        <v>0</v>
      </c>
      <c r="I771" s="37"/>
      <c r="J771" s="37"/>
      <c r="K771" s="37"/>
      <c r="L771" s="37"/>
    </row>
    <row r="772" spans="1:12" ht="15.75" customHeight="1">
      <c r="A772" s="87" t="s">
        <v>3935</v>
      </c>
      <c r="B772" s="87" t="s">
        <v>5008</v>
      </c>
      <c r="C772" s="87" t="s">
        <v>5009</v>
      </c>
      <c r="D772" s="88">
        <v>1834</v>
      </c>
      <c r="E772" s="85" t="s">
        <v>4888</v>
      </c>
      <c r="F772" s="87">
        <v>613</v>
      </c>
      <c r="G772" s="37"/>
      <c r="H772" s="37">
        <f>COUNTIF('(参考)現行システム機能階層一覧'!$E$3:$E$1048576,sheet1!B772)</f>
        <v>0</v>
      </c>
      <c r="I772" s="37"/>
      <c r="J772" s="37"/>
      <c r="K772" s="37"/>
      <c r="L772" s="37"/>
    </row>
    <row r="773" spans="1:12" ht="15.75" customHeight="1">
      <c r="A773" s="87" t="s">
        <v>3935</v>
      </c>
      <c r="B773" s="87" t="s">
        <v>5010</v>
      </c>
      <c r="C773" s="87" t="s">
        <v>5011</v>
      </c>
      <c r="D773" s="88">
        <v>613</v>
      </c>
      <c r="E773" s="85" t="s">
        <v>4888</v>
      </c>
      <c r="F773" s="87">
        <v>613</v>
      </c>
      <c r="G773" s="37"/>
      <c r="H773" s="37">
        <f>COUNTIF('(参考)現行システム機能階層一覧'!$E$3:$E$1048576,sheet1!B773)</f>
        <v>0</v>
      </c>
      <c r="I773" s="37"/>
      <c r="J773" s="37"/>
      <c r="K773" s="37"/>
      <c r="L773" s="37"/>
    </row>
    <row r="774" spans="1:12" ht="15.75" customHeight="1">
      <c r="A774" s="87" t="s">
        <v>3935</v>
      </c>
      <c r="B774" s="87" t="s">
        <v>5012</v>
      </c>
      <c r="C774" s="87" t="s">
        <v>5013</v>
      </c>
      <c r="D774" s="88">
        <v>1292</v>
      </c>
      <c r="E774" s="85" t="s">
        <v>4888</v>
      </c>
      <c r="F774" s="87">
        <v>613</v>
      </c>
      <c r="G774" s="37"/>
      <c r="H774" s="37">
        <f>COUNTIF('(参考)現行システム機能階層一覧'!$E$3:$E$1048576,sheet1!B774)</f>
        <v>0</v>
      </c>
      <c r="I774" s="37"/>
      <c r="J774" s="37"/>
      <c r="K774" s="37"/>
      <c r="L774" s="37"/>
    </row>
    <row r="775" spans="1:12" ht="15.75" customHeight="1">
      <c r="A775" s="87" t="s">
        <v>3935</v>
      </c>
      <c r="B775" s="87" t="s">
        <v>5014</v>
      </c>
      <c r="C775" s="87" t="s">
        <v>5015</v>
      </c>
      <c r="D775" s="88">
        <v>658</v>
      </c>
      <c r="E775" s="85" t="s">
        <v>4888</v>
      </c>
      <c r="F775" s="87">
        <v>613</v>
      </c>
      <c r="G775" s="37"/>
      <c r="H775" s="37">
        <f>COUNTIF('(参考)現行システム機能階層一覧'!$E$3:$E$1048576,sheet1!B775)</f>
        <v>0</v>
      </c>
      <c r="I775" s="37"/>
      <c r="J775" s="37"/>
      <c r="K775" s="37"/>
      <c r="L775" s="37"/>
    </row>
    <row r="776" spans="1:12" ht="15.75" customHeight="1">
      <c r="A776" s="87" t="s">
        <v>3935</v>
      </c>
      <c r="B776" s="87" t="s">
        <v>5016</v>
      </c>
      <c r="C776" s="87" t="s">
        <v>5017</v>
      </c>
      <c r="D776" s="88">
        <v>684</v>
      </c>
      <c r="E776" s="85" t="s">
        <v>4888</v>
      </c>
      <c r="F776" s="87">
        <v>613</v>
      </c>
      <c r="G776" s="37"/>
      <c r="H776" s="37">
        <f>COUNTIF('(参考)現行システム機能階層一覧'!$E$3:$E$1048576,sheet1!B776)</f>
        <v>0</v>
      </c>
      <c r="I776" s="37"/>
      <c r="J776" s="37"/>
      <c r="K776" s="37"/>
      <c r="L776" s="37"/>
    </row>
    <row r="777" spans="1:12" ht="15.75" customHeight="1">
      <c r="A777" s="87" t="s">
        <v>3935</v>
      </c>
      <c r="B777" s="87" t="s">
        <v>5018</v>
      </c>
      <c r="C777" s="87" t="s">
        <v>5019</v>
      </c>
      <c r="D777" s="88">
        <v>1387</v>
      </c>
      <c r="E777" s="85" t="s">
        <v>4888</v>
      </c>
      <c r="F777" s="87">
        <v>613</v>
      </c>
      <c r="G777" s="37"/>
      <c r="H777" s="37">
        <f>COUNTIF('(参考)現行システム機能階層一覧'!$E$3:$E$1048576,sheet1!B777)</f>
        <v>0</v>
      </c>
      <c r="I777" s="37"/>
      <c r="J777" s="37"/>
      <c r="K777" s="37"/>
      <c r="L777" s="37"/>
    </row>
    <row r="778" spans="1:12" ht="15.75" customHeight="1">
      <c r="A778" s="87" t="s">
        <v>3935</v>
      </c>
      <c r="B778" s="87" t="s">
        <v>5020</v>
      </c>
      <c r="C778" s="87" t="s">
        <v>5021</v>
      </c>
      <c r="D778" s="88">
        <v>697</v>
      </c>
      <c r="E778" s="85" t="s">
        <v>4888</v>
      </c>
      <c r="F778" s="87">
        <v>613</v>
      </c>
      <c r="G778" s="37"/>
      <c r="H778" s="37">
        <f>COUNTIF('(参考)現行システム機能階層一覧'!$E$3:$E$1048576,sheet1!B778)</f>
        <v>0</v>
      </c>
      <c r="I778" s="37"/>
      <c r="J778" s="37"/>
      <c r="K778" s="37"/>
      <c r="L778" s="37"/>
    </row>
    <row r="779" spans="1:12" ht="15.75" customHeight="1">
      <c r="A779" s="87" t="s">
        <v>3935</v>
      </c>
      <c r="B779" s="87" t="s">
        <v>5022</v>
      </c>
      <c r="C779" s="87" t="s">
        <v>5023</v>
      </c>
      <c r="D779" s="88">
        <v>439</v>
      </c>
      <c r="E779" s="85" t="s">
        <v>4888</v>
      </c>
      <c r="F779" s="87">
        <v>613</v>
      </c>
      <c r="G779" s="37"/>
      <c r="H779" s="37">
        <f>COUNTIF('(参考)現行システム機能階層一覧'!$E$3:$E$1048576,sheet1!B779)</f>
        <v>0</v>
      </c>
      <c r="I779" s="37"/>
      <c r="J779" s="37"/>
      <c r="K779" s="37"/>
      <c r="L779" s="37"/>
    </row>
    <row r="780" spans="1:12" ht="15.75" customHeight="1">
      <c r="A780" s="87" t="s">
        <v>3935</v>
      </c>
      <c r="B780" s="87" t="s">
        <v>5024</v>
      </c>
      <c r="C780" s="87" t="s">
        <v>5025</v>
      </c>
      <c r="D780" s="88">
        <v>373</v>
      </c>
      <c r="E780" s="85" t="s">
        <v>4888</v>
      </c>
      <c r="F780" s="87">
        <v>550</v>
      </c>
      <c r="G780" s="37"/>
      <c r="H780" s="37">
        <f>COUNTIF('(参考)現行システム機能階層一覧'!$E$3:$E$1048576,sheet1!B780)</f>
        <v>0</v>
      </c>
      <c r="I780" s="37"/>
      <c r="J780" s="37"/>
      <c r="K780" s="37"/>
      <c r="L780" s="37"/>
    </row>
    <row r="781" spans="1:12" ht="15.75" customHeight="1">
      <c r="A781" s="87" t="s">
        <v>3935</v>
      </c>
      <c r="B781" s="87" t="s">
        <v>5026</v>
      </c>
      <c r="C781" s="87" t="s">
        <v>5027</v>
      </c>
      <c r="D781" s="88">
        <v>504</v>
      </c>
      <c r="E781" s="85" t="s">
        <v>4888</v>
      </c>
      <c r="F781" s="87">
        <v>613</v>
      </c>
      <c r="G781" s="37"/>
      <c r="H781" s="37">
        <f>COUNTIF('(参考)現行システム機能階層一覧'!$E$3:$E$1048576,sheet1!B781)</f>
        <v>0</v>
      </c>
      <c r="I781" s="37"/>
      <c r="J781" s="37"/>
      <c r="K781" s="37"/>
      <c r="L781" s="37"/>
    </row>
    <row r="782" spans="1:12" ht="15.75" customHeight="1">
      <c r="A782" s="87" t="s">
        <v>3935</v>
      </c>
      <c r="B782" s="87" t="s">
        <v>5028</v>
      </c>
      <c r="C782" s="87" t="s">
        <v>5029</v>
      </c>
      <c r="D782" s="88">
        <v>426</v>
      </c>
      <c r="E782" s="85" t="s">
        <v>4888</v>
      </c>
      <c r="F782" s="87">
        <v>497</v>
      </c>
      <c r="G782" s="37"/>
      <c r="H782" s="37">
        <f>COUNTIF('(参考)現行システム機能階層一覧'!$E$3:$E$1048576,sheet1!B782)</f>
        <v>0</v>
      </c>
      <c r="I782" s="37"/>
      <c r="J782" s="37"/>
      <c r="K782" s="37"/>
      <c r="L782" s="37"/>
    </row>
    <row r="783" spans="1:12" ht="15.75" customHeight="1">
      <c r="A783" s="87" t="s">
        <v>3935</v>
      </c>
      <c r="B783" s="87" t="s">
        <v>5030</v>
      </c>
      <c r="C783" s="87" t="s">
        <v>5031</v>
      </c>
      <c r="D783" s="88">
        <v>3159</v>
      </c>
      <c r="E783" s="85" t="s">
        <v>4888</v>
      </c>
      <c r="F783" s="87">
        <v>126</v>
      </c>
      <c r="G783" s="37"/>
      <c r="H783" s="37">
        <f>COUNTIF('(参考)現行システム機能階層一覧'!$E$3:$E$1048576,sheet1!B783)</f>
        <v>0</v>
      </c>
      <c r="I783" s="37"/>
      <c r="J783" s="37"/>
      <c r="K783" s="37"/>
      <c r="L783" s="37"/>
    </row>
    <row r="784" spans="1:12" ht="15.75" customHeight="1">
      <c r="A784" s="87" t="s">
        <v>3853</v>
      </c>
      <c r="B784" s="87" t="s">
        <v>5032</v>
      </c>
      <c r="C784" s="87" t="s">
        <v>5033</v>
      </c>
      <c r="D784" s="88">
        <v>110</v>
      </c>
      <c r="E784" s="85" t="s">
        <v>4888</v>
      </c>
      <c r="F784" s="87">
        <v>126</v>
      </c>
      <c r="G784" s="37"/>
      <c r="H784" s="37">
        <f>COUNTIF('(参考)現行システム機能階層一覧'!$E$3:$E$1048576,sheet1!B784)</f>
        <v>0</v>
      </c>
      <c r="I784" s="37"/>
      <c r="J784" s="37"/>
      <c r="K784" s="37"/>
      <c r="L784" s="37"/>
    </row>
    <row r="785" spans="1:12" ht="15.75" customHeight="1">
      <c r="A785" s="87" t="s">
        <v>3935</v>
      </c>
      <c r="B785" s="87" t="s">
        <v>5034</v>
      </c>
      <c r="C785" s="87" t="s">
        <v>5035</v>
      </c>
      <c r="D785" s="88">
        <v>160</v>
      </c>
      <c r="E785" s="85" t="s">
        <v>4888</v>
      </c>
      <c r="F785" s="87">
        <v>126</v>
      </c>
      <c r="G785" s="37"/>
      <c r="H785" s="37">
        <f>COUNTIF('(参考)現行システム機能階層一覧'!$E$3:$E$1048576,sheet1!B785)</f>
        <v>0</v>
      </c>
      <c r="I785" s="37"/>
      <c r="J785" s="37"/>
      <c r="K785" s="37"/>
      <c r="L785" s="37"/>
    </row>
    <row r="786" spans="1:12" ht="15.75" customHeight="1">
      <c r="A786" s="87" t="s">
        <v>3935</v>
      </c>
      <c r="B786" s="87" t="s">
        <v>5036</v>
      </c>
      <c r="C786" s="87" t="s">
        <v>5037</v>
      </c>
      <c r="D786" s="88">
        <v>142</v>
      </c>
      <c r="E786" s="85" t="s">
        <v>4888</v>
      </c>
      <c r="F786" s="87">
        <v>126</v>
      </c>
      <c r="G786" s="37"/>
      <c r="H786" s="37">
        <f>COUNTIF('(参考)現行システム機能階層一覧'!$E$3:$E$1048576,sheet1!B786)</f>
        <v>0</v>
      </c>
      <c r="I786" s="37"/>
      <c r="J786" s="37"/>
      <c r="K786" s="37"/>
      <c r="L786" s="37"/>
    </row>
    <row r="787" spans="1:12" ht="15.75" customHeight="1">
      <c r="A787" s="87" t="s">
        <v>3935</v>
      </c>
      <c r="B787" s="87" t="s">
        <v>2474</v>
      </c>
      <c r="C787" s="87" t="s">
        <v>5038</v>
      </c>
      <c r="D787" s="88">
        <v>162</v>
      </c>
      <c r="E787" s="85" t="s">
        <v>4888</v>
      </c>
      <c r="F787" s="87">
        <v>71</v>
      </c>
      <c r="G787" s="37"/>
      <c r="H787" s="37">
        <f>COUNTIF('(参考)現行システム機能階層一覧'!$E$3:$E$1048576,sheet1!B787)</f>
        <v>1</v>
      </c>
      <c r="I787" s="37"/>
      <c r="J787" s="37"/>
      <c r="K787" s="37"/>
      <c r="L787" s="37"/>
    </row>
    <row r="788" spans="1:12" ht="15.75" customHeight="1">
      <c r="A788" s="87" t="s">
        <v>3853</v>
      </c>
      <c r="B788" s="87" t="s">
        <v>5039</v>
      </c>
      <c r="C788" s="87" t="s">
        <v>2519</v>
      </c>
      <c r="D788" s="88">
        <v>27</v>
      </c>
      <c r="E788" s="85" t="s">
        <v>4888</v>
      </c>
      <c r="F788" s="87">
        <v>64</v>
      </c>
      <c r="G788" s="37"/>
      <c r="H788" s="37">
        <f>COUNTIF('(参考)現行システム機能階層一覧'!$E$3:$E$1048576,sheet1!B788)</f>
        <v>0</v>
      </c>
      <c r="I788" s="37"/>
      <c r="J788" s="37"/>
      <c r="K788" s="37"/>
      <c r="L788" s="37"/>
    </row>
    <row r="789" spans="1:12" ht="15.75" customHeight="1">
      <c r="A789" s="87" t="s">
        <v>3935</v>
      </c>
      <c r="B789" s="87" t="s">
        <v>5040</v>
      </c>
      <c r="C789" s="87" t="s">
        <v>5041</v>
      </c>
      <c r="D789" s="88">
        <v>505</v>
      </c>
      <c r="E789" s="85" t="s">
        <v>4888</v>
      </c>
      <c r="F789" s="87">
        <v>613</v>
      </c>
      <c r="G789" s="37"/>
      <c r="H789" s="37">
        <f>COUNTIF('(参考)現行システム機能階層一覧'!$E$3:$E$1048576,sheet1!B789)</f>
        <v>0</v>
      </c>
      <c r="I789" s="37"/>
      <c r="J789" s="37"/>
      <c r="K789" s="37"/>
      <c r="L789" s="37"/>
    </row>
    <row r="790" spans="1:12" ht="15.75" customHeight="1">
      <c r="A790" s="87" t="s">
        <v>3935</v>
      </c>
      <c r="B790" s="87" t="s">
        <v>3439</v>
      </c>
      <c r="C790" s="87" t="s">
        <v>5042</v>
      </c>
      <c r="D790" s="88">
        <v>197</v>
      </c>
      <c r="E790" s="85" t="s">
        <v>4888</v>
      </c>
      <c r="F790" s="87">
        <v>178</v>
      </c>
      <c r="G790" s="37"/>
      <c r="H790" s="37">
        <f>COUNTIF('(参考)現行システム機能階層一覧'!$E$3:$E$1048576,sheet1!B790)</f>
        <v>1</v>
      </c>
      <c r="I790" s="37"/>
      <c r="J790" s="37"/>
      <c r="K790" s="37"/>
      <c r="L790" s="37"/>
    </row>
    <row r="791" spans="1:12" ht="15.75" customHeight="1">
      <c r="A791" s="87" t="s">
        <v>3853</v>
      </c>
      <c r="B791" s="87" t="s">
        <v>5043</v>
      </c>
      <c r="C791" s="87" t="s">
        <v>3467</v>
      </c>
      <c r="D791" s="88">
        <v>197</v>
      </c>
      <c r="E791" s="85" t="s">
        <v>4888</v>
      </c>
      <c r="F791" s="87">
        <v>178</v>
      </c>
      <c r="G791" s="37"/>
      <c r="H791" s="37">
        <f>COUNTIF('(参考)現行システム機能階層一覧'!$E$3:$E$1048576,sheet1!B791)</f>
        <v>0</v>
      </c>
      <c r="I791" s="37"/>
      <c r="J791" s="37"/>
      <c r="K791" s="37"/>
      <c r="L791" s="37"/>
    </row>
    <row r="792" spans="1:12" ht="15.75" customHeight="1">
      <c r="A792" s="87" t="s">
        <v>3935</v>
      </c>
      <c r="B792" s="87" t="s">
        <v>5044</v>
      </c>
      <c r="C792" s="87" t="s">
        <v>5045</v>
      </c>
      <c r="D792" s="88">
        <v>276</v>
      </c>
      <c r="E792" s="85" t="s">
        <v>4888</v>
      </c>
      <c r="F792" s="87">
        <v>106</v>
      </c>
      <c r="G792" s="37"/>
      <c r="H792" s="37">
        <f>COUNTIF('(参考)現行システム機能階層一覧'!$E$3:$E$1048576,sheet1!B792)</f>
        <v>0</v>
      </c>
      <c r="I792" s="37"/>
      <c r="J792" s="37"/>
      <c r="K792" s="37"/>
      <c r="L792" s="37"/>
    </row>
    <row r="793" spans="1:12" ht="15.75" customHeight="1">
      <c r="A793" s="87" t="s">
        <v>3935</v>
      </c>
      <c r="B793" s="87" t="s">
        <v>5046</v>
      </c>
      <c r="C793" s="87" t="s">
        <v>5047</v>
      </c>
      <c r="D793" s="88">
        <v>482</v>
      </c>
      <c r="E793" s="85" t="s">
        <v>4888</v>
      </c>
      <c r="F793" s="87">
        <v>5</v>
      </c>
      <c r="G793" s="37"/>
      <c r="H793" s="37">
        <f>COUNTIF('(参考)現行システム機能階層一覧'!$E$3:$E$1048576,sheet1!B793)</f>
        <v>0</v>
      </c>
      <c r="I793" s="37"/>
      <c r="J793" s="37"/>
      <c r="K793" s="37"/>
      <c r="L793" s="37"/>
    </row>
    <row r="794" spans="1:12" ht="15.75" customHeight="1">
      <c r="A794" s="87" t="s">
        <v>3935</v>
      </c>
      <c r="B794" s="87" t="s">
        <v>3436</v>
      </c>
      <c r="C794" s="87" t="s">
        <v>5048</v>
      </c>
      <c r="D794" s="88">
        <v>98</v>
      </c>
      <c r="E794" s="85" t="s">
        <v>4888</v>
      </c>
      <c r="F794" s="87">
        <v>78</v>
      </c>
      <c r="G794" s="37"/>
      <c r="H794" s="37">
        <f>COUNTIF('(参考)現行システム機能階層一覧'!$E$3:$E$1048576,sheet1!B794)</f>
        <v>1</v>
      </c>
      <c r="I794" s="37"/>
      <c r="J794" s="37"/>
      <c r="K794" s="37"/>
      <c r="L794" s="37"/>
    </row>
    <row r="795" spans="1:12" ht="15.75" customHeight="1">
      <c r="A795" s="87" t="s">
        <v>3853</v>
      </c>
      <c r="B795" s="87" t="s">
        <v>5049</v>
      </c>
      <c r="C795" s="87" t="s">
        <v>5048</v>
      </c>
      <c r="D795" s="88">
        <v>74</v>
      </c>
      <c r="E795" s="85" t="s">
        <v>4888</v>
      </c>
      <c r="F795" s="87">
        <v>78</v>
      </c>
      <c r="G795" s="37"/>
      <c r="H795" s="37">
        <f>COUNTIF('(参考)現行システム機能階層一覧'!$E$3:$E$1048576,sheet1!B795)</f>
        <v>0</v>
      </c>
      <c r="I795" s="37"/>
      <c r="J795" s="37"/>
      <c r="K795" s="37"/>
      <c r="L795" s="37"/>
    </row>
    <row r="796" spans="1:12" ht="15.75" customHeight="1">
      <c r="A796" s="87" t="s">
        <v>3935</v>
      </c>
      <c r="B796" s="87" t="s">
        <v>1931</v>
      </c>
      <c r="C796" s="87" t="s">
        <v>1946</v>
      </c>
      <c r="D796" s="88">
        <v>458</v>
      </c>
      <c r="E796" s="85" t="s">
        <v>4888</v>
      </c>
      <c r="F796" s="87">
        <v>3</v>
      </c>
      <c r="G796" s="37"/>
      <c r="H796" s="37">
        <f>COUNTIF('(参考)現行システム機能階層一覧'!$E$3:$E$1048576,sheet1!B796)</f>
        <v>0</v>
      </c>
      <c r="I796" s="37"/>
      <c r="J796" s="37"/>
      <c r="K796" s="37"/>
      <c r="L796" s="37"/>
    </row>
    <row r="797" spans="1:12" ht="15.75" customHeight="1">
      <c r="A797" s="87" t="s">
        <v>3853</v>
      </c>
      <c r="B797" s="87" t="s">
        <v>1945</v>
      </c>
      <c r="C797" s="87" t="s">
        <v>1946</v>
      </c>
      <c r="D797" s="88">
        <v>30</v>
      </c>
      <c r="E797" s="85" t="s">
        <v>4888</v>
      </c>
      <c r="F797" s="87">
        <v>3</v>
      </c>
      <c r="G797" s="37"/>
      <c r="H797" s="37">
        <f>COUNTIF('(参考)現行システム機能階層一覧'!$E$3:$E$1048576,sheet1!B797)</f>
        <v>1</v>
      </c>
      <c r="I797" s="37"/>
      <c r="J797" s="37"/>
      <c r="K797" s="37"/>
      <c r="L797" s="37"/>
    </row>
    <row r="798" spans="1:12" ht="15.75" customHeight="1">
      <c r="A798" s="87" t="s">
        <v>3935</v>
      </c>
      <c r="B798" s="87" t="s">
        <v>2438</v>
      </c>
      <c r="C798" s="87" t="s">
        <v>2470</v>
      </c>
      <c r="D798" s="88">
        <v>283</v>
      </c>
      <c r="E798" s="85" t="s">
        <v>4888</v>
      </c>
      <c r="F798" s="87">
        <v>25</v>
      </c>
      <c r="G798" s="37"/>
      <c r="H798" s="37">
        <f>COUNTIF('(参考)現行システム機能階層一覧'!$E$3:$E$1048576,sheet1!B798)</f>
        <v>1</v>
      </c>
      <c r="I798" s="37"/>
      <c r="J798" s="37"/>
      <c r="K798" s="37"/>
      <c r="L798" s="37"/>
    </row>
    <row r="799" spans="1:12" ht="15.75" customHeight="1">
      <c r="A799" s="87" t="s">
        <v>3935</v>
      </c>
      <c r="B799" s="87" t="s">
        <v>5050</v>
      </c>
      <c r="C799" s="87" t="s">
        <v>2470</v>
      </c>
      <c r="D799" s="88">
        <v>665</v>
      </c>
      <c r="E799" s="85" t="s">
        <v>4888</v>
      </c>
      <c r="F799" s="87">
        <v>1</v>
      </c>
      <c r="G799" s="37"/>
      <c r="H799" s="37">
        <f>COUNTIF('(参考)現行システム機能階層一覧'!$E$3:$E$1048576,sheet1!B799)</f>
        <v>0</v>
      </c>
      <c r="I799" s="37"/>
      <c r="J799" s="37"/>
      <c r="K799" s="37"/>
      <c r="L799" s="37"/>
    </row>
    <row r="800" spans="1:12" ht="15.75" customHeight="1">
      <c r="A800" s="87" t="s">
        <v>3853</v>
      </c>
      <c r="B800" s="87" t="s">
        <v>5051</v>
      </c>
      <c r="C800" s="87" t="s">
        <v>5052</v>
      </c>
      <c r="D800" s="88">
        <v>117</v>
      </c>
      <c r="E800" s="85" t="s">
        <v>4888</v>
      </c>
      <c r="F800" s="87">
        <v>1</v>
      </c>
      <c r="G800" s="37"/>
      <c r="H800" s="37">
        <f>COUNTIF('(参考)現行システム機能階層一覧'!$E$3:$E$1048576,sheet1!B800)</f>
        <v>0</v>
      </c>
      <c r="I800" s="37"/>
      <c r="J800" s="37"/>
      <c r="K800" s="37"/>
      <c r="L800" s="37"/>
    </row>
    <row r="801" spans="1:12" ht="15.75" customHeight="1">
      <c r="A801" s="87" t="s">
        <v>3935</v>
      </c>
      <c r="B801" s="87" t="s">
        <v>5053</v>
      </c>
      <c r="C801" s="87" t="s">
        <v>5054</v>
      </c>
      <c r="D801" s="88">
        <v>1226</v>
      </c>
      <c r="E801" s="85" t="s">
        <v>4888</v>
      </c>
      <c r="F801" s="87">
        <v>613</v>
      </c>
      <c r="G801" s="37"/>
      <c r="H801" s="37">
        <f>COUNTIF('(参考)現行システム機能階層一覧'!$E$3:$E$1048576,sheet1!B801)</f>
        <v>0</v>
      </c>
      <c r="I801" s="37"/>
      <c r="J801" s="37"/>
      <c r="K801" s="37"/>
      <c r="L801" s="37"/>
    </row>
    <row r="802" spans="1:12" ht="15.75" customHeight="1">
      <c r="A802" s="87" t="s">
        <v>3935</v>
      </c>
      <c r="B802" s="87" t="s">
        <v>5055</v>
      </c>
      <c r="C802" s="87" t="s">
        <v>5056</v>
      </c>
      <c r="D802" s="88">
        <v>885</v>
      </c>
      <c r="E802" s="85" t="s">
        <v>4888</v>
      </c>
      <c r="F802" s="87">
        <v>1</v>
      </c>
      <c r="G802" s="37"/>
      <c r="H802" s="37">
        <f>COUNTIF('(参考)現行システム機能階層一覧'!$E$3:$E$1048576,sheet1!B802)</f>
        <v>0</v>
      </c>
      <c r="I802" s="37"/>
      <c r="J802" s="37"/>
      <c r="K802" s="37"/>
      <c r="L802" s="37"/>
    </row>
    <row r="803" spans="1:12" ht="15.75" customHeight="1">
      <c r="A803" s="87" t="s">
        <v>3853</v>
      </c>
      <c r="B803" s="87" t="s">
        <v>5057</v>
      </c>
      <c r="C803" s="87" t="s">
        <v>5058</v>
      </c>
      <c r="D803" s="88">
        <v>33</v>
      </c>
      <c r="E803" s="85" t="s">
        <v>4888</v>
      </c>
      <c r="F803" s="87">
        <v>1</v>
      </c>
      <c r="G803" s="37"/>
      <c r="H803" s="37">
        <f>COUNTIF('(参考)現行システム機能階層一覧'!$E$3:$E$1048576,sheet1!B803)</f>
        <v>0</v>
      </c>
      <c r="I803" s="37"/>
      <c r="J803" s="37"/>
      <c r="K803" s="37"/>
      <c r="L803" s="37"/>
    </row>
    <row r="804" spans="1:12" ht="15.75" customHeight="1">
      <c r="A804" s="87" t="s">
        <v>3935</v>
      </c>
      <c r="B804" s="87" t="s">
        <v>5059</v>
      </c>
      <c r="C804" s="87" t="s">
        <v>5060</v>
      </c>
      <c r="D804" s="88">
        <v>222</v>
      </c>
      <c r="E804" s="85" t="s">
        <v>4888</v>
      </c>
      <c r="F804" s="87">
        <v>1</v>
      </c>
      <c r="G804" s="37"/>
      <c r="H804" s="37">
        <f>COUNTIF('(参考)現行システム機能階層一覧'!$E$3:$E$1048576,sheet1!B804)</f>
        <v>0</v>
      </c>
      <c r="I804" s="37"/>
      <c r="J804" s="37"/>
      <c r="K804" s="37"/>
      <c r="L804" s="37"/>
    </row>
    <row r="805" spans="1:12" ht="15.75" customHeight="1">
      <c r="A805" s="87" t="s">
        <v>3853</v>
      </c>
      <c r="B805" s="87" t="s">
        <v>2365</v>
      </c>
      <c r="C805" s="87" t="s">
        <v>2409</v>
      </c>
      <c r="D805" s="88">
        <v>58</v>
      </c>
      <c r="E805" s="85" t="s">
        <v>4888</v>
      </c>
      <c r="F805" s="87">
        <v>1</v>
      </c>
      <c r="G805" s="37"/>
      <c r="H805" s="37">
        <f>COUNTIF('(参考)現行システム機能階層一覧'!$E$3:$E$1048576,sheet1!B805)</f>
        <v>1</v>
      </c>
      <c r="I805" s="37"/>
      <c r="J805" s="37"/>
      <c r="K805" s="37"/>
      <c r="L805" s="37"/>
    </row>
    <row r="806" spans="1:12" ht="15.75" customHeight="1">
      <c r="A806" s="87" t="s">
        <v>3935</v>
      </c>
      <c r="B806" s="87" t="s">
        <v>5061</v>
      </c>
      <c r="C806" s="87" t="s">
        <v>5062</v>
      </c>
      <c r="D806" s="88">
        <v>594</v>
      </c>
      <c r="E806" s="85" t="s">
        <v>4888</v>
      </c>
      <c r="F806" s="87">
        <v>1</v>
      </c>
      <c r="G806" s="37"/>
      <c r="H806" s="37">
        <f>COUNTIF('(参考)現行システム機能階層一覧'!$E$3:$E$1048576,sheet1!B806)</f>
        <v>0</v>
      </c>
      <c r="I806" s="37"/>
      <c r="J806" s="37"/>
      <c r="K806" s="37"/>
      <c r="L806" s="37"/>
    </row>
    <row r="807" spans="1:12" ht="15.75" customHeight="1">
      <c r="A807" s="87" t="s">
        <v>3935</v>
      </c>
      <c r="B807" s="87" t="s">
        <v>5063</v>
      </c>
      <c r="C807" s="87" t="s">
        <v>5062</v>
      </c>
      <c r="D807" s="88">
        <v>170</v>
      </c>
      <c r="E807" s="85" t="s">
        <v>4888</v>
      </c>
      <c r="F807" s="87">
        <v>1</v>
      </c>
      <c r="G807" s="37"/>
      <c r="H807" s="37">
        <f>COUNTIF('(参考)現行システム機能階層一覧'!$E$3:$E$1048576,sheet1!B807)</f>
        <v>0</v>
      </c>
      <c r="I807" s="37"/>
      <c r="J807" s="37"/>
      <c r="K807" s="37"/>
      <c r="L807" s="37"/>
    </row>
    <row r="808" spans="1:12" ht="15.75" customHeight="1">
      <c r="A808" s="87" t="s">
        <v>3853</v>
      </c>
      <c r="B808" s="87" t="s">
        <v>5064</v>
      </c>
      <c r="C808" s="87" t="s">
        <v>2409</v>
      </c>
      <c r="D808" s="88">
        <v>28</v>
      </c>
      <c r="E808" s="85" t="s">
        <v>4888</v>
      </c>
      <c r="F808" s="87">
        <v>1</v>
      </c>
      <c r="G808" s="37"/>
      <c r="H808" s="37">
        <f>COUNTIF('(参考)現行システム機能階層一覧'!$E$3:$E$1048576,sheet1!B808)</f>
        <v>0</v>
      </c>
      <c r="I808" s="37"/>
      <c r="J808" s="37"/>
      <c r="K808" s="37"/>
      <c r="L808" s="37"/>
    </row>
    <row r="809" spans="1:12" ht="15.75" customHeight="1">
      <c r="A809" s="87" t="s">
        <v>3935</v>
      </c>
      <c r="B809" s="87" t="s">
        <v>5065</v>
      </c>
      <c r="C809" s="87" t="s">
        <v>5066</v>
      </c>
      <c r="D809" s="88">
        <v>197</v>
      </c>
      <c r="E809" s="85" t="s">
        <v>4888</v>
      </c>
      <c r="F809" s="87">
        <v>1</v>
      </c>
      <c r="G809" s="37"/>
      <c r="H809" s="37">
        <f>COUNTIF('(参考)現行システム機能階層一覧'!$E$3:$E$1048576,sheet1!B809)</f>
        <v>0</v>
      </c>
      <c r="I809" s="37"/>
      <c r="J809" s="37"/>
      <c r="K809" s="37"/>
      <c r="L809" s="37"/>
    </row>
    <row r="810" spans="1:12" ht="15.75" customHeight="1">
      <c r="A810" s="87" t="s">
        <v>3853</v>
      </c>
      <c r="B810" s="87" t="s">
        <v>2369</v>
      </c>
      <c r="C810" s="87" t="s">
        <v>5067</v>
      </c>
      <c r="D810" s="88">
        <v>13</v>
      </c>
      <c r="E810" s="85" t="s">
        <v>4888</v>
      </c>
      <c r="F810" s="87">
        <v>1</v>
      </c>
      <c r="G810" s="37"/>
      <c r="H810" s="37">
        <f>COUNTIF('(参考)現行システム機能階層一覧'!$E$3:$E$1048576,sheet1!B810)</f>
        <v>1</v>
      </c>
      <c r="I810" s="37"/>
      <c r="J810" s="37"/>
      <c r="K810" s="37"/>
      <c r="L810" s="37"/>
    </row>
    <row r="811" spans="1:12" ht="15.75" customHeight="1">
      <c r="A811" s="87" t="s">
        <v>3853</v>
      </c>
      <c r="B811" s="87" t="s">
        <v>5068</v>
      </c>
      <c r="C811" s="87" t="s">
        <v>5069</v>
      </c>
      <c r="D811" s="88">
        <v>10</v>
      </c>
      <c r="E811" s="85" t="s">
        <v>4888</v>
      </c>
      <c r="F811" s="87">
        <v>2</v>
      </c>
      <c r="G811" s="37"/>
      <c r="H811" s="37">
        <f>COUNTIF('(参考)現行システム機能階層一覧'!$E$3:$E$1048576,sheet1!B811)</f>
        <v>0</v>
      </c>
      <c r="I811" s="37"/>
      <c r="J811" s="37"/>
      <c r="K811" s="37"/>
      <c r="L811" s="37"/>
    </row>
    <row r="812" spans="1:12" ht="15.75" customHeight="1">
      <c r="A812" s="87" t="s">
        <v>3853</v>
      </c>
      <c r="B812" s="87" t="s">
        <v>5070</v>
      </c>
      <c r="C812" s="87" t="s">
        <v>5071</v>
      </c>
      <c r="D812" s="88">
        <v>61</v>
      </c>
      <c r="E812" s="85" t="s">
        <v>5072</v>
      </c>
      <c r="F812" s="87">
        <v>137</v>
      </c>
      <c r="G812" s="37"/>
      <c r="H812" s="37">
        <f>COUNTIF('(参考)現行システム機能階層一覧'!$E$3:$E$1048576,sheet1!B812)</f>
        <v>0</v>
      </c>
      <c r="I812" s="37"/>
      <c r="J812" s="37"/>
      <c r="K812" s="37"/>
      <c r="L812" s="37"/>
    </row>
    <row r="813" spans="1:12" ht="15.75" customHeight="1">
      <c r="A813" s="87" t="s">
        <v>3853</v>
      </c>
      <c r="B813" s="87" t="s">
        <v>5073</v>
      </c>
      <c r="C813" s="87" t="s">
        <v>5074</v>
      </c>
      <c r="D813" s="88">
        <v>61</v>
      </c>
      <c r="E813" s="85" t="s">
        <v>5072</v>
      </c>
      <c r="F813" s="87">
        <v>140</v>
      </c>
      <c r="G813" s="37"/>
      <c r="H813" s="37">
        <f>COUNTIF('(参考)現行システム機能階層一覧'!$E$3:$E$1048576,sheet1!B813)</f>
        <v>0</v>
      </c>
      <c r="I813" s="37"/>
      <c r="J813" s="37"/>
      <c r="K813" s="37"/>
      <c r="L813" s="37"/>
    </row>
    <row r="814" spans="1:12" ht="15.75" customHeight="1">
      <c r="A814" s="87" t="s">
        <v>3853</v>
      </c>
      <c r="B814" s="87" t="s">
        <v>5075</v>
      </c>
      <c r="C814" s="87" t="s">
        <v>5076</v>
      </c>
      <c r="D814" s="88">
        <v>62</v>
      </c>
      <c r="E814" s="85" t="s">
        <v>5077</v>
      </c>
      <c r="F814" s="87">
        <v>631</v>
      </c>
      <c r="G814" s="37"/>
      <c r="H814" s="37">
        <f>COUNTIF('(参考)現行システム機能階層一覧'!$E$3:$E$1048576,sheet1!B814)</f>
        <v>0</v>
      </c>
      <c r="I814" s="37"/>
      <c r="J814" s="37"/>
      <c r="K814" s="37"/>
      <c r="L814" s="37"/>
    </row>
    <row r="815" spans="1:12" ht="15.75" customHeight="1">
      <c r="A815" s="87" t="s">
        <v>3853</v>
      </c>
      <c r="B815" s="87" t="s">
        <v>5078</v>
      </c>
      <c r="C815" s="87" t="s">
        <v>5079</v>
      </c>
      <c r="D815" s="88">
        <v>62</v>
      </c>
      <c r="E815" s="85" t="s">
        <v>5080</v>
      </c>
      <c r="F815" s="87">
        <v>562</v>
      </c>
      <c r="G815" s="37"/>
      <c r="H815" s="37">
        <f>COUNTIF('(参考)現行システム機能階層一覧'!$E$3:$E$1048576,sheet1!B815)</f>
        <v>0</v>
      </c>
      <c r="I815" s="37"/>
      <c r="J815" s="37"/>
      <c r="K815" s="37"/>
      <c r="L815" s="37"/>
    </row>
    <row r="816" spans="1:12" ht="15.75" customHeight="1">
      <c r="A816" s="87" t="s">
        <v>3853</v>
      </c>
      <c r="B816" s="87" t="s">
        <v>5081</v>
      </c>
      <c r="C816" s="87" t="s">
        <v>5082</v>
      </c>
      <c r="D816" s="88">
        <v>180</v>
      </c>
      <c r="E816" s="85" t="s">
        <v>5080</v>
      </c>
      <c r="F816" s="87">
        <v>173</v>
      </c>
      <c r="G816" s="37"/>
      <c r="H816" s="37">
        <f>COUNTIF('(参考)現行システム機能階層一覧'!$E$3:$E$1048576,sheet1!B816)</f>
        <v>0</v>
      </c>
      <c r="I816" s="37"/>
      <c r="J816" s="37"/>
      <c r="K816" s="37"/>
      <c r="L816" s="37"/>
    </row>
    <row r="817" spans="1:12" ht="15.75" customHeight="1">
      <c r="A817" s="87" t="s">
        <v>3853</v>
      </c>
      <c r="B817" s="87" t="s">
        <v>5083</v>
      </c>
      <c r="C817" s="87" t="s">
        <v>5084</v>
      </c>
      <c r="D817" s="88">
        <v>132</v>
      </c>
      <c r="E817" s="85" t="s">
        <v>5080</v>
      </c>
      <c r="F817" s="87">
        <v>26</v>
      </c>
      <c r="G817" s="37"/>
      <c r="H817" s="37">
        <f>COUNTIF('(参考)現行システム機能階層一覧'!$E$3:$E$1048576,sheet1!B817)</f>
        <v>0</v>
      </c>
      <c r="I817" s="37"/>
      <c r="J817" s="37"/>
      <c r="K817" s="37"/>
      <c r="L817" s="37"/>
    </row>
    <row r="818" spans="1:12" ht="15.75" customHeight="1">
      <c r="A818" s="87" t="s">
        <v>3935</v>
      </c>
      <c r="B818" s="87" t="s">
        <v>3716</v>
      </c>
      <c r="C818" s="87" t="s">
        <v>5085</v>
      </c>
      <c r="D818" s="88">
        <v>426</v>
      </c>
      <c r="E818" s="85" t="s">
        <v>5086</v>
      </c>
      <c r="F818" s="87">
        <v>3</v>
      </c>
      <c r="G818" s="37"/>
      <c r="H818" s="37">
        <f>COUNTIF('(参考)現行システム機能階層一覧'!$E$3:$E$1048576,sheet1!B818)</f>
        <v>1</v>
      </c>
      <c r="I818" s="37"/>
      <c r="J818" s="37"/>
      <c r="K818" s="37"/>
      <c r="L818" s="37"/>
    </row>
    <row r="819" spans="1:12" ht="15.75" customHeight="1">
      <c r="A819" s="87" t="s">
        <v>3935</v>
      </c>
      <c r="B819" s="87" t="s">
        <v>5087</v>
      </c>
      <c r="C819" s="87" t="s">
        <v>5088</v>
      </c>
      <c r="D819" s="88">
        <v>82</v>
      </c>
      <c r="E819" s="85" t="s">
        <v>5086</v>
      </c>
      <c r="F819" s="87">
        <v>1</v>
      </c>
      <c r="G819" s="37"/>
      <c r="H819" s="37">
        <f>COUNTIF('(参考)現行システム機能階層一覧'!$E$3:$E$1048576,sheet1!B819)</f>
        <v>0</v>
      </c>
      <c r="I819" s="37"/>
      <c r="J819" s="37"/>
      <c r="K819" s="37"/>
      <c r="L819" s="37"/>
    </row>
    <row r="820" spans="1:12" ht="15.75" customHeight="1">
      <c r="A820" s="87" t="s">
        <v>3935</v>
      </c>
      <c r="B820" s="87" t="s">
        <v>5089</v>
      </c>
      <c r="C820" s="87" t="s">
        <v>5090</v>
      </c>
      <c r="D820" s="88">
        <v>78</v>
      </c>
      <c r="E820" s="85" t="s">
        <v>5086</v>
      </c>
      <c r="F820" s="87">
        <v>1</v>
      </c>
      <c r="G820" s="37"/>
      <c r="H820" s="37">
        <f>COUNTIF('(参考)現行システム機能階層一覧'!$E$3:$E$1048576,sheet1!B820)</f>
        <v>0</v>
      </c>
      <c r="I820" s="37"/>
      <c r="J820" s="37"/>
      <c r="K820" s="37"/>
      <c r="L820" s="37"/>
    </row>
    <row r="821" spans="1:12" ht="15.75" customHeight="1">
      <c r="A821" s="87" t="s">
        <v>3935</v>
      </c>
      <c r="B821" s="87" t="s">
        <v>3719</v>
      </c>
      <c r="C821" s="87" t="s">
        <v>3745</v>
      </c>
      <c r="D821" s="88">
        <v>984</v>
      </c>
      <c r="E821" s="85" t="s">
        <v>5086</v>
      </c>
      <c r="F821" s="87">
        <v>1</v>
      </c>
      <c r="G821" s="37"/>
      <c r="H821" s="37">
        <f>COUNTIF('(参考)現行システム機能階層一覧'!$E$3:$E$1048576,sheet1!B821)</f>
        <v>1</v>
      </c>
      <c r="I821" s="37"/>
      <c r="J821" s="37"/>
      <c r="K821" s="37"/>
      <c r="L821" s="37"/>
    </row>
    <row r="822" spans="1:12" ht="15.75" customHeight="1">
      <c r="A822" s="87" t="s">
        <v>3853</v>
      </c>
      <c r="B822" s="87" t="s">
        <v>5091</v>
      </c>
      <c r="C822" s="87" t="s">
        <v>5092</v>
      </c>
      <c r="D822" s="88">
        <v>35</v>
      </c>
      <c r="E822" s="85" t="s">
        <v>5086</v>
      </c>
      <c r="F822" s="87">
        <v>1</v>
      </c>
      <c r="G822" s="37"/>
      <c r="H822" s="37">
        <f>COUNTIF('(参考)現行システム機能階層一覧'!$E$3:$E$1048576,sheet1!B822)</f>
        <v>0</v>
      </c>
      <c r="I822" s="37"/>
      <c r="J822" s="37"/>
      <c r="K822" s="37"/>
      <c r="L822" s="37"/>
    </row>
    <row r="823" spans="1:12" ht="15.75" customHeight="1">
      <c r="A823" s="87" t="s">
        <v>3935</v>
      </c>
      <c r="B823" s="87" t="s">
        <v>5093</v>
      </c>
      <c r="C823" s="87" t="s">
        <v>5094</v>
      </c>
      <c r="D823" s="88">
        <v>391</v>
      </c>
      <c r="E823" s="85" t="s">
        <v>5086</v>
      </c>
      <c r="F823" s="87">
        <v>3</v>
      </c>
      <c r="G823" s="37"/>
      <c r="H823" s="37">
        <f>COUNTIF('(参考)現行システム機能階層一覧'!$E$3:$E$1048576,sheet1!B823)</f>
        <v>0</v>
      </c>
      <c r="I823" s="37"/>
      <c r="J823" s="37"/>
      <c r="K823" s="37"/>
      <c r="L823" s="37"/>
    </row>
    <row r="824" spans="1:12" ht="15.75" customHeight="1">
      <c r="A824" s="87" t="s">
        <v>3853</v>
      </c>
      <c r="B824" s="87" t="s">
        <v>5095</v>
      </c>
      <c r="C824" s="87" t="s">
        <v>5096</v>
      </c>
      <c r="D824" s="88">
        <v>110</v>
      </c>
      <c r="E824" s="85" t="s">
        <v>5086</v>
      </c>
      <c r="F824" s="87">
        <v>9</v>
      </c>
      <c r="G824" s="37"/>
      <c r="H824" s="37">
        <f>COUNTIF('(参考)現行システム機能階層一覧'!$E$3:$E$1048576,sheet1!B824)</f>
        <v>0</v>
      </c>
      <c r="I824" s="37"/>
      <c r="J824" s="37"/>
      <c r="K824" s="37"/>
      <c r="L824" s="37"/>
    </row>
    <row r="825" spans="1:12" ht="15.75" customHeight="1">
      <c r="A825" s="87" t="s">
        <v>3935</v>
      </c>
      <c r="B825" s="87" t="s">
        <v>3730</v>
      </c>
      <c r="C825" s="87" t="s">
        <v>5097</v>
      </c>
      <c r="D825" s="88">
        <v>147</v>
      </c>
      <c r="E825" s="85" t="s">
        <v>5086</v>
      </c>
      <c r="F825" s="87">
        <v>9</v>
      </c>
      <c r="G825" s="37"/>
      <c r="H825" s="37">
        <f>COUNTIF('(参考)現行システム機能階層一覧'!$E$3:$E$1048576,sheet1!B825)</f>
        <v>1</v>
      </c>
      <c r="I825" s="37"/>
      <c r="J825" s="37"/>
      <c r="K825" s="37"/>
      <c r="L825" s="37"/>
    </row>
    <row r="826" spans="1:12" ht="15.75" customHeight="1">
      <c r="A826" s="87" t="s">
        <v>3935</v>
      </c>
      <c r="B826" s="87" t="s">
        <v>5098</v>
      </c>
      <c r="C826" s="87" t="s">
        <v>5099</v>
      </c>
      <c r="D826" s="88">
        <v>1232</v>
      </c>
      <c r="E826" s="85" t="s">
        <v>5086</v>
      </c>
      <c r="F826" s="87">
        <v>1</v>
      </c>
      <c r="G826" s="37"/>
      <c r="H826" s="37">
        <f>COUNTIF('(参考)現行システム機能階層一覧'!$E$3:$E$1048576,sheet1!B826)</f>
        <v>0</v>
      </c>
      <c r="I826" s="37"/>
      <c r="J826" s="37"/>
      <c r="K826" s="37"/>
      <c r="L826" s="37"/>
    </row>
    <row r="827" spans="1:12" ht="15.75" customHeight="1">
      <c r="A827" s="87" t="s">
        <v>3935</v>
      </c>
      <c r="B827" s="87" t="s">
        <v>3733</v>
      </c>
      <c r="C827" s="87" t="s">
        <v>5100</v>
      </c>
      <c r="D827" s="88">
        <v>432</v>
      </c>
      <c r="E827" s="85" t="s">
        <v>5086</v>
      </c>
      <c r="F827" s="87">
        <v>4</v>
      </c>
      <c r="G827" s="37"/>
      <c r="H827" s="37">
        <f>COUNTIF('(参考)現行システム機能階層一覧'!$E$3:$E$1048576,sheet1!B827)</f>
        <v>1</v>
      </c>
      <c r="I827" s="37"/>
      <c r="J827" s="37"/>
      <c r="K827" s="37"/>
      <c r="L827" s="37"/>
    </row>
    <row r="828" spans="1:12" ht="15.75" customHeight="1">
      <c r="A828" s="87" t="s">
        <v>3853</v>
      </c>
      <c r="B828" s="87" t="s">
        <v>5101</v>
      </c>
      <c r="C828" s="87" t="s">
        <v>3754</v>
      </c>
      <c r="D828" s="88">
        <v>37</v>
      </c>
      <c r="E828" s="85" t="s">
        <v>5086</v>
      </c>
      <c r="F828" s="87">
        <v>4</v>
      </c>
      <c r="G828" s="37"/>
      <c r="H828" s="37">
        <f>COUNTIF('(参考)現行システム機能階層一覧'!$E$3:$E$1048576,sheet1!B828)</f>
        <v>0</v>
      </c>
      <c r="I828" s="37"/>
      <c r="J828" s="37"/>
      <c r="K828" s="37"/>
      <c r="L828" s="37"/>
    </row>
    <row r="829" spans="1:12" ht="15.75" customHeight="1">
      <c r="A829" s="87" t="s">
        <v>3935</v>
      </c>
      <c r="B829" s="87" t="s">
        <v>3736</v>
      </c>
      <c r="C829" s="87" t="s">
        <v>5102</v>
      </c>
      <c r="D829" s="88">
        <v>132</v>
      </c>
      <c r="E829" s="85" t="s">
        <v>5086</v>
      </c>
      <c r="F829" s="87">
        <v>2</v>
      </c>
      <c r="G829" s="37"/>
      <c r="H829" s="37">
        <f>COUNTIF('(参考)現行システム機能階層一覧'!$E$3:$E$1048576,sheet1!B829)</f>
        <v>1</v>
      </c>
      <c r="I829" s="37"/>
      <c r="J829" s="37"/>
      <c r="K829" s="37"/>
      <c r="L829" s="37"/>
    </row>
    <row r="830" spans="1:12" ht="15.75" customHeight="1">
      <c r="A830" s="87" t="s">
        <v>3853</v>
      </c>
      <c r="B830" s="87" t="s">
        <v>5103</v>
      </c>
      <c r="C830" s="87" t="s">
        <v>5104</v>
      </c>
      <c r="D830" s="88">
        <v>73</v>
      </c>
      <c r="E830" s="85" t="s">
        <v>5086</v>
      </c>
      <c r="F830" s="87">
        <v>2</v>
      </c>
      <c r="G830" s="37"/>
      <c r="H830" s="37">
        <f>COUNTIF('(参考)現行システム機能階層一覧'!$E$3:$E$1048576,sheet1!B830)</f>
        <v>0</v>
      </c>
      <c r="I830" s="37"/>
      <c r="J830" s="37"/>
      <c r="K830" s="37"/>
      <c r="L830" s="37"/>
    </row>
    <row r="831" spans="1:12" ht="15.75" customHeight="1">
      <c r="A831" s="87" t="s">
        <v>3935</v>
      </c>
      <c r="B831" s="87" t="s">
        <v>5105</v>
      </c>
      <c r="C831" s="87" t="s">
        <v>5106</v>
      </c>
      <c r="D831" s="88">
        <v>109</v>
      </c>
      <c r="E831" s="85" t="s">
        <v>5086</v>
      </c>
      <c r="F831" s="87">
        <v>1</v>
      </c>
      <c r="G831" s="37"/>
      <c r="H831" s="37">
        <f>COUNTIF('(参考)現行システム機能階層一覧'!$E$3:$E$1048576,sheet1!B831)</f>
        <v>0</v>
      </c>
      <c r="I831" s="37"/>
      <c r="J831" s="37"/>
      <c r="K831" s="37"/>
      <c r="L831" s="37"/>
    </row>
    <row r="832" spans="1:12" ht="15.75" customHeight="1">
      <c r="A832" s="87" t="s">
        <v>3935</v>
      </c>
      <c r="B832" s="87" t="s">
        <v>5107</v>
      </c>
      <c r="C832" s="87" t="s">
        <v>5108</v>
      </c>
      <c r="D832" s="88">
        <v>222</v>
      </c>
      <c r="E832" s="85" t="s">
        <v>5086</v>
      </c>
      <c r="F832" s="87">
        <v>1</v>
      </c>
      <c r="G832" s="37"/>
      <c r="H832" s="37">
        <f>COUNTIF('(参考)現行システム機能階層一覧'!$E$3:$E$1048576,sheet1!B832)</f>
        <v>0</v>
      </c>
      <c r="I832" s="37"/>
      <c r="J832" s="37"/>
      <c r="K832" s="37"/>
      <c r="L832" s="37"/>
    </row>
    <row r="833" spans="1:12" ht="15.75" customHeight="1">
      <c r="A833" s="87" t="s">
        <v>3935</v>
      </c>
      <c r="B833" s="87" t="s">
        <v>5109</v>
      </c>
      <c r="C833" s="87" t="s">
        <v>5110</v>
      </c>
      <c r="D833" s="88">
        <v>111</v>
      </c>
      <c r="E833" s="85" t="s">
        <v>5086</v>
      </c>
      <c r="F833" s="87">
        <v>1</v>
      </c>
      <c r="G833" s="37"/>
      <c r="H833" s="37">
        <f>COUNTIF('(参考)現行システム機能階層一覧'!$E$3:$E$1048576,sheet1!B833)</f>
        <v>0</v>
      </c>
      <c r="I833" s="37"/>
      <c r="J833" s="37"/>
      <c r="K833" s="37"/>
      <c r="L833" s="37"/>
    </row>
    <row r="834" spans="1:12" ht="15.75" customHeight="1">
      <c r="A834" s="87" t="s">
        <v>3935</v>
      </c>
      <c r="B834" s="87" t="s">
        <v>5111</v>
      </c>
      <c r="C834" s="87" t="s">
        <v>5112</v>
      </c>
      <c r="D834" s="88">
        <v>312</v>
      </c>
      <c r="E834" s="85" t="s">
        <v>5086</v>
      </c>
      <c r="F834" s="87">
        <v>1</v>
      </c>
      <c r="G834" s="37"/>
      <c r="H834" s="37">
        <f>COUNTIF('(参考)現行システム機能階層一覧'!$E$3:$E$1048576,sheet1!B834)</f>
        <v>0</v>
      </c>
      <c r="I834" s="37"/>
      <c r="J834" s="37"/>
      <c r="K834" s="37"/>
      <c r="L834" s="37"/>
    </row>
    <row r="835" spans="1:12" ht="15.75" customHeight="1">
      <c r="A835" s="87" t="s">
        <v>3935</v>
      </c>
      <c r="B835" s="87" t="s">
        <v>5113</v>
      </c>
      <c r="C835" s="87" t="s">
        <v>5114</v>
      </c>
      <c r="D835" s="88">
        <v>147</v>
      </c>
      <c r="E835" s="85" t="s">
        <v>5086</v>
      </c>
      <c r="F835" s="87">
        <v>1</v>
      </c>
      <c r="G835" s="37"/>
      <c r="H835" s="37">
        <f>COUNTIF('(参考)現行システム機能階層一覧'!$E$3:$E$1048576,sheet1!B835)</f>
        <v>0</v>
      </c>
      <c r="I835" s="37"/>
      <c r="J835" s="37"/>
      <c r="K835" s="37"/>
      <c r="L835" s="37"/>
    </row>
    <row r="836" spans="1:12" ht="15.75" customHeight="1">
      <c r="A836" s="87" t="s">
        <v>3935</v>
      </c>
      <c r="B836" s="87" t="s">
        <v>5115</v>
      </c>
      <c r="C836" s="87" t="s">
        <v>5116</v>
      </c>
      <c r="D836" s="88">
        <v>106</v>
      </c>
      <c r="E836" s="85" t="s">
        <v>5086</v>
      </c>
      <c r="F836" s="87">
        <v>1</v>
      </c>
      <c r="G836" s="37"/>
      <c r="H836" s="37">
        <f>COUNTIF('(参考)現行システム機能階層一覧'!$E$3:$E$1048576,sheet1!B836)</f>
        <v>0</v>
      </c>
      <c r="I836" s="37"/>
      <c r="J836" s="37"/>
      <c r="K836" s="37"/>
      <c r="L836" s="37"/>
    </row>
    <row r="837" spans="1:12" ht="15.75" customHeight="1">
      <c r="A837" s="87" t="s">
        <v>3935</v>
      </c>
      <c r="B837" s="87" t="s">
        <v>5117</v>
      </c>
      <c r="C837" s="87" t="s">
        <v>5118</v>
      </c>
      <c r="D837" s="88">
        <v>509</v>
      </c>
      <c r="E837" s="85" t="s">
        <v>5086</v>
      </c>
      <c r="F837" s="87">
        <v>1</v>
      </c>
      <c r="G837" s="37"/>
      <c r="H837" s="37">
        <f>COUNTIF('(参考)現行システム機能階層一覧'!$E$3:$E$1048576,sheet1!B837)</f>
        <v>0</v>
      </c>
      <c r="I837" s="37"/>
      <c r="J837" s="37"/>
      <c r="K837" s="37"/>
      <c r="L837" s="37"/>
    </row>
    <row r="838" spans="1:12" ht="15.75" customHeight="1">
      <c r="A838" s="87" t="s">
        <v>3853</v>
      </c>
      <c r="B838" s="87" t="s">
        <v>5119</v>
      </c>
      <c r="C838" s="87" t="s">
        <v>5120</v>
      </c>
      <c r="D838" s="88">
        <v>64</v>
      </c>
      <c r="E838" s="85" t="s">
        <v>5086</v>
      </c>
      <c r="F838" s="87">
        <v>1</v>
      </c>
      <c r="G838" s="37"/>
      <c r="H838" s="37">
        <f>COUNTIF('(参考)現行システム機能階層一覧'!$E$3:$E$1048576,sheet1!B838)</f>
        <v>0</v>
      </c>
      <c r="I838" s="37"/>
      <c r="J838" s="37"/>
      <c r="K838" s="37"/>
      <c r="L838" s="37"/>
    </row>
    <row r="839" spans="1:12" ht="15.75" customHeight="1">
      <c r="A839" s="87" t="s">
        <v>3935</v>
      </c>
      <c r="B839" s="87" t="s">
        <v>5121</v>
      </c>
      <c r="C839" s="87" t="s">
        <v>5122</v>
      </c>
      <c r="D839" s="88">
        <v>43</v>
      </c>
      <c r="E839" s="85" t="s">
        <v>5123</v>
      </c>
      <c r="F839" s="87">
        <v>1504</v>
      </c>
      <c r="G839" s="37"/>
      <c r="H839" s="37">
        <f>COUNTIF('(参考)現行システム機能階層一覧'!$E$3:$E$1048576,sheet1!B839)</f>
        <v>0</v>
      </c>
      <c r="I839" s="37"/>
      <c r="J839" s="37"/>
      <c r="K839" s="37"/>
      <c r="L839" s="37"/>
    </row>
    <row r="840" spans="1:12" ht="15.75" customHeight="1">
      <c r="A840" s="87" t="s">
        <v>3853</v>
      </c>
      <c r="B840" s="87" t="s">
        <v>5124</v>
      </c>
      <c r="C840" s="87" t="s">
        <v>5125</v>
      </c>
      <c r="D840" s="88">
        <v>10</v>
      </c>
      <c r="E840" s="85" t="s">
        <v>5123</v>
      </c>
      <c r="F840" s="87">
        <v>1428</v>
      </c>
      <c r="G840" s="37"/>
      <c r="H840" s="37">
        <f>COUNTIF('(参考)現行システム機能階層一覧'!$E$3:$E$1048576,sheet1!B840)</f>
        <v>0</v>
      </c>
      <c r="I840" s="37"/>
      <c r="J840" s="37"/>
      <c r="K840" s="37"/>
      <c r="L840" s="37"/>
    </row>
    <row r="841" spans="1:12" ht="15.75" customHeight="1">
      <c r="A841" s="87" t="s">
        <v>3853</v>
      </c>
      <c r="B841" s="87" t="s">
        <v>5126</v>
      </c>
      <c r="C841" s="87" t="s">
        <v>5127</v>
      </c>
      <c r="D841" s="88">
        <v>31</v>
      </c>
      <c r="E841" s="85" t="s">
        <v>5123</v>
      </c>
      <c r="F841" s="87">
        <v>1404</v>
      </c>
      <c r="G841" s="37"/>
      <c r="H841" s="37">
        <f>COUNTIF('(参考)現行システム機能階層一覧'!$E$3:$E$1048576,sheet1!B841)</f>
        <v>0</v>
      </c>
      <c r="I841" s="37"/>
      <c r="J841" s="37"/>
      <c r="K841" s="37"/>
      <c r="L841" s="37"/>
    </row>
    <row r="842" spans="1:12" ht="15.75" customHeight="1">
      <c r="A842" s="87" t="s">
        <v>3853</v>
      </c>
      <c r="B842" s="87" t="s">
        <v>5128</v>
      </c>
      <c r="C842" s="87" t="s">
        <v>5129</v>
      </c>
      <c r="D842" s="88">
        <v>79</v>
      </c>
      <c r="E842" s="85" t="s">
        <v>5123</v>
      </c>
      <c r="F842" s="87">
        <v>1431</v>
      </c>
      <c r="G842" s="37"/>
      <c r="H842" s="37">
        <f>COUNTIF('(参考)現行システム機能階層一覧'!$E$3:$E$1048576,sheet1!B842)</f>
        <v>0</v>
      </c>
      <c r="I842" s="37"/>
      <c r="J842" s="37"/>
      <c r="K842" s="37"/>
      <c r="L842" s="37"/>
    </row>
    <row r="843" spans="1:12" ht="15.75" customHeight="1">
      <c r="A843" s="87" t="s">
        <v>3853</v>
      </c>
      <c r="B843" s="87" t="s">
        <v>5130</v>
      </c>
      <c r="C843" s="87" t="s">
        <v>5131</v>
      </c>
      <c r="D843" s="88">
        <v>102</v>
      </c>
      <c r="E843" s="85" t="s">
        <v>5123</v>
      </c>
      <c r="F843" s="87">
        <v>1431</v>
      </c>
      <c r="G843" s="37"/>
      <c r="H843" s="37">
        <f>COUNTIF('(参考)現行システム機能階層一覧'!$E$3:$E$1048576,sheet1!B843)</f>
        <v>0</v>
      </c>
      <c r="I843" s="37"/>
      <c r="J843" s="37"/>
      <c r="K843" s="37"/>
      <c r="L843" s="37"/>
    </row>
    <row r="844" spans="1:12" ht="15.75" customHeight="1">
      <c r="A844" s="87" t="s">
        <v>3853</v>
      </c>
      <c r="B844" s="87" t="s">
        <v>5132</v>
      </c>
      <c r="C844" s="87" t="s">
        <v>5133</v>
      </c>
      <c r="D844" s="88">
        <v>53</v>
      </c>
      <c r="E844" s="85" t="s">
        <v>5123</v>
      </c>
      <c r="F844" s="87">
        <v>1431</v>
      </c>
      <c r="G844" s="37"/>
      <c r="H844" s="37">
        <f>COUNTIF('(参考)現行システム機能階層一覧'!$E$3:$E$1048576,sheet1!B844)</f>
        <v>0</v>
      </c>
      <c r="I844" s="37"/>
      <c r="J844" s="37"/>
      <c r="K844" s="37"/>
      <c r="L844" s="37"/>
    </row>
    <row r="845" spans="1:12" ht="15.75" customHeight="1">
      <c r="A845" s="87" t="s">
        <v>3853</v>
      </c>
      <c r="B845" s="87" t="s">
        <v>5134</v>
      </c>
      <c r="C845" s="87" t="s">
        <v>5135</v>
      </c>
      <c r="D845" s="88">
        <v>86</v>
      </c>
      <c r="E845" s="85" t="s">
        <v>5123</v>
      </c>
      <c r="F845" s="87">
        <v>1431</v>
      </c>
      <c r="G845" s="37"/>
      <c r="H845" s="37">
        <f>COUNTIF('(参考)現行システム機能階層一覧'!$E$3:$E$1048576,sheet1!B845)</f>
        <v>0</v>
      </c>
      <c r="I845" s="37"/>
      <c r="J845" s="37"/>
      <c r="K845" s="37"/>
      <c r="L845" s="37"/>
    </row>
    <row r="846" spans="1:12" ht="15.75" customHeight="1">
      <c r="A846" s="87" t="s">
        <v>3853</v>
      </c>
      <c r="B846" s="87" t="s">
        <v>5136</v>
      </c>
      <c r="C846" s="87" t="s">
        <v>5137</v>
      </c>
      <c r="D846" s="88">
        <v>290</v>
      </c>
      <c r="E846" s="85" t="s">
        <v>5123</v>
      </c>
      <c r="F846" s="87">
        <v>2</v>
      </c>
      <c r="G846" s="37"/>
      <c r="H846" s="37">
        <f>COUNTIF('(参考)現行システム機能階層一覧'!$E$3:$E$1048576,sheet1!B846)</f>
        <v>0</v>
      </c>
      <c r="I846" s="37"/>
      <c r="J846" s="37"/>
      <c r="K846" s="37"/>
      <c r="L846" s="37"/>
    </row>
    <row r="847" spans="1:12" ht="15.75" customHeight="1">
      <c r="A847" s="87" t="s">
        <v>3853</v>
      </c>
      <c r="B847" s="87" t="s">
        <v>5138</v>
      </c>
      <c r="C847" s="87" t="s">
        <v>5137</v>
      </c>
      <c r="D847" s="88">
        <v>298</v>
      </c>
      <c r="E847" s="85" t="s">
        <v>5123</v>
      </c>
      <c r="F847" s="87">
        <v>1404</v>
      </c>
      <c r="G847" s="37"/>
      <c r="H847" s="37">
        <f>COUNTIF('(参考)現行システム機能階層一覧'!$E$3:$E$1048576,sheet1!B847)</f>
        <v>0</v>
      </c>
      <c r="I847" s="37"/>
      <c r="J847" s="37"/>
      <c r="K847" s="37"/>
      <c r="L847" s="37"/>
    </row>
    <row r="848" spans="1:12" ht="15.75" customHeight="1">
      <c r="A848" s="87" t="s">
        <v>3853</v>
      </c>
      <c r="B848" s="87" t="s">
        <v>5139</v>
      </c>
      <c r="C848" s="87" t="s">
        <v>5140</v>
      </c>
      <c r="D848" s="88">
        <v>308</v>
      </c>
      <c r="E848" s="85" t="s">
        <v>5123</v>
      </c>
      <c r="F848" s="87">
        <v>1404</v>
      </c>
      <c r="G848" s="37"/>
      <c r="H848" s="37">
        <f>COUNTIF('(参考)現行システム機能階層一覧'!$E$3:$E$1048576,sheet1!B848)</f>
        <v>0</v>
      </c>
      <c r="I848" s="37"/>
      <c r="J848" s="37"/>
      <c r="K848" s="37"/>
      <c r="L848" s="37"/>
    </row>
    <row r="849" spans="1:12" ht="15.75" customHeight="1">
      <c r="A849" s="87" t="s">
        <v>3853</v>
      </c>
      <c r="B849" s="87" t="s">
        <v>5141</v>
      </c>
      <c r="C849" s="87" t="s">
        <v>5142</v>
      </c>
      <c r="D849" s="88">
        <v>14</v>
      </c>
      <c r="E849" s="85" t="s">
        <v>5123</v>
      </c>
      <c r="F849" s="87">
        <v>2</v>
      </c>
      <c r="G849" s="37"/>
      <c r="H849" s="37">
        <f>COUNTIF('(参考)現行システム機能階層一覧'!$E$3:$E$1048576,sheet1!B849)</f>
        <v>0</v>
      </c>
      <c r="I849" s="37"/>
      <c r="J849" s="37"/>
      <c r="K849" s="37"/>
      <c r="L849" s="37"/>
    </row>
    <row r="850" spans="1:12" ht="15.75" customHeight="1">
      <c r="A850" s="87" t="s">
        <v>3935</v>
      </c>
      <c r="B850" s="87" t="s">
        <v>5143</v>
      </c>
      <c r="C850" s="87" t="s">
        <v>5144</v>
      </c>
      <c r="D850" s="88">
        <v>259</v>
      </c>
      <c r="E850" s="85" t="s">
        <v>5123</v>
      </c>
      <c r="F850" s="87">
        <v>18</v>
      </c>
      <c r="G850" s="37"/>
      <c r="H850" s="37">
        <f>COUNTIF('(参考)現行システム機能階層一覧'!$E$3:$E$1048576,sheet1!B850)</f>
        <v>0</v>
      </c>
      <c r="I850" s="37"/>
      <c r="J850" s="37"/>
      <c r="K850" s="37"/>
      <c r="L850" s="37"/>
    </row>
    <row r="851" spans="1:12" ht="15.75" customHeight="1">
      <c r="A851" s="87" t="s">
        <v>3935</v>
      </c>
      <c r="B851" s="87" t="s">
        <v>5145</v>
      </c>
      <c r="C851" s="87" t="s">
        <v>5146</v>
      </c>
      <c r="D851" s="88">
        <v>45</v>
      </c>
      <c r="E851" s="85" t="s">
        <v>5123</v>
      </c>
      <c r="F851" s="87">
        <v>1404</v>
      </c>
      <c r="G851" s="37"/>
      <c r="H851" s="37">
        <f>COUNTIF('(参考)現行システム機能階層一覧'!$E$3:$E$1048576,sheet1!B851)</f>
        <v>0</v>
      </c>
      <c r="I851" s="37"/>
      <c r="J851" s="37"/>
      <c r="K851" s="37"/>
      <c r="L851" s="37"/>
    </row>
    <row r="852" spans="1:12" ht="15.75" customHeight="1">
      <c r="A852" s="87" t="s">
        <v>3853</v>
      </c>
      <c r="B852" s="87" t="s">
        <v>5147</v>
      </c>
      <c r="C852" s="87" t="s">
        <v>5148</v>
      </c>
      <c r="D852" s="88">
        <v>84</v>
      </c>
      <c r="E852" s="85" t="s">
        <v>5149</v>
      </c>
      <c r="F852" s="87">
        <v>58</v>
      </c>
      <c r="G852" s="37"/>
      <c r="H852" s="37">
        <f>COUNTIF('(参考)現行システム機能階層一覧'!$E$3:$E$1048576,sheet1!B852)</f>
        <v>0</v>
      </c>
      <c r="I852" s="37"/>
      <c r="J852" s="37"/>
      <c r="K852" s="37"/>
      <c r="L852" s="37"/>
    </row>
    <row r="853" spans="1:12" ht="15.75" customHeight="1">
      <c r="A853" s="87" t="s">
        <v>3853</v>
      </c>
      <c r="B853" s="87" t="s">
        <v>5150</v>
      </c>
      <c r="C853" s="87" t="s">
        <v>1977</v>
      </c>
      <c r="D853" s="88">
        <v>27</v>
      </c>
      <c r="E853" s="85" t="s">
        <v>5151</v>
      </c>
      <c r="F853" s="87">
        <v>2</v>
      </c>
      <c r="G853" s="37"/>
      <c r="H853" s="37">
        <f>COUNTIF('(参考)現行システム機能階層一覧'!$E$3:$E$1048576,sheet1!B853)</f>
        <v>0</v>
      </c>
      <c r="I853" s="37"/>
      <c r="J853" s="37"/>
      <c r="K853" s="37"/>
      <c r="L853" s="37"/>
    </row>
    <row r="854" spans="1:12" ht="15.75" customHeight="1">
      <c r="A854" s="87" t="s">
        <v>3853</v>
      </c>
      <c r="B854" s="87" t="s">
        <v>5152</v>
      </c>
      <c r="C854" s="87" t="s">
        <v>5153</v>
      </c>
      <c r="D854" s="88">
        <v>41</v>
      </c>
      <c r="E854" s="85" t="s">
        <v>5154</v>
      </c>
      <c r="F854" s="87">
        <v>2</v>
      </c>
      <c r="G854" s="37"/>
      <c r="H854" s="37">
        <f>COUNTIF('(参考)現行システム機能階層一覧'!$E$3:$E$1048576,sheet1!B854)</f>
        <v>0</v>
      </c>
      <c r="I854" s="37"/>
      <c r="J854" s="37"/>
      <c r="K854" s="37"/>
      <c r="L854" s="37"/>
    </row>
    <row r="855" spans="1:12" ht="15.75" customHeight="1">
      <c r="A855" s="87" t="s">
        <v>3853</v>
      </c>
      <c r="B855" s="87" t="s">
        <v>5155</v>
      </c>
      <c r="C855" s="87" t="s">
        <v>5156</v>
      </c>
      <c r="D855" s="88">
        <v>64</v>
      </c>
      <c r="E855" s="85" t="s">
        <v>5157</v>
      </c>
      <c r="F855" s="87">
        <v>69</v>
      </c>
      <c r="G855" s="37"/>
      <c r="H855" s="37">
        <f>COUNTIF('(参考)現行システム機能階層一覧'!$E$3:$E$1048576,sheet1!B855)</f>
        <v>0</v>
      </c>
      <c r="I855" s="37"/>
      <c r="J855" s="37"/>
      <c r="K855" s="37"/>
      <c r="L855" s="37"/>
    </row>
    <row r="856" spans="1:12" ht="15.75" customHeight="1">
      <c r="A856" s="87" t="s">
        <v>3853</v>
      </c>
      <c r="B856" s="87" t="s">
        <v>5158</v>
      </c>
      <c r="C856" s="87" t="s">
        <v>5159</v>
      </c>
      <c r="D856" s="88">
        <v>64</v>
      </c>
      <c r="E856" s="85" t="s">
        <v>5157</v>
      </c>
      <c r="F856" s="87">
        <v>22</v>
      </c>
      <c r="G856" s="37"/>
      <c r="H856" s="37">
        <f>COUNTIF('(参考)現行システム機能階層一覧'!$E$3:$E$1048576,sheet1!B856)</f>
        <v>0</v>
      </c>
      <c r="I856" s="37"/>
      <c r="J856" s="37"/>
      <c r="K856" s="37"/>
      <c r="L856" s="37"/>
    </row>
    <row r="857" spans="1:12" ht="15.75" customHeight="1">
      <c r="A857" s="87" t="s">
        <v>3853</v>
      </c>
      <c r="B857" s="87" t="s">
        <v>5160</v>
      </c>
      <c r="C857" s="87" t="s">
        <v>5161</v>
      </c>
      <c r="D857" s="88">
        <v>64</v>
      </c>
      <c r="E857" s="85" t="s">
        <v>5157</v>
      </c>
      <c r="F857" s="87">
        <v>52</v>
      </c>
      <c r="G857" s="37"/>
      <c r="H857" s="37">
        <f>COUNTIF('(参考)現行システム機能階層一覧'!$E$3:$E$1048576,sheet1!B857)</f>
        <v>0</v>
      </c>
      <c r="I857" s="37"/>
      <c r="J857" s="37"/>
      <c r="K857" s="37"/>
      <c r="L857" s="37"/>
    </row>
    <row r="858" spans="1:12" ht="15.75" customHeight="1">
      <c r="A858" s="87" t="s">
        <v>3853</v>
      </c>
      <c r="B858" s="87" t="s">
        <v>5162</v>
      </c>
      <c r="C858" s="87" t="s">
        <v>5163</v>
      </c>
      <c r="D858" s="88">
        <v>64</v>
      </c>
      <c r="E858" s="85" t="s">
        <v>5157</v>
      </c>
      <c r="F858" s="87">
        <v>31</v>
      </c>
      <c r="G858" s="37"/>
      <c r="H858" s="37">
        <f>COUNTIF('(参考)現行システム機能階層一覧'!$E$3:$E$1048576,sheet1!B858)</f>
        <v>0</v>
      </c>
      <c r="I858" s="37"/>
      <c r="J858" s="37"/>
      <c r="K858" s="37"/>
      <c r="L858" s="37"/>
    </row>
    <row r="859" spans="1:12" ht="15.75" customHeight="1">
      <c r="A859" s="87" t="s">
        <v>3853</v>
      </c>
      <c r="B859" s="87" t="s">
        <v>5164</v>
      </c>
      <c r="C859" s="87" t="s">
        <v>5165</v>
      </c>
      <c r="D859" s="88">
        <v>64</v>
      </c>
      <c r="E859" s="85" t="s">
        <v>5157</v>
      </c>
      <c r="F859" s="87">
        <v>57</v>
      </c>
      <c r="G859" s="37"/>
      <c r="H859" s="37">
        <f>COUNTIF('(参考)現行システム機能階層一覧'!$E$3:$E$1048576,sheet1!B859)</f>
        <v>0</v>
      </c>
      <c r="I859" s="37"/>
      <c r="J859" s="37"/>
      <c r="K859" s="37"/>
      <c r="L859" s="37"/>
    </row>
    <row r="860" spans="1:12" ht="15.75" customHeight="1">
      <c r="A860" s="87" t="s">
        <v>3853</v>
      </c>
      <c r="B860" s="87" t="s">
        <v>5166</v>
      </c>
      <c r="C860" s="87" t="s">
        <v>5167</v>
      </c>
      <c r="D860" s="88">
        <v>64</v>
      </c>
      <c r="E860" s="85" t="s">
        <v>5157</v>
      </c>
      <c r="F860" s="87">
        <v>18</v>
      </c>
      <c r="G860" s="37"/>
      <c r="H860" s="37">
        <f>COUNTIF('(参考)現行システム機能階層一覧'!$E$3:$E$1048576,sheet1!B860)</f>
        <v>0</v>
      </c>
      <c r="I860" s="37"/>
      <c r="J860" s="37"/>
      <c r="K860" s="37"/>
      <c r="L860" s="37"/>
    </row>
    <row r="861" spans="1:12" ht="15.75" customHeight="1">
      <c r="A861" s="87" t="s">
        <v>3853</v>
      </c>
      <c r="B861" s="87" t="s">
        <v>5168</v>
      </c>
      <c r="C861" s="87" t="s">
        <v>5169</v>
      </c>
      <c r="D861" s="88">
        <v>62</v>
      </c>
      <c r="E861" s="85" t="s">
        <v>5157</v>
      </c>
      <c r="F861" s="87">
        <v>73</v>
      </c>
      <c r="G861" s="37"/>
      <c r="H861" s="37">
        <f>COUNTIF('(参考)現行システム機能階層一覧'!$E$3:$E$1048576,sheet1!B861)</f>
        <v>0</v>
      </c>
      <c r="I861" s="37"/>
      <c r="J861" s="37"/>
      <c r="K861" s="37"/>
      <c r="L861" s="37"/>
    </row>
    <row r="862" spans="1:12" ht="15.75" customHeight="1">
      <c r="A862" s="87" t="s">
        <v>3853</v>
      </c>
      <c r="B862" s="87" t="s">
        <v>5170</v>
      </c>
      <c r="C862" s="87" t="s">
        <v>5171</v>
      </c>
      <c r="D862" s="88">
        <v>64</v>
      </c>
      <c r="E862" s="85" t="s">
        <v>5157</v>
      </c>
      <c r="F862" s="87">
        <v>73</v>
      </c>
      <c r="G862" s="37"/>
      <c r="H862" s="37">
        <f>COUNTIF('(参考)現行システム機能階層一覧'!$E$3:$E$1048576,sheet1!B862)</f>
        <v>0</v>
      </c>
      <c r="I862" s="37"/>
      <c r="J862" s="37"/>
      <c r="K862" s="37"/>
      <c r="L862" s="37"/>
    </row>
    <row r="863" spans="1:12" ht="15.75" customHeight="1">
      <c r="A863" s="87" t="s">
        <v>3853</v>
      </c>
      <c r="B863" s="87" t="s">
        <v>5172</v>
      </c>
      <c r="C863" s="87" t="s">
        <v>5173</v>
      </c>
      <c r="D863" s="88">
        <v>62</v>
      </c>
      <c r="E863" s="85" t="s">
        <v>5157</v>
      </c>
      <c r="F863" s="87">
        <v>8</v>
      </c>
      <c r="G863" s="37"/>
      <c r="H863" s="37">
        <f>COUNTIF('(参考)現行システム機能階層一覧'!$E$3:$E$1048576,sheet1!B863)</f>
        <v>0</v>
      </c>
      <c r="I863" s="37"/>
      <c r="J863" s="37"/>
      <c r="K863" s="37"/>
      <c r="L863" s="37"/>
    </row>
    <row r="864" spans="1:12" ht="15.75" customHeight="1">
      <c r="A864" s="87" t="s">
        <v>3853</v>
      </c>
      <c r="B864" s="87" t="s">
        <v>5174</v>
      </c>
      <c r="C864" s="87" t="s">
        <v>5175</v>
      </c>
      <c r="D864" s="88">
        <v>62</v>
      </c>
      <c r="E864" s="85" t="s">
        <v>5157</v>
      </c>
      <c r="F864" s="87">
        <v>11</v>
      </c>
      <c r="G864" s="37"/>
      <c r="H864" s="37">
        <f>COUNTIF('(参考)現行システム機能階層一覧'!$E$3:$E$1048576,sheet1!B864)</f>
        <v>0</v>
      </c>
      <c r="I864" s="37"/>
      <c r="J864" s="37"/>
      <c r="K864" s="37"/>
      <c r="L864" s="37"/>
    </row>
    <row r="865" spans="1:12" ht="15.75" customHeight="1">
      <c r="A865" s="87" t="s">
        <v>3853</v>
      </c>
      <c r="B865" s="87" t="s">
        <v>5176</v>
      </c>
      <c r="C865" s="87" t="s">
        <v>5177</v>
      </c>
      <c r="D865" s="88">
        <v>64</v>
      </c>
      <c r="E865" s="85" t="s">
        <v>5178</v>
      </c>
      <c r="F865" s="87">
        <v>26</v>
      </c>
      <c r="G865" s="37"/>
      <c r="H865" s="37">
        <f>COUNTIF('(参考)現行システム機能階層一覧'!$E$3:$E$1048576,sheet1!B865)</f>
        <v>0</v>
      </c>
      <c r="I865" s="37"/>
      <c r="J865" s="37"/>
      <c r="K865" s="37"/>
      <c r="L865" s="37"/>
    </row>
    <row r="866" spans="1:12" ht="15.75" customHeight="1">
      <c r="A866" s="87" t="s">
        <v>3853</v>
      </c>
      <c r="B866" s="87" t="s">
        <v>5179</v>
      </c>
      <c r="C866" s="87" t="s">
        <v>3800</v>
      </c>
      <c r="D866" s="88">
        <v>18</v>
      </c>
      <c r="E866" s="85" t="s">
        <v>5180</v>
      </c>
      <c r="F866" s="87">
        <v>84</v>
      </c>
      <c r="G866" s="37"/>
      <c r="H866" s="37">
        <f>COUNTIF('(参考)現行システム機能階層一覧'!$E$3:$E$1048576,sheet1!B866)</f>
        <v>0</v>
      </c>
      <c r="I866" s="37"/>
      <c r="J866" s="37"/>
      <c r="K866" s="37"/>
      <c r="L866" s="37"/>
    </row>
    <row r="867" spans="1:12" ht="15.75" customHeight="1">
      <c r="A867" s="87" t="s">
        <v>3853</v>
      </c>
      <c r="B867" s="87" t="s">
        <v>5181</v>
      </c>
      <c r="C867" s="87" t="s">
        <v>5182</v>
      </c>
      <c r="D867" s="88">
        <v>66</v>
      </c>
      <c r="E867" s="85" t="s">
        <v>5183</v>
      </c>
      <c r="F867" s="87">
        <v>30</v>
      </c>
      <c r="G867" s="37"/>
      <c r="H867" s="37">
        <f>COUNTIF('(参考)現行システム機能階層一覧'!$E$3:$E$1048576,sheet1!B867)</f>
        <v>0</v>
      </c>
      <c r="I867" s="37"/>
      <c r="J867" s="37"/>
      <c r="K867" s="37"/>
      <c r="L867" s="37"/>
    </row>
    <row r="868" spans="1:12" ht="15.75" customHeight="1">
      <c r="A868" s="87" t="s">
        <v>3853</v>
      </c>
      <c r="B868" s="87" t="s">
        <v>5184</v>
      </c>
      <c r="C868" s="87" t="s">
        <v>5185</v>
      </c>
      <c r="D868" s="88">
        <v>62</v>
      </c>
      <c r="E868" s="85" t="s">
        <v>5186</v>
      </c>
      <c r="F868" s="87">
        <v>14</v>
      </c>
      <c r="G868" s="37"/>
      <c r="H868" s="37">
        <f>COUNTIF('(参考)現行システム機能階層一覧'!$E$3:$E$1048576,sheet1!B868)</f>
        <v>0</v>
      </c>
      <c r="I868" s="37"/>
      <c r="J868" s="37"/>
      <c r="K868" s="37"/>
      <c r="L868" s="37"/>
    </row>
    <row r="869" spans="1:12" ht="15.75" customHeight="1">
      <c r="A869" s="87" t="s">
        <v>3935</v>
      </c>
      <c r="B869" s="87" t="s">
        <v>5187</v>
      </c>
      <c r="C869" s="87" t="s">
        <v>5188</v>
      </c>
      <c r="D869" s="88">
        <v>520</v>
      </c>
      <c r="E869" s="85" t="s">
        <v>5189</v>
      </c>
      <c r="F869" s="87">
        <v>1</v>
      </c>
      <c r="G869" s="37"/>
      <c r="H869" s="37">
        <f>COUNTIF('(参考)現行システム機能階層一覧'!$E$3:$E$1048576,sheet1!B869)</f>
        <v>0</v>
      </c>
      <c r="I869" s="37"/>
      <c r="J869" s="37"/>
      <c r="K869" s="37"/>
      <c r="L869" s="37"/>
    </row>
    <row r="870" spans="1:12" ht="15.75" customHeight="1">
      <c r="A870" s="87" t="s">
        <v>3853</v>
      </c>
      <c r="B870" s="87" t="s">
        <v>5190</v>
      </c>
      <c r="C870" s="87" t="s">
        <v>5188</v>
      </c>
      <c r="D870" s="88">
        <v>17</v>
      </c>
      <c r="E870" s="85" t="s">
        <v>5189</v>
      </c>
      <c r="F870" s="87">
        <v>1</v>
      </c>
      <c r="G870" s="37"/>
      <c r="H870" s="37">
        <f>COUNTIF('(参考)現行システム機能階層一覧'!$E$3:$E$1048576,sheet1!B870)</f>
        <v>0</v>
      </c>
      <c r="I870" s="37"/>
      <c r="J870" s="37"/>
      <c r="K870" s="37"/>
      <c r="L870" s="37"/>
    </row>
    <row r="871" spans="1:12" ht="15.75" customHeight="1">
      <c r="A871" s="87" t="s">
        <v>3935</v>
      </c>
      <c r="B871" s="87" t="s">
        <v>5191</v>
      </c>
      <c r="C871" s="87" t="s">
        <v>5192</v>
      </c>
      <c r="D871" s="88">
        <v>664</v>
      </c>
      <c r="E871" s="85" t="s">
        <v>5189</v>
      </c>
      <c r="F871" s="87">
        <v>1</v>
      </c>
      <c r="G871" s="37"/>
      <c r="H871" s="37">
        <f>COUNTIF('(参考)現行システム機能階層一覧'!$E$3:$E$1048576,sheet1!B871)</f>
        <v>0</v>
      </c>
      <c r="I871" s="37"/>
      <c r="J871" s="37"/>
      <c r="K871" s="37"/>
      <c r="L871" s="37"/>
    </row>
    <row r="872" spans="1:12" ht="15.75" customHeight="1">
      <c r="A872" s="87" t="s">
        <v>3853</v>
      </c>
      <c r="B872" s="87" t="s">
        <v>5193</v>
      </c>
      <c r="C872" s="87" t="s">
        <v>5192</v>
      </c>
      <c r="D872" s="88">
        <v>26</v>
      </c>
      <c r="E872" s="85" t="s">
        <v>5189</v>
      </c>
      <c r="F872" s="87">
        <v>1</v>
      </c>
      <c r="G872" s="37"/>
      <c r="H872" s="37">
        <f>COUNTIF('(参考)現行システム機能階層一覧'!$E$3:$E$1048576,sheet1!B872)</f>
        <v>0</v>
      </c>
      <c r="I872" s="37"/>
      <c r="J872" s="37"/>
      <c r="K872" s="37"/>
      <c r="L872" s="37"/>
    </row>
    <row r="873" spans="1:12" ht="15.75" customHeight="1">
      <c r="A873" s="87" t="s">
        <v>3935</v>
      </c>
      <c r="B873" s="87" t="s">
        <v>5194</v>
      </c>
      <c r="C873" s="87" t="s">
        <v>5195</v>
      </c>
      <c r="D873" s="88">
        <v>599</v>
      </c>
      <c r="E873" s="85" t="s">
        <v>5189</v>
      </c>
      <c r="F873" s="87">
        <v>1</v>
      </c>
      <c r="G873" s="37"/>
      <c r="H873" s="37">
        <f>COUNTIF('(参考)現行システム機能階層一覧'!$E$3:$E$1048576,sheet1!B873)</f>
        <v>0</v>
      </c>
      <c r="I873" s="37"/>
      <c r="J873" s="37"/>
      <c r="K873" s="37"/>
      <c r="L873" s="37"/>
    </row>
    <row r="874" spans="1:12" ht="15.75" customHeight="1">
      <c r="A874" s="87" t="s">
        <v>3853</v>
      </c>
      <c r="B874" s="87" t="s">
        <v>5196</v>
      </c>
      <c r="C874" s="87" t="s">
        <v>5195</v>
      </c>
      <c r="D874" s="88">
        <v>16</v>
      </c>
      <c r="E874" s="85" t="s">
        <v>5189</v>
      </c>
      <c r="F874" s="87">
        <v>1</v>
      </c>
      <c r="G874" s="37"/>
      <c r="H874" s="37">
        <f>COUNTIF('(参考)現行システム機能階層一覧'!$E$3:$E$1048576,sheet1!B874)</f>
        <v>0</v>
      </c>
      <c r="I874" s="37"/>
      <c r="J874" s="37"/>
      <c r="K874" s="37"/>
      <c r="L874" s="37"/>
    </row>
    <row r="875" spans="1:12" ht="15.75" customHeight="1">
      <c r="A875" s="87" t="s">
        <v>3853</v>
      </c>
      <c r="B875" s="87" t="s">
        <v>5197</v>
      </c>
      <c r="C875" s="87" t="s">
        <v>5198</v>
      </c>
      <c r="D875" s="88">
        <v>34</v>
      </c>
      <c r="E875" s="85" t="s">
        <v>5189</v>
      </c>
      <c r="F875" s="87">
        <v>1895</v>
      </c>
      <c r="G875" s="37"/>
      <c r="H875" s="37">
        <f>COUNTIF('(参考)現行システム機能階層一覧'!$E$3:$E$1048576,sheet1!B875)</f>
        <v>0</v>
      </c>
      <c r="I875" s="37"/>
      <c r="J875" s="37"/>
      <c r="K875" s="37"/>
      <c r="L875" s="37"/>
    </row>
    <row r="876" spans="1:12" ht="15.75" customHeight="1">
      <c r="A876" s="87" t="s">
        <v>3853</v>
      </c>
      <c r="B876" s="87" t="s">
        <v>5199</v>
      </c>
      <c r="C876" s="87" t="s">
        <v>5200</v>
      </c>
      <c r="D876" s="88">
        <v>31</v>
      </c>
      <c r="E876" s="85" t="s">
        <v>5189</v>
      </c>
      <c r="F876" s="87">
        <v>1558</v>
      </c>
      <c r="G876" s="37"/>
      <c r="H876" s="37">
        <f>COUNTIF('(参考)現行システム機能階層一覧'!$E$3:$E$1048576,sheet1!B876)</f>
        <v>0</v>
      </c>
      <c r="I876" s="37"/>
      <c r="J876" s="37"/>
      <c r="K876" s="37"/>
      <c r="L876" s="37"/>
    </row>
    <row r="877" spans="1:12" ht="15.75" customHeight="1">
      <c r="A877" s="87" t="s">
        <v>3853</v>
      </c>
      <c r="B877" s="87" t="s">
        <v>5201</v>
      </c>
      <c r="C877" s="87" t="s">
        <v>5202</v>
      </c>
      <c r="D877" s="88">
        <v>95</v>
      </c>
      <c r="E877" s="85" t="s">
        <v>5189</v>
      </c>
      <c r="F877" s="87">
        <v>1896</v>
      </c>
      <c r="G877" s="37"/>
      <c r="H877" s="37">
        <f>COUNTIF('(参考)現行システム機能階層一覧'!$E$3:$E$1048576,sheet1!B877)</f>
        <v>0</v>
      </c>
      <c r="I877" s="37"/>
      <c r="J877" s="37"/>
      <c r="K877" s="37"/>
      <c r="L877" s="37"/>
    </row>
    <row r="878" spans="1:12" ht="15.75" customHeight="1">
      <c r="A878" s="87" t="s">
        <v>3935</v>
      </c>
      <c r="B878" s="87" t="s">
        <v>751</v>
      </c>
      <c r="C878" s="87" t="s">
        <v>5203</v>
      </c>
      <c r="D878" s="88">
        <v>224</v>
      </c>
      <c r="E878" s="85" t="s">
        <v>5189</v>
      </c>
      <c r="F878" s="87">
        <v>725</v>
      </c>
      <c r="G878" s="37"/>
      <c r="H878" s="37">
        <f>COUNTIF('(参考)現行システム機能階層一覧'!$E$3:$E$1048576,sheet1!B878)</f>
        <v>1</v>
      </c>
      <c r="I878" s="37"/>
      <c r="J878" s="37"/>
      <c r="K878" s="37"/>
      <c r="L878" s="37"/>
    </row>
    <row r="879" spans="1:12" ht="15.75" customHeight="1">
      <c r="A879" s="87" t="s">
        <v>3853</v>
      </c>
      <c r="B879" s="87" t="s">
        <v>5204</v>
      </c>
      <c r="C879" s="87" t="s">
        <v>5205</v>
      </c>
      <c r="D879" s="88">
        <v>28</v>
      </c>
      <c r="E879" s="85" t="s">
        <v>5189</v>
      </c>
      <c r="F879" s="87">
        <v>727</v>
      </c>
      <c r="G879" s="37"/>
      <c r="H879" s="37">
        <f>COUNTIF('(参考)現行システム機能階層一覧'!$E$3:$E$1048576,sheet1!B879)</f>
        <v>0</v>
      </c>
      <c r="I879" s="37"/>
      <c r="J879" s="37"/>
      <c r="K879" s="37"/>
      <c r="L879" s="37"/>
    </row>
    <row r="880" spans="1:12" ht="15.75" customHeight="1">
      <c r="A880" s="87" t="s">
        <v>5206</v>
      </c>
      <c r="B880" s="87" t="s">
        <v>5207</v>
      </c>
      <c r="C880" s="87" t="s">
        <v>752</v>
      </c>
      <c r="D880" s="88">
        <v>485</v>
      </c>
      <c r="E880" s="85" t="s">
        <v>5189</v>
      </c>
      <c r="F880" s="87">
        <v>715</v>
      </c>
      <c r="G880" s="37"/>
      <c r="H880" s="37">
        <f>COUNTIF('(参考)現行システム機能階層一覧'!$E$3:$E$1048576,sheet1!B880)</f>
        <v>0</v>
      </c>
      <c r="I880" s="37"/>
      <c r="J880" s="37"/>
      <c r="K880" s="37"/>
      <c r="L880" s="37"/>
    </row>
    <row r="881" spans="1:12" ht="15.75" customHeight="1">
      <c r="A881" s="87" t="s">
        <v>3853</v>
      </c>
      <c r="B881" s="87" t="s">
        <v>5208</v>
      </c>
      <c r="C881" s="87" t="s">
        <v>3799</v>
      </c>
      <c r="D881" s="88">
        <v>59</v>
      </c>
      <c r="E881" s="85" t="s">
        <v>5209</v>
      </c>
      <c r="F881" s="87">
        <v>10</v>
      </c>
      <c r="G881" s="37"/>
      <c r="H881" s="37">
        <f>COUNTIF('(参考)現行システム機能階層一覧'!$E$3:$E$1048576,sheet1!B881)</f>
        <v>0</v>
      </c>
      <c r="I881" s="37"/>
      <c r="J881" s="37"/>
      <c r="K881" s="37"/>
      <c r="L881" s="37"/>
    </row>
    <row r="882" spans="1:12" ht="15.75" customHeight="1">
      <c r="A882" s="87" t="s">
        <v>3853</v>
      </c>
      <c r="B882" s="87" t="s">
        <v>5210</v>
      </c>
      <c r="C882" s="87" t="s">
        <v>5211</v>
      </c>
      <c r="D882" s="88">
        <v>65</v>
      </c>
      <c r="E882" s="85" t="s">
        <v>5212</v>
      </c>
      <c r="F882" s="87">
        <v>53</v>
      </c>
      <c r="G882" s="37"/>
      <c r="H882" s="37">
        <f>COUNTIF('(参考)現行システム機能階層一覧'!$E$3:$E$1048576,sheet1!B882)</f>
        <v>0</v>
      </c>
      <c r="I882" s="37"/>
      <c r="J882" s="37"/>
      <c r="K882" s="37"/>
      <c r="L882" s="37"/>
    </row>
    <row r="883" spans="1:12" ht="15.75" customHeight="1">
      <c r="A883" s="87" t="s">
        <v>3853</v>
      </c>
      <c r="B883" s="87" t="s">
        <v>5213</v>
      </c>
      <c r="C883" s="87" t="s">
        <v>5214</v>
      </c>
      <c r="D883" s="88">
        <v>55</v>
      </c>
      <c r="E883" s="85" t="s">
        <v>5212</v>
      </c>
      <c r="F883" s="87">
        <v>236</v>
      </c>
      <c r="G883" s="37"/>
      <c r="H883" s="37">
        <f>COUNTIF('(参考)現行システム機能階層一覧'!$E$3:$E$1048576,sheet1!B883)</f>
        <v>0</v>
      </c>
      <c r="I883" s="37"/>
      <c r="J883" s="37"/>
      <c r="K883" s="37"/>
      <c r="L883" s="37"/>
    </row>
    <row r="884" spans="1:12" ht="15.75" customHeight="1">
      <c r="A884" s="87" t="s">
        <v>3853</v>
      </c>
      <c r="B884" s="87" t="s">
        <v>5215</v>
      </c>
      <c r="C884" s="87" t="s">
        <v>5216</v>
      </c>
      <c r="D884" s="88">
        <v>115</v>
      </c>
      <c r="E884" s="85" t="s">
        <v>5212</v>
      </c>
      <c r="F884" s="87">
        <v>1426</v>
      </c>
      <c r="G884" s="37"/>
      <c r="H884" s="37">
        <f>COUNTIF('(参考)現行システム機能階層一覧'!$E$3:$E$1048576,sheet1!B884)</f>
        <v>0</v>
      </c>
      <c r="I884" s="37"/>
      <c r="J884" s="37"/>
      <c r="K884" s="37"/>
      <c r="L884" s="37"/>
    </row>
    <row r="885" spans="1:12" ht="15.75" customHeight="1">
      <c r="A885" s="87" t="s">
        <v>3853</v>
      </c>
      <c r="B885" s="87" t="s">
        <v>5217</v>
      </c>
      <c r="C885" s="87" t="s">
        <v>5218</v>
      </c>
      <c r="D885" s="88">
        <v>232</v>
      </c>
      <c r="E885" s="85" t="s">
        <v>5212</v>
      </c>
      <c r="F885" s="87">
        <v>165</v>
      </c>
      <c r="G885" s="37"/>
      <c r="H885" s="37">
        <f>COUNTIF('(参考)現行システム機能階層一覧'!$E$3:$E$1048576,sheet1!B885)</f>
        <v>0</v>
      </c>
      <c r="I885" s="37"/>
      <c r="J885" s="37"/>
      <c r="K885" s="37"/>
      <c r="L885" s="37"/>
    </row>
    <row r="886" spans="1:12" ht="15.75" customHeight="1">
      <c r="A886" s="87" t="s">
        <v>3853</v>
      </c>
      <c r="B886" s="87" t="s">
        <v>5219</v>
      </c>
      <c r="C886" s="87" t="s">
        <v>5220</v>
      </c>
      <c r="D886" s="88">
        <v>116</v>
      </c>
      <c r="E886" s="85" t="s">
        <v>5212</v>
      </c>
      <c r="F886" s="87">
        <v>170</v>
      </c>
      <c r="G886" s="37"/>
      <c r="H886" s="37">
        <f>COUNTIF('(参考)現行システム機能階層一覧'!$E$3:$E$1048576,sheet1!B886)</f>
        <v>0</v>
      </c>
      <c r="I886" s="37"/>
      <c r="J886" s="37"/>
      <c r="K886" s="37"/>
      <c r="L886" s="37"/>
    </row>
    <row r="887" spans="1:12" ht="15.75" customHeight="1">
      <c r="A887" s="87" t="s">
        <v>3853</v>
      </c>
      <c r="B887" s="87" t="s">
        <v>5221</v>
      </c>
      <c r="C887" s="87" t="s">
        <v>5222</v>
      </c>
      <c r="D887" s="88">
        <v>194</v>
      </c>
      <c r="E887" s="85" t="s">
        <v>5212</v>
      </c>
      <c r="F887" s="87">
        <v>945</v>
      </c>
      <c r="G887" s="37"/>
      <c r="H887" s="37">
        <f>COUNTIF('(参考)現行システム機能階層一覧'!$E$3:$E$1048576,sheet1!B887)</f>
        <v>0</v>
      </c>
      <c r="I887" s="37"/>
      <c r="J887" s="37"/>
      <c r="K887" s="37"/>
      <c r="L887" s="37"/>
    </row>
    <row r="888" spans="1:12" ht="15.75" customHeight="1">
      <c r="A888" s="87" t="s">
        <v>3853</v>
      </c>
      <c r="B888" s="87" t="s">
        <v>5223</v>
      </c>
      <c r="C888" s="87" t="s">
        <v>5224</v>
      </c>
      <c r="D888" s="88">
        <v>158</v>
      </c>
      <c r="E888" s="85" t="s">
        <v>5212</v>
      </c>
      <c r="F888" s="87">
        <v>1301</v>
      </c>
      <c r="G888" s="37"/>
      <c r="H888" s="37">
        <f>COUNTIF('(参考)現行システム機能階層一覧'!$E$3:$E$1048576,sheet1!B888)</f>
        <v>0</v>
      </c>
      <c r="I888" s="37"/>
      <c r="J888" s="37"/>
      <c r="K888" s="37"/>
      <c r="L888" s="37"/>
    </row>
    <row r="889" spans="1:12" ht="15.75" customHeight="1">
      <c r="A889" s="87" t="s">
        <v>3853</v>
      </c>
      <c r="B889" s="87" t="s">
        <v>5225</v>
      </c>
      <c r="C889" s="87" t="s">
        <v>5226</v>
      </c>
      <c r="D889" s="88">
        <v>153</v>
      </c>
      <c r="E889" s="85" t="s">
        <v>5212</v>
      </c>
      <c r="F889" s="87">
        <v>50</v>
      </c>
      <c r="G889" s="37"/>
      <c r="H889" s="37">
        <f>COUNTIF('(参考)現行システム機能階層一覧'!$E$3:$E$1048576,sheet1!B889)</f>
        <v>0</v>
      </c>
      <c r="I889" s="37"/>
      <c r="J889" s="37"/>
      <c r="K889" s="37"/>
      <c r="L889" s="37"/>
    </row>
    <row r="890" spans="1:12" ht="15.75" customHeight="1">
      <c r="A890" s="87" t="s">
        <v>3853</v>
      </c>
      <c r="B890" s="87" t="s">
        <v>5227</v>
      </c>
      <c r="C890" s="87" t="s">
        <v>5228</v>
      </c>
      <c r="D890" s="88">
        <v>145</v>
      </c>
      <c r="E890" s="85" t="s">
        <v>5212</v>
      </c>
      <c r="F890" s="87">
        <v>1675</v>
      </c>
      <c r="G890" s="37"/>
      <c r="H890" s="37">
        <f>COUNTIF('(参考)現行システム機能階層一覧'!$E$3:$E$1048576,sheet1!B890)</f>
        <v>0</v>
      </c>
      <c r="I890" s="37"/>
      <c r="J890" s="37"/>
      <c r="K890" s="37"/>
      <c r="L890" s="37"/>
    </row>
    <row r="891" spans="1:12" ht="15.75" customHeight="1">
      <c r="A891" s="87" t="s">
        <v>3853</v>
      </c>
      <c r="B891" s="87" t="s">
        <v>5229</v>
      </c>
      <c r="C891" s="87" t="s">
        <v>5230</v>
      </c>
      <c r="D891" s="88">
        <v>138</v>
      </c>
      <c r="E891" s="85" t="s">
        <v>5212</v>
      </c>
      <c r="F891" s="87">
        <v>1512</v>
      </c>
      <c r="G891" s="37"/>
      <c r="H891" s="37">
        <f>COUNTIF('(参考)現行システム機能階層一覧'!$E$3:$E$1048576,sheet1!B891)</f>
        <v>0</v>
      </c>
      <c r="I891" s="37"/>
      <c r="J891" s="37"/>
      <c r="K891" s="37"/>
      <c r="L891" s="37"/>
    </row>
    <row r="892" spans="1:12" ht="15.75" customHeight="1">
      <c r="A892" s="87" t="s">
        <v>3853</v>
      </c>
      <c r="B892" s="87" t="s">
        <v>5231</v>
      </c>
      <c r="C892" s="87" t="s">
        <v>5232</v>
      </c>
      <c r="D892" s="88">
        <v>138</v>
      </c>
      <c r="E892" s="85" t="s">
        <v>5212</v>
      </c>
      <c r="F892" s="87">
        <v>1489</v>
      </c>
      <c r="G892" s="37"/>
      <c r="H892" s="37">
        <f>COUNTIF('(参考)現行システム機能階層一覧'!$E$3:$E$1048576,sheet1!B892)</f>
        <v>0</v>
      </c>
      <c r="I892" s="37"/>
      <c r="J892" s="37"/>
      <c r="K892" s="37"/>
      <c r="L892" s="37"/>
    </row>
    <row r="893" spans="1:12" ht="15.75" customHeight="1">
      <c r="A893" s="87" t="s">
        <v>3853</v>
      </c>
      <c r="B893" s="87" t="s">
        <v>5233</v>
      </c>
      <c r="C893" s="87" t="s">
        <v>5234</v>
      </c>
      <c r="D893" s="88">
        <v>138</v>
      </c>
      <c r="E893" s="85" t="s">
        <v>5212</v>
      </c>
      <c r="F893" s="87">
        <v>1396</v>
      </c>
      <c r="G893" s="37"/>
      <c r="H893" s="37">
        <f>COUNTIF('(参考)現行システム機能階層一覧'!$E$3:$E$1048576,sheet1!B893)</f>
        <v>0</v>
      </c>
      <c r="I893" s="37"/>
      <c r="J893" s="37"/>
      <c r="K893" s="37"/>
      <c r="L893" s="37"/>
    </row>
    <row r="894" spans="1:12" ht="15.75" customHeight="1">
      <c r="A894" s="87" t="s">
        <v>3853</v>
      </c>
      <c r="B894" s="87" t="s">
        <v>5235</v>
      </c>
      <c r="C894" s="87" t="s">
        <v>5236</v>
      </c>
      <c r="D894" s="88">
        <v>144</v>
      </c>
      <c r="E894" s="85" t="s">
        <v>5212</v>
      </c>
      <c r="F894" s="87">
        <v>1299</v>
      </c>
      <c r="G894" s="37"/>
      <c r="H894" s="37">
        <f>COUNTIF('(参考)現行システム機能階層一覧'!$E$3:$E$1048576,sheet1!B894)</f>
        <v>0</v>
      </c>
      <c r="I894" s="37"/>
      <c r="J894" s="37"/>
      <c r="K894" s="37"/>
      <c r="L894" s="37"/>
    </row>
    <row r="895" spans="1:12" ht="15.75" customHeight="1">
      <c r="A895" s="87" t="s">
        <v>3853</v>
      </c>
      <c r="B895" s="87" t="s">
        <v>5237</v>
      </c>
      <c r="C895" s="87" t="s">
        <v>5238</v>
      </c>
      <c r="D895" s="88">
        <v>138</v>
      </c>
      <c r="E895" s="85" t="s">
        <v>5212</v>
      </c>
      <c r="F895" s="87">
        <v>766</v>
      </c>
      <c r="G895" s="37"/>
      <c r="H895" s="37">
        <f>COUNTIF('(参考)現行システム機能階層一覧'!$E$3:$E$1048576,sheet1!B895)</f>
        <v>0</v>
      </c>
      <c r="I895" s="37"/>
      <c r="J895" s="37"/>
      <c r="K895" s="37"/>
      <c r="L895" s="37"/>
    </row>
    <row r="896" spans="1:12" ht="15.75" customHeight="1">
      <c r="A896" s="87" t="s">
        <v>3853</v>
      </c>
      <c r="B896" s="87" t="s">
        <v>5239</v>
      </c>
      <c r="C896" s="87" t="s">
        <v>5240</v>
      </c>
      <c r="D896" s="88">
        <v>138</v>
      </c>
      <c r="E896" s="85" t="s">
        <v>5212</v>
      </c>
      <c r="F896" s="87">
        <v>1292</v>
      </c>
      <c r="G896" s="37"/>
      <c r="H896" s="37">
        <f>COUNTIF('(参考)現行システム機能階層一覧'!$E$3:$E$1048576,sheet1!B896)</f>
        <v>0</v>
      </c>
      <c r="I896" s="37"/>
      <c r="J896" s="37"/>
      <c r="K896" s="37"/>
      <c r="L896" s="37"/>
    </row>
    <row r="897" spans="1:12" ht="15.75" customHeight="1">
      <c r="A897" s="87" t="s">
        <v>3853</v>
      </c>
      <c r="B897" s="87" t="s">
        <v>5241</v>
      </c>
      <c r="C897" s="87" t="s">
        <v>5242</v>
      </c>
      <c r="D897" s="88">
        <v>138</v>
      </c>
      <c r="E897" s="85" t="s">
        <v>5212</v>
      </c>
      <c r="F897" s="87">
        <v>1361</v>
      </c>
      <c r="G897" s="37"/>
      <c r="H897" s="37">
        <f>COUNTIF('(参考)現行システム機能階層一覧'!$E$3:$E$1048576,sheet1!B897)</f>
        <v>0</v>
      </c>
      <c r="I897" s="37"/>
      <c r="J897" s="37"/>
      <c r="K897" s="37"/>
      <c r="L897" s="37"/>
    </row>
    <row r="898" spans="1:12" ht="15.75" customHeight="1">
      <c r="A898" s="87" t="s">
        <v>3853</v>
      </c>
      <c r="B898" s="87" t="s">
        <v>5243</v>
      </c>
      <c r="C898" s="87" t="s">
        <v>5244</v>
      </c>
      <c r="D898" s="88">
        <v>210</v>
      </c>
      <c r="E898" s="85" t="s">
        <v>5212</v>
      </c>
      <c r="F898" s="87">
        <v>1</v>
      </c>
      <c r="G898" s="37"/>
      <c r="H898" s="37">
        <f>COUNTIF('(参考)現行システム機能階層一覧'!$E$3:$E$1048576,sheet1!B898)</f>
        <v>0</v>
      </c>
      <c r="I898" s="37"/>
      <c r="J898" s="37"/>
      <c r="K898" s="37"/>
      <c r="L898" s="37"/>
    </row>
    <row r="899" spans="1:12" ht="15.75" customHeight="1">
      <c r="A899" s="87" t="s">
        <v>3853</v>
      </c>
      <c r="B899" s="87" t="s">
        <v>5245</v>
      </c>
      <c r="C899" s="87" t="s">
        <v>5246</v>
      </c>
      <c r="D899" s="88">
        <v>135</v>
      </c>
      <c r="E899" s="85" t="s">
        <v>5212</v>
      </c>
      <c r="F899" s="87">
        <v>1</v>
      </c>
      <c r="G899" s="37"/>
      <c r="H899" s="37">
        <f>COUNTIF('(参考)現行システム機能階層一覧'!$E$3:$E$1048576,sheet1!B899)</f>
        <v>0</v>
      </c>
      <c r="I899" s="37"/>
      <c r="J899" s="37"/>
      <c r="K899" s="37"/>
      <c r="L899" s="37"/>
    </row>
    <row r="900" spans="1:12" ht="15.75" customHeight="1">
      <c r="A900" s="87" t="s">
        <v>3853</v>
      </c>
      <c r="B900" s="87" t="s">
        <v>5247</v>
      </c>
      <c r="C900" s="87" t="s">
        <v>5248</v>
      </c>
      <c r="D900" s="88">
        <v>144</v>
      </c>
      <c r="E900" s="85" t="s">
        <v>5212</v>
      </c>
      <c r="F900" s="87">
        <v>1223</v>
      </c>
      <c r="G900" s="37"/>
      <c r="H900" s="37">
        <f>COUNTIF('(参考)現行システム機能階層一覧'!$E$3:$E$1048576,sheet1!B900)</f>
        <v>0</v>
      </c>
      <c r="I900" s="37"/>
      <c r="J900" s="37"/>
      <c r="K900" s="37"/>
      <c r="L900" s="37"/>
    </row>
    <row r="901" spans="1:12" ht="15.75" customHeight="1">
      <c r="A901" s="87" t="s">
        <v>3853</v>
      </c>
      <c r="B901" s="87" t="s">
        <v>5249</v>
      </c>
      <c r="C901" s="87" t="s">
        <v>5250</v>
      </c>
      <c r="D901" s="88">
        <v>294</v>
      </c>
      <c r="E901" s="85" t="s">
        <v>5212</v>
      </c>
      <c r="F901" s="87">
        <v>995</v>
      </c>
      <c r="G901" s="37"/>
      <c r="H901" s="37">
        <f>COUNTIF('(参考)現行システム機能階層一覧'!$E$3:$E$1048576,sheet1!B901)</f>
        <v>0</v>
      </c>
      <c r="I901" s="37"/>
      <c r="J901" s="37"/>
      <c r="K901" s="37"/>
      <c r="L901" s="37"/>
    </row>
    <row r="902" spans="1:12" ht="15.75" customHeight="1">
      <c r="A902" s="87" t="s">
        <v>3853</v>
      </c>
      <c r="B902" s="87" t="s">
        <v>5251</v>
      </c>
      <c r="C902" s="87" t="s">
        <v>5252</v>
      </c>
      <c r="D902" s="88">
        <v>145</v>
      </c>
      <c r="E902" s="85" t="s">
        <v>5212</v>
      </c>
      <c r="F902" s="87">
        <v>1</v>
      </c>
      <c r="G902" s="37"/>
      <c r="H902" s="37">
        <f>COUNTIF('(参考)現行システム機能階層一覧'!$E$3:$E$1048576,sheet1!B902)</f>
        <v>0</v>
      </c>
      <c r="I902" s="37"/>
      <c r="J902" s="37"/>
      <c r="K902" s="37"/>
      <c r="L902" s="37"/>
    </row>
    <row r="903" spans="1:12" ht="15.75" customHeight="1">
      <c r="A903" s="87" t="s">
        <v>3853</v>
      </c>
      <c r="B903" s="87" t="s">
        <v>5253</v>
      </c>
      <c r="C903" s="87" t="s">
        <v>5254</v>
      </c>
      <c r="D903" s="88">
        <v>177</v>
      </c>
      <c r="E903" s="85" t="s">
        <v>5212</v>
      </c>
      <c r="F903" s="87">
        <v>1</v>
      </c>
      <c r="G903" s="37"/>
      <c r="H903" s="37">
        <f>COUNTIF('(参考)現行システム機能階層一覧'!$E$3:$E$1048576,sheet1!B903)</f>
        <v>0</v>
      </c>
      <c r="I903" s="37"/>
      <c r="J903" s="37"/>
      <c r="K903" s="37"/>
      <c r="L903" s="37"/>
    </row>
    <row r="904" spans="1:12" ht="15.75" customHeight="1">
      <c r="A904" s="87" t="s">
        <v>3853</v>
      </c>
      <c r="B904" s="87" t="s">
        <v>5255</v>
      </c>
      <c r="C904" s="87" t="s">
        <v>5256</v>
      </c>
      <c r="D904" s="88">
        <v>285</v>
      </c>
      <c r="E904" s="85" t="s">
        <v>5212</v>
      </c>
      <c r="F904" s="87">
        <v>456</v>
      </c>
      <c r="G904" s="37"/>
      <c r="H904" s="37">
        <f>COUNTIF('(参考)現行システム機能階層一覧'!$E$3:$E$1048576,sheet1!B904)</f>
        <v>0</v>
      </c>
      <c r="I904" s="37"/>
      <c r="J904" s="37"/>
      <c r="K904" s="37"/>
      <c r="L904" s="37"/>
    </row>
    <row r="905" spans="1:12" ht="15.75" customHeight="1">
      <c r="A905" s="87" t="s">
        <v>3853</v>
      </c>
      <c r="B905" s="87" t="s">
        <v>5257</v>
      </c>
      <c r="C905" s="87" t="s">
        <v>5258</v>
      </c>
      <c r="D905" s="88">
        <v>298</v>
      </c>
      <c r="E905" s="85" t="s">
        <v>5212</v>
      </c>
      <c r="F905" s="87">
        <v>1663</v>
      </c>
      <c r="G905" s="37"/>
      <c r="H905" s="37">
        <f>COUNTIF('(参考)現行システム機能階層一覧'!$E$3:$E$1048576,sheet1!B905)</f>
        <v>0</v>
      </c>
      <c r="I905" s="37"/>
      <c r="J905" s="37"/>
      <c r="K905" s="37"/>
      <c r="L905" s="37"/>
    </row>
    <row r="906" spans="1:12" ht="15.75" customHeight="1">
      <c r="A906" s="87" t="s">
        <v>3853</v>
      </c>
      <c r="B906" s="87" t="s">
        <v>5259</v>
      </c>
      <c r="C906" s="87" t="s">
        <v>5260</v>
      </c>
      <c r="D906" s="88">
        <v>99</v>
      </c>
      <c r="E906" s="85" t="s">
        <v>5212</v>
      </c>
      <c r="F906" s="87">
        <v>1338</v>
      </c>
      <c r="G906" s="37"/>
      <c r="H906" s="37">
        <f>COUNTIF('(参考)現行システム機能階層一覧'!$E$3:$E$1048576,sheet1!B906)</f>
        <v>0</v>
      </c>
      <c r="I906" s="37"/>
      <c r="J906" s="37"/>
      <c r="K906" s="37"/>
      <c r="L906" s="37"/>
    </row>
    <row r="907" spans="1:12" ht="15.75" customHeight="1">
      <c r="A907" s="87" t="s">
        <v>3853</v>
      </c>
      <c r="B907" s="87" t="s">
        <v>5261</v>
      </c>
      <c r="C907" s="87" t="s">
        <v>5262</v>
      </c>
      <c r="D907" s="88">
        <v>98</v>
      </c>
      <c r="E907" s="85" t="s">
        <v>5212</v>
      </c>
      <c r="F907" s="87">
        <v>1242</v>
      </c>
      <c r="G907" s="37"/>
      <c r="H907" s="37">
        <f>COUNTIF('(参考)現行システム機能階層一覧'!$E$3:$E$1048576,sheet1!B907)</f>
        <v>0</v>
      </c>
      <c r="I907" s="37"/>
      <c r="J907" s="37"/>
      <c r="K907" s="37"/>
      <c r="L907" s="37"/>
    </row>
    <row r="908" spans="1:12" ht="15.75" customHeight="1">
      <c r="A908" s="87" t="s">
        <v>3853</v>
      </c>
      <c r="B908" s="87" t="s">
        <v>5263</v>
      </c>
      <c r="C908" s="87" t="s">
        <v>5264</v>
      </c>
      <c r="D908" s="88">
        <v>96</v>
      </c>
      <c r="E908" s="85" t="s">
        <v>5212</v>
      </c>
      <c r="F908" s="87">
        <v>1256</v>
      </c>
      <c r="G908" s="37"/>
      <c r="H908" s="37">
        <f>COUNTIF('(参考)現行システム機能階層一覧'!$E$3:$E$1048576,sheet1!B908)</f>
        <v>0</v>
      </c>
      <c r="I908" s="37"/>
      <c r="J908" s="37"/>
      <c r="K908" s="37"/>
      <c r="L908" s="37"/>
    </row>
    <row r="909" spans="1:12" ht="15.75" customHeight="1">
      <c r="A909" s="87" t="s">
        <v>3853</v>
      </c>
      <c r="B909" s="87" t="s">
        <v>5265</v>
      </c>
      <c r="C909" s="87" t="s">
        <v>5266</v>
      </c>
      <c r="D909" s="88">
        <v>101</v>
      </c>
      <c r="E909" s="85" t="s">
        <v>5212</v>
      </c>
      <c r="F909" s="87">
        <v>1299</v>
      </c>
      <c r="G909" s="37"/>
      <c r="H909" s="37">
        <f>COUNTIF('(参考)現行システム機能階層一覧'!$E$3:$E$1048576,sheet1!B909)</f>
        <v>0</v>
      </c>
      <c r="I909" s="37"/>
      <c r="J909" s="37"/>
      <c r="K909" s="37"/>
      <c r="L909" s="37"/>
    </row>
    <row r="910" spans="1:12" ht="15.75" customHeight="1">
      <c r="A910" s="87" t="s">
        <v>3853</v>
      </c>
      <c r="B910" s="87" t="s">
        <v>5267</v>
      </c>
      <c r="C910" s="87" t="s">
        <v>5268</v>
      </c>
      <c r="D910" s="88">
        <v>146</v>
      </c>
      <c r="E910" s="85" t="s">
        <v>5212</v>
      </c>
      <c r="F910" s="87">
        <v>1218</v>
      </c>
      <c r="G910" s="37"/>
      <c r="H910" s="37">
        <f>COUNTIF('(参考)現行システム機能階層一覧'!$E$3:$E$1048576,sheet1!B910)</f>
        <v>0</v>
      </c>
      <c r="I910" s="37"/>
      <c r="J910" s="37"/>
      <c r="K910" s="37"/>
      <c r="L910" s="37"/>
    </row>
    <row r="911" spans="1:12" ht="15.75" customHeight="1">
      <c r="A911" s="87" t="s">
        <v>3853</v>
      </c>
      <c r="B911" s="87" t="s">
        <v>5269</v>
      </c>
      <c r="C911" s="87" t="s">
        <v>5270</v>
      </c>
      <c r="D911" s="88">
        <v>82</v>
      </c>
      <c r="E911" s="85" t="s">
        <v>5212</v>
      </c>
      <c r="F911" s="87">
        <v>142</v>
      </c>
      <c r="G911" s="37"/>
      <c r="H911" s="37">
        <f>COUNTIF('(参考)現行システム機能階層一覧'!$E$3:$E$1048576,sheet1!B911)</f>
        <v>0</v>
      </c>
      <c r="I911" s="37"/>
      <c r="J911" s="37"/>
      <c r="K911" s="37"/>
      <c r="L911" s="37"/>
    </row>
    <row r="912" spans="1:12" ht="15.75" customHeight="1">
      <c r="A912" s="87" t="s">
        <v>3853</v>
      </c>
      <c r="B912" s="87" t="s">
        <v>5271</v>
      </c>
      <c r="C912" s="87" t="s">
        <v>5272</v>
      </c>
      <c r="D912" s="88">
        <v>82</v>
      </c>
      <c r="E912" s="85" t="s">
        <v>5212</v>
      </c>
      <c r="F912" s="87">
        <v>397</v>
      </c>
      <c r="G912" s="37"/>
      <c r="H912" s="37">
        <f>COUNTIF('(参考)現行システム機能階層一覧'!$E$3:$E$1048576,sheet1!B912)</f>
        <v>0</v>
      </c>
      <c r="I912" s="37"/>
      <c r="J912" s="37"/>
      <c r="K912" s="37"/>
      <c r="L912" s="37"/>
    </row>
    <row r="913" spans="1:12" ht="15.75" customHeight="1">
      <c r="A913" s="87" t="s">
        <v>3853</v>
      </c>
      <c r="B913" s="87" t="s">
        <v>5273</v>
      </c>
      <c r="C913" s="87" t="s">
        <v>5274</v>
      </c>
      <c r="D913" s="88">
        <v>82</v>
      </c>
      <c r="E913" s="85" t="s">
        <v>5212</v>
      </c>
      <c r="F913" s="87">
        <v>1118</v>
      </c>
      <c r="G913" s="37"/>
      <c r="H913" s="37">
        <f>COUNTIF('(参考)現行システム機能階層一覧'!$E$3:$E$1048576,sheet1!B913)</f>
        <v>0</v>
      </c>
      <c r="I913" s="37"/>
      <c r="J913" s="37"/>
      <c r="K913" s="37"/>
      <c r="L913" s="37"/>
    </row>
    <row r="914" spans="1:12" ht="15.75" customHeight="1">
      <c r="A914" s="87" t="s">
        <v>3853</v>
      </c>
      <c r="B914" s="87" t="s">
        <v>5275</v>
      </c>
      <c r="C914" s="87" t="s">
        <v>5276</v>
      </c>
      <c r="D914" s="88">
        <v>131</v>
      </c>
      <c r="E914" s="85" t="s">
        <v>5212</v>
      </c>
      <c r="F914" s="87">
        <v>962</v>
      </c>
      <c r="G914" s="37"/>
      <c r="H914" s="37">
        <f>COUNTIF('(参考)現行システム機能階層一覧'!$E$3:$E$1048576,sheet1!B914)</f>
        <v>0</v>
      </c>
      <c r="I914" s="37"/>
      <c r="J914" s="37"/>
      <c r="K914" s="37"/>
      <c r="L914" s="37"/>
    </row>
    <row r="915" spans="1:12" ht="15.75" customHeight="1">
      <c r="A915" s="87" t="s">
        <v>3853</v>
      </c>
      <c r="B915" s="87" t="s">
        <v>5277</v>
      </c>
      <c r="C915" s="87" t="s">
        <v>5278</v>
      </c>
      <c r="D915" s="88">
        <v>225</v>
      </c>
      <c r="E915" s="85" t="s">
        <v>5212</v>
      </c>
      <c r="F915" s="87">
        <v>55</v>
      </c>
      <c r="G915" s="37"/>
      <c r="H915" s="37">
        <f>COUNTIF('(参考)現行システム機能階層一覧'!$E$3:$E$1048576,sheet1!B915)</f>
        <v>0</v>
      </c>
      <c r="I915" s="37"/>
      <c r="J915" s="37"/>
      <c r="K915" s="37"/>
      <c r="L915" s="37"/>
    </row>
    <row r="916" spans="1:12" ht="15.75" customHeight="1">
      <c r="A916" s="87" t="s">
        <v>3853</v>
      </c>
      <c r="B916" s="87" t="s">
        <v>5279</v>
      </c>
      <c r="C916" s="87" t="s">
        <v>5280</v>
      </c>
      <c r="D916" s="88">
        <v>189</v>
      </c>
      <c r="E916" s="85" t="s">
        <v>5212</v>
      </c>
      <c r="F916" s="87">
        <v>1227</v>
      </c>
      <c r="G916" s="37"/>
      <c r="H916" s="37">
        <f>COUNTIF('(参考)現行システム機能階層一覧'!$E$3:$E$1048576,sheet1!B916)</f>
        <v>0</v>
      </c>
      <c r="I916" s="37"/>
      <c r="J916" s="37"/>
      <c r="K916" s="37"/>
      <c r="L916" s="37"/>
    </row>
    <row r="917" spans="1:12" ht="15.75" customHeight="1">
      <c r="A917" s="87" t="s">
        <v>3853</v>
      </c>
      <c r="B917" s="87" t="s">
        <v>5281</v>
      </c>
      <c r="C917" s="87" t="s">
        <v>5282</v>
      </c>
      <c r="D917" s="88">
        <v>189</v>
      </c>
      <c r="E917" s="85" t="s">
        <v>5212</v>
      </c>
      <c r="F917" s="87">
        <v>812</v>
      </c>
      <c r="G917" s="37"/>
      <c r="H917" s="37">
        <f>COUNTIF('(参考)現行システム機能階層一覧'!$E$3:$E$1048576,sheet1!B917)</f>
        <v>0</v>
      </c>
      <c r="I917" s="37"/>
      <c r="J917" s="37"/>
      <c r="K917" s="37"/>
      <c r="L917" s="37"/>
    </row>
    <row r="918" spans="1:12" ht="15.75" customHeight="1">
      <c r="A918" s="87" t="s">
        <v>3853</v>
      </c>
      <c r="B918" s="87" t="s">
        <v>5283</v>
      </c>
      <c r="C918" s="87" t="s">
        <v>5284</v>
      </c>
      <c r="D918" s="88">
        <v>187</v>
      </c>
      <c r="E918" s="85" t="s">
        <v>5212</v>
      </c>
      <c r="F918" s="87">
        <v>1058</v>
      </c>
      <c r="G918" s="37"/>
      <c r="H918" s="37">
        <f>COUNTIF('(参考)現行システム機能階層一覧'!$E$3:$E$1048576,sheet1!B918)</f>
        <v>0</v>
      </c>
      <c r="I918" s="37"/>
      <c r="J918" s="37"/>
      <c r="K918" s="37"/>
      <c r="L918" s="37"/>
    </row>
    <row r="919" spans="1:12" ht="15.75" customHeight="1">
      <c r="A919" s="87" t="s">
        <v>3853</v>
      </c>
      <c r="B919" s="87" t="s">
        <v>5285</v>
      </c>
      <c r="C919" s="87" t="s">
        <v>5286</v>
      </c>
      <c r="D919" s="88">
        <v>187</v>
      </c>
      <c r="E919" s="85" t="s">
        <v>5212</v>
      </c>
      <c r="F919" s="87">
        <v>619</v>
      </c>
      <c r="G919" s="37"/>
      <c r="H919" s="37">
        <f>COUNTIF('(参考)現行システム機能階層一覧'!$E$3:$E$1048576,sheet1!B919)</f>
        <v>0</v>
      </c>
      <c r="I919" s="37"/>
      <c r="J919" s="37"/>
      <c r="K919" s="37"/>
      <c r="L919" s="37"/>
    </row>
    <row r="920" spans="1:12" ht="15.75" customHeight="1">
      <c r="A920" s="87" t="s">
        <v>3853</v>
      </c>
      <c r="B920" s="87" t="s">
        <v>5287</v>
      </c>
      <c r="C920" s="87" t="s">
        <v>5288</v>
      </c>
      <c r="D920" s="88">
        <v>194</v>
      </c>
      <c r="E920" s="85" t="s">
        <v>5212</v>
      </c>
      <c r="F920" s="87">
        <v>338</v>
      </c>
      <c r="G920" s="37"/>
      <c r="H920" s="37">
        <f>COUNTIF('(参考)現行システム機能階層一覧'!$E$3:$E$1048576,sheet1!B920)</f>
        <v>0</v>
      </c>
      <c r="I920" s="37"/>
      <c r="J920" s="37"/>
      <c r="K920" s="37"/>
      <c r="L920" s="37"/>
    </row>
    <row r="921" spans="1:12" ht="15.75" customHeight="1">
      <c r="A921" s="87" t="s">
        <v>3853</v>
      </c>
      <c r="B921" s="87" t="s">
        <v>5289</v>
      </c>
      <c r="C921" s="87" t="s">
        <v>5284</v>
      </c>
      <c r="D921" s="88">
        <v>189</v>
      </c>
      <c r="E921" s="85" t="s">
        <v>5212</v>
      </c>
      <c r="F921" s="87">
        <v>35</v>
      </c>
      <c r="G921" s="37"/>
      <c r="H921" s="37">
        <f>COUNTIF('(参考)現行システム機能階層一覧'!$E$3:$E$1048576,sheet1!B921)</f>
        <v>0</v>
      </c>
      <c r="I921" s="37"/>
      <c r="J921" s="37"/>
      <c r="K921" s="37"/>
      <c r="L921" s="37"/>
    </row>
    <row r="922" spans="1:12" ht="15.75" customHeight="1">
      <c r="A922" s="87" t="s">
        <v>3853</v>
      </c>
      <c r="B922" s="87" t="s">
        <v>5290</v>
      </c>
      <c r="C922" s="87" t="s">
        <v>5291</v>
      </c>
      <c r="D922" s="88">
        <v>193</v>
      </c>
      <c r="E922" s="85" t="s">
        <v>5212</v>
      </c>
      <c r="F922" s="87">
        <v>579</v>
      </c>
      <c r="G922" s="37"/>
      <c r="H922" s="37">
        <f>COUNTIF('(参考)現行システム機能階層一覧'!$E$3:$E$1048576,sheet1!B922)</f>
        <v>0</v>
      </c>
      <c r="I922" s="37"/>
      <c r="J922" s="37"/>
      <c r="K922" s="37"/>
      <c r="L922" s="37"/>
    </row>
    <row r="923" spans="1:12" ht="15.75" customHeight="1">
      <c r="A923" s="87" t="s">
        <v>3853</v>
      </c>
      <c r="B923" s="87" t="s">
        <v>5292</v>
      </c>
      <c r="C923" s="87" t="s">
        <v>5293</v>
      </c>
      <c r="D923" s="88">
        <v>187</v>
      </c>
      <c r="E923" s="85" t="s">
        <v>5212</v>
      </c>
      <c r="F923" s="87">
        <v>726</v>
      </c>
      <c r="G923" s="37"/>
      <c r="H923" s="37">
        <f>COUNTIF('(参考)現行システム機能階層一覧'!$E$3:$E$1048576,sheet1!B923)</f>
        <v>0</v>
      </c>
      <c r="I923" s="37"/>
      <c r="J923" s="37"/>
      <c r="K923" s="37"/>
      <c r="L923" s="37"/>
    </row>
    <row r="924" spans="1:12" ht="15.75" customHeight="1">
      <c r="A924" s="87" t="s">
        <v>3853</v>
      </c>
      <c r="B924" s="87" t="s">
        <v>5294</v>
      </c>
      <c r="C924" s="87" t="s">
        <v>5295</v>
      </c>
      <c r="D924" s="88">
        <v>169</v>
      </c>
      <c r="E924" s="85" t="s">
        <v>5212</v>
      </c>
      <c r="F924" s="87">
        <v>1039</v>
      </c>
      <c r="G924" s="37"/>
      <c r="H924" s="37">
        <f>COUNTIF('(参考)現行システム機能階層一覧'!$E$3:$E$1048576,sheet1!B924)</f>
        <v>0</v>
      </c>
      <c r="I924" s="37"/>
      <c r="J924" s="37"/>
      <c r="K924" s="37"/>
      <c r="L924" s="37"/>
    </row>
    <row r="925" spans="1:12" ht="15.75" customHeight="1">
      <c r="A925" s="87" t="s">
        <v>3853</v>
      </c>
      <c r="B925" s="87" t="s">
        <v>5296</v>
      </c>
      <c r="C925" s="87" t="s">
        <v>5297</v>
      </c>
      <c r="D925" s="88">
        <v>151</v>
      </c>
      <c r="E925" s="85" t="s">
        <v>5212</v>
      </c>
      <c r="F925" s="87">
        <v>1484</v>
      </c>
      <c r="G925" s="37"/>
      <c r="H925" s="37">
        <f>COUNTIF('(参考)現行システム機能階層一覧'!$E$3:$E$1048576,sheet1!B925)</f>
        <v>0</v>
      </c>
      <c r="I925" s="37"/>
      <c r="J925" s="37"/>
      <c r="K925" s="37"/>
      <c r="L925" s="37"/>
    </row>
    <row r="926" spans="1:12" ht="15.75" customHeight="1">
      <c r="A926" s="87" t="s">
        <v>3853</v>
      </c>
      <c r="B926" s="87" t="s">
        <v>5298</v>
      </c>
      <c r="C926" s="87" t="s">
        <v>5299</v>
      </c>
      <c r="D926" s="88">
        <v>151</v>
      </c>
      <c r="E926" s="85" t="s">
        <v>5212</v>
      </c>
      <c r="F926" s="87">
        <v>1529</v>
      </c>
      <c r="G926" s="37"/>
      <c r="H926" s="37">
        <f>COUNTIF('(参考)現行システム機能階層一覧'!$E$3:$E$1048576,sheet1!B926)</f>
        <v>0</v>
      </c>
      <c r="I926" s="37"/>
      <c r="J926" s="37"/>
      <c r="K926" s="37"/>
      <c r="L926" s="37"/>
    </row>
    <row r="927" spans="1:12" ht="15.75" customHeight="1">
      <c r="A927" s="87" t="s">
        <v>3853</v>
      </c>
      <c r="B927" s="87" t="s">
        <v>5300</v>
      </c>
      <c r="C927" s="87" t="s">
        <v>5301</v>
      </c>
      <c r="D927" s="88">
        <v>151</v>
      </c>
      <c r="E927" s="85" t="s">
        <v>5212</v>
      </c>
      <c r="F927" s="87">
        <v>1419</v>
      </c>
      <c r="G927" s="37"/>
      <c r="H927" s="37">
        <f>COUNTIF('(参考)現行システム機能階層一覧'!$E$3:$E$1048576,sheet1!B927)</f>
        <v>0</v>
      </c>
      <c r="I927" s="37"/>
      <c r="J927" s="37"/>
      <c r="K927" s="37"/>
      <c r="L927" s="37"/>
    </row>
    <row r="928" spans="1:12" ht="15.75" customHeight="1">
      <c r="A928" s="87" t="s">
        <v>3853</v>
      </c>
      <c r="B928" s="87" t="s">
        <v>5302</v>
      </c>
      <c r="C928" s="87" t="s">
        <v>5303</v>
      </c>
      <c r="D928" s="88">
        <v>151</v>
      </c>
      <c r="E928" s="85" t="s">
        <v>5212</v>
      </c>
      <c r="F928" s="87">
        <v>1348</v>
      </c>
      <c r="G928" s="37"/>
      <c r="H928" s="37">
        <f>COUNTIF('(参考)現行システム機能階層一覧'!$E$3:$E$1048576,sheet1!B928)</f>
        <v>0</v>
      </c>
      <c r="I928" s="37"/>
      <c r="J928" s="37"/>
      <c r="K928" s="37"/>
      <c r="L928" s="37"/>
    </row>
    <row r="929" spans="1:12" ht="15.75" customHeight="1">
      <c r="A929" s="87" t="s">
        <v>3853</v>
      </c>
      <c r="B929" s="87" t="s">
        <v>5304</v>
      </c>
      <c r="C929" s="87" t="s">
        <v>5305</v>
      </c>
      <c r="D929" s="88">
        <v>157</v>
      </c>
      <c r="E929" s="85" t="s">
        <v>5212</v>
      </c>
      <c r="F929" s="87">
        <v>1258</v>
      </c>
      <c r="G929" s="37"/>
      <c r="H929" s="37">
        <f>COUNTIF('(参考)現行システム機能階層一覧'!$E$3:$E$1048576,sheet1!B929)</f>
        <v>0</v>
      </c>
      <c r="I929" s="37"/>
      <c r="J929" s="37"/>
      <c r="K929" s="37"/>
      <c r="L929" s="37"/>
    </row>
    <row r="930" spans="1:12" ht="15.75" customHeight="1">
      <c r="A930" s="87" t="s">
        <v>3853</v>
      </c>
      <c r="B930" s="87" t="s">
        <v>5306</v>
      </c>
      <c r="C930" s="87" t="s">
        <v>5307</v>
      </c>
      <c r="D930" s="88">
        <v>151</v>
      </c>
      <c r="E930" s="85" t="s">
        <v>5212</v>
      </c>
      <c r="F930" s="87">
        <v>437</v>
      </c>
      <c r="G930" s="37"/>
      <c r="H930" s="37">
        <f>COUNTIF('(参考)現行システム機能階層一覧'!$E$3:$E$1048576,sheet1!B930)</f>
        <v>0</v>
      </c>
      <c r="I930" s="37"/>
      <c r="J930" s="37"/>
      <c r="K930" s="37"/>
      <c r="L930" s="37"/>
    </row>
    <row r="931" spans="1:12" ht="15.75" customHeight="1">
      <c r="A931" s="87" t="s">
        <v>3853</v>
      </c>
      <c r="B931" s="87" t="s">
        <v>5308</v>
      </c>
      <c r="C931" s="87" t="s">
        <v>5309</v>
      </c>
      <c r="D931" s="88">
        <v>151</v>
      </c>
      <c r="E931" s="85" t="s">
        <v>5212</v>
      </c>
      <c r="F931" s="87">
        <v>1253</v>
      </c>
      <c r="G931" s="37"/>
      <c r="H931" s="37">
        <f>COUNTIF('(参考)現行システム機能階層一覧'!$E$3:$E$1048576,sheet1!B931)</f>
        <v>0</v>
      </c>
      <c r="I931" s="37"/>
      <c r="J931" s="37"/>
      <c r="K931" s="37"/>
      <c r="L931" s="37"/>
    </row>
    <row r="932" spans="1:12" ht="15.75" customHeight="1">
      <c r="A932" s="87" t="s">
        <v>3853</v>
      </c>
      <c r="B932" s="87" t="s">
        <v>5310</v>
      </c>
      <c r="C932" s="87" t="s">
        <v>5311</v>
      </c>
      <c r="D932" s="88">
        <v>145</v>
      </c>
      <c r="E932" s="85" t="s">
        <v>5212</v>
      </c>
      <c r="F932" s="87">
        <v>1352</v>
      </c>
      <c r="G932" s="37"/>
      <c r="H932" s="37">
        <f>COUNTIF('(参考)現行システム機能階層一覧'!$E$3:$E$1048576,sheet1!B932)</f>
        <v>0</v>
      </c>
      <c r="I932" s="37"/>
      <c r="J932" s="37"/>
      <c r="K932" s="37"/>
      <c r="L932" s="37"/>
    </row>
    <row r="933" spans="1:12" ht="15.75" customHeight="1">
      <c r="A933" s="87" t="s">
        <v>3853</v>
      </c>
      <c r="B933" s="87" t="s">
        <v>5312</v>
      </c>
      <c r="C933" s="87" t="s">
        <v>5313</v>
      </c>
      <c r="D933" s="88">
        <v>177</v>
      </c>
      <c r="E933" s="85" t="s">
        <v>5212</v>
      </c>
      <c r="F933" s="87">
        <v>159</v>
      </c>
      <c r="G933" s="37"/>
      <c r="H933" s="37">
        <f>COUNTIF('(参考)現行システム機能階層一覧'!$E$3:$E$1048576,sheet1!B933)</f>
        <v>0</v>
      </c>
      <c r="I933" s="37"/>
      <c r="J933" s="37"/>
      <c r="K933" s="37"/>
      <c r="L933" s="37"/>
    </row>
    <row r="934" spans="1:12" ht="15.75" customHeight="1">
      <c r="A934" s="87" t="s">
        <v>3853</v>
      </c>
      <c r="B934" s="87" t="s">
        <v>5314</v>
      </c>
      <c r="C934" s="87" t="s">
        <v>5315</v>
      </c>
      <c r="D934" s="88">
        <v>105</v>
      </c>
      <c r="E934" s="85" t="s">
        <v>5212</v>
      </c>
      <c r="F934" s="87">
        <v>1291</v>
      </c>
      <c r="G934" s="37"/>
      <c r="H934" s="37">
        <f>COUNTIF('(参考)現行システム機能階層一覧'!$E$3:$E$1048576,sheet1!B934)</f>
        <v>0</v>
      </c>
      <c r="I934" s="37"/>
      <c r="J934" s="37"/>
      <c r="K934" s="37"/>
      <c r="L934" s="37"/>
    </row>
    <row r="935" spans="1:12" ht="15.75" customHeight="1">
      <c r="A935" s="87" t="s">
        <v>3853</v>
      </c>
      <c r="B935" s="87" t="s">
        <v>5316</v>
      </c>
      <c r="C935" s="87" t="s">
        <v>5317</v>
      </c>
      <c r="D935" s="88">
        <v>95</v>
      </c>
      <c r="E935" s="85" t="s">
        <v>5212</v>
      </c>
      <c r="F935" s="87">
        <v>1169</v>
      </c>
      <c r="G935" s="37"/>
      <c r="H935" s="37">
        <f>COUNTIF('(参考)現行システム機能階層一覧'!$E$3:$E$1048576,sheet1!B935)</f>
        <v>0</v>
      </c>
      <c r="I935" s="37"/>
      <c r="J935" s="37"/>
      <c r="K935" s="37"/>
      <c r="L935" s="37"/>
    </row>
    <row r="936" spans="1:12" ht="15.75" customHeight="1">
      <c r="A936" s="87" t="s">
        <v>3853</v>
      </c>
      <c r="B936" s="87" t="s">
        <v>5318</v>
      </c>
      <c r="C936" s="87" t="s">
        <v>5319</v>
      </c>
      <c r="D936" s="88">
        <v>86</v>
      </c>
      <c r="E936" s="85" t="s">
        <v>5212</v>
      </c>
      <c r="F936" s="87">
        <v>184</v>
      </c>
      <c r="G936" s="37"/>
      <c r="H936" s="37">
        <f>COUNTIF('(参考)現行システム機能階層一覧'!$E$3:$E$1048576,sheet1!B936)</f>
        <v>0</v>
      </c>
      <c r="I936" s="37"/>
      <c r="J936" s="37"/>
      <c r="K936" s="37"/>
      <c r="L936" s="37"/>
    </row>
    <row r="937" spans="1:12" ht="15.75" customHeight="1">
      <c r="A937" s="87" t="s">
        <v>3853</v>
      </c>
      <c r="B937" s="87" t="s">
        <v>5320</v>
      </c>
      <c r="C937" s="87" t="s">
        <v>5321</v>
      </c>
      <c r="D937" s="88">
        <v>165</v>
      </c>
      <c r="E937" s="85" t="s">
        <v>5212</v>
      </c>
      <c r="F937" s="87">
        <v>1217</v>
      </c>
      <c r="G937" s="37"/>
      <c r="H937" s="37">
        <f>COUNTIF('(参考)現行システム機能階層一覧'!$E$3:$E$1048576,sheet1!B937)</f>
        <v>0</v>
      </c>
      <c r="I937" s="37"/>
      <c r="J937" s="37"/>
      <c r="K937" s="37"/>
      <c r="L937" s="37"/>
    </row>
    <row r="938" spans="1:12" ht="15.75" customHeight="1">
      <c r="A938" s="87" t="s">
        <v>3853</v>
      </c>
      <c r="B938" s="87" t="s">
        <v>5322</v>
      </c>
      <c r="C938" s="87" t="s">
        <v>5323</v>
      </c>
      <c r="D938" s="88">
        <v>89</v>
      </c>
      <c r="E938" s="85" t="s">
        <v>5212</v>
      </c>
      <c r="F938" s="87">
        <v>715</v>
      </c>
      <c r="G938" s="37"/>
      <c r="H938" s="37">
        <f>COUNTIF('(参考)現行システム機能階層一覧'!$E$3:$E$1048576,sheet1!B938)</f>
        <v>0</v>
      </c>
      <c r="I938" s="37"/>
      <c r="J938" s="37"/>
      <c r="K938" s="37"/>
      <c r="L938" s="37"/>
    </row>
    <row r="939" spans="1:12" ht="15.75" customHeight="1">
      <c r="A939" s="87" t="s">
        <v>3853</v>
      </c>
      <c r="B939" s="87" t="s">
        <v>5324</v>
      </c>
      <c r="C939" s="87" t="s">
        <v>5325</v>
      </c>
      <c r="D939" s="88">
        <v>86</v>
      </c>
      <c r="E939" s="85" t="s">
        <v>5212</v>
      </c>
      <c r="F939" s="87">
        <v>96</v>
      </c>
      <c r="G939" s="37"/>
      <c r="H939" s="37">
        <f>COUNTIF('(参考)現行システム機能階層一覧'!$E$3:$E$1048576,sheet1!B939)</f>
        <v>0</v>
      </c>
      <c r="I939" s="37"/>
      <c r="J939" s="37"/>
      <c r="K939" s="37"/>
      <c r="L939" s="37"/>
    </row>
    <row r="940" spans="1:12" ht="15.75" customHeight="1">
      <c r="A940" s="87" t="s">
        <v>3853</v>
      </c>
      <c r="B940" s="87" t="s">
        <v>5326</v>
      </c>
      <c r="C940" s="87" t="s">
        <v>5317</v>
      </c>
      <c r="D940" s="88">
        <v>87</v>
      </c>
      <c r="E940" s="85" t="s">
        <v>5212</v>
      </c>
      <c r="F940" s="87">
        <v>149</v>
      </c>
      <c r="G940" s="37"/>
      <c r="H940" s="37">
        <f>COUNTIF('(参考)現行システム機能階層一覧'!$E$3:$E$1048576,sheet1!B940)</f>
        <v>0</v>
      </c>
      <c r="I940" s="37"/>
      <c r="J940" s="37"/>
      <c r="K940" s="37"/>
      <c r="L940" s="37"/>
    </row>
    <row r="941" spans="1:12" ht="15.75" customHeight="1">
      <c r="A941" s="87" t="s">
        <v>3853</v>
      </c>
      <c r="B941" s="87" t="s">
        <v>5327</v>
      </c>
      <c r="C941" s="87" t="s">
        <v>5328</v>
      </c>
      <c r="D941" s="88">
        <v>88</v>
      </c>
      <c r="E941" s="85" t="s">
        <v>5212</v>
      </c>
      <c r="F941" s="87">
        <v>44</v>
      </c>
      <c r="G941" s="37"/>
      <c r="H941" s="37">
        <f>COUNTIF('(参考)現行システム機能階層一覧'!$E$3:$E$1048576,sheet1!B941)</f>
        <v>0</v>
      </c>
      <c r="I941" s="37"/>
      <c r="J941" s="37"/>
      <c r="K941" s="37"/>
      <c r="L941" s="37"/>
    </row>
    <row r="942" spans="1:12" ht="15.75" customHeight="1">
      <c r="A942" s="87" t="s">
        <v>3853</v>
      </c>
      <c r="B942" s="87" t="s">
        <v>5329</v>
      </c>
      <c r="C942" s="87" t="s">
        <v>5330</v>
      </c>
      <c r="D942" s="88">
        <v>89</v>
      </c>
      <c r="E942" s="85" t="s">
        <v>5212</v>
      </c>
      <c r="F942" s="87">
        <v>42</v>
      </c>
      <c r="G942" s="37"/>
      <c r="H942" s="37">
        <f>COUNTIF('(参考)現行システム機能階層一覧'!$E$3:$E$1048576,sheet1!B942)</f>
        <v>0</v>
      </c>
      <c r="I942" s="37"/>
      <c r="J942" s="37"/>
      <c r="K942" s="37"/>
      <c r="L942" s="37"/>
    </row>
    <row r="943" spans="1:12" ht="15.75" customHeight="1">
      <c r="A943" s="87" t="s">
        <v>3853</v>
      </c>
      <c r="B943" s="87" t="s">
        <v>5331</v>
      </c>
      <c r="C943" s="87" t="s">
        <v>5332</v>
      </c>
      <c r="D943" s="88">
        <v>443</v>
      </c>
      <c r="E943" s="85" t="s">
        <v>5212</v>
      </c>
      <c r="F943" s="87">
        <v>44</v>
      </c>
      <c r="G943" s="37"/>
      <c r="H943" s="37">
        <f>COUNTIF('(参考)現行システム機能階層一覧'!$E$3:$E$1048576,sheet1!B943)</f>
        <v>0</v>
      </c>
      <c r="I943" s="37"/>
      <c r="J943" s="37"/>
      <c r="K943" s="37"/>
      <c r="L943" s="37"/>
    </row>
    <row r="944" spans="1:12" ht="15.75" customHeight="1">
      <c r="A944" s="87" t="s">
        <v>3853</v>
      </c>
      <c r="B944" s="87" t="s">
        <v>5333</v>
      </c>
      <c r="C944" s="87" t="s">
        <v>5334</v>
      </c>
      <c r="D944" s="88">
        <v>387</v>
      </c>
      <c r="E944" s="85" t="s">
        <v>5212</v>
      </c>
      <c r="F944" s="87">
        <v>1608</v>
      </c>
      <c r="G944" s="37"/>
      <c r="H944" s="37">
        <f>COUNTIF('(参考)現行システム機能階層一覧'!$E$3:$E$1048576,sheet1!B944)</f>
        <v>0</v>
      </c>
      <c r="I944" s="37"/>
      <c r="J944" s="37"/>
      <c r="K944" s="37"/>
      <c r="L944" s="37"/>
    </row>
    <row r="945" spans="1:12" ht="15.75" customHeight="1">
      <c r="A945" s="87" t="s">
        <v>3853</v>
      </c>
      <c r="B945" s="87" t="s">
        <v>5335</v>
      </c>
      <c r="C945" s="87" t="s">
        <v>5336</v>
      </c>
      <c r="D945" s="88">
        <v>351</v>
      </c>
      <c r="E945" s="85" t="s">
        <v>5212</v>
      </c>
      <c r="F945" s="87">
        <v>1578</v>
      </c>
      <c r="G945" s="37"/>
      <c r="H945" s="37">
        <f>COUNTIF('(参考)現行システム機能階層一覧'!$E$3:$E$1048576,sheet1!B945)</f>
        <v>0</v>
      </c>
      <c r="I945" s="37"/>
      <c r="J945" s="37"/>
      <c r="K945" s="37"/>
      <c r="L945" s="37"/>
    </row>
    <row r="946" spans="1:12" ht="15.75" customHeight="1">
      <c r="A946" s="87" t="s">
        <v>3853</v>
      </c>
      <c r="B946" s="87" t="s">
        <v>5337</v>
      </c>
      <c r="C946" s="87" t="s">
        <v>5338</v>
      </c>
      <c r="D946" s="88">
        <v>327</v>
      </c>
      <c r="E946" s="85" t="s">
        <v>5212</v>
      </c>
      <c r="F946" s="87">
        <v>1299</v>
      </c>
      <c r="G946" s="37"/>
      <c r="H946" s="37">
        <f>COUNTIF('(参考)現行システム機能階層一覧'!$E$3:$E$1048576,sheet1!B946)</f>
        <v>0</v>
      </c>
      <c r="I946" s="37"/>
      <c r="J946" s="37"/>
      <c r="K946" s="37"/>
      <c r="L946" s="37"/>
    </row>
    <row r="947" spans="1:12" ht="15.75" customHeight="1">
      <c r="A947" s="87" t="s">
        <v>3853</v>
      </c>
      <c r="B947" s="87" t="s">
        <v>5339</v>
      </c>
      <c r="C947" s="87" t="s">
        <v>5340</v>
      </c>
      <c r="D947" s="88">
        <v>375</v>
      </c>
      <c r="E947" s="85" t="s">
        <v>5212</v>
      </c>
      <c r="F947" s="87">
        <v>1362</v>
      </c>
      <c r="G947" s="37"/>
      <c r="H947" s="37">
        <f>COUNTIF('(参考)現行システム機能階層一覧'!$E$3:$E$1048576,sheet1!B947)</f>
        <v>0</v>
      </c>
      <c r="I947" s="37"/>
      <c r="J947" s="37"/>
      <c r="K947" s="37"/>
      <c r="L947" s="37"/>
    </row>
    <row r="948" spans="1:12" ht="15.75" customHeight="1">
      <c r="A948" s="87" t="s">
        <v>3853</v>
      </c>
      <c r="B948" s="87" t="s">
        <v>5341</v>
      </c>
      <c r="C948" s="87" t="s">
        <v>5342</v>
      </c>
      <c r="D948" s="88">
        <v>348</v>
      </c>
      <c r="E948" s="85" t="s">
        <v>5212</v>
      </c>
      <c r="F948" s="87">
        <v>1324</v>
      </c>
      <c r="G948" s="37"/>
      <c r="H948" s="37">
        <f>COUNTIF('(参考)現行システム機能階層一覧'!$E$3:$E$1048576,sheet1!B948)</f>
        <v>0</v>
      </c>
      <c r="I948" s="37"/>
      <c r="J948" s="37"/>
      <c r="K948" s="37"/>
      <c r="L948" s="37"/>
    </row>
    <row r="949" spans="1:12" ht="15.75" customHeight="1">
      <c r="A949" s="87" t="s">
        <v>3853</v>
      </c>
      <c r="B949" s="87" t="s">
        <v>5343</v>
      </c>
      <c r="C949" s="87" t="s">
        <v>5344</v>
      </c>
      <c r="D949" s="88">
        <v>312</v>
      </c>
      <c r="E949" s="85" t="s">
        <v>5212</v>
      </c>
      <c r="F949" s="87">
        <v>514</v>
      </c>
      <c r="G949" s="37"/>
      <c r="H949" s="37">
        <f>COUNTIF('(参考)現行システム機能階層一覧'!$E$3:$E$1048576,sheet1!B949)</f>
        <v>0</v>
      </c>
      <c r="I949" s="37"/>
      <c r="J949" s="37"/>
      <c r="K949" s="37"/>
      <c r="L949" s="37"/>
    </row>
    <row r="950" spans="1:12" ht="15.75" customHeight="1">
      <c r="A950" s="87" t="s">
        <v>3853</v>
      </c>
      <c r="B950" s="87" t="s">
        <v>5345</v>
      </c>
      <c r="C950" s="87" t="s">
        <v>5346</v>
      </c>
      <c r="D950" s="88">
        <v>319</v>
      </c>
      <c r="E950" s="85" t="s">
        <v>5212</v>
      </c>
      <c r="F950" s="87">
        <v>155</v>
      </c>
      <c r="G950" s="37"/>
      <c r="H950" s="37">
        <f>COUNTIF('(参考)現行システム機能階層一覧'!$E$3:$E$1048576,sheet1!B950)</f>
        <v>0</v>
      </c>
      <c r="I950" s="37"/>
      <c r="J950" s="37"/>
      <c r="K950" s="37"/>
      <c r="L950" s="37"/>
    </row>
    <row r="951" spans="1:12" ht="15.75" customHeight="1">
      <c r="A951" s="87" t="s">
        <v>3853</v>
      </c>
      <c r="B951" s="87" t="s">
        <v>5347</v>
      </c>
      <c r="C951" s="87" t="s">
        <v>5348</v>
      </c>
      <c r="D951" s="88">
        <v>312</v>
      </c>
      <c r="E951" s="85" t="s">
        <v>5212</v>
      </c>
      <c r="F951" s="87">
        <v>1217</v>
      </c>
      <c r="G951" s="37"/>
      <c r="H951" s="37">
        <f>COUNTIF('(参考)現行システム機能階層一覧'!$E$3:$E$1048576,sheet1!B951)</f>
        <v>0</v>
      </c>
      <c r="I951" s="37"/>
      <c r="J951" s="37"/>
      <c r="K951" s="37"/>
      <c r="L951" s="37"/>
    </row>
    <row r="952" spans="1:12" ht="15.75" customHeight="1">
      <c r="A952" s="87" t="s">
        <v>3853</v>
      </c>
      <c r="B952" s="87" t="s">
        <v>5349</v>
      </c>
      <c r="C952" s="87" t="s">
        <v>5350</v>
      </c>
      <c r="D952" s="88">
        <v>312</v>
      </c>
      <c r="E952" s="85" t="s">
        <v>5212</v>
      </c>
      <c r="F952" s="87">
        <v>1160</v>
      </c>
      <c r="G952" s="37"/>
      <c r="H952" s="37">
        <f>COUNTIF('(参考)現行システム機能階層一覧'!$E$3:$E$1048576,sheet1!B952)</f>
        <v>0</v>
      </c>
      <c r="I952" s="37"/>
      <c r="J952" s="37"/>
      <c r="K952" s="37"/>
      <c r="L952" s="37"/>
    </row>
    <row r="953" spans="1:12" ht="15.75" customHeight="1">
      <c r="A953" s="87" t="s">
        <v>3853</v>
      </c>
      <c r="B953" s="87" t="s">
        <v>5351</v>
      </c>
      <c r="C953" s="87" t="s">
        <v>5352</v>
      </c>
      <c r="D953" s="88">
        <v>296</v>
      </c>
      <c r="E953" s="85" t="s">
        <v>5212</v>
      </c>
      <c r="F953" s="87">
        <v>414</v>
      </c>
      <c r="G953" s="37"/>
      <c r="H953" s="37">
        <f>COUNTIF('(参考)現行システム機能階層一覧'!$E$3:$E$1048576,sheet1!B953)</f>
        <v>0</v>
      </c>
      <c r="I953" s="37"/>
      <c r="J953" s="37"/>
      <c r="K953" s="37"/>
      <c r="L953" s="37"/>
    </row>
    <row r="954" spans="1:12" ht="15.75" customHeight="1">
      <c r="A954" s="87" t="s">
        <v>3853</v>
      </c>
      <c r="B954" s="87" t="s">
        <v>5353</v>
      </c>
      <c r="C954" s="87" t="s">
        <v>5354</v>
      </c>
      <c r="D954" s="88">
        <v>316</v>
      </c>
      <c r="E954" s="85" t="s">
        <v>5212</v>
      </c>
      <c r="F954" s="87">
        <v>208</v>
      </c>
      <c r="G954" s="37"/>
      <c r="H954" s="37">
        <f>COUNTIF('(参考)現行システム機能階層一覧'!$E$3:$E$1048576,sheet1!B954)</f>
        <v>0</v>
      </c>
      <c r="I954" s="37"/>
      <c r="J954" s="37"/>
      <c r="K954" s="37"/>
      <c r="L954" s="37"/>
    </row>
    <row r="955" spans="1:12" ht="15.75" customHeight="1">
      <c r="A955" s="87" t="s">
        <v>3853</v>
      </c>
      <c r="B955" s="87" t="s">
        <v>5355</v>
      </c>
      <c r="C955" s="87" t="s">
        <v>5356</v>
      </c>
      <c r="D955" s="88">
        <v>181</v>
      </c>
      <c r="E955" s="85" t="s">
        <v>5212</v>
      </c>
      <c r="F955" s="87">
        <v>1445</v>
      </c>
      <c r="G955" s="37"/>
      <c r="H955" s="37">
        <f>COUNTIF('(参考)現行システム機能階層一覧'!$E$3:$E$1048576,sheet1!B955)</f>
        <v>0</v>
      </c>
      <c r="I955" s="37"/>
      <c r="J955" s="37"/>
      <c r="K955" s="37"/>
      <c r="L955" s="37"/>
    </row>
    <row r="956" spans="1:12" ht="15.75" customHeight="1">
      <c r="A956" s="87" t="s">
        <v>3853</v>
      </c>
      <c r="B956" s="87" t="s">
        <v>5357</v>
      </c>
      <c r="C956" s="87" t="s">
        <v>5358</v>
      </c>
      <c r="D956" s="88">
        <v>196</v>
      </c>
      <c r="E956" s="85" t="s">
        <v>5212</v>
      </c>
      <c r="F956" s="87">
        <v>1222</v>
      </c>
      <c r="G956" s="37"/>
      <c r="H956" s="37">
        <f>COUNTIF('(参考)現行システム機能階層一覧'!$E$3:$E$1048576,sheet1!B956)</f>
        <v>0</v>
      </c>
      <c r="I956" s="37"/>
      <c r="J956" s="37"/>
      <c r="K956" s="37"/>
      <c r="L956" s="37"/>
    </row>
    <row r="957" spans="1:12" ht="15.75" customHeight="1">
      <c r="A957" s="87" t="s">
        <v>3853</v>
      </c>
      <c r="B957" s="87" t="s">
        <v>5359</v>
      </c>
      <c r="C957" s="87" t="s">
        <v>5360</v>
      </c>
      <c r="D957" s="88">
        <v>197</v>
      </c>
      <c r="E957" s="85" t="s">
        <v>5212</v>
      </c>
      <c r="F957" s="87">
        <v>1013</v>
      </c>
      <c r="G957" s="37"/>
      <c r="H957" s="37">
        <f>COUNTIF('(参考)現行システム機能階層一覧'!$E$3:$E$1048576,sheet1!B957)</f>
        <v>0</v>
      </c>
      <c r="I957" s="37"/>
      <c r="J957" s="37"/>
      <c r="K957" s="37"/>
      <c r="L957" s="37"/>
    </row>
    <row r="958" spans="1:12" ht="15.75" customHeight="1">
      <c r="A958" s="87" t="s">
        <v>3853</v>
      </c>
      <c r="B958" s="87" t="s">
        <v>5361</v>
      </c>
      <c r="C958" s="87" t="s">
        <v>5362</v>
      </c>
      <c r="D958" s="88">
        <v>242</v>
      </c>
      <c r="E958" s="85" t="s">
        <v>5212</v>
      </c>
      <c r="F958" s="87">
        <v>1246</v>
      </c>
      <c r="G958" s="37"/>
      <c r="H958" s="37">
        <f>COUNTIF('(参考)現行システム機能階層一覧'!$E$3:$E$1048576,sheet1!B958)</f>
        <v>0</v>
      </c>
      <c r="I958" s="37"/>
      <c r="J958" s="37"/>
      <c r="K958" s="37"/>
      <c r="L958" s="37"/>
    </row>
    <row r="959" spans="1:12" ht="15.75" customHeight="1">
      <c r="A959" s="87" t="s">
        <v>3853</v>
      </c>
      <c r="B959" s="87" t="s">
        <v>5363</v>
      </c>
      <c r="C959" s="87" t="s">
        <v>5364</v>
      </c>
      <c r="D959" s="88">
        <v>163</v>
      </c>
      <c r="E959" s="85" t="s">
        <v>5212</v>
      </c>
      <c r="F959" s="87">
        <v>370</v>
      </c>
      <c r="G959" s="37"/>
      <c r="H959" s="37">
        <f>COUNTIF('(参考)現行システム機能階層一覧'!$E$3:$E$1048576,sheet1!B959)</f>
        <v>0</v>
      </c>
      <c r="I959" s="37"/>
      <c r="J959" s="37"/>
      <c r="K959" s="37"/>
      <c r="L959" s="37"/>
    </row>
    <row r="960" spans="1:12" ht="15.75" customHeight="1">
      <c r="A960" s="87" t="s">
        <v>3853</v>
      </c>
      <c r="B960" s="87" t="s">
        <v>5365</v>
      </c>
      <c r="C960" s="87" t="s">
        <v>5366</v>
      </c>
      <c r="D960" s="88">
        <v>171</v>
      </c>
      <c r="E960" s="85" t="s">
        <v>5212</v>
      </c>
      <c r="F960" s="87">
        <v>23</v>
      </c>
      <c r="G960" s="37"/>
      <c r="H960" s="37">
        <f>COUNTIF('(参考)現行システム機能階層一覧'!$E$3:$E$1048576,sheet1!B960)</f>
        <v>0</v>
      </c>
      <c r="I960" s="37"/>
      <c r="J960" s="37"/>
      <c r="K960" s="37"/>
      <c r="L960" s="37"/>
    </row>
    <row r="961" spans="1:12" ht="15.75" customHeight="1">
      <c r="A961" s="87" t="s">
        <v>3853</v>
      </c>
      <c r="B961" s="87" t="s">
        <v>5367</v>
      </c>
      <c r="C961" s="87" t="s">
        <v>5368</v>
      </c>
      <c r="D961" s="88">
        <v>163</v>
      </c>
      <c r="E961" s="85" t="s">
        <v>5212</v>
      </c>
      <c r="F961" s="87">
        <v>1124</v>
      </c>
      <c r="G961" s="37"/>
      <c r="H961" s="37">
        <f>COUNTIF('(参考)現行システム機能階層一覧'!$E$3:$E$1048576,sheet1!B961)</f>
        <v>0</v>
      </c>
      <c r="I961" s="37"/>
      <c r="J961" s="37"/>
      <c r="K961" s="37"/>
      <c r="L961" s="37"/>
    </row>
    <row r="962" spans="1:12" ht="15.75" customHeight="1">
      <c r="A962" s="87" t="s">
        <v>3853</v>
      </c>
      <c r="B962" s="87" t="s">
        <v>5369</v>
      </c>
      <c r="C962" s="87" t="s">
        <v>5370</v>
      </c>
      <c r="D962" s="88">
        <v>163</v>
      </c>
      <c r="E962" s="85" t="s">
        <v>5212</v>
      </c>
      <c r="F962" s="87">
        <v>925</v>
      </c>
      <c r="G962" s="37"/>
      <c r="H962" s="37">
        <f>COUNTIF('(参考)現行システム機能階層一覧'!$E$3:$E$1048576,sheet1!B962)</f>
        <v>0</v>
      </c>
      <c r="I962" s="37"/>
      <c r="J962" s="37"/>
      <c r="K962" s="37"/>
      <c r="L962" s="37"/>
    </row>
    <row r="963" spans="1:12" ht="15.75" customHeight="1">
      <c r="A963" s="87" t="s">
        <v>3853</v>
      </c>
      <c r="B963" s="87" t="s">
        <v>5371</v>
      </c>
      <c r="C963" s="87" t="s">
        <v>5372</v>
      </c>
      <c r="D963" s="88">
        <v>205</v>
      </c>
      <c r="E963" s="85" t="s">
        <v>5212</v>
      </c>
      <c r="F963" s="87">
        <v>311</v>
      </c>
      <c r="G963" s="37"/>
      <c r="H963" s="37">
        <f>COUNTIF('(参考)現行システム機能階層一覧'!$E$3:$E$1048576,sheet1!B963)</f>
        <v>0</v>
      </c>
      <c r="I963" s="37"/>
      <c r="J963" s="37"/>
      <c r="K963" s="37"/>
      <c r="L963" s="37"/>
    </row>
    <row r="964" spans="1:12" ht="15.75" customHeight="1">
      <c r="A964" s="87" t="s">
        <v>3853</v>
      </c>
      <c r="B964" s="87" t="s">
        <v>5373</v>
      </c>
      <c r="C964" s="87" t="s">
        <v>5374</v>
      </c>
      <c r="D964" s="88">
        <v>185</v>
      </c>
      <c r="E964" s="85" t="s">
        <v>5212</v>
      </c>
      <c r="F964" s="87">
        <v>1309</v>
      </c>
      <c r="G964" s="37"/>
      <c r="H964" s="37">
        <f>COUNTIF('(参考)現行システム機能階層一覧'!$E$3:$E$1048576,sheet1!B964)</f>
        <v>0</v>
      </c>
      <c r="I964" s="37"/>
      <c r="J964" s="37"/>
      <c r="K964" s="37"/>
      <c r="L964" s="37"/>
    </row>
    <row r="965" spans="1:12" ht="15.75" customHeight="1">
      <c r="A965" s="87" t="s">
        <v>3853</v>
      </c>
      <c r="B965" s="87" t="s">
        <v>5375</v>
      </c>
      <c r="C965" s="87" t="s">
        <v>5376</v>
      </c>
      <c r="D965" s="88">
        <v>179</v>
      </c>
      <c r="E965" s="85" t="s">
        <v>5212</v>
      </c>
      <c r="F965" s="87">
        <v>1339</v>
      </c>
      <c r="G965" s="37"/>
      <c r="H965" s="37">
        <f>COUNTIF('(参考)現行システム機能階層一覧'!$E$3:$E$1048576,sheet1!B965)</f>
        <v>0</v>
      </c>
      <c r="I965" s="37"/>
      <c r="J965" s="37"/>
      <c r="K965" s="37"/>
      <c r="L965" s="37"/>
    </row>
    <row r="966" spans="1:12" ht="15.75" customHeight="1">
      <c r="A966" s="87" t="s">
        <v>3853</v>
      </c>
      <c r="B966" s="87" t="s">
        <v>5377</v>
      </c>
      <c r="C966" s="87" t="s">
        <v>5378</v>
      </c>
      <c r="D966" s="88">
        <v>185</v>
      </c>
      <c r="E966" s="85" t="s">
        <v>5212</v>
      </c>
      <c r="F966" s="87">
        <v>1240</v>
      </c>
      <c r="G966" s="37"/>
      <c r="H966" s="37">
        <f>COUNTIF('(参考)現行システム機能階層一覧'!$E$3:$E$1048576,sheet1!B966)</f>
        <v>0</v>
      </c>
      <c r="I966" s="37"/>
      <c r="J966" s="37"/>
      <c r="K966" s="37"/>
      <c r="L966" s="37"/>
    </row>
    <row r="967" spans="1:12" ht="15.75" customHeight="1">
      <c r="A967" s="87" t="s">
        <v>3853</v>
      </c>
      <c r="B967" s="87" t="s">
        <v>5379</v>
      </c>
      <c r="C967" s="87" t="s">
        <v>5380</v>
      </c>
      <c r="D967" s="88">
        <v>179</v>
      </c>
      <c r="E967" s="85" t="s">
        <v>5212</v>
      </c>
      <c r="F967" s="87">
        <v>1217</v>
      </c>
      <c r="G967" s="37"/>
      <c r="H967" s="37">
        <f>COUNTIF('(参考)現行システム機能階層一覧'!$E$3:$E$1048576,sheet1!B967)</f>
        <v>0</v>
      </c>
      <c r="I967" s="37"/>
      <c r="J967" s="37"/>
      <c r="K967" s="37"/>
      <c r="L967" s="37"/>
    </row>
    <row r="968" spans="1:12" ht="15.75" customHeight="1">
      <c r="A968" s="87" t="s">
        <v>3853</v>
      </c>
      <c r="B968" s="87" t="s">
        <v>5381</v>
      </c>
      <c r="C968" s="87" t="s">
        <v>5382</v>
      </c>
      <c r="D968" s="88">
        <v>179</v>
      </c>
      <c r="E968" s="85" t="s">
        <v>5212</v>
      </c>
      <c r="F968" s="87">
        <v>1073</v>
      </c>
      <c r="G968" s="37"/>
      <c r="H968" s="37">
        <f>COUNTIF('(参考)現行システム機能階層一覧'!$E$3:$E$1048576,sheet1!B968)</f>
        <v>0</v>
      </c>
      <c r="I968" s="37"/>
      <c r="J968" s="37"/>
      <c r="K968" s="37"/>
      <c r="L968" s="37"/>
    </row>
    <row r="969" spans="1:12" ht="15.75" customHeight="1">
      <c r="A969" s="87" t="s">
        <v>3853</v>
      </c>
      <c r="B969" s="87" t="s">
        <v>5383</v>
      </c>
      <c r="C969" s="87" t="s">
        <v>5384</v>
      </c>
      <c r="D969" s="88">
        <v>173</v>
      </c>
      <c r="E969" s="85" t="s">
        <v>5212</v>
      </c>
      <c r="F969" s="87">
        <v>254</v>
      </c>
      <c r="G969" s="37"/>
      <c r="H969" s="37">
        <f>COUNTIF('(参考)現行システム機能階層一覧'!$E$3:$E$1048576,sheet1!B969)</f>
        <v>0</v>
      </c>
      <c r="I969" s="37"/>
      <c r="J969" s="37"/>
      <c r="K969" s="37"/>
      <c r="L969" s="37"/>
    </row>
    <row r="970" spans="1:12" ht="15.75" customHeight="1">
      <c r="A970" s="87" t="s">
        <v>3853</v>
      </c>
      <c r="B970" s="87" t="s">
        <v>5385</v>
      </c>
      <c r="C970" s="87" t="s">
        <v>5386</v>
      </c>
      <c r="D970" s="88">
        <v>173</v>
      </c>
      <c r="E970" s="85" t="s">
        <v>5212</v>
      </c>
      <c r="F970" s="87">
        <v>385</v>
      </c>
      <c r="G970" s="37"/>
      <c r="H970" s="37">
        <f>COUNTIF('(参考)現行システム機能階層一覧'!$E$3:$E$1048576,sheet1!B970)</f>
        <v>0</v>
      </c>
      <c r="I970" s="37"/>
      <c r="J970" s="37"/>
      <c r="K970" s="37"/>
      <c r="L970" s="37"/>
    </row>
    <row r="971" spans="1:12" ht="15.75" customHeight="1">
      <c r="A971" s="87" t="s">
        <v>3853</v>
      </c>
      <c r="B971" s="87" t="s">
        <v>5387</v>
      </c>
      <c r="C971" s="87" t="s">
        <v>5382</v>
      </c>
      <c r="D971" s="88">
        <v>173</v>
      </c>
      <c r="E971" s="85" t="s">
        <v>5212</v>
      </c>
      <c r="F971" s="87">
        <v>846</v>
      </c>
      <c r="G971" s="37"/>
      <c r="H971" s="37">
        <f>COUNTIF('(参考)現行システム機能階層一覧'!$E$3:$E$1048576,sheet1!B971)</f>
        <v>0</v>
      </c>
      <c r="I971" s="37"/>
      <c r="J971" s="37"/>
      <c r="K971" s="37"/>
      <c r="L971" s="37"/>
    </row>
    <row r="972" spans="1:12" ht="15.75" customHeight="1">
      <c r="A972" s="87" t="s">
        <v>3853</v>
      </c>
      <c r="B972" s="87" t="s">
        <v>5388</v>
      </c>
      <c r="C972" s="87" t="s">
        <v>5389</v>
      </c>
      <c r="D972" s="88">
        <v>173</v>
      </c>
      <c r="E972" s="85" t="s">
        <v>5212</v>
      </c>
      <c r="F972" s="87">
        <v>921</v>
      </c>
      <c r="G972" s="37"/>
      <c r="H972" s="37">
        <f>COUNTIF('(参考)現行システム機能階層一覧'!$E$3:$E$1048576,sheet1!B972)</f>
        <v>0</v>
      </c>
      <c r="I972" s="37"/>
      <c r="J972" s="37"/>
      <c r="K972" s="37"/>
      <c r="L972" s="37"/>
    </row>
    <row r="973" spans="1:12" ht="15.75" customHeight="1">
      <c r="A973" s="87" t="s">
        <v>3853</v>
      </c>
      <c r="B973" s="87" t="s">
        <v>5390</v>
      </c>
      <c r="C973" s="87" t="s">
        <v>5391</v>
      </c>
      <c r="D973" s="88">
        <v>268</v>
      </c>
      <c r="E973" s="85" t="s">
        <v>5212</v>
      </c>
      <c r="F973" s="87">
        <v>959</v>
      </c>
      <c r="G973" s="37"/>
      <c r="H973" s="37">
        <f>COUNTIF('(参考)現行システム機能階層一覧'!$E$3:$E$1048576,sheet1!B973)</f>
        <v>0</v>
      </c>
      <c r="I973" s="37"/>
      <c r="J973" s="37"/>
      <c r="K973" s="37"/>
      <c r="L973" s="37"/>
    </row>
    <row r="974" spans="1:12" ht="15.75" customHeight="1">
      <c r="A974" s="87" t="s">
        <v>3853</v>
      </c>
      <c r="B974" s="87" t="s">
        <v>5392</v>
      </c>
      <c r="C974" s="87" t="s">
        <v>5393</v>
      </c>
      <c r="D974" s="88">
        <v>277</v>
      </c>
      <c r="E974" s="85" t="s">
        <v>5212</v>
      </c>
      <c r="F974" s="87">
        <v>1639</v>
      </c>
      <c r="G974" s="37"/>
      <c r="H974" s="37">
        <f>COUNTIF('(参考)現行システム機能階層一覧'!$E$3:$E$1048576,sheet1!B974)</f>
        <v>0</v>
      </c>
      <c r="I974" s="37"/>
      <c r="J974" s="37"/>
      <c r="K974" s="37"/>
      <c r="L974" s="37"/>
    </row>
    <row r="975" spans="1:12" ht="15.75" customHeight="1">
      <c r="A975" s="87" t="s">
        <v>3853</v>
      </c>
      <c r="B975" s="87" t="s">
        <v>5394</v>
      </c>
      <c r="C975" s="87" t="s">
        <v>5395</v>
      </c>
      <c r="D975" s="88">
        <v>225</v>
      </c>
      <c r="E975" s="85" t="s">
        <v>5212</v>
      </c>
      <c r="F975" s="87">
        <v>1577</v>
      </c>
      <c r="G975" s="37"/>
      <c r="H975" s="37">
        <f>COUNTIF('(参考)現行システム機能階層一覧'!$E$3:$E$1048576,sheet1!B975)</f>
        <v>0</v>
      </c>
      <c r="I975" s="37"/>
      <c r="J975" s="37"/>
      <c r="K975" s="37"/>
      <c r="L975" s="37"/>
    </row>
    <row r="976" spans="1:12" ht="15.75" customHeight="1">
      <c r="A976" s="87" t="s">
        <v>3853</v>
      </c>
      <c r="B976" s="87" t="s">
        <v>5396</v>
      </c>
      <c r="C976" s="87" t="s">
        <v>5397</v>
      </c>
      <c r="D976" s="88">
        <v>243</v>
      </c>
      <c r="E976" s="85" t="s">
        <v>5212</v>
      </c>
      <c r="F976" s="87">
        <v>1390</v>
      </c>
      <c r="G976" s="37"/>
      <c r="H976" s="37">
        <f>COUNTIF('(参考)現行システム機能階層一覧'!$E$3:$E$1048576,sheet1!B976)</f>
        <v>0</v>
      </c>
      <c r="I976" s="37"/>
      <c r="J976" s="37"/>
      <c r="K976" s="37"/>
      <c r="L976" s="37"/>
    </row>
    <row r="977" spans="1:12" ht="15.75" customHeight="1">
      <c r="A977" s="87" t="s">
        <v>3853</v>
      </c>
      <c r="B977" s="87" t="s">
        <v>5398</v>
      </c>
      <c r="C977" s="87" t="s">
        <v>5399</v>
      </c>
      <c r="D977" s="88">
        <v>239</v>
      </c>
      <c r="E977" s="85" t="s">
        <v>5212</v>
      </c>
      <c r="F977" s="87">
        <v>1412</v>
      </c>
      <c r="G977" s="37"/>
      <c r="H977" s="37">
        <f>COUNTIF('(参考)現行システム機能階層一覧'!$E$3:$E$1048576,sheet1!B977)</f>
        <v>0</v>
      </c>
      <c r="I977" s="37"/>
      <c r="J977" s="37"/>
      <c r="K977" s="37"/>
      <c r="L977" s="37"/>
    </row>
    <row r="978" spans="1:12" ht="15.75" customHeight="1">
      <c r="A978" s="87" t="s">
        <v>3853</v>
      </c>
      <c r="B978" s="87" t="s">
        <v>5400</v>
      </c>
      <c r="C978" s="87" t="s">
        <v>5401</v>
      </c>
      <c r="D978" s="88">
        <v>225</v>
      </c>
      <c r="E978" s="85" t="s">
        <v>5212</v>
      </c>
      <c r="F978" s="87">
        <v>1358</v>
      </c>
      <c r="G978" s="37"/>
      <c r="H978" s="37">
        <f>COUNTIF('(参考)現行システム機能階層一覧'!$E$3:$E$1048576,sheet1!B978)</f>
        <v>0</v>
      </c>
      <c r="I978" s="37"/>
      <c r="J978" s="37"/>
      <c r="K978" s="37"/>
      <c r="L978" s="37"/>
    </row>
    <row r="979" spans="1:12" ht="15.75" customHeight="1">
      <c r="A979" s="87" t="s">
        <v>3853</v>
      </c>
      <c r="B979" s="87" t="s">
        <v>5402</v>
      </c>
      <c r="C979" s="87" t="s">
        <v>5403</v>
      </c>
      <c r="D979" s="88">
        <v>237</v>
      </c>
      <c r="E979" s="85" t="s">
        <v>5212</v>
      </c>
      <c r="F979" s="87">
        <v>1216</v>
      </c>
      <c r="G979" s="37"/>
      <c r="H979" s="37">
        <f>COUNTIF('(参考)現行システム機能階層一覧'!$E$3:$E$1048576,sheet1!B979)</f>
        <v>0</v>
      </c>
      <c r="I979" s="37"/>
      <c r="J979" s="37"/>
      <c r="K979" s="37"/>
      <c r="L979" s="37"/>
    </row>
    <row r="980" spans="1:12" ht="15.75" customHeight="1">
      <c r="A980" s="87" t="s">
        <v>3853</v>
      </c>
      <c r="B980" s="87" t="s">
        <v>5404</v>
      </c>
      <c r="C980" s="87" t="s">
        <v>5405</v>
      </c>
      <c r="D980" s="88">
        <v>219</v>
      </c>
      <c r="E980" s="85" t="s">
        <v>5212</v>
      </c>
      <c r="F980" s="87">
        <v>500</v>
      </c>
      <c r="G980" s="37"/>
      <c r="H980" s="37">
        <f>COUNTIF('(参考)現行システム機能階層一覧'!$E$3:$E$1048576,sheet1!B980)</f>
        <v>0</v>
      </c>
      <c r="I980" s="37"/>
      <c r="J980" s="37"/>
      <c r="K980" s="37"/>
      <c r="L980" s="37"/>
    </row>
    <row r="981" spans="1:12" ht="15.75" customHeight="1">
      <c r="A981" s="87" t="s">
        <v>3853</v>
      </c>
      <c r="B981" s="87" t="s">
        <v>5406</v>
      </c>
      <c r="C981" s="87" t="s">
        <v>5401</v>
      </c>
      <c r="D981" s="88">
        <v>219</v>
      </c>
      <c r="E981" s="85" t="s">
        <v>5212</v>
      </c>
      <c r="F981" s="87">
        <v>1076</v>
      </c>
      <c r="G981" s="37"/>
      <c r="H981" s="37">
        <f>COUNTIF('(参考)現行システム機能階層一覧'!$E$3:$E$1048576,sheet1!B981)</f>
        <v>0</v>
      </c>
      <c r="I981" s="37"/>
      <c r="J981" s="37"/>
      <c r="K981" s="37"/>
      <c r="L981" s="37"/>
    </row>
    <row r="982" spans="1:12" ht="15.75" customHeight="1">
      <c r="A982" s="87" t="s">
        <v>3853</v>
      </c>
      <c r="B982" s="87" t="s">
        <v>5407</v>
      </c>
      <c r="C982" s="87" t="s">
        <v>5408</v>
      </c>
      <c r="D982" s="88">
        <v>227</v>
      </c>
      <c r="E982" s="85" t="s">
        <v>5212</v>
      </c>
      <c r="F982" s="87">
        <v>1239</v>
      </c>
      <c r="G982" s="37"/>
      <c r="H982" s="37">
        <f>COUNTIF('(参考)現行システム機能階層一覧'!$E$3:$E$1048576,sheet1!B982)</f>
        <v>0</v>
      </c>
      <c r="I982" s="37"/>
      <c r="J982" s="37"/>
      <c r="K982" s="37"/>
      <c r="L982" s="37"/>
    </row>
    <row r="983" spans="1:12" ht="15.75" customHeight="1">
      <c r="A983" s="87" t="s">
        <v>3853</v>
      </c>
      <c r="B983" s="87" t="s">
        <v>5409</v>
      </c>
      <c r="C983" s="87" t="s">
        <v>5410</v>
      </c>
      <c r="D983" s="88">
        <v>181</v>
      </c>
      <c r="E983" s="85" t="s">
        <v>5212</v>
      </c>
      <c r="F983" s="87">
        <v>356</v>
      </c>
      <c r="G983" s="37"/>
      <c r="H983" s="37">
        <f>COUNTIF('(参考)現行システム機能階層一覧'!$E$3:$E$1048576,sheet1!B983)</f>
        <v>0</v>
      </c>
      <c r="I983" s="37"/>
      <c r="J983" s="37"/>
      <c r="K983" s="37"/>
      <c r="L983" s="37"/>
    </row>
    <row r="984" spans="1:12" ht="15.75" customHeight="1">
      <c r="A984" s="87" t="s">
        <v>3853</v>
      </c>
      <c r="B984" s="87" t="s">
        <v>5411</v>
      </c>
      <c r="C984" s="87" t="s">
        <v>5412</v>
      </c>
      <c r="D984" s="88">
        <v>139</v>
      </c>
      <c r="E984" s="85" t="s">
        <v>5212</v>
      </c>
      <c r="F984" s="87">
        <v>457</v>
      </c>
      <c r="G984" s="37"/>
      <c r="H984" s="37">
        <f>COUNTIF('(参考)現行システム機能階層一覧'!$E$3:$E$1048576,sheet1!B984)</f>
        <v>0</v>
      </c>
      <c r="I984" s="37"/>
      <c r="J984" s="37"/>
      <c r="K984" s="37"/>
      <c r="L984" s="37"/>
    </row>
    <row r="985" spans="1:12" ht="15.75" customHeight="1">
      <c r="A985" s="87" t="s">
        <v>3853</v>
      </c>
      <c r="B985" s="87" t="s">
        <v>5413</v>
      </c>
      <c r="C985" s="87" t="s">
        <v>5414</v>
      </c>
      <c r="D985" s="88">
        <v>144</v>
      </c>
      <c r="E985" s="85" t="s">
        <v>5212</v>
      </c>
      <c r="F985" s="87">
        <v>459</v>
      </c>
      <c r="G985" s="37"/>
      <c r="H985" s="37">
        <f>COUNTIF('(参考)現行システム機能階層一覧'!$E$3:$E$1048576,sheet1!B985)</f>
        <v>0</v>
      </c>
      <c r="I985" s="37"/>
      <c r="J985" s="37"/>
      <c r="K985" s="37"/>
      <c r="L985" s="37"/>
    </row>
    <row r="986" spans="1:12" ht="15.75" customHeight="1">
      <c r="A986" s="87" t="s">
        <v>3853</v>
      </c>
      <c r="B986" s="87" t="s">
        <v>5415</v>
      </c>
      <c r="C986" s="87" t="s">
        <v>5416</v>
      </c>
      <c r="D986" s="88">
        <v>145</v>
      </c>
      <c r="E986" s="85" t="s">
        <v>5212</v>
      </c>
      <c r="F986" s="87">
        <v>537</v>
      </c>
      <c r="G986" s="37"/>
      <c r="H986" s="37">
        <f>COUNTIF('(参考)現行システム機能階層一覧'!$E$3:$E$1048576,sheet1!B986)</f>
        <v>0</v>
      </c>
      <c r="I986" s="37"/>
      <c r="J986" s="37"/>
      <c r="K986" s="37"/>
      <c r="L986" s="37"/>
    </row>
    <row r="987" spans="1:12" ht="15.75" customHeight="1">
      <c r="A987" s="87" t="s">
        <v>3853</v>
      </c>
      <c r="B987" s="87" t="s">
        <v>5417</v>
      </c>
      <c r="C987" s="87" t="s">
        <v>5418</v>
      </c>
      <c r="D987" s="88">
        <v>139</v>
      </c>
      <c r="E987" s="85" t="s">
        <v>5212</v>
      </c>
      <c r="F987" s="87">
        <v>204</v>
      </c>
      <c r="G987" s="37"/>
      <c r="H987" s="37">
        <f>COUNTIF('(参考)現行システム機能階層一覧'!$E$3:$E$1048576,sheet1!B987)</f>
        <v>0</v>
      </c>
      <c r="I987" s="37"/>
      <c r="J987" s="37"/>
      <c r="K987" s="37"/>
      <c r="L987" s="37"/>
    </row>
    <row r="988" spans="1:12" ht="15.75" customHeight="1">
      <c r="A988" s="87" t="s">
        <v>3853</v>
      </c>
      <c r="B988" s="87" t="s">
        <v>5419</v>
      </c>
      <c r="C988" s="87" t="s">
        <v>5420</v>
      </c>
      <c r="D988" s="88">
        <v>139</v>
      </c>
      <c r="E988" s="85" t="s">
        <v>5212</v>
      </c>
      <c r="F988" s="87">
        <v>303</v>
      </c>
      <c r="G988" s="37"/>
      <c r="H988" s="37">
        <f>COUNTIF('(参考)現行システム機能階層一覧'!$E$3:$E$1048576,sheet1!B988)</f>
        <v>0</v>
      </c>
      <c r="I988" s="37"/>
      <c r="J988" s="37"/>
      <c r="K988" s="37"/>
      <c r="L988" s="37"/>
    </row>
    <row r="989" spans="1:12" ht="15.75" customHeight="1">
      <c r="A989" s="87" t="s">
        <v>3853</v>
      </c>
      <c r="B989" s="87" t="s">
        <v>5421</v>
      </c>
      <c r="C989" s="87" t="s">
        <v>5422</v>
      </c>
      <c r="D989" s="88">
        <v>150</v>
      </c>
      <c r="E989" s="85" t="s">
        <v>5212</v>
      </c>
      <c r="F989" s="87">
        <v>614</v>
      </c>
      <c r="G989" s="37"/>
      <c r="H989" s="37">
        <f>COUNTIF('(参考)現行システム機能階層一覧'!$E$3:$E$1048576,sheet1!B989)</f>
        <v>0</v>
      </c>
      <c r="I989" s="37"/>
      <c r="J989" s="37"/>
      <c r="K989" s="37"/>
      <c r="L989" s="37"/>
    </row>
    <row r="990" spans="1:12" ht="15.75" customHeight="1">
      <c r="A990" s="87" t="s">
        <v>3853</v>
      </c>
      <c r="B990" s="87" t="s">
        <v>5423</v>
      </c>
      <c r="C990" s="87" t="s">
        <v>5424</v>
      </c>
      <c r="D990" s="88">
        <v>139</v>
      </c>
      <c r="E990" s="85" t="s">
        <v>5212</v>
      </c>
      <c r="F990" s="87">
        <v>83</v>
      </c>
      <c r="G990" s="37"/>
      <c r="H990" s="37">
        <f>COUNTIF('(参考)現行システム機能階層一覧'!$E$3:$E$1048576,sheet1!B990)</f>
        <v>0</v>
      </c>
      <c r="I990" s="37"/>
      <c r="J990" s="37"/>
      <c r="K990" s="37"/>
      <c r="L990" s="37"/>
    </row>
    <row r="991" spans="1:12" ht="15.75" customHeight="1">
      <c r="A991" s="87" t="s">
        <v>3853</v>
      </c>
      <c r="B991" s="87" t="s">
        <v>5425</v>
      </c>
      <c r="C991" s="87" t="s">
        <v>5426</v>
      </c>
      <c r="D991" s="88">
        <v>133</v>
      </c>
      <c r="E991" s="85" t="s">
        <v>5212</v>
      </c>
      <c r="F991" s="87">
        <v>88</v>
      </c>
      <c r="G991" s="37"/>
      <c r="H991" s="37">
        <f>COUNTIF('(参考)現行システム機能階層一覧'!$E$3:$E$1048576,sheet1!B991)</f>
        <v>0</v>
      </c>
      <c r="I991" s="37"/>
      <c r="J991" s="37"/>
      <c r="K991" s="37"/>
      <c r="L991" s="37"/>
    </row>
    <row r="992" spans="1:12" ht="15.75" customHeight="1">
      <c r="A992" s="87" t="s">
        <v>3853</v>
      </c>
      <c r="B992" s="87" t="s">
        <v>5427</v>
      </c>
      <c r="C992" s="87" t="s">
        <v>5428</v>
      </c>
      <c r="D992" s="88">
        <v>140</v>
      </c>
      <c r="E992" s="85" t="s">
        <v>5212</v>
      </c>
      <c r="F992" s="87">
        <v>76</v>
      </c>
      <c r="G992" s="37"/>
      <c r="H992" s="37">
        <f>COUNTIF('(参考)現行システム機能階層一覧'!$E$3:$E$1048576,sheet1!B992)</f>
        <v>0</v>
      </c>
      <c r="I992" s="37"/>
      <c r="J992" s="37"/>
      <c r="K992" s="37"/>
      <c r="L992" s="37"/>
    </row>
    <row r="993" spans="1:12" ht="15.75" customHeight="1">
      <c r="A993" s="87" t="s">
        <v>3853</v>
      </c>
      <c r="B993" s="87" t="s">
        <v>5429</v>
      </c>
      <c r="C993" s="87" t="s">
        <v>5430</v>
      </c>
      <c r="D993" s="88">
        <v>147</v>
      </c>
      <c r="E993" s="85" t="s">
        <v>5212</v>
      </c>
      <c r="F993" s="87">
        <v>949</v>
      </c>
      <c r="G993" s="37"/>
      <c r="H993" s="37">
        <f>COUNTIF('(参考)現行システム機能階層一覧'!$E$3:$E$1048576,sheet1!B993)</f>
        <v>0</v>
      </c>
      <c r="I993" s="37"/>
      <c r="J993" s="37"/>
      <c r="K993" s="37"/>
      <c r="L993" s="37"/>
    </row>
    <row r="994" spans="1:12" ht="15.75" customHeight="1">
      <c r="A994" s="87" t="s">
        <v>3853</v>
      </c>
      <c r="B994" s="87" t="s">
        <v>5431</v>
      </c>
      <c r="C994" s="87" t="s">
        <v>5432</v>
      </c>
      <c r="D994" s="88">
        <v>125</v>
      </c>
      <c r="E994" s="85" t="s">
        <v>5212</v>
      </c>
      <c r="F994" s="87">
        <v>19</v>
      </c>
      <c r="G994" s="37"/>
      <c r="H994" s="37">
        <f>COUNTIF('(参考)現行システム機能階層一覧'!$E$3:$E$1048576,sheet1!B994)</f>
        <v>0</v>
      </c>
      <c r="I994" s="37"/>
      <c r="J994" s="37"/>
      <c r="K994" s="37"/>
      <c r="L994" s="37"/>
    </row>
    <row r="995" spans="1:12" ht="15.75" customHeight="1">
      <c r="A995" s="87" t="s">
        <v>3853</v>
      </c>
      <c r="B995" s="87" t="s">
        <v>5433</v>
      </c>
      <c r="C995" s="87" t="s">
        <v>5434</v>
      </c>
      <c r="D995" s="88">
        <v>102</v>
      </c>
      <c r="E995" s="85" t="s">
        <v>5212</v>
      </c>
      <c r="F995" s="87">
        <v>13</v>
      </c>
      <c r="G995" s="37"/>
      <c r="H995" s="37">
        <f>COUNTIF('(参考)現行システム機能階層一覧'!$E$3:$E$1048576,sheet1!B995)</f>
        <v>0</v>
      </c>
      <c r="I995" s="37"/>
      <c r="J995" s="37"/>
      <c r="K995" s="37"/>
      <c r="L995" s="37"/>
    </row>
    <row r="996" spans="1:12" ht="15.75" customHeight="1">
      <c r="A996" s="87" t="s">
        <v>3853</v>
      </c>
      <c r="B996" s="87" t="s">
        <v>5435</v>
      </c>
      <c r="C996" s="87" t="s">
        <v>5436</v>
      </c>
      <c r="D996" s="88">
        <v>108</v>
      </c>
      <c r="E996" s="85" t="s">
        <v>5212</v>
      </c>
      <c r="F996" s="87">
        <v>13</v>
      </c>
      <c r="G996" s="37"/>
      <c r="H996" s="37">
        <f>COUNTIF('(参考)現行システム機能階層一覧'!$E$3:$E$1048576,sheet1!B996)</f>
        <v>0</v>
      </c>
      <c r="I996" s="37"/>
      <c r="J996" s="37"/>
      <c r="K996" s="37"/>
      <c r="L996" s="37"/>
    </row>
    <row r="997" spans="1:12" ht="15.75" customHeight="1">
      <c r="A997" s="87" t="s">
        <v>3853</v>
      </c>
      <c r="B997" s="87" t="s">
        <v>5437</v>
      </c>
      <c r="C997" s="87" t="s">
        <v>5438</v>
      </c>
      <c r="D997" s="88">
        <v>81</v>
      </c>
      <c r="E997" s="85" t="s">
        <v>5212</v>
      </c>
      <c r="F997" s="87">
        <v>45</v>
      </c>
      <c r="G997" s="37"/>
      <c r="H997" s="37">
        <f>COUNTIF('(参考)現行システム機能階層一覧'!$E$3:$E$1048576,sheet1!B997)</f>
        <v>0</v>
      </c>
      <c r="I997" s="37"/>
      <c r="J997" s="37"/>
      <c r="K997" s="37"/>
      <c r="L997" s="37"/>
    </row>
    <row r="998" spans="1:12" ht="15.75" customHeight="1">
      <c r="A998" s="87" t="s">
        <v>3853</v>
      </c>
      <c r="B998" s="87" t="s">
        <v>5439</v>
      </c>
      <c r="C998" s="87" t="s">
        <v>5440</v>
      </c>
      <c r="D998" s="88">
        <v>75</v>
      </c>
      <c r="E998" s="85" t="s">
        <v>5212</v>
      </c>
      <c r="F998" s="87">
        <v>93</v>
      </c>
      <c r="G998" s="37"/>
      <c r="H998" s="37">
        <f>COUNTIF('(参考)現行システム機能階層一覧'!$E$3:$E$1048576,sheet1!B998)</f>
        <v>0</v>
      </c>
      <c r="I998" s="37"/>
      <c r="J998" s="37"/>
      <c r="K998" s="37"/>
      <c r="L998" s="37"/>
    </row>
    <row r="999" spans="1:12" ht="15.75" customHeight="1">
      <c r="A999" s="87" t="s">
        <v>3853</v>
      </c>
      <c r="B999" s="87" t="s">
        <v>5441</v>
      </c>
      <c r="C999" s="87" t="s">
        <v>5442</v>
      </c>
      <c r="D999" s="88">
        <v>75</v>
      </c>
      <c r="E999" s="85" t="s">
        <v>5212</v>
      </c>
      <c r="F999" s="87">
        <v>37</v>
      </c>
      <c r="G999" s="37"/>
      <c r="H999" s="37">
        <f>COUNTIF('(参考)現行システム機能階層一覧'!$E$3:$E$1048576,sheet1!B999)</f>
        <v>0</v>
      </c>
      <c r="I999" s="37"/>
      <c r="J999" s="37"/>
      <c r="K999" s="37"/>
      <c r="L999" s="37"/>
    </row>
    <row r="1000" spans="1:12" ht="15.75" customHeight="1">
      <c r="A1000" s="87" t="s">
        <v>3853</v>
      </c>
      <c r="B1000" s="87" t="s">
        <v>5443</v>
      </c>
      <c r="C1000" s="87" t="s">
        <v>5444</v>
      </c>
      <c r="D1000" s="88">
        <v>157</v>
      </c>
      <c r="E1000" s="85" t="s">
        <v>5212</v>
      </c>
      <c r="F1000" s="87">
        <v>27</v>
      </c>
      <c r="G1000" s="37"/>
      <c r="H1000" s="37">
        <f>COUNTIF('(参考)現行システム機能階層一覧'!$E$3:$E$1048576,sheet1!B1000)</f>
        <v>0</v>
      </c>
      <c r="I1000" s="37"/>
      <c r="J1000" s="37"/>
      <c r="K1000" s="37"/>
      <c r="L1000" s="37"/>
    </row>
    <row r="1001" spans="1:12" ht="15.75" customHeight="1">
      <c r="A1001" s="87" t="s">
        <v>3853</v>
      </c>
      <c r="B1001" s="87" t="s">
        <v>5445</v>
      </c>
      <c r="C1001" s="87" t="s">
        <v>5446</v>
      </c>
      <c r="D1001" s="88">
        <v>75</v>
      </c>
      <c r="E1001" s="85" t="s">
        <v>5212</v>
      </c>
      <c r="F1001" s="87">
        <v>40</v>
      </c>
      <c r="G1001" s="37"/>
      <c r="H1001" s="37">
        <f>COUNTIF('(参考)現行システム機能階層一覧'!$E$3:$E$1048576,sheet1!B1001)</f>
        <v>0</v>
      </c>
      <c r="I1001" s="37"/>
      <c r="J1001" s="37"/>
      <c r="K1001" s="37"/>
      <c r="L1001" s="37"/>
    </row>
    <row r="1002" spans="1:12" ht="15.75" customHeight="1">
      <c r="A1002" s="87" t="s">
        <v>3853</v>
      </c>
      <c r="B1002" s="87" t="s">
        <v>5447</v>
      </c>
      <c r="C1002" s="87" t="s">
        <v>5448</v>
      </c>
      <c r="D1002" s="88">
        <v>75</v>
      </c>
      <c r="E1002" s="85" t="s">
        <v>5212</v>
      </c>
      <c r="F1002" s="87">
        <v>30</v>
      </c>
      <c r="G1002" s="37"/>
      <c r="H1002" s="37">
        <f>COUNTIF('(参考)現行システム機能階層一覧'!$E$3:$E$1048576,sheet1!B1002)</f>
        <v>0</v>
      </c>
      <c r="I1002" s="37"/>
      <c r="J1002" s="37"/>
      <c r="K1002" s="37"/>
      <c r="L1002" s="37"/>
    </row>
    <row r="1003" spans="1:12" ht="15.75" customHeight="1">
      <c r="A1003" s="87" t="s">
        <v>3853</v>
      </c>
      <c r="B1003" s="87" t="s">
        <v>5449</v>
      </c>
      <c r="C1003" s="87" t="s">
        <v>5450</v>
      </c>
      <c r="D1003" s="88">
        <v>95</v>
      </c>
      <c r="E1003" s="85" t="s">
        <v>5212</v>
      </c>
      <c r="F1003" s="87">
        <v>247</v>
      </c>
      <c r="G1003" s="37"/>
      <c r="H1003" s="37">
        <f>COUNTIF('(参考)現行システム機能階層一覧'!$E$3:$E$1048576,sheet1!B1003)</f>
        <v>0</v>
      </c>
      <c r="I1003" s="37"/>
      <c r="J1003" s="37"/>
      <c r="K1003" s="37"/>
      <c r="L1003" s="37"/>
    </row>
    <row r="1004" spans="1:12" ht="15.75" customHeight="1">
      <c r="A1004" s="87" t="s">
        <v>3853</v>
      </c>
      <c r="B1004" s="87" t="s">
        <v>5451</v>
      </c>
      <c r="C1004" s="87" t="s">
        <v>5452</v>
      </c>
      <c r="D1004" s="88">
        <v>76</v>
      </c>
      <c r="E1004" s="85" t="s">
        <v>5212</v>
      </c>
      <c r="F1004" s="87">
        <v>978</v>
      </c>
      <c r="G1004" s="37"/>
      <c r="H1004" s="37">
        <f>COUNTIF('(参考)現行システム機能階層一覧'!$E$3:$E$1048576,sheet1!B1004)</f>
        <v>0</v>
      </c>
      <c r="I1004" s="37"/>
      <c r="J1004" s="37"/>
      <c r="K1004" s="37"/>
      <c r="L1004" s="37"/>
    </row>
    <row r="1005" spans="1:12" ht="15.75" customHeight="1">
      <c r="A1005" s="87" t="s">
        <v>3853</v>
      </c>
      <c r="B1005" s="87" t="s">
        <v>5453</v>
      </c>
      <c r="C1005" s="87" t="s">
        <v>5454</v>
      </c>
      <c r="D1005" s="88">
        <v>66</v>
      </c>
      <c r="E1005" s="85" t="s">
        <v>5212</v>
      </c>
      <c r="F1005" s="87">
        <v>1338</v>
      </c>
      <c r="G1005" s="37"/>
      <c r="H1005" s="37">
        <f>COUNTIF('(参考)現行システム機能階層一覧'!$E$3:$E$1048576,sheet1!B1005)</f>
        <v>0</v>
      </c>
      <c r="I1005" s="37"/>
      <c r="J1005" s="37"/>
      <c r="K1005" s="37"/>
      <c r="L1005" s="37"/>
    </row>
    <row r="1006" spans="1:12" ht="15.75" customHeight="1">
      <c r="A1006" s="87" t="s">
        <v>3853</v>
      </c>
      <c r="B1006" s="87" t="s">
        <v>5455</v>
      </c>
      <c r="C1006" s="87" t="s">
        <v>5452</v>
      </c>
      <c r="D1006" s="88">
        <v>66</v>
      </c>
      <c r="E1006" s="85" t="s">
        <v>5212</v>
      </c>
      <c r="F1006" s="87">
        <v>200</v>
      </c>
      <c r="G1006" s="37"/>
      <c r="H1006" s="37">
        <f>COUNTIF('(参考)現行システム機能階層一覧'!$E$3:$E$1048576,sheet1!B1006)</f>
        <v>0</v>
      </c>
      <c r="I1006" s="37"/>
      <c r="J1006" s="37"/>
      <c r="K1006" s="37"/>
      <c r="L1006" s="37"/>
    </row>
    <row r="1007" spans="1:12" ht="15.75" customHeight="1">
      <c r="A1007" s="87" t="s">
        <v>3853</v>
      </c>
      <c r="B1007" s="87" t="s">
        <v>5456</v>
      </c>
      <c r="C1007" s="87" t="s">
        <v>5457</v>
      </c>
      <c r="D1007" s="88">
        <v>69</v>
      </c>
      <c r="E1007" s="85" t="s">
        <v>5212</v>
      </c>
      <c r="F1007" s="87">
        <v>20</v>
      </c>
      <c r="G1007" s="37"/>
      <c r="H1007" s="37">
        <f>COUNTIF('(参考)現行システム機能階層一覧'!$E$3:$E$1048576,sheet1!B1007)</f>
        <v>0</v>
      </c>
      <c r="I1007" s="37"/>
      <c r="J1007" s="37"/>
      <c r="K1007" s="37"/>
      <c r="L1007" s="37"/>
    </row>
    <row r="1008" spans="1:12" ht="15.75" customHeight="1">
      <c r="A1008" s="87" t="s">
        <v>3853</v>
      </c>
      <c r="B1008" s="87" t="s">
        <v>5458</v>
      </c>
      <c r="C1008" s="87" t="s">
        <v>5459</v>
      </c>
      <c r="D1008" s="88">
        <v>58</v>
      </c>
      <c r="E1008" s="85" t="s">
        <v>5212</v>
      </c>
      <c r="F1008" s="87">
        <v>466</v>
      </c>
      <c r="G1008" s="37"/>
      <c r="H1008" s="37">
        <f>COUNTIF('(参考)現行システム機能階層一覧'!$E$3:$E$1048576,sheet1!B1008)</f>
        <v>0</v>
      </c>
      <c r="I1008" s="37"/>
      <c r="J1008" s="37"/>
      <c r="K1008" s="37"/>
      <c r="L1008" s="37"/>
    </row>
    <row r="1009" spans="1:12" ht="15.75" customHeight="1">
      <c r="A1009" s="87" t="s">
        <v>3853</v>
      </c>
      <c r="B1009" s="87" t="s">
        <v>5460</v>
      </c>
      <c r="C1009" s="87" t="s">
        <v>5461</v>
      </c>
      <c r="D1009" s="88">
        <v>58</v>
      </c>
      <c r="E1009" s="85" t="s">
        <v>5212</v>
      </c>
      <c r="F1009" s="87">
        <v>5</v>
      </c>
      <c r="G1009" s="37"/>
      <c r="H1009" s="37">
        <f>COUNTIF('(参考)現行システム機能階層一覧'!$E$3:$E$1048576,sheet1!B1009)</f>
        <v>0</v>
      </c>
      <c r="I1009" s="37"/>
      <c r="J1009" s="37"/>
      <c r="K1009" s="37"/>
      <c r="L1009" s="37"/>
    </row>
    <row r="1010" spans="1:12" ht="15.75" customHeight="1">
      <c r="A1010" s="87" t="s">
        <v>3853</v>
      </c>
      <c r="B1010" s="87" t="s">
        <v>5462</v>
      </c>
      <c r="C1010" s="87" t="s">
        <v>5463</v>
      </c>
      <c r="D1010" s="88">
        <v>222</v>
      </c>
      <c r="E1010" s="85" t="s">
        <v>5212</v>
      </c>
      <c r="F1010" s="87">
        <v>626</v>
      </c>
      <c r="G1010" s="37"/>
      <c r="H1010" s="37">
        <f>COUNTIF('(参考)現行システム機能階層一覧'!$E$3:$E$1048576,sheet1!B1010)</f>
        <v>0</v>
      </c>
      <c r="I1010" s="37"/>
      <c r="J1010" s="37"/>
      <c r="K1010" s="37"/>
      <c r="L1010" s="37"/>
    </row>
    <row r="1011" spans="1:12" ht="15.75" customHeight="1">
      <c r="A1011" s="87" t="s">
        <v>3853</v>
      </c>
      <c r="B1011" s="87" t="s">
        <v>5464</v>
      </c>
      <c r="C1011" s="87" t="s">
        <v>5465</v>
      </c>
      <c r="D1011" s="88">
        <v>139</v>
      </c>
      <c r="E1011" s="85" t="s">
        <v>5212</v>
      </c>
      <c r="F1011" s="87">
        <v>297</v>
      </c>
      <c r="G1011" s="37"/>
      <c r="H1011" s="37">
        <f>COUNTIF('(参考)現行システム機能階層一覧'!$E$3:$E$1048576,sheet1!B1011)</f>
        <v>0</v>
      </c>
      <c r="I1011" s="37"/>
      <c r="J1011" s="37"/>
      <c r="K1011" s="37"/>
      <c r="L1011" s="37"/>
    </row>
    <row r="1012" spans="1:12" ht="15.75" customHeight="1">
      <c r="A1012" s="87" t="s">
        <v>3853</v>
      </c>
      <c r="B1012" s="87" t="s">
        <v>5466</v>
      </c>
      <c r="C1012" s="87" t="s">
        <v>5467</v>
      </c>
      <c r="D1012" s="88">
        <v>139</v>
      </c>
      <c r="E1012" s="85" t="s">
        <v>5212</v>
      </c>
      <c r="F1012" s="87">
        <v>12</v>
      </c>
      <c r="G1012" s="37"/>
      <c r="H1012" s="37">
        <f>COUNTIF('(参考)現行システム機能階層一覧'!$E$3:$E$1048576,sheet1!B1012)</f>
        <v>0</v>
      </c>
      <c r="I1012" s="37"/>
      <c r="J1012" s="37"/>
      <c r="K1012" s="37"/>
      <c r="L1012" s="37"/>
    </row>
    <row r="1013" spans="1:12" ht="15.75" customHeight="1">
      <c r="A1013" s="87" t="s">
        <v>3853</v>
      </c>
      <c r="B1013" s="87" t="s">
        <v>5468</v>
      </c>
      <c r="C1013" s="87" t="s">
        <v>5469</v>
      </c>
      <c r="D1013" s="88">
        <v>108</v>
      </c>
      <c r="E1013" s="85" t="s">
        <v>5212</v>
      </c>
      <c r="F1013" s="87">
        <v>867</v>
      </c>
      <c r="G1013" s="37"/>
      <c r="H1013" s="37">
        <f>COUNTIF('(参考)現行システム機能階層一覧'!$E$3:$E$1048576,sheet1!B1013)</f>
        <v>0</v>
      </c>
      <c r="I1013" s="37"/>
      <c r="J1013" s="37"/>
      <c r="K1013" s="37"/>
      <c r="L1013" s="37"/>
    </row>
    <row r="1014" spans="1:12" ht="15.75" customHeight="1">
      <c r="A1014" s="87" t="s">
        <v>3853</v>
      </c>
      <c r="B1014" s="87" t="s">
        <v>5470</v>
      </c>
      <c r="C1014" s="87" t="s">
        <v>5471</v>
      </c>
      <c r="D1014" s="88">
        <v>84</v>
      </c>
      <c r="E1014" s="85" t="s">
        <v>5212</v>
      </c>
      <c r="F1014" s="87">
        <v>1317</v>
      </c>
      <c r="G1014" s="37"/>
      <c r="H1014" s="37">
        <f>COUNTIF('(参考)現行システム機能階層一覧'!$E$3:$E$1048576,sheet1!B1014)</f>
        <v>0</v>
      </c>
      <c r="I1014" s="37"/>
      <c r="J1014" s="37"/>
      <c r="K1014" s="37"/>
      <c r="L1014" s="37"/>
    </row>
    <row r="1015" spans="1:12" ht="15.75" customHeight="1">
      <c r="A1015" s="87" t="s">
        <v>3853</v>
      </c>
      <c r="B1015" s="87" t="s">
        <v>5472</v>
      </c>
      <c r="C1015" s="87" t="s">
        <v>5473</v>
      </c>
      <c r="D1015" s="88">
        <v>84</v>
      </c>
      <c r="E1015" s="85" t="s">
        <v>5212</v>
      </c>
      <c r="F1015" s="87">
        <v>114</v>
      </c>
      <c r="G1015" s="37"/>
      <c r="H1015" s="37">
        <f>COUNTIF('(参考)現行システム機能階層一覧'!$E$3:$E$1048576,sheet1!B1015)</f>
        <v>0</v>
      </c>
      <c r="I1015" s="37"/>
      <c r="J1015" s="37"/>
      <c r="K1015" s="37"/>
      <c r="L1015" s="37"/>
    </row>
    <row r="1016" spans="1:12" ht="15.75" customHeight="1">
      <c r="A1016" s="87" t="s">
        <v>3853</v>
      </c>
      <c r="B1016" s="87" t="s">
        <v>5474</v>
      </c>
      <c r="C1016" s="87" t="s">
        <v>5475</v>
      </c>
      <c r="D1016" s="88">
        <v>155</v>
      </c>
      <c r="E1016" s="85" t="s">
        <v>5212</v>
      </c>
      <c r="F1016" s="87">
        <v>280</v>
      </c>
      <c r="G1016" s="37"/>
      <c r="H1016" s="37">
        <f>COUNTIF('(参考)現行システム機能階層一覧'!$E$3:$E$1048576,sheet1!B1016)</f>
        <v>0</v>
      </c>
      <c r="I1016" s="37"/>
      <c r="J1016" s="37"/>
      <c r="K1016" s="37"/>
      <c r="L1016" s="37"/>
    </row>
    <row r="1017" spans="1:12" ht="15.75" customHeight="1">
      <c r="A1017" s="87" t="s">
        <v>3853</v>
      </c>
      <c r="B1017" s="87" t="s">
        <v>5476</v>
      </c>
      <c r="C1017" s="87" t="s">
        <v>5477</v>
      </c>
      <c r="D1017" s="88">
        <v>126</v>
      </c>
      <c r="E1017" s="85" t="s">
        <v>5212</v>
      </c>
      <c r="F1017" s="87">
        <v>901</v>
      </c>
      <c r="G1017" s="37"/>
      <c r="H1017" s="37">
        <f>COUNTIF('(参考)現行システム機能階層一覧'!$E$3:$E$1048576,sheet1!B1017)</f>
        <v>0</v>
      </c>
      <c r="I1017" s="37"/>
      <c r="J1017" s="37"/>
      <c r="K1017" s="37"/>
      <c r="L1017" s="37"/>
    </row>
    <row r="1018" spans="1:12" ht="15.75" customHeight="1">
      <c r="A1018" s="87" t="s">
        <v>3853</v>
      </c>
      <c r="B1018" s="87" t="s">
        <v>5478</v>
      </c>
      <c r="C1018" s="87" t="s">
        <v>5479</v>
      </c>
      <c r="D1018" s="88">
        <v>131</v>
      </c>
      <c r="E1018" s="85" t="s">
        <v>5212</v>
      </c>
      <c r="F1018" s="87">
        <v>63</v>
      </c>
      <c r="G1018" s="37"/>
      <c r="H1018" s="37">
        <f>COUNTIF('(参考)現行システム機能階層一覧'!$E$3:$E$1048576,sheet1!B1018)</f>
        <v>0</v>
      </c>
      <c r="I1018" s="37"/>
      <c r="J1018" s="37"/>
      <c r="K1018" s="37"/>
      <c r="L1018" s="37"/>
    </row>
    <row r="1019" spans="1:12" ht="15.75" customHeight="1">
      <c r="A1019" s="87" t="s">
        <v>3853</v>
      </c>
      <c r="B1019" s="87" t="s">
        <v>5480</v>
      </c>
      <c r="C1019" s="87" t="s">
        <v>5481</v>
      </c>
      <c r="D1019" s="88">
        <v>181</v>
      </c>
      <c r="E1019" s="85" t="s">
        <v>5212</v>
      </c>
      <c r="F1019" s="87">
        <v>1290</v>
      </c>
      <c r="G1019" s="37"/>
      <c r="H1019" s="37">
        <f>COUNTIF('(参考)現行システム機能階層一覧'!$E$3:$E$1048576,sheet1!B1019)</f>
        <v>0</v>
      </c>
      <c r="I1019" s="37"/>
      <c r="J1019" s="37"/>
      <c r="K1019" s="37"/>
      <c r="L1019" s="37"/>
    </row>
    <row r="1020" spans="1:12" ht="15.75" customHeight="1">
      <c r="A1020" s="87" t="s">
        <v>3853</v>
      </c>
      <c r="B1020" s="87" t="s">
        <v>5482</v>
      </c>
      <c r="C1020" s="87" t="s">
        <v>5483</v>
      </c>
      <c r="D1020" s="88">
        <v>349</v>
      </c>
      <c r="E1020" s="85" t="s">
        <v>5212</v>
      </c>
      <c r="F1020" s="87">
        <v>1290</v>
      </c>
      <c r="G1020" s="37"/>
      <c r="H1020" s="37">
        <f>COUNTIF('(参考)現行システム機能階層一覧'!$E$3:$E$1048576,sheet1!B1020)</f>
        <v>0</v>
      </c>
      <c r="I1020" s="37"/>
      <c r="J1020" s="37"/>
      <c r="K1020" s="37"/>
      <c r="L1020" s="37"/>
    </row>
    <row r="1021" spans="1:12" ht="15.75" customHeight="1">
      <c r="A1021" s="87" t="s">
        <v>3853</v>
      </c>
      <c r="B1021" s="87" t="s">
        <v>5484</v>
      </c>
      <c r="C1021" s="87" t="s">
        <v>5485</v>
      </c>
      <c r="D1021" s="88">
        <v>74</v>
      </c>
      <c r="E1021" s="85" t="s">
        <v>5212</v>
      </c>
      <c r="F1021" s="87">
        <v>85</v>
      </c>
      <c r="G1021" s="37"/>
      <c r="H1021" s="37">
        <f>COUNTIF('(参考)現行システム機能階層一覧'!$E$3:$E$1048576,sheet1!B1021)</f>
        <v>0</v>
      </c>
      <c r="I1021" s="37"/>
      <c r="J1021" s="37"/>
      <c r="K1021" s="37"/>
      <c r="L1021" s="37"/>
    </row>
    <row r="1022" spans="1:12" ht="15.75" customHeight="1">
      <c r="A1022" s="87" t="s">
        <v>3853</v>
      </c>
      <c r="B1022" s="87" t="s">
        <v>5486</v>
      </c>
      <c r="C1022" s="87" t="s">
        <v>5487</v>
      </c>
      <c r="D1022" s="88">
        <v>98</v>
      </c>
      <c r="E1022" s="85" t="s">
        <v>5212</v>
      </c>
      <c r="F1022" s="87">
        <v>7</v>
      </c>
      <c r="G1022" s="37"/>
      <c r="H1022" s="37">
        <f>COUNTIF('(参考)現行システム機能階層一覧'!$E$3:$E$1048576,sheet1!B1022)</f>
        <v>0</v>
      </c>
      <c r="I1022" s="37"/>
      <c r="J1022" s="37"/>
      <c r="K1022" s="37"/>
      <c r="L1022" s="37"/>
    </row>
    <row r="1023" spans="1:12" ht="15.75" customHeight="1">
      <c r="A1023" s="87" t="s">
        <v>3853</v>
      </c>
      <c r="B1023" s="87" t="s">
        <v>5488</v>
      </c>
      <c r="C1023" s="87" t="s">
        <v>5489</v>
      </c>
      <c r="D1023" s="88">
        <v>97</v>
      </c>
      <c r="E1023" s="85" t="s">
        <v>5212</v>
      </c>
      <c r="F1023" s="87">
        <v>82</v>
      </c>
      <c r="G1023" s="37"/>
      <c r="H1023" s="37">
        <f>COUNTIF('(参考)現行システム機能階層一覧'!$E$3:$E$1048576,sheet1!B1023)</f>
        <v>0</v>
      </c>
      <c r="I1023" s="37"/>
      <c r="J1023" s="37"/>
      <c r="K1023" s="37"/>
      <c r="L1023" s="37"/>
    </row>
    <row r="1024" spans="1:12" ht="15.75" customHeight="1">
      <c r="A1024" s="87" t="s">
        <v>3853</v>
      </c>
      <c r="B1024" s="87" t="s">
        <v>5490</v>
      </c>
      <c r="C1024" s="87" t="s">
        <v>5491</v>
      </c>
      <c r="D1024" s="88">
        <v>79</v>
      </c>
      <c r="E1024" s="85" t="s">
        <v>5212</v>
      </c>
      <c r="F1024" s="87">
        <v>17</v>
      </c>
      <c r="G1024" s="37"/>
      <c r="H1024" s="37">
        <f>COUNTIF('(参考)現行システム機能階層一覧'!$E$3:$E$1048576,sheet1!B1024)</f>
        <v>0</v>
      </c>
      <c r="I1024" s="37"/>
      <c r="J1024" s="37"/>
      <c r="K1024" s="37"/>
      <c r="L1024" s="37"/>
    </row>
    <row r="1025" spans="1:12" ht="15.75" customHeight="1">
      <c r="A1025" s="87" t="s">
        <v>3935</v>
      </c>
      <c r="B1025" s="87" t="s">
        <v>5492</v>
      </c>
      <c r="C1025" s="87" t="s">
        <v>5493</v>
      </c>
      <c r="D1025" s="88">
        <v>1046</v>
      </c>
      <c r="E1025" s="85" t="s">
        <v>5494</v>
      </c>
      <c r="F1025" s="87">
        <v>238</v>
      </c>
      <c r="G1025" s="37"/>
      <c r="H1025" s="37">
        <f>COUNTIF('(参考)現行システム機能階層一覧'!$E$3:$E$1048576,sheet1!B1025)</f>
        <v>0</v>
      </c>
      <c r="I1025" s="37"/>
      <c r="J1025" s="37"/>
      <c r="K1025" s="37"/>
      <c r="L1025" s="37"/>
    </row>
    <row r="1026" spans="1:12" ht="15.75" customHeight="1">
      <c r="A1026" s="87" t="s">
        <v>3935</v>
      </c>
      <c r="B1026" s="87" t="s">
        <v>5495</v>
      </c>
      <c r="C1026" s="87" t="s">
        <v>5496</v>
      </c>
      <c r="D1026" s="88">
        <v>742</v>
      </c>
      <c r="E1026" s="85" t="s">
        <v>5494</v>
      </c>
      <c r="F1026" s="87">
        <v>252</v>
      </c>
      <c r="G1026" s="37"/>
      <c r="H1026" s="37">
        <f>COUNTIF('(参考)現行システム機能階層一覧'!$E$3:$E$1048576,sheet1!B1026)</f>
        <v>0</v>
      </c>
      <c r="I1026" s="37"/>
      <c r="J1026" s="37"/>
      <c r="K1026" s="37"/>
      <c r="L1026" s="37"/>
    </row>
    <row r="1027" spans="1:12" ht="15.75" customHeight="1">
      <c r="A1027" s="87" t="s">
        <v>3935</v>
      </c>
      <c r="B1027" s="87" t="s">
        <v>5497</v>
      </c>
      <c r="C1027" s="87" t="s">
        <v>5498</v>
      </c>
      <c r="D1027" s="88">
        <v>437</v>
      </c>
      <c r="E1027" s="85" t="s">
        <v>5494</v>
      </c>
      <c r="F1027" s="87">
        <v>4</v>
      </c>
      <c r="G1027" s="37"/>
      <c r="H1027" s="37">
        <f>COUNTIF('(参考)現行システム機能階層一覧'!$E$3:$E$1048576,sheet1!B1027)</f>
        <v>0</v>
      </c>
      <c r="I1027" s="37"/>
      <c r="J1027" s="37"/>
      <c r="K1027" s="37"/>
      <c r="L1027" s="37"/>
    </row>
    <row r="1028" spans="1:12" ht="15.75" customHeight="1">
      <c r="A1028" s="87" t="s">
        <v>3935</v>
      </c>
      <c r="B1028" s="87" t="s">
        <v>5499</v>
      </c>
      <c r="C1028" s="87" t="s">
        <v>5500</v>
      </c>
      <c r="D1028" s="88">
        <v>821</v>
      </c>
      <c r="E1028" s="85" t="s">
        <v>5494</v>
      </c>
      <c r="F1028" s="87">
        <v>1</v>
      </c>
      <c r="G1028" s="37"/>
      <c r="H1028" s="37">
        <f>COUNTIF('(参考)現行システム機能階層一覧'!$E$3:$E$1048576,sheet1!B1028)</f>
        <v>0</v>
      </c>
      <c r="I1028" s="37"/>
      <c r="J1028" s="37"/>
      <c r="K1028" s="37"/>
      <c r="L1028" s="37"/>
    </row>
    <row r="1029" spans="1:12" ht="15.75" customHeight="1">
      <c r="A1029" s="87" t="s">
        <v>3853</v>
      </c>
      <c r="B1029" s="87" t="s">
        <v>5501</v>
      </c>
      <c r="C1029" s="87" t="s">
        <v>5500</v>
      </c>
      <c r="D1029" s="88">
        <v>10</v>
      </c>
      <c r="E1029" s="85" t="s">
        <v>5494</v>
      </c>
      <c r="F1029" s="87">
        <v>1</v>
      </c>
      <c r="G1029" s="37"/>
      <c r="H1029" s="37">
        <f>COUNTIF('(参考)現行システム機能階層一覧'!$E$3:$E$1048576,sheet1!B1029)</f>
        <v>0</v>
      </c>
      <c r="I1029" s="37"/>
      <c r="J1029" s="37"/>
      <c r="K1029" s="37"/>
      <c r="L1029" s="37"/>
    </row>
    <row r="1030" spans="1:12" ht="15.75" customHeight="1">
      <c r="A1030" s="87" t="s">
        <v>3935</v>
      </c>
      <c r="B1030" s="87" t="s">
        <v>5502</v>
      </c>
      <c r="C1030" s="87" t="s">
        <v>5503</v>
      </c>
      <c r="D1030" s="88">
        <v>331</v>
      </c>
      <c r="E1030" s="85" t="s">
        <v>5494</v>
      </c>
      <c r="F1030" s="87">
        <v>1</v>
      </c>
      <c r="G1030" s="37"/>
      <c r="H1030" s="37">
        <f>COUNTIF('(参考)現行システム機能階層一覧'!$E$3:$E$1048576,sheet1!B1030)</f>
        <v>0</v>
      </c>
      <c r="I1030" s="37"/>
      <c r="J1030" s="37"/>
      <c r="K1030" s="37"/>
      <c r="L1030" s="37"/>
    </row>
    <row r="1031" spans="1:12" ht="15.75" customHeight="1">
      <c r="A1031" s="87" t="s">
        <v>3853</v>
      </c>
      <c r="B1031" s="87" t="s">
        <v>5504</v>
      </c>
      <c r="C1031" s="87" t="s">
        <v>5503</v>
      </c>
      <c r="D1031" s="88">
        <v>24</v>
      </c>
      <c r="E1031" s="85" t="s">
        <v>5494</v>
      </c>
      <c r="F1031" s="87">
        <v>1</v>
      </c>
      <c r="G1031" s="37"/>
      <c r="H1031" s="37">
        <f>COUNTIF('(参考)現行システム機能階層一覧'!$E$3:$E$1048576,sheet1!B1031)</f>
        <v>0</v>
      </c>
      <c r="I1031" s="37"/>
      <c r="J1031" s="37"/>
      <c r="K1031" s="37"/>
      <c r="L1031" s="37"/>
    </row>
    <row r="1032" spans="1:12" ht="15.75" customHeight="1">
      <c r="A1032" s="87" t="s">
        <v>3935</v>
      </c>
      <c r="B1032" s="87" t="s">
        <v>5505</v>
      </c>
      <c r="C1032" s="87" t="s">
        <v>5506</v>
      </c>
      <c r="D1032" s="88">
        <v>283</v>
      </c>
      <c r="E1032" s="85" t="s">
        <v>5494</v>
      </c>
      <c r="F1032" s="87">
        <v>1</v>
      </c>
      <c r="G1032" s="37"/>
      <c r="H1032" s="37">
        <f>COUNTIF('(参考)現行システム機能階層一覧'!$E$3:$E$1048576,sheet1!B1032)</f>
        <v>0</v>
      </c>
      <c r="I1032" s="37"/>
      <c r="J1032" s="37"/>
      <c r="K1032" s="37"/>
      <c r="L1032" s="37"/>
    </row>
    <row r="1033" spans="1:12" ht="15.75" customHeight="1">
      <c r="A1033" s="87" t="s">
        <v>3853</v>
      </c>
      <c r="B1033" s="87" t="s">
        <v>5507</v>
      </c>
      <c r="C1033" s="87" t="s">
        <v>5506</v>
      </c>
      <c r="D1033" s="88">
        <v>24</v>
      </c>
      <c r="E1033" s="85" t="s">
        <v>5494</v>
      </c>
      <c r="F1033" s="87">
        <v>1</v>
      </c>
      <c r="G1033" s="37"/>
      <c r="H1033" s="37">
        <f>COUNTIF('(参考)現行システム機能階層一覧'!$E$3:$E$1048576,sheet1!B1033)</f>
        <v>0</v>
      </c>
      <c r="I1033" s="37"/>
      <c r="J1033" s="37"/>
      <c r="K1033" s="37"/>
      <c r="L1033" s="37"/>
    </row>
    <row r="1034" spans="1:12" ht="15.75" customHeight="1">
      <c r="A1034" s="87" t="s">
        <v>3935</v>
      </c>
      <c r="B1034" s="87" t="s">
        <v>5508</v>
      </c>
      <c r="C1034" s="87" t="s">
        <v>5509</v>
      </c>
      <c r="D1034" s="88">
        <v>570</v>
      </c>
      <c r="E1034" s="85" t="s">
        <v>5494</v>
      </c>
      <c r="F1034" s="87">
        <v>9</v>
      </c>
      <c r="G1034" s="37"/>
      <c r="H1034" s="37">
        <f>COUNTIF('(参考)現行システム機能階層一覧'!$E$3:$E$1048576,sheet1!B1034)</f>
        <v>0</v>
      </c>
      <c r="I1034" s="37"/>
      <c r="J1034" s="37"/>
      <c r="K1034" s="37"/>
      <c r="L1034" s="37"/>
    </row>
    <row r="1035" spans="1:12" ht="15.75" customHeight="1">
      <c r="A1035" s="87" t="s">
        <v>3935</v>
      </c>
      <c r="B1035" s="87" t="s">
        <v>5510</v>
      </c>
      <c r="C1035" s="87" t="s">
        <v>5511</v>
      </c>
      <c r="D1035" s="88">
        <v>454</v>
      </c>
      <c r="E1035" s="85" t="s">
        <v>5494</v>
      </c>
      <c r="F1035" s="87">
        <v>8</v>
      </c>
      <c r="G1035" s="37"/>
      <c r="H1035" s="37">
        <f>COUNTIF('(参考)現行システム機能階層一覧'!$E$3:$E$1048576,sheet1!B1035)</f>
        <v>0</v>
      </c>
      <c r="I1035" s="37"/>
      <c r="J1035" s="37"/>
      <c r="K1035" s="37"/>
      <c r="L1035" s="37"/>
    </row>
    <row r="1036" spans="1:12" ht="15.75" customHeight="1">
      <c r="A1036" s="87" t="s">
        <v>3935</v>
      </c>
      <c r="B1036" s="87" t="s">
        <v>5512</v>
      </c>
      <c r="C1036" s="87" t="s">
        <v>5513</v>
      </c>
      <c r="D1036" s="88">
        <v>5572</v>
      </c>
      <c r="E1036" s="85" t="s">
        <v>5494</v>
      </c>
      <c r="F1036" s="87">
        <v>854</v>
      </c>
      <c r="G1036" s="37"/>
      <c r="H1036" s="37">
        <f>COUNTIF('(参考)現行システム機能階層一覧'!$E$3:$E$1048576,sheet1!B1036)</f>
        <v>0</v>
      </c>
      <c r="I1036" s="37"/>
      <c r="J1036" s="37"/>
      <c r="K1036" s="37"/>
      <c r="L1036" s="37"/>
    </row>
    <row r="1037" spans="1:12" ht="15.75" customHeight="1">
      <c r="A1037" s="87" t="s">
        <v>3853</v>
      </c>
      <c r="B1037" s="87" t="s">
        <v>5514</v>
      </c>
      <c r="C1037" s="87" t="s">
        <v>5513</v>
      </c>
      <c r="D1037" s="88">
        <v>35</v>
      </c>
      <c r="E1037" s="85" t="s">
        <v>5494</v>
      </c>
      <c r="F1037" s="87">
        <v>854</v>
      </c>
      <c r="G1037" s="37"/>
      <c r="H1037" s="37">
        <f>COUNTIF('(参考)現行システム機能階層一覧'!$E$3:$E$1048576,sheet1!B1037)</f>
        <v>0</v>
      </c>
      <c r="I1037" s="37"/>
      <c r="J1037" s="37"/>
      <c r="K1037" s="37"/>
      <c r="L1037" s="37"/>
    </row>
    <row r="1038" spans="1:12" ht="15.75" customHeight="1">
      <c r="A1038" s="87" t="s">
        <v>3935</v>
      </c>
      <c r="B1038" s="87" t="s">
        <v>5515</v>
      </c>
      <c r="C1038" s="87" t="s">
        <v>5516</v>
      </c>
      <c r="D1038" s="88">
        <v>1467</v>
      </c>
      <c r="E1038" s="85" t="s">
        <v>5494</v>
      </c>
      <c r="F1038" s="87">
        <v>590</v>
      </c>
      <c r="G1038" s="37"/>
      <c r="H1038" s="37">
        <f>COUNTIF('(参考)現行システム機能階層一覧'!$E$3:$E$1048576,sheet1!B1038)</f>
        <v>0</v>
      </c>
      <c r="I1038" s="37"/>
      <c r="J1038" s="37"/>
      <c r="K1038" s="37"/>
      <c r="L1038" s="37"/>
    </row>
    <row r="1039" spans="1:12" ht="15.75" customHeight="1">
      <c r="A1039" s="87" t="s">
        <v>3935</v>
      </c>
      <c r="B1039" s="87" t="s">
        <v>5517</v>
      </c>
      <c r="C1039" s="87" t="s">
        <v>5518</v>
      </c>
      <c r="D1039" s="88">
        <v>1082</v>
      </c>
      <c r="E1039" s="85" t="s">
        <v>5494</v>
      </c>
      <c r="F1039" s="87">
        <v>439</v>
      </c>
      <c r="G1039" s="37"/>
      <c r="H1039" s="37">
        <f>COUNTIF('(参考)現行システム機能階層一覧'!$E$3:$E$1048576,sheet1!B1039)</f>
        <v>0</v>
      </c>
      <c r="I1039" s="37"/>
      <c r="J1039" s="37"/>
      <c r="K1039" s="37"/>
      <c r="L1039" s="37"/>
    </row>
    <row r="1040" spans="1:12" ht="15.75" customHeight="1">
      <c r="A1040" s="87" t="s">
        <v>3935</v>
      </c>
      <c r="B1040" s="87" t="s">
        <v>5519</v>
      </c>
      <c r="C1040" s="87" t="s">
        <v>5520</v>
      </c>
      <c r="D1040" s="88">
        <v>1788</v>
      </c>
      <c r="E1040" s="85" t="s">
        <v>5494</v>
      </c>
      <c r="F1040" s="87">
        <v>105</v>
      </c>
      <c r="G1040" s="37"/>
      <c r="H1040" s="37">
        <f>COUNTIF('(参考)現行システム機能階層一覧'!$E$3:$E$1048576,sheet1!B1040)</f>
        <v>0</v>
      </c>
      <c r="I1040" s="37"/>
      <c r="J1040" s="37"/>
      <c r="K1040" s="37"/>
      <c r="L1040" s="37"/>
    </row>
    <row r="1041" spans="1:12" ht="15.75" customHeight="1">
      <c r="A1041" s="87" t="s">
        <v>3935</v>
      </c>
      <c r="B1041" s="87" t="s">
        <v>5521</v>
      </c>
      <c r="C1041" s="87" t="s">
        <v>5522</v>
      </c>
      <c r="D1041" s="88">
        <v>4612</v>
      </c>
      <c r="E1041" s="85" t="s">
        <v>5494</v>
      </c>
      <c r="F1041" s="87">
        <v>5</v>
      </c>
      <c r="G1041" s="37"/>
      <c r="H1041" s="37">
        <f>COUNTIF('(参考)現行システム機能階層一覧'!$E$3:$E$1048576,sheet1!B1041)</f>
        <v>0</v>
      </c>
      <c r="I1041" s="37"/>
      <c r="J1041" s="37"/>
      <c r="K1041" s="37"/>
      <c r="L1041" s="37"/>
    </row>
    <row r="1042" spans="1:12" ht="15.75" customHeight="1">
      <c r="A1042" s="87" t="s">
        <v>3853</v>
      </c>
      <c r="B1042" s="87" t="s">
        <v>5523</v>
      </c>
      <c r="C1042" s="87" t="s">
        <v>5524</v>
      </c>
      <c r="D1042" s="88">
        <v>52</v>
      </c>
      <c r="E1042" s="85" t="s">
        <v>5494</v>
      </c>
      <c r="F1042" s="87">
        <v>5</v>
      </c>
      <c r="G1042" s="37"/>
      <c r="H1042" s="37">
        <f>COUNTIF('(参考)現行システム機能階層一覧'!$E$3:$E$1048576,sheet1!B1042)</f>
        <v>0</v>
      </c>
      <c r="I1042" s="37"/>
      <c r="J1042" s="37"/>
      <c r="K1042" s="37"/>
      <c r="L1042" s="37"/>
    </row>
    <row r="1043" spans="1:12" ht="15.75" customHeight="1">
      <c r="A1043" s="87" t="s">
        <v>3853</v>
      </c>
      <c r="B1043" s="87" t="s">
        <v>5525</v>
      </c>
      <c r="C1043" s="87" t="s">
        <v>5524</v>
      </c>
      <c r="D1043" s="88">
        <v>52</v>
      </c>
      <c r="E1043" s="85" t="s">
        <v>5494</v>
      </c>
      <c r="F1043" s="87">
        <v>1</v>
      </c>
      <c r="G1043" s="37"/>
      <c r="H1043" s="37">
        <f>COUNTIF('(参考)現行システム機能階層一覧'!$E$3:$E$1048576,sheet1!B1043)</f>
        <v>0</v>
      </c>
      <c r="I1043" s="37"/>
      <c r="J1043" s="37"/>
      <c r="K1043" s="37"/>
      <c r="L1043" s="37"/>
    </row>
    <row r="1044" spans="1:12" ht="15.75" customHeight="1">
      <c r="A1044" s="87" t="s">
        <v>3935</v>
      </c>
      <c r="B1044" s="87" t="s">
        <v>5526</v>
      </c>
      <c r="C1044" s="87" t="s">
        <v>5527</v>
      </c>
      <c r="D1044" s="88">
        <v>4407</v>
      </c>
      <c r="E1044" s="85" t="s">
        <v>5494</v>
      </c>
      <c r="F1044" s="87">
        <v>37</v>
      </c>
      <c r="G1044" s="37"/>
      <c r="H1044" s="37">
        <f>COUNTIF('(参考)現行システム機能階層一覧'!$E$3:$E$1048576,sheet1!B1044)</f>
        <v>0</v>
      </c>
      <c r="I1044" s="37"/>
      <c r="J1044" s="37"/>
      <c r="K1044" s="37"/>
      <c r="L1044" s="37"/>
    </row>
    <row r="1045" spans="1:12" ht="15.75" customHeight="1">
      <c r="A1045" s="87" t="s">
        <v>3853</v>
      </c>
      <c r="B1045" s="87" t="s">
        <v>5528</v>
      </c>
      <c r="C1045" s="87" t="s">
        <v>5529</v>
      </c>
      <c r="D1045" s="88">
        <v>52</v>
      </c>
      <c r="E1045" s="85" t="s">
        <v>5494</v>
      </c>
      <c r="F1045" s="87">
        <v>37</v>
      </c>
      <c r="G1045" s="37"/>
      <c r="H1045" s="37">
        <f>COUNTIF('(参考)現行システム機能階層一覧'!$E$3:$E$1048576,sheet1!B1045)</f>
        <v>0</v>
      </c>
      <c r="I1045" s="37"/>
      <c r="J1045" s="37"/>
      <c r="K1045" s="37"/>
      <c r="L1045" s="37"/>
    </row>
    <row r="1046" spans="1:12" ht="15.75" customHeight="1">
      <c r="A1046" s="87" t="s">
        <v>3935</v>
      </c>
      <c r="B1046" s="87" t="s">
        <v>5530</v>
      </c>
      <c r="C1046" s="87" t="s">
        <v>5531</v>
      </c>
      <c r="D1046" s="88">
        <v>809</v>
      </c>
      <c r="E1046" s="85" t="s">
        <v>5494</v>
      </c>
      <c r="F1046" s="87">
        <v>1</v>
      </c>
      <c r="G1046" s="37"/>
      <c r="H1046" s="37">
        <f>COUNTIF('(参考)現行システム機能階層一覧'!$E$3:$E$1048576,sheet1!B1046)</f>
        <v>0</v>
      </c>
      <c r="I1046" s="37"/>
      <c r="J1046" s="37"/>
      <c r="K1046" s="37"/>
      <c r="L1046" s="37"/>
    </row>
    <row r="1047" spans="1:12" ht="15.75" customHeight="1">
      <c r="A1047" s="87" t="s">
        <v>3935</v>
      </c>
      <c r="B1047" s="87" t="s">
        <v>5532</v>
      </c>
      <c r="C1047" s="87" t="s">
        <v>5533</v>
      </c>
      <c r="D1047" s="88">
        <v>3013</v>
      </c>
      <c r="E1047" s="85" t="s">
        <v>5494</v>
      </c>
      <c r="F1047" s="87">
        <v>364</v>
      </c>
      <c r="G1047" s="37"/>
      <c r="H1047" s="37">
        <f>COUNTIF('(参考)現行システム機能階層一覧'!$E$3:$E$1048576,sheet1!B1047)</f>
        <v>0</v>
      </c>
      <c r="I1047" s="37"/>
      <c r="J1047" s="37"/>
      <c r="K1047" s="37"/>
      <c r="L1047" s="37"/>
    </row>
    <row r="1048" spans="1:12" ht="15.75" customHeight="1">
      <c r="A1048" s="87" t="s">
        <v>3853</v>
      </c>
      <c r="B1048" s="87" t="s">
        <v>5534</v>
      </c>
      <c r="C1048" s="87" t="s">
        <v>5533</v>
      </c>
      <c r="D1048" s="88">
        <v>49</v>
      </c>
      <c r="E1048" s="85" t="s">
        <v>5494</v>
      </c>
      <c r="F1048" s="87">
        <v>428</v>
      </c>
      <c r="G1048" s="37"/>
      <c r="H1048" s="37">
        <f>COUNTIF('(参考)現行システム機能階層一覧'!$E$3:$E$1048576,sheet1!B1048)</f>
        <v>0</v>
      </c>
      <c r="I1048" s="37"/>
      <c r="J1048" s="37"/>
      <c r="K1048" s="37"/>
      <c r="L1048" s="37"/>
    </row>
    <row r="1049" spans="1:12" ht="15.75" customHeight="1">
      <c r="A1049" s="87" t="s">
        <v>3935</v>
      </c>
      <c r="B1049" s="87" t="s">
        <v>5535</v>
      </c>
      <c r="C1049" s="87" t="s">
        <v>5536</v>
      </c>
      <c r="D1049" s="88">
        <v>2685</v>
      </c>
      <c r="E1049" s="85" t="s">
        <v>5494</v>
      </c>
      <c r="F1049" s="87">
        <v>99</v>
      </c>
      <c r="G1049" s="37"/>
      <c r="H1049" s="37">
        <f>COUNTIF('(参考)現行システム機能階層一覧'!$E$3:$E$1048576,sheet1!B1049)</f>
        <v>0</v>
      </c>
      <c r="I1049" s="37"/>
      <c r="J1049" s="37"/>
      <c r="K1049" s="37"/>
      <c r="L1049" s="37"/>
    </row>
    <row r="1050" spans="1:12" ht="15.75" customHeight="1">
      <c r="A1050" s="87" t="s">
        <v>3853</v>
      </c>
      <c r="B1050" s="87" t="s">
        <v>5537</v>
      </c>
      <c r="C1050" s="87" t="s">
        <v>5536</v>
      </c>
      <c r="D1050" s="88">
        <v>47</v>
      </c>
      <c r="E1050" s="85" t="s">
        <v>5494</v>
      </c>
      <c r="F1050" s="87">
        <v>99</v>
      </c>
      <c r="G1050" s="37"/>
      <c r="H1050" s="37">
        <f>COUNTIF('(参考)現行システム機能階層一覧'!$E$3:$E$1048576,sheet1!B1050)</f>
        <v>0</v>
      </c>
      <c r="I1050" s="37"/>
      <c r="J1050" s="37"/>
      <c r="K1050" s="37"/>
      <c r="L1050" s="37"/>
    </row>
    <row r="1051" spans="1:12" ht="15.75" customHeight="1">
      <c r="A1051" s="87" t="s">
        <v>3935</v>
      </c>
      <c r="B1051" s="87" t="s">
        <v>5538</v>
      </c>
      <c r="C1051" s="87" t="s">
        <v>5539</v>
      </c>
      <c r="D1051" s="88">
        <v>2606</v>
      </c>
      <c r="E1051" s="85" t="s">
        <v>5494</v>
      </c>
      <c r="F1051" s="87">
        <v>162</v>
      </c>
      <c r="G1051" s="37"/>
      <c r="H1051" s="37">
        <f>COUNTIF('(参考)現行システム機能階層一覧'!$E$3:$E$1048576,sheet1!B1051)</f>
        <v>0</v>
      </c>
      <c r="I1051" s="37"/>
      <c r="J1051" s="37"/>
      <c r="K1051" s="37"/>
      <c r="L1051" s="37"/>
    </row>
    <row r="1052" spans="1:12" ht="15.75" customHeight="1">
      <c r="A1052" s="87" t="s">
        <v>3853</v>
      </c>
      <c r="B1052" s="87" t="s">
        <v>5540</v>
      </c>
      <c r="C1052" s="87" t="s">
        <v>5539</v>
      </c>
      <c r="D1052" s="88">
        <v>43</v>
      </c>
      <c r="E1052" s="85" t="s">
        <v>5494</v>
      </c>
      <c r="F1052" s="87">
        <v>194</v>
      </c>
      <c r="G1052" s="37"/>
      <c r="H1052" s="37">
        <f>COUNTIF('(参考)現行システム機能階層一覧'!$E$3:$E$1048576,sheet1!B1052)</f>
        <v>0</v>
      </c>
      <c r="I1052" s="37"/>
      <c r="J1052" s="37"/>
      <c r="K1052" s="37"/>
      <c r="L1052" s="37"/>
    </row>
    <row r="1053" spans="1:12" ht="15.75" customHeight="1">
      <c r="A1053" s="87" t="s">
        <v>3935</v>
      </c>
      <c r="B1053" s="87" t="s">
        <v>5541</v>
      </c>
      <c r="C1053" s="87" t="s">
        <v>5542</v>
      </c>
      <c r="D1053" s="88">
        <v>1558</v>
      </c>
      <c r="E1053" s="85" t="s">
        <v>5494</v>
      </c>
      <c r="F1053" s="87">
        <v>7</v>
      </c>
      <c r="G1053" s="37"/>
      <c r="H1053" s="37">
        <f>COUNTIF('(参考)現行システム機能階層一覧'!$E$3:$E$1048576,sheet1!B1053)</f>
        <v>0</v>
      </c>
      <c r="I1053" s="37"/>
      <c r="J1053" s="37"/>
      <c r="K1053" s="37"/>
      <c r="L1053" s="37"/>
    </row>
    <row r="1054" spans="1:12" ht="15.75" customHeight="1">
      <c r="A1054" s="87" t="s">
        <v>3853</v>
      </c>
      <c r="B1054" s="87" t="s">
        <v>5543</v>
      </c>
      <c r="C1054" s="87" t="s">
        <v>5542</v>
      </c>
      <c r="D1054" s="88">
        <v>27</v>
      </c>
      <c r="E1054" s="85" t="s">
        <v>5494</v>
      </c>
      <c r="F1054" s="87">
        <v>7</v>
      </c>
      <c r="G1054" s="37"/>
      <c r="H1054" s="37">
        <f>COUNTIF('(参考)現行システム機能階層一覧'!$E$3:$E$1048576,sheet1!B1054)</f>
        <v>0</v>
      </c>
      <c r="I1054" s="37"/>
      <c r="J1054" s="37"/>
      <c r="K1054" s="37"/>
      <c r="L1054" s="37"/>
    </row>
    <row r="1055" spans="1:12" ht="15.75" customHeight="1">
      <c r="A1055" s="87" t="s">
        <v>3935</v>
      </c>
      <c r="B1055" s="87" t="s">
        <v>5544</v>
      </c>
      <c r="C1055" s="87" t="s">
        <v>5545</v>
      </c>
      <c r="D1055" s="88">
        <v>549</v>
      </c>
      <c r="E1055" s="85" t="s">
        <v>5494</v>
      </c>
      <c r="F1055" s="87">
        <v>2</v>
      </c>
      <c r="G1055" s="37"/>
      <c r="H1055" s="37">
        <f>COUNTIF('(参考)現行システム機能階層一覧'!$E$3:$E$1048576,sheet1!B1055)</f>
        <v>0</v>
      </c>
      <c r="I1055" s="37"/>
      <c r="J1055" s="37"/>
      <c r="K1055" s="37"/>
      <c r="L1055" s="37"/>
    </row>
    <row r="1056" spans="1:12" ht="15.75" customHeight="1">
      <c r="A1056" s="87" t="s">
        <v>3853</v>
      </c>
      <c r="B1056" s="87" t="s">
        <v>5546</v>
      </c>
      <c r="C1056" s="87" t="s">
        <v>5545</v>
      </c>
      <c r="D1056" s="88">
        <v>22</v>
      </c>
      <c r="E1056" s="85" t="s">
        <v>5494</v>
      </c>
      <c r="F1056" s="87">
        <v>2</v>
      </c>
      <c r="G1056" s="37"/>
      <c r="H1056" s="37">
        <f>COUNTIF('(参考)現行システム機能階層一覧'!$E$3:$E$1048576,sheet1!B1056)</f>
        <v>0</v>
      </c>
      <c r="I1056" s="37"/>
      <c r="J1056" s="37"/>
      <c r="K1056" s="37"/>
      <c r="L1056" s="37"/>
    </row>
    <row r="1057" spans="1:12" ht="15.75" customHeight="1">
      <c r="A1057" s="87" t="s">
        <v>3935</v>
      </c>
      <c r="B1057" s="87" t="s">
        <v>5547</v>
      </c>
      <c r="C1057" s="87" t="s">
        <v>5548</v>
      </c>
      <c r="D1057" s="88">
        <v>4988</v>
      </c>
      <c r="E1057" s="85" t="s">
        <v>5494</v>
      </c>
      <c r="F1057" s="87">
        <v>471</v>
      </c>
      <c r="G1057" s="37"/>
      <c r="H1057" s="37">
        <f>COUNTIF('(参考)現行システム機能階層一覧'!$E$3:$E$1048576,sheet1!B1057)</f>
        <v>0</v>
      </c>
      <c r="I1057" s="37"/>
      <c r="J1057" s="37"/>
      <c r="K1057" s="37"/>
      <c r="L1057" s="37"/>
    </row>
    <row r="1058" spans="1:12" ht="15.75" customHeight="1">
      <c r="A1058" s="87" t="s">
        <v>3853</v>
      </c>
      <c r="B1058" s="87" t="s">
        <v>5549</v>
      </c>
      <c r="C1058" s="87" t="s">
        <v>5548</v>
      </c>
      <c r="D1058" s="88">
        <v>69</v>
      </c>
      <c r="E1058" s="85" t="s">
        <v>5494</v>
      </c>
      <c r="F1058" s="87">
        <v>471</v>
      </c>
      <c r="G1058" s="37"/>
      <c r="H1058" s="37">
        <f>COUNTIF('(参考)現行システム機能階層一覧'!$E$3:$E$1048576,sheet1!B1058)</f>
        <v>0</v>
      </c>
      <c r="I1058" s="37"/>
      <c r="J1058" s="37"/>
      <c r="K1058" s="37"/>
      <c r="L1058" s="37"/>
    </row>
    <row r="1059" spans="1:12" ht="15.75" customHeight="1">
      <c r="A1059" s="87" t="s">
        <v>3935</v>
      </c>
      <c r="B1059" s="87" t="s">
        <v>5550</v>
      </c>
      <c r="C1059" s="87" t="s">
        <v>5551</v>
      </c>
      <c r="D1059" s="88">
        <v>2830</v>
      </c>
      <c r="E1059" s="85" t="s">
        <v>5494</v>
      </c>
      <c r="F1059" s="87">
        <v>160</v>
      </c>
      <c r="G1059" s="37"/>
      <c r="H1059" s="37">
        <f>COUNTIF('(参考)現行システム機能階層一覧'!$E$3:$E$1048576,sheet1!B1059)</f>
        <v>0</v>
      </c>
      <c r="I1059" s="37"/>
      <c r="J1059" s="37"/>
      <c r="K1059" s="37"/>
      <c r="L1059" s="37"/>
    </row>
    <row r="1060" spans="1:12" ht="15.75" customHeight="1">
      <c r="A1060" s="87" t="s">
        <v>3853</v>
      </c>
      <c r="B1060" s="87" t="s">
        <v>5552</v>
      </c>
      <c r="C1060" s="87" t="s">
        <v>5551</v>
      </c>
      <c r="D1060" s="88">
        <v>64</v>
      </c>
      <c r="E1060" s="85" t="s">
        <v>5494</v>
      </c>
      <c r="F1060" s="87">
        <v>160</v>
      </c>
      <c r="G1060" s="37"/>
      <c r="H1060" s="37">
        <f>COUNTIF('(参考)現行システム機能階層一覧'!$E$3:$E$1048576,sheet1!B1060)</f>
        <v>0</v>
      </c>
      <c r="I1060" s="37"/>
      <c r="J1060" s="37"/>
      <c r="K1060" s="37"/>
      <c r="L1060" s="37"/>
    </row>
    <row r="1061" spans="1:12" ht="15.75" customHeight="1">
      <c r="A1061" s="87" t="s">
        <v>3935</v>
      </c>
      <c r="B1061" s="87" t="s">
        <v>5553</v>
      </c>
      <c r="C1061" s="87" t="s">
        <v>5554</v>
      </c>
      <c r="D1061" s="88">
        <v>2746</v>
      </c>
      <c r="E1061" s="85" t="s">
        <v>5494</v>
      </c>
      <c r="F1061" s="87">
        <v>4</v>
      </c>
      <c r="G1061" s="37"/>
      <c r="H1061" s="37">
        <f>COUNTIF('(参考)現行システム機能階層一覧'!$E$3:$E$1048576,sheet1!B1061)</f>
        <v>0</v>
      </c>
      <c r="I1061" s="37"/>
      <c r="J1061" s="37"/>
      <c r="K1061" s="37"/>
      <c r="L1061" s="37"/>
    </row>
    <row r="1062" spans="1:12" ht="15.75" customHeight="1">
      <c r="A1062" s="87" t="s">
        <v>3853</v>
      </c>
      <c r="B1062" s="87" t="s">
        <v>5555</v>
      </c>
      <c r="C1062" s="87" t="s">
        <v>5554</v>
      </c>
      <c r="D1062" s="88">
        <v>24</v>
      </c>
      <c r="E1062" s="85" t="s">
        <v>5494</v>
      </c>
      <c r="F1062" s="87">
        <v>4</v>
      </c>
      <c r="G1062" s="37"/>
      <c r="H1062" s="37">
        <f>COUNTIF('(参考)現行システム機能階層一覧'!$E$3:$E$1048576,sheet1!B1062)</f>
        <v>0</v>
      </c>
      <c r="I1062" s="37"/>
      <c r="J1062" s="37"/>
      <c r="K1062" s="37"/>
      <c r="L1062" s="37"/>
    </row>
    <row r="1063" spans="1:12" ht="15.75" customHeight="1">
      <c r="A1063" s="87" t="s">
        <v>3935</v>
      </c>
      <c r="B1063" s="87" t="s">
        <v>5556</v>
      </c>
      <c r="C1063" s="87" t="s">
        <v>5557</v>
      </c>
      <c r="D1063" s="88">
        <v>2983</v>
      </c>
      <c r="E1063" s="85" t="s">
        <v>5494</v>
      </c>
      <c r="F1063" s="87">
        <v>1</v>
      </c>
      <c r="G1063" s="37"/>
      <c r="H1063" s="37">
        <f>COUNTIF('(参考)現行システム機能階層一覧'!$E$3:$E$1048576,sheet1!B1063)</f>
        <v>0</v>
      </c>
      <c r="I1063" s="37"/>
      <c r="J1063" s="37"/>
      <c r="K1063" s="37"/>
      <c r="L1063" s="37"/>
    </row>
    <row r="1064" spans="1:12" ht="15.75" customHeight="1">
      <c r="A1064" s="87" t="s">
        <v>3853</v>
      </c>
      <c r="B1064" s="87" t="s">
        <v>5558</v>
      </c>
      <c r="C1064" s="87" t="s">
        <v>5557</v>
      </c>
      <c r="D1064" s="88">
        <v>28</v>
      </c>
      <c r="E1064" s="85" t="s">
        <v>5494</v>
      </c>
      <c r="F1064" s="87">
        <v>4</v>
      </c>
      <c r="G1064" s="37"/>
      <c r="H1064" s="37">
        <f>COUNTIF('(参考)現行システム機能階層一覧'!$E$3:$E$1048576,sheet1!B1064)</f>
        <v>0</v>
      </c>
      <c r="I1064" s="37"/>
      <c r="J1064" s="37"/>
      <c r="K1064" s="37"/>
      <c r="L1064" s="37"/>
    </row>
    <row r="1065" spans="1:12" ht="15.75" customHeight="1">
      <c r="A1065" s="87" t="s">
        <v>3935</v>
      </c>
      <c r="B1065" s="87" t="s">
        <v>5559</v>
      </c>
      <c r="C1065" s="87" t="s">
        <v>5560</v>
      </c>
      <c r="D1065" s="88">
        <v>3524</v>
      </c>
      <c r="E1065" s="85" t="s">
        <v>5494</v>
      </c>
      <c r="F1065" s="87">
        <v>40</v>
      </c>
      <c r="G1065" s="37"/>
      <c r="H1065" s="37">
        <f>COUNTIF('(参考)現行システム機能階層一覧'!$E$3:$E$1048576,sheet1!B1065)</f>
        <v>0</v>
      </c>
      <c r="I1065" s="37"/>
      <c r="J1065" s="37"/>
      <c r="K1065" s="37"/>
      <c r="L1065" s="37"/>
    </row>
    <row r="1066" spans="1:12" ht="15.75" customHeight="1">
      <c r="A1066" s="87" t="s">
        <v>3853</v>
      </c>
      <c r="B1066" s="87" t="s">
        <v>5561</v>
      </c>
      <c r="C1066" s="87" t="s">
        <v>5562</v>
      </c>
      <c r="D1066" s="88">
        <v>65</v>
      </c>
      <c r="E1066" s="85" t="s">
        <v>5494</v>
      </c>
      <c r="F1066" s="87">
        <v>40</v>
      </c>
      <c r="G1066" s="37"/>
      <c r="H1066" s="37">
        <f>COUNTIF('(参考)現行システム機能階層一覧'!$E$3:$E$1048576,sheet1!B1066)</f>
        <v>0</v>
      </c>
      <c r="I1066" s="37"/>
      <c r="J1066" s="37"/>
      <c r="K1066" s="37"/>
      <c r="L1066" s="37"/>
    </row>
    <row r="1067" spans="1:12" ht="15.75" customHeight="1">
      <c r="A1067" s="87" t="s">
        <v>3935</v>
      </c>
      <c r="B1067" s="87" t="s">
        <v>5563</v>
      </c>
      <c r="C1067" s="87" t="s">
        <v>5564</v>
      </c>
      <c r="D1067" s="88">
        <v>77</v>
      </c>
      <c r="E1067" s="85" t="s">
        <v>5494</v>
      </c>
      <c r="F1067" s="87">
        <v>1</v>
      </c>
      <c r="G1067" s="37"/>
      <c r="H1067" s="37">
        <f>COUNTIF('(参考)現行システム機能階層一覧'!$E$3:$E$1048576,sheet1!B1067)</f>
        <v>0</v>
      </c>
      <c r="I1067" s="37"/>
      <c r="J1067" s="37"/>
      <c r="K1067" s="37"/>
      <c r="L1067" s="37"/>
    </row>
    <row r="1068" spans="1:12" ht="15.75" customHeight="1">
      <c r="A1068" s="87" t="s">
        <v>3853</v>
      </c>
      <c r="B1068" s="87" t="s">
        <v>5565</v>
      </c>
      <c r="C1068" s="87" t="s">
        <v>5566</v>
      </c>
      <c r="D1068" s="88">
        <v>78</v>
      </c>
      <c r="E1068" s="85" t="s">
        <v>5494</v>
      </c>
      <c r="F1068" s="87">
        <v>1</v>
      </c>
      <c r="G1068" s="37"/>
      <c r="H1068" s="37">
        <f>COUNTIF('(参考)現行システム機能階層一覧'!$E$3:$E$1048576,sheet1!B1068)</f>
        <v>0</v>
      </c>
      <c r="I1068" s="37"/>
      <c r="J1068" s="37"/>
      <c r="K1068" s="37"/>
      <c r="L1068" s="37"/>
    </row>
    <row r="1069" spans="1:12" ht="15.75" customHeight="1">
      <c r="A1069" s="87" t="s">
        <v>3935</v>
      </c>
      <c r="B1069" s="87" t="s">
        <v>5567</v>
      </c>
      <c r="C1069" s="87" t="s">
        <v>5568</v>
      </c>
      <c r="D1069" s="88">
        <v>1305</v>
      </c>
      <c r="E1069" s="85" t="s">
        <v>5494</v>
      </c>
      <c r="F1069" s="87">
        <v>2</v>
      </c>
      <c r="G1069" s="37"/>
      <c r="H1069" s="37">
        <f>COUNTIF('(参考)現行システム機能階層一覧'!$E$3:$E$1048576,sheet1!B1069)</f>
        <v>0</v>
      </c>
      <c r="I1069" s="37"/>
      <c r="J1069" s="37"/>
      <c r="K1069" s="37"/>
      <c r="L1069" s="37"/>
    </row>
    <row r="1070" spans="1:12" ht="15.75" customHeight="1">
      <c r="A1070" s="87" t="s">
        <v>3853</v>
      </c>
      <c r="B1070" s="87" t="s">
        <v>5569</v>
      </c>
      <c r="C1070" s="87" t="s">
        <v>5568</v>
      </c>
      <c r="D1070" s="88">
        <v>10</v>
      </c>
      <c r="E1070" s="85" t="s">
        <v>5494</v>
      </c>
      <c r="F1070" s="87">
        <v>2</v>
      </c>
      <c r="G1070" s="37"/>
      <c r="H1070" s="37">
        <f>COUNTIF('(参考)現行システム機能階層一覧'!$E$3:$E$1048576,sheet1!B1070)</f>
        <v>0</v>
      </c>
      <c r="I1070" s="37"/>
      <c r="J1070" s="37"/>
      <c r="K1070" s="37"/>
      <c r="L1070" s="37"/>
    </row>
    <row r="1071" spans="1:12" ht="15.75" customHeight="1">
      <c r="A1071" s="87" t="s">
        <v>3935</v>
      </c>
      <c r="B1071" s="87" t="s">
        <v>5570</v>
      </c>
      <c r="C1071" s="87" t="s">
        <v>5571</v>
      </c>
      <c r="D1071" s="88">
        <v>74</v>
      </c>
      <c r="E1071" s="85" t="s">
        <v>5494</v>
      </c>
      <c r="F1071" s="87">
        <v>1</v>
      </c>
      <c r="G1071" s="37"/>
      <c r="H1071" s="37">
        <f>COUNTIF('(参考)現行システム機能階層一覧'!$E$3:$E$1048576,sheet1!B1071)</f>
        <v>0</v>
      </c>
      <c r="I1071" s="37"/>
      <c r="J1071" s="37"/>
      <c r="K1071" s="37"/>
      <c r="L1071" s="37"/>
    </row>
    <row r="1072" spans="1:12" ht="15.75" customHeight="1">
      <c r="A1072" s="87" t="s">
        <v>3853</v>
      </c>
      <c r="B1072" s="87" t="s">
        <v>5572</v>
      </c>
      <c r="C1072" s="87" t="s">
        <v>5571</v>
      </c>
      <c r="D1072" s="88">
        <v>33</v>
      </c>
      <c r="E1072" s="85" t="s">
        <v>5494</v>
      </c>
      <c r="F1072" s="87">
        <v>1</v>
      </c>
      <c r="G1072" s="37"/>
      <c r="H1072" s="37">
        <f>COUNTIF('(参考)現行システム機能階層一覧'!$E$3:$E$1048576,sheet1!B1072)</f>
        <v>0</v>
      </c>
      <c r="I1072" s="37"/>
      <c r="J1072" s="37"/>
      <c r="K1072" s="37"/>
      <c r="L1072" s="37"/>
    </row>
    <row r="1073" spans="1:12" ht="15.75" customHeight="1">
      <c r="A1073" s="87" t="s">
        <v>3935</v>
      </c>
      <c r="B1073" s="87" t="s">
        <v>5573</v>
      </c>
      <c r="C1073" s="87" t="s">
        <v>5574</v>
      </c>
      <c r="D1073" s="88">
        <v>1750</v>
      </c>
      <c r="E1073" s="85" t="s">
        <v>5494</v>
      </c>
      <c r="F1073" s="87">
        <v>5</v>
      </c>
      <c r="G1073" s="37"/>
      <c r="H1073" s="37">
        <f>COUNTIF('(参考)現行システム機能階層一覧'!$E$3:$E$1048576,sheet1!B1073)</f>
        <v>0</v>
      </c>
      <c r="I1073" s="37"/>
      <c r="J1073" s="37"/>
      <c r="K1073" s="37"/>
      <c r="L1073" s="37"/>
    </row>
    <row r="1074" spans="1:12" ht="15.75" customHeight="1">
      <c r="A1074" s="87" t="s">
        <v>3853</v>
      </c>
      <c r="B1074" s="87" t="s">
        <v>5575</v>
      </c>
      <c r="C1074" s="87" t="s">
        <v>5574</v>
      </c>
      <c r="D1074" s="88">
        <v>27</v>
      </c>
      <c r="E1074" s="85" t="s">
        <v>5494</v>
      </c>
      <c r="F1074" s="87">
        <v>5</v>
      </c>
      <c r="G1074" s="37"/>
      <c r="H1074" s="37">
        <f>COUNTIF('(参考)現行システム機能階層一覧'!$E$3:$E$1048576,sheet1!B1074)</f>
        <v>0</v>
      </c>
      <c r="I1074" s="37"/>
      <c r="J1074" s="37"/>
      <c r="K1074" s="37"/>
      <c r="L1074" s="37"/>
    </row>
    <row r="1075" spans="1:12" ht="15.75" customHeight="1">
      <c r="A1075" s="87" t="s">
        <v>3935</v>
      </c>
      <c r="B1075" s="87" t="s">
        <v>5576</v>
      </c>
      <c r="C1075" s="87" t="s">
        <v>5577</v>
      </c>
      <c r="D1075" s="88">
        <v>4283</v>
      </c>
      <c r="E1075" s="85" t="s">
        <v>5494</v>
      </c>
      <c r="F1075" s="87">
        <v>4</v>
      </c>
      <c r="G1075" s="37"/>
      <c r="H1075" s="37">
        <f>COUNTIF('(参考)現行システム機能階層一覧'!$E$3:$E$1048576,sheet1!B1075)</f>
        <v>0</v>
      </c>
      <c r="I1075" s="37"/>
      <c r="J1075" s="37"/>
      <c r="K1075" s="37"/>
      <c r="L1075" s="37"/>
    </row>
    <row r="1076" spans="1:12" ht="15.75" customHeight="1">
      <c r="A1076" s="87" t="s">
        <v>3853</v>
      </c>
      <c r="B1076" s="87" t="s">
        <v>5578</v>
      </c>
      <c r="C1076" s="87" t="s">
        <v>5577</v>
      </c>
      <c r="D1076" s="88">
        <v>101</v>
      </c>
      <c r="E1076" s="85" t="s">
        <v>5494</v>
      </c>
      <c r="F1076" s="87">
        <v>4</v>
      </c>
      <c r="G1076" s="37"/>
      <c r="H1076" s="37">
        <f>COUNTIF('(参考)現行システム機能階層一覧'!$E$3:$E$1048576,sheet1!B1076)</f>
        <v>0</v>
      </c>
      <c r="I1076" s="37"/>
      <c r="J1076" s="37"/>
      <c r="K1076" s="37"/>
      <c r="L1076" s="37"/>
    </row>
    <row r="1077" spans="1:12" ht="15.75" customHeight="1">
      <c r="A1077" s="87" t="s">
        <v>3935</v>
      </c>
      <c r="B1077" s="87" t="s">
        <v>5579</v>
      </c>
      <c r="C1077" s="87" t="s">
        <v>5580</v>
      </c>
      <c r="D1077" s="88">
        <v>1994</v>
      </c>
      <c r="E1077" s="85" t="s">
        <v>5494</v>
      </c>
      <c r="F1077" s="87">
        <v>1</v>
      </c>
      <c r="G1077" s="37"/>
      <c r="H1077" s="37">
        <f>COUNTIF('(参考)現行システム機能階層一覧'!$E$3:$E$1048576,sheet1!B1077)</f>
        <v>0</v>
      </c>
      <c r="I1077" s="37"/>
      <c r="J1077" s="37"/>
      <c r="K1077" s="37"/>
      <c r="L1077" s="37"/>
    </row>
    <row r="1078" spans="1:12" ht="15.75" customHeight="1">
      <c r="A1078" s="87" t="s">
        <v>3853</v>
      </c>
      <c r="B1078" s="87" t="s">
        <v>5581</v>
      </c>
      <c r="C1078" s="87" t="s">
        <v>5580</v>
      </c>
      <c r="D1078" s="88">
        <v>10</v>
      </c>
      <c r="E1078" s="85" t="s">
        <v>5494</v>
      </c>
      <c r="F1078" s="87">
        <v>1</v>
      </c>
      <c r="G1078" s="37"/>
      <c r="H1078" s="37">
        <f>COUNTIF('(参考)現行システム機能階層一覧'!$E$3:$E$1048576,sheet1!B1078)</f>
        <v>0</v>
      </c>
      <c r="I1078" s="37"/>
      <c r="J1078" s="37"/>
      <c r="K1078" s="37"/>
      <c r="L1078" s="37"/>
    </row>
    <row r="1079" spans="1:12" ht="15.75" customHeight="1">
      <c r="A1079" s="87" t="s">
        <v>3853</v>
      </c>
      <c r="B1079" s="87" t="s">
        <v>5582</v>
      </c>
      <c r="C1079" s="87" t="s">
        <v>5583</v>
      </c>
      <c r="D1079" s="88">
        <v>33</v>
      </c>
      <c r="E1079" s="85" t="s">
        <v>5494</v>
      </c>
      <c r="F1079" s="87">
        <v>1</v>
      </c>
      <c r="G1079" s="37"/>
      <c r="H1079" s="37">
        <f>COUNTIF('(参考)現行システム機能階層一覧'!$E$3:$E$1048576,sheet1!B1079)</f>
        <v>0</v>
      </c>
      <c r="I1079" s="37"/>
      <c r="J1079" s="37"/>
      <c r="K1079" s="37"/>
      <c r="L1079" s="37"/>
    </row>
    <row r="1080" spans="1:12" ht="15.75" customHeight="1">
      <c r="A1080" s="87" t="s">
        <v>3935</v>
      </c>
      <c r="B1080" s="87" t="s">
        <v>5584</v>
      </c>
      <c r="C1080" s="87" t="s">
        <v>5585</v>
      </c>
      <c r="D1080" s="88">
        <v>1942</v>
      </c>
      <c r="E1080" s="85" t="s">
        <v>5494</v>
      </c>
      <c r="F1080" s="87">
        <v>13</v>
      </c>
      <c r="G1080" s="37"/>
      <c r="H1080" s="37">
        <f>COUNTIF('(参考)現行システム機能階層一覧'!$E$3:$E$1048576,sheet1!B1080)</f>
        <v>0</v>
      </c>
      <c r="I1080" s="37"/>
      <c r="J1080" s="37"/>
      <c r="K1080" s="37"/>
      <c r="L1080" s="37"/>
    </row>
    <row r="1081" spans="1:12" ht="15.75" customHeight="1">
      <c r="A1081" s="87" t="s">
        <v>3853</v>
      </c>
      <c r="B1081" s="87" t="s">
        <v>5586</v>
      </c>
      <c r="C1081" s="87" t="s">
        <v>5585</v>
      </c>
      <c r="D1081" s="88">
        <v>47</v>
      </c>
      <c r="E1081" s="85" t="s">
        <v>5494</v>
      </c>
      <c r="F1081" s="87">
        <v>13</v>
      </c>
      <c r="G1081" s="37"/>
      <c r="H1081" s="37">
        <f>COUNTIF('(参考)現行システム機能階層一覧'!$E$3:$E$1048576,sheet1!B1081)</f>
        <v>0</v>
      </c>
      <c r="I1081" s="37"/>
      <c r="J1081" s="37"/>
      <c r="K1081" s="37"/>
      <c r="L1081" s="37"/>
    </row>
    <row r="1082" spans="1:12" ht="15.75" customHeight="1">
      <c r="A1082" s="87" t="s">
        <v>3935</v>
      </c>
      <c r="B1082" s="87" t="s">
        <v>5587</v>
      </c>
      <c r="C1082" s="87" t="s">
        <v>5588</v>
      </c>
      <c r="D1082" s="88">
        <v>1167</v>
      </c>
      <c r="E1082" s="85" t="s">
        <v>5494</v>
      </c>
      <c r="F1082" s="87">
        <v>1</v>
      </c>
      <c r="G1082" s="37"/>
      <c r="H1082" s="37">
        <f>COUNTIF('(参考)現行システム機能階層一覧'!$E$3:$E$1048576,sheet1!B1082)</f>
        <v>0</v>
      </c>
      <c r="I1082" s="37"/>
      <c r="J1082" s="37"/>
      <c r="K1082" s="37"/>
      <c r="L1082" s="37"/>
    </row>
    <row r="1083" spans="1:12" ht="15.75" customHeight="1">
      <c r="A1083" s="87" t="s">
        <v>3853</v>
      </c>
      <c r="B1083" s="87" t="s">
        <v>5589</v>
      </c>
      <c r="C1083" s="87" t="s">
        <v>5590</v>
      </c>
      <c r="D1083" s="88">
        <v>10</v>
      </c>
      <c r="E1083" s="85" t="s">
        <v>5494</v>
      </c>
      <c r="F1083" s="87">
        <v>1</v>
      </c>
      <c r="G1083" s="37"/>
      <c r="H1083" s="37">
        <f>COUNTIF('(参考)現行システム機能階層一覧'!$E$3:$E$1048576,sheet1!B1083)</f>
        <v>0</v>
      </c>
      <c r="I1083" s="37"/>
      <c r="J1083" s="37"/>
      <c r="K1083" s="37"/>
      <c r="L1083" s="37"/>
    </row>
    <row r="1084" spans="1:12" ht="15.75" customHeight="1">
      <c r="A1084" s="87" t="s">
        <v>3853</v>
      </c>
      <c r="B1084" s="87" t="s">
        <v>5591</v>
      </c>
      <c r="C1084" s="87" t="s">
        <v>5592</v>
      </c>
      <c r="D1084" s="88">
        <v>31</v>
      </c>
      <c r="E1084" s="85" t="s">
        <v>5494</v>
      </c>
      <c r="F1084" s="87">
        <v>1</v>
      </c>
      <c r="G1084" s="37"/>
      <c r="H1084" s="37">
        <f>COUNTIF('(参考)現行システム機能階層一覧'!$E$3:$E$1048576,sheet1!B1084)</f>
        <v>0</v>
      </c>
      <c r="I1084" s="37"/>
      <c r="J1084" s="37"/>
      <c r="K1084" s="37"/>
      <c r="L1084" s="37"/>
    </row>
    <row r="1085" spans="1:12" ht="15.75" customHeight="1">
      <c r="A1085" s="87" t="s">
        <v>3935</v>
      </c>
      <c r="B1085" s="87" t="s">
        <v>5593</v>
      </c>
      <c r="C1085" s="87" t="s">
        <v>5594</v>
      </c>
      <c r="D1085" s="88">
        <v>1065</v>
      </c>
      <c r="E1085" s="85" t="s">
        <v>5494</v>
      </c>
      <c r="F1085" s="87">
        <v>172</v>
      </c>
      <c r="G1085" s="37"/>
      <c r="H1085" s="37">
        <f>COUNTIF('(参考)現行システム機能階層一覧'!$E$3:$E$1048576,sheet1!B1085)</f>
        <v>0</v>
      </c>
      <c r="I1085" s="37"/>
      <c r="J1085" s="37"/>
      <c r="K1085" s="37"/>
      <c r="L1085" s="37"/>
    </row>
    <row r="1086" spans="1:12" ht="15.75" customHeight="1">
      <c r="A1086" s="87" t="s">
        <v>3853</v>
      </c>
      <c r="B1086" s="87" t="s">
        <v>5595</v>
      </c>
      <c r="C1086" s="87" t="s">
        <v>5594</v>
      </c>
      <c r="D1086" s="88">
        <v>159</v>
      </c>
      <c r="E1086" s="85" t="s">
        <v>5494</v>
      </c>
      <c r="F1086" s="87">
        <v>172</v>
      </c>
      <c r="G1086" s="37"/>
      <c r="H1086" s="37">
        <f>COUNTIF('(参考)現行システム機能階層一覧'!$E$3:$E$1048576,sheet1!B1086)</f>
        <v>0</v>
      </c>
      <c r="I1086" s="37"/>
      <c r="J1086" s="37"/>
      <c r="K1086" s="37"/>
      <c r="L1086" s="37"/>
    </row>
    <row r="1087" spans="1:12" ht="15.75" customHeight="1">
      <c r="A1087" s="87" t="s">
        <v>3853</v>
      </c>
      <c r="B1087" s="87" t="s">
        <v>5596</v>
      </c>
      <c r="C1087" s="87" t="s">
        <v>5597</v>
      </c>
      <c r="D1087" s="88">
        <v>30</v>
      </c>
      <c r="E1087" s="85" t="s">
        <v>5494</v>
      </c>
      <c r="F1087" s="87">
        <v>3</v>
      </c>
      <c r="G1087" s="37"/>
      <c r="H1087" s="37">
        <f>COUNTIF('(参考)現行システム機能階層一覧'!$E$3:$E$1048576,sheet1!B1087)</f>
        <v>0</v>
      </c>
      <c r="I1087" s="37"/>
      <c r="J1087" s="37"/>
      <c r="K1087" s="37"/>
      <c r="L1087" s="37"/>
    </row>
    <row r="1088" spans="1:12" ht="15.75" customHeight="1">
      <c r="A1088" s="87" t="s">
        <v>3935</v>
      </c>
      <c r="B1088" s="87" t="s">
        <v>5598</v>
      </c>
      <c r="C1088" s="87" t="s">
        <v>5599</v>
      </c>
      <c r="D1088" s="88">
        <v>721</v>
      </c>
      <c r="E1088" s="85" t="s">
        <v>5494</v>
      </c>
      <c r="F1088" s="87">
        <v>3</v>
      </c>
      <c r="G1088" s="37"/>
      <c r="H1088" s="37">
        <f>COUNTIF('(参考)現行システム機能階層一覧'!$E$3:$E$1048576,sheet1!B1088)</f>
        <v>0</v>
      </c>
      <c r="I1088" s="37"/>
      <c r="J1088" s="37"/>
      <c r="K1088" s="37"/>
      <c r="L1088" s="37"/>
    </row>
    <row r="1089" spans="1:12" ht="15.75" customHeight="1">
      <c r="A1089" s="87" t="s">
        <v>3853</v>
      </c>
      <c r="B1089" s="87" t="s">
        <v>5600</v>
      </c>
      <c r="C1089" s="87" t="s">
        <v>5599</v>
      </c>
      <c r="D1089" s="88">
        <v>49</v>
      </c>
      <c r="E1089" s="85" t="s">
        <v>5494</v>
      </c>
      <c r="F1089" s="87">
        <v>3</v>
      </c>
      <c r="G1089" s="37"/>
      <c r="H1089" s="37">
        <f>COUNTIF('(参考)現行システム機能階層一覧'!$E$3:$E$1048576,sheet1!B1089)</f>
        <v>0</v>
      </c>
      <c r="I1089" s="37"/>
      <c r="J1089" s="37"/>
      <c r="K1089" s="37"/>
      <c r="L1089" s="37"/>
    </row>
    <row r="1090" spans="1:12" ht="15.75" customHeight="1">
      <c r="A1090" s="87" t="s">
        <v>3935</v>
      </c>
      <c r="B1090" s="87" t="s">
        <v>5601</v>
      </c>
      <c r="C1090" s="87" t="s">
        <v>5602</v>
      </c>
      <c r="D1090" s="88">
        <v>1258</v>
      </c>
      <c r="E1090" s="85" t="s">
        <v>5494</v>
      </c>
      <c r="F1090" s="87">
        <v>2</v>
      </c>
      <c r="G1090" s="37"/>
      <c r="H1090" s="37">
        <f>COUNTIF('(参考)現行システム機能階層一覧'!$E$3:$E$1048576,sheet1!B1090)</f>
        <v>0</v>
      </c>
      <c r="I1090" s="37"/>
      <c r="J1090" s="37"/>
      <c r="K1090" s="37"/>
      <c r="L1090" s="37"/>
    </row>
    <row r="1091" spans="1:12" ht="15.75" customHeight="1">
      <c r="A1091" s="87" t="s">
        <v>3853</v>
      </c>
      <c r="B1091" s="87" t="s">
        <v>5603</v>
      </c>
      <c r="C1091" s="87" t="s">
        <v>5604</v>
      </c>
      <c r="D1091" s="88">
        <v>21</v>
      </c>
      <c r="E1091" s="85" t="s">
        <v>5494</v>
      </c>
      <c r="F1091" s="87">
        <v>2</v>
      </c>
      <c r="G1091" s="37"/>
      <c r="H1091" s="37">
        <f>COUNTIF('(参考)現行システム機能階層一覧'!$E$3:$E$1048576,sheet1!B1091)</f>
        <v>0</v>
      </c>
      <c r="I1091" s="37"/>
      <c r="J1091" s="37"/>
      <c r="K1091" s="37"/>
      <c r="L1091" s="37"/>
    </row>
    <row r="1092" spans="1:12" ht="15.75" customHeight="1">
      <c r="A1092" s="87" t="s">
        <v>3935</v>
      </c>
      <c r="B1092" s="87" t="s">
        <v>5605</v>
      </c>
      <c r="C1092" s="87" t="s">
        <v>5606</v>
      </c>
      <c r="D1092" s="88">
        <v>1300</v>
      </c>
      <c r="E1092" s="85" t="s">
        <v>5494</v>
      </c>
      <c r="F1092" s="87">
        <v>1</v>
      </c>
      <c r="G1092" s="37"/>
      <c r="H1092" s="37">
        <f>COUNTIF('(参考)現行システム機能階層一覧'!$E$3:$E$1048576,sheet1!B1092)</f>
        <v>0</v>
      </c>
      <c r="I1092" s="37"/>
      <c r="J1092" s="37"/>
      <c r="K1092" s="37"/>
      <c r="L1092" s="37"/>
    </row>
    <row r="1093" spans="1:12" ht="15.75" customHeight="1">
      <c r="A1093" s="87" t="s">
        <v>3853</v>
      </c>
      <c r="B1093" s="87" t="s">
        <v>5607</v>
      </c>
      <c r="C1093" s="87" t="s">
        <v>5606</v>
      </c>
      <c r="D1093" s="88">
        <v>10</v>
      </c>
      <c r="E1093" s="85" t="s">
        <v>5494</v>
      </c>
      <c r="F1093" s="87">
        <v>1</v>
      </c>
      <c r="G1093" s="37"/>
      <c r="H1093" s="37">
        <f>COUNTIF('(参考)現行システム機能階層一覧'!$E$3:$E$1048576,sheet1!B1093)</f>
        <v>0</v>
      </c>
      <c r="I1093" s="37"/>
      <c r="J1093" s="37"/>
      <c r="K1093" s="37"/>
      <c r="L1093" s="37"/>
    </row>
    <row r="1094" spans="1:12" ht="15.75" customHeight="1">
      <c r="A1094" s="87" t="s">
        <v>3853</v>
      </c>
      <c r="B1094" s="87" t="s">
        <v>5608</v>
      </c>
      <c r="C1094" s="87" t="s">
        <v>5609</v>
      </c>
      <c r="D1094" s="88">
        <v>33</v>
      </c>
      <c r="E1094" s="85" t="s">
        <v>5494</v>
      </c>
      <c r="F1094" s="87">
        <v>1</v>
      </c>
      <c r="G1094" s="37"/>
      <c r="H1094" s="37">
        <f>COUNTIF('(参考)現行システム機能階層一覧'!$E$3:$E$1048576,sheet1!B1094)</f>
        <v>0</v>
      </c>
      <c r="I1094" s="37"/>
      <c r="J1094" s="37"/>
      <c r="K1094" s="37"/>
      <c r="L1094" s="37"/>
    </row>
    <row r="1095" spans="1:12" ht="15.75" customHeight="1">
      <c r="A1095" s="87" t="s">
        <v>3935</v>
      </c>
      <c r="B1095" s="87" t="s">
        <v>5610</v>
      </c>
      <c r="C1095" s="87" t="s">
        <v>5611</v>
      </c>
      <c r="D1095" s="88">
        <v>705</v>
      </c>
      <c r="E1095" s="85" t="s">
        <v>5494</v>
      </c>
      <c r="F1095" s="87">
        <v>218</v>
      </c>
      <c r="G1095" s="37"/>
      <c r="H1095" s="37">
        <f>COUNTIF('(参考)現行システム機能階層一覧'!$E$3:$E$1048576,sheet1!B1095)</f>
        <v>0</v>
      </c>
      <c r="I1095" s="37"/>
      <c r="J1095" s="37"/>
      <c r="K1095" s="37"/>
      <c r="L1095" s="37"/>
    </row>
    <row r="1096" spans="1:12" ht="15.75" customHeight="1">
      <c r="A1096" s="87" t="s">
        <v>3853</v>
      </c>
      <c r="B1096" s="87" t="s">
        <v>5612</v>
      </c>
      <c r="C1096" s="87" t="s">
        <v>5611</v>
      </c>
      <c r="D1096" s="88">
        <v>25</v>
      </c>
      <c r="E1096" s="85" t="s">
        <v>5494</v>
      </c>
      <c r="F1096" s="87">
        <v>218</v>
      </c>
      <c r="G1096" s="37"/>
      <c r="H1096" s="37">
        <f>COUNTIF('(参考)現行システム機能階層一覧'!$E$3:$E$1048576,sheet1!B1096)</f>
        <v>0</v>
      </c>
      <c r="I1096" s="37"/>
      <c r="J1096" s="37"/>
      <c r="K1096" s="37"/>
      <c r="L1096" s="37"/>
    </row>
    <row r="1097" spans="1:12" ht="15.75" customHeight="1">
      <c r="A1097" s="87" t="s">
        <v>3935</v>
      </c>
      <c r="B1097" s="87" t="s">
        <v>5613</v>
      </c>
      <c r="C1097" s="87" t="s">
        <v>5611</v>
      </c>
      <c r="D1097" s="88">
        <v>1182</v>
      </c>
      <c r="E1097" s="85" t="s">
        <v>5494</v>
      </c>
      <c r="F1097" s="87">
        <v>135</v>
      </c>
      <c r="G1097" s="37"/>
      <c r="H1097" s="37">
        <f>COUNTIF('(参考)現行システム機能階層一覧'!$E$3:$E$1048576,sheet1!B1097)</f>
        <v>0</v>
      </c>
      <c r="I1097" s="37"/>
      <c r="J1097" s="37"/>
      <c r="K1097" s="37"/>
      <c r="L1097" s="37"/>
    </row>
    <row r="1098" spans="1:12" ht="15.75" customHeight="1">
      <c r="A1098" s="87" t="s">
        <v>3935</v>
      </c>
      <c r="B1098" s="87" t="s">
        <v>5614</v>
      </c>
      <c r="C1098" s="87" t="s">
        <v>5615</v>
      </c>
      <c r="D1098" s="88">
        <v>694</v>
      </c>
      <c r="E1098" s="85" t="s">
        <v>5494</v>
      </c>
      <c r="F1098" s="87">
        <v>50</v>
      </c>
      <c r="G1098" s="37"/>
      <c r="H1098" s="37">
        <f>COUNTIF('(参考)現行システム機能階層一覧'!$E$3:$E$1048576,sheet1!B1098)</f>
        <v>0</v>
      </c>
      <c r="I1098" s="37"/>
      <c r="J1098" s="37"/>
      <c r="K1098" s="37"/>
      <c r="L1098" s="37"/>
    </row>
    <row r="1099" spans="1:12" ht="15.75" customHeight="1">
      <c r="A1099" s="87" t="s">
        <v>3853</v>
      </c>
      <c r="B1099" s="87" t="s">
        <v>5616</v>
      </c>
      <c r="C1099" s="87" t="s">
        <v>5615</v>
      </c>
      <c r="D1099" s="88">
        <v>21</v>
      </c>
      <c r="E1099" s="85" t="s">
        <v>5494</v>
      </c>
      <c r="F1099" s="87">
        <v>50</v>
      </c>
      <c r="G1099" s="37"/>
      <c r="H1099" s="37">
        <f>COUNTIF('(参考)現行システム機能階層一覧'!$E$3:$E$1048576,sheet1!B1099)</f>
        <v>0</v>
      </c>
      <c r="I1099" s="37"/>
      <c r="J1099" s="37"/>
      <c r="K1099" s="37"/>
      <c r="L1099" s="37"/>
    </row>
    <row r="1100" spans="1:12" ht="15.75" customHeight="1">
      <c r="A1100" s="87" t="s">
        <v>3935</v>
      </c>
      <c r="B1100" s="87" t="s">
        <v>5617</v>
      </c>
      <c r="C1100" s="87" t="s">
        <v>5618</v>
      </c>
      <c r="D1100" s="88">
        <v>400</v>
      </c>
      <c r="E1100" s="85" t="s">
        <v>5494</v>
      </c>
      <c r="F1100" s="87">
        <v>32</v>
      </c>
      <c r="G1100" s="37"/>
      <c r="H1100" s="37">
        <f>COUNTIF('(参考)現行システム機能階層一覧'!$E$3:$E$1048576,sheet1!B1100)</f>
        <v>0</v>
      </c>
      <c r="I1100" s="37"/>
      <c r="J1100" s="37"/>
      <c r="K1100" s="37"/>
      <c r="L1100" s="37"/>
    </row>
    <row r="1101" spans="1:12" ht="15.75" customHeight="1">
      <c r="A1101" s="87" t="s">
        <v>3935</v>
      </c>
      <c r="B1101" s="87" t="s">
        <v>5619</v>
      </c>
      <c r="C1101" s="87" t="s">
        <v>5620</v>
      </c>
      <c r="D1101" s="88">
        <v>510</v>
      </c>
      <c r="E1101" s="85" t="s">
        <v>5494</v>
      </c>
      <c r="F1101" s="87">
        <v>7</v>
      </c>
      <c r="G1101" s="37"/>
      <c r="H1101" s="37">
        <f>COUNTIF('(参考)現行システム機能階層一覧'!$E$3:$E$1048576,sheet1!B1101)</f>
        <v>0</v>
      </c>
      <c r="I1101" s="37"/>
      <c r="J1101" s="37"/>
      <c r="K1101" s="37"/>
      <c r="L1101" s="37"/>
    </row>
    <row r="1102" spans="1:12" ht="15.75" customHeight="1">
      <c r="A1102" s="87" t="s">
        <v>3853</v>
      </c>
      <c r="B1102" s="87" t="s">
        <v>5621</v>
      </c>
      <c r="C1102" s="87" t="s">
        <v>5620</v>
      </c>
      <c r="D1102" s="88">
        <v>30</v>
      </c>
      <c r="E1102" s="85" t="s">
        <v>5494</v>
      </c>
      <c r="F1102" s="87">
        <v>7</v>
      </c>
      <c r="G1102" s="37"/>
      <c r="H1102" s="37">
        <f>COUNTIF('(参考)現行システム機能階層一覧'!$E$3:$E$1048576,sheet1!B1102)</f>
        <v>0</v>
      </c>
      <c r="I1102" s="37"/>
      <c r="J1102" s="37"/>
      <c r="K1102" s="37"/>
      <c r="L1102" s="37"/>
    </row>
    <row r="1103" spans="1:12" ht="15.75" customHeight="1">
      <c r="A1103" s="87" t="s">
        <v>3935</v>
      </c>
      <c r="B1103" s="87" t="s">
        <v>5622</v>
      </c>
      <c r="C1103" s="87" t="s">
        <v>5623</v>
      </c>
      <c r="D1103" s="88">
        <v>1002</v>
      </c>
      <c r="E1103" s="85" t="s">
        <v>5494</v>
      </c>
      <c r="F1103" s="87">
        <v>1</v>
      </c>
      <c r="G1103" s="37"/>
      <c r="H1103" s="37">
        <f>COUNTIF('(参考)現行システム機能階層一覧'!$E$3:$E$1048576,sheet1!B1103)</f>
        <v>0</v>
      </c>
      <c r="I1103" s="37"/>
      <c r="J1103" s="37"/>
      <c r="K1103" s="37"/>
      <c r="L1103" s="37"/>
    </row>
    <row r="1104" spans="1:12" ht="15.75" customHeight="1">
      <c r="A1104" s="87" t="s">
        <v>3935</v>
      </c>
      <c r="B1104" s="87" t="s">
        <v>5624</v>
      </c>
      <c r="C1104" s="87" t="s">
        <v>5625</v>
      </c>
      <c r="D1104" s="88">
        <v>499</v>
      </c>
      <c r="E1104" s="85" t="s">
        <v>5494</v>
      </c>
      <c r="F1104" s="87">
        <v>5</v>
      </c>
      <c r="G1104" s="37"/>
      <c r="H1104" s="37">
        <f>COUNTIF('(参考)現行システム機能階層一覧'!$E$3:$E$1048576,sheet1!B1104)</f>
        <v>0</v>
      </c>
      <c r="I1104" s="37"/>
      <c r="J1104" s="37"/>
      <c r="K1104" s="37"/>
      <c r="L1104" s="37"/>
    </row>
    <row r="1105" spans="1:12" ht="15.75" customHeight="1">
      <c r="A1105" s="87" t="s">
        <v>3853</v>
      </c>
      <c r="B1105" s="87" t="s">
        <v>5626</v>
      </c>
      <c r="C1105" s="87" t="s">
        <v>5625</v>
      </c>
      <c r="D1105" s="88">
        <v>30</v>
      </c>
      <c r="E1105" s="85" t="s">
        <v>5494</v>
      </c>
      <c r="F1105" s="87">
        <v>5</v>
      </c>
      <c r="G1105" s="37"/>
      <c r="H1105" s="37">
        <f>COUNTIF('(参考)現行システム機能階層一覧'!$E$3:$E$1048576,sheet1!B1105)</f>
        <v>0</v>
      </c>
      <c r="I1105" s="37"/>
      <c r="J1105" s="37"/>
      <c r="K1105" s="37"/>
      <c r="L1105" s="37"/>
    </row>
    <row r="1106" spans="1:12" ht="15.75" customHeight="1">
      <c r="A1106" s="87" t="s">
        <v>3935</v>
      </c>
      <c r="B1106" s="87" t="s">
        <v>5627</v>
      </c>
      <c r="C1106" s="87" t="s">
        <v>5628</v>
      </c>
      <c r="D1106" s="88">
        <v>901</v>
      </c>
      <c r="E1106" s="85" t="s">
        <v>5494</v>
      </c>
      <c r="F1106" s="87">
        <v>1</v>
      </c>
      <c r="G1106" s="37"/>
      <c r="H1106" s="37">
        <f>COUNTIF('(参考)現行システム機能階層一覧'!$E$3:$E$1048576,sheet1!B1106)</f>
        <v>0</v>
      </c>
      <c r="I1106" s="37"/>
      <c r="J1106" s="37"/>
      <c r="K1106" s="37"/>
      <c r="L1106" s="37"/>
    </row>
    <row r="1107" spans="1:12" ht="15.75" customHeight="1">
      <c r="A1107" s="87" t="s">
        <v>3935</v>
      </c>
      <c r="B1107" s="87" t="s">
        <v>5629</v>
      </c>
      <c r="C1107" s="87" t="s">
        <v>5630</v>
      </c>
      <c r="D1107" s="88">
        <v>836</v>
      </c>
      <c r="E1107" s="85" t="s">
        <v>5494</v>
      </c>
      <c r="F1107" s="87">
        <v>1886</v>
      </c>
      <c r="G1107" s="37"/>
      <c r="H1107" s="37">
        <f>COUNTIF('(参考)現行システム機能階層一覧'!$E$3:$E$1048576,sheet1!B1107)</f>
        <v>0</v>
      </c>
      <c r="I1107" s="37"/>
      <c r="J1107" s="37"/>
      <c r="K1107" s="37"/>
      <c r="L1107" s="37"/>
    </row>
    <row r="1108" spans="1:12" ht="15.75" customHeight="1">
      <c r="A1108" s="87" t="s">
        <v>3853</v>
      </c>
      <c r="B1108" s="87" t="s">
        <v>5631</v>
      </c>
      <c r="C1108" s="87" t="s">
        <v>5630</v>
      </c>
      <c r="D1108" s="88">
        <v>24</v>
      </c>
      <c r="E1108" s="85" t="s">
        <v>5494</v>
      </c>
      <c r="F1108" s="87">
        <v>1886</v>
      </c>
      <c r="G1108" s="37"/>
      <c r="H1108" s="37">
        <f>COUNTIF('(参考)現行システム機能階層一覧'!$E$3:$E$1048576,sheet1!B1108)</f>
        <v>0</v>
      </c>
      <c r="I1108" s="37"/>
      <c r="J1108" s="37"/>
      <c r="K1108" s="37"/>
      <c r="L1108" s="37"/>
    </row>
    <row r="1109" spans="1:12" ht="15.75" customHeight="1">
      <c r="A1109" s="87" t="s">
        <v>3935</v>
      </c>
      <c r="B1109" s="87" t="s">
        <v>5632</v>
      </c>
      <c r="C1109" s="87" t="s">
        <v>5633</v>
      </c>
      <c r="D1109" s="88">
        <v>1871</v>
      </c>
      <c r="E1109" s="85" t="s">
        <v>5494</v>
      </c>
      <c r="F1109" s="87">
        <v>281</v>
      </c>
      <c r="G1109" s="37"/>
      <c r="H1109" s="37">
        <f>COUNTIF('(参考)現行システム機能階層一覧'!$E$3:$E$1048576,sheet1!B1109)</f>
        <v>0</v>
      </c>
      <c r="I1109" s="37"/>
      <c r="J1109" s="37"/>
      <c r="K1109" s="37"/>
      <c r="L1109" s="37"/>
    </row>
    <row r="1110" spans="1:12" ht="15.75" customHeight="1">
      <c r="A1110" s="87" t="s">
        <v>3853</v>
      </c>
      <c r="B1110" s="87" t="s">
        <v>5634</v>
      </c>
      <c r="C1110" s="87" t="s">
        <v>5635</v>
      </c>
      <c r="D1110" s="88">
        <v>23</v>
      </c>
      <c r="E1110" s="85" t="s">
        <v>5494</v>
      </c>
      <c r="F1110" s="87">
        <v>281</v>
      </c>
      <c r="G1110" s="37"/>
      <c r="H1110" s="37">
        <f>COUNTIF('(参考)現行システム機能階層一覧'!$E$3:$E$1048576,sheet1!B1110)</f>
        <v>0</v>
      </c>
      <c r="I1110" s="37"/>
      <c r="J1110" s="37"/>
      <c r="K1110" s="37"/>
      <c r="L1110" s="37"/>
    </row>
    <row r="1111" spans="1:12" ht="15.75" customHeight="1">
      <c r="A1111" s="87" t="s">
        <v>3935</v>
      </c>
      <c r="B1111" s="87" t="s">
        <v>5636</v>
      </c>
      <c r="C1111" s="87" t="s">
        <v>5637</v>
      </c>
      <c r="D1111" s="88">
        <v>526</v>
      </c>
      <c r="E1111" s="85" t="s">
        <v>5494</v>
      </c>
      <c r="F1111" s="87">
        <v>7</v>
      </c>
      <c r="G1111" s="37"/>
      <c r="H1111" s="37">
        <f>COUNTIF('(参考)現行システム機能階層一覧'!$E$3:$E$1048576,sheet1!B1111)</f>
        <v>0</v>
      </c>
      <c r="I1111" s="37"/>
      <c r="J1111" s="37"/>
      <c r="K1111" s="37"/>
      <c r="L1111" s="37"/>
    </row>
    <row r="1112" spans="1:12" ht="15.75" customHeight="1">
      <c r="A1112" s="87" t="s">
        <v>3935</v>
      </c>
      <c r="B1112" s="87" t="s">
        <v>5638</v>
      </c>
      <c r="C1112" s="87" t="s">
        <v>5639</v>
      </c>
      <c r="D1112" s="88">
        <v>824</v>
      </c>
      <c r="E1112" s="85" t="s">
        <v>5494</v>
      </c>
      <c r="F1112" s="87">
        <v>167</v>
      </c>
      <c r="G1112" s="37"/>
      <c r="H1112" s="37">
        <f>COUNTIF('(参考)現行システム機能階層一覧'!$E$3:$E$1048576,sheet1!B1112)</f>
        <v>0</v>
      </c>
      <c r="I1112" s="37"/>
      <c r="J1112" s="37"/>
      <c r="K1112" s="37"/>
      <c r="L1112" s="37"/>
    </row>
    <row r="1113" spans="1:12" ht="15.75" customHeight="1">
      <c r="A1113" s="87" t="s">
        <v>3935</v>
      </c>
      <c r="B1113" s="87" t="s">
        <v>5640</v>
      </c>
      <c r="C1113" s="87" t="s">
        <v>5641</v>
      </c>
      <c r="D1113" s="88">
        <v>312</v>
      </c>
      <c r="E1113" s="85" t="s">
        <v>5494</v>
      </c>
      <c r="F1113" s="87">
        <v>48</v>
      </c>
      <c r="G1113" s="37"/>
      <c r="H1113" s="37">
        <f>COUNTIF('(参考)現行システム機能階層一覧'!$E$3:$E$1048576,sheet1!B1113)</f>
        <v>0</v>
      </c>
      <c r="I1113" s="37"/>
      <c r="J1113" s="37"/>
      <c r="K1113" s="37"/>
      <c r="L1113" s="37"/>
    </row>
    <row r="1114" spans="1:12" ht="15.75" customHeight="1">
      <c r="A1114" s="87" t="s">
        <v>3935</v>
      </c>
      <c r="B1114" s="87" t="s">
        <v>5642</v>
      </c>
      <c r="C1114" s="87" t="s">
        <v>5643</v>
      </c>
      <c r="D1114" s="88">
        <v>334</v>
      </c>
      <c r="E1114" s="85" t="s">
        <v>5494</v>
      </c>
      <c r="F1114" s="87">
        <v>104</v>
      </c>
      <c r="G1114" s="37"/>
      <c r="H1114" s="37">
        <f>COUNTIF('(参考)現行システム機能階層一覧'!$E$3:$E$1048576,sheet1!B1114)</f>
        <v>0</v>
      </c>
      <c r="I1114" s="37"/>
      <c r="J1114" s="37"/>
      <c r="K1114" s="37"/>
      <c r="L1114" s="37"/>
    </row>
    <row r="1115" spans="1:12" ht="15.75" customHeight="1">
      <c r="A1115" s="87" t="s">
        <v>3935</v>
      </c>
      <c r="B1115" s="87" t="s">
        <v>5644</v>
      </c>
      <c r="C1115" s="87" t="s">
        <v>5645</v>
      </c>
      <c r="D1115" s="88">
        <v>399</v>
      </c>
      <c r="E1115" s="85" t="s">
        <v>5494</v>
      </c>
      <c r="F1115" s="87">
        <v>12</v>
      </c>
      <c r="G1115" s="37"/>
      <c r="H1115" s="37">
        <f>COUNTIF('(参考)現行システム機能階層一覧'!$E$3:$E$1048576,sheet1!B1115)</f>
        <v>0</v>
      </c>
      <c r="I1115" s="37"/>
      <c r="J1115" s="37"/>
      <c r="K1115" s="37"/>
      <c r="L1115" s="37"/>
    </row>
    <row r="1116" spans="1:12" ht="15.75" customHeight="1">
      <c r="A1116" s="87" t="s">
        <v>3935</v>
      </c>
      <c r="B1116" s="87" t="s">
        <v>5646</v>
      </c>
      <c r="C1116" s="87" t="s">
        <v>5647</v>
      </c>
      <c r="D1116" s="88">
        <v>215</v>
      </c>
      <c r="E1116" s="85" t="s">
        <v>5494</v>
      </c>
      <c r="F1116" s="87">
        <v>6</v>
      </c>
      <c r="G1116" s="37"/>
      <c r="H1116" s="37">
        <f>COUNTIF('(参考)現行システム機能階層一覧'!$E$3:$E$1048576,sheet1!B1116)</f>
        <v>0</v>
      </c>
      <c r="I1116" s="37"/>
      <c r="J1116" s="37"/>
      <c r="K1116" s="37"/>
      <c r="L1116" s="37"/>
    </row>
    <row r="1117" spans="1:12" ht="15.75" customHeight="1">
      <c r="A1117" s="87" t="s">
        <v>3935</v>
      </c>
      <c r="B1117" s="87" t="s">
        <v>5648</v>
      </c>
      <c r="C1117" s="87" t="s">
        <v>5649</v>
      </c>
      <c r="D1117" s="88">
        <v>321</v>
      </c>
      <c r="E1117" s="85" t="s">
        <v>5494</v>
      </c>
      <c r="F1117" s="87">
        <v>480</v>
      </c>
      <c r="G1117" s="37"/>
      <c r="H1117" s="37">
        <f>COUNTIF('(参考)現行システム機能階層一覧'!$E$3:$E$1048576,sheet1!B1117)</f>
        <v>0</v>
      </c>
      <c r="I1117" s="37"/>
      <c r="J1117" s="37"/>
      <c r="K1117" s="37"/>
      <c r="L1117" s="37"/>
    </row>
    <row r="1118" spans="1:12" ht="15.75" customHeight="1">
      <c r="A1118" s="87" t="s">
        <v>3853</v>
      </c>
      <c r="B1118" s="87" t="s">
        <v>5650</v>
      </c>
      <c r="C1118" s="87" t="s">
        <v>5651</v>
      </c>
      <c r="D1118" s="88">
        <v>47</v>
      </c>
      <c r="E1118" s="85" t="s">
        <v>5494</v>
      </c>
      <c r="F1118" s="87">
        <v>99</v>
      </c>
      <c r="G1118" s="37"/>
      <c r="H1118" s="37">
        <f>COUNTIF('(参考)現行システム機能階層一覧'!$E$3:$E$1048576,sheet1!B1118)</f>
        <v>0</v>
      </c>
      <c r="I1118" s="37"/>
      <c r="J1118" s="37"/>
      <c r="K1118" s="37"/>
      <c r="L1118" s="37"/>
    </row>
    <row r="1119" spans="1:12" ht="15.75" customHeight="1">
      <c r="A1119" s="87" t="s">
        <v>3935</v>
      </c>
      <c r="B1119" s="87" t="s">
        <v>5652</v>
      </c>
      <c r="C1119" s="87" t="s">
        <v>5653</v>
      </c>
      <c r="D1119" s="88">
        <v>1190</v>
      </c>
      <c r="E1119" s="85" t="s">
        <v>5494</v>
      </c>
      <c r="F1119" s="87">
        <v>116</v>
      </c>
      <c r="G1119" s="37"/>
      <c r="H1119" s="37">
        <f>COUNTIF('(参考)現行システム機能階層一覧'!$E$3:$E$1048576,sheet1!B1119)</f>
        <v>0</v>
      </c>
      <c r="I1119" s="37"/>
      <c r="J1119" s="37"/>
      <c r="K1119" s="37"/>
      <c r="L1119" s="37"/>
    </row>
    <row r="1120" spans="1:12" ht="15.75" customHeight="1">
      <c r="A1120" s="87" t="s">
        <v>3853</v>
      </c>
      <c r="B1120" s="87" t="s">
        <v>5654</v>
      </c>
      <c r="C1120" s="87" t="s">
        <v>5653</v>
      </c>
      <c r="D1120" s="88">
        <v>101</v>
      </c>
      <c r="E1120" s="85" t="s">
        <v>5494</v>
      </c>
      <c r="F1120" s="87">
        <v>116</v>
      </c>
      <c r="G1120" s="37"/>
      <c r="H1120" s="37">
        <f>COUNTIF('(参考)現行システム機能階層一覧'!$E$3:$E$1048576,sheet1!B1120)</f>
        <v>0</v>
      </c>
      <c r="I1120" s="37"/>
      <c r="J1120" s="37"/>
      <c r="K1120" s="37"/>
      <c r="L1120" s="37"/>
    </row>
    <row r="1121" spans="1:12" ht="15.75" customHeight="1">
      <c r="A1121" s="87" t="s">
        <v>3935</v>
      </c>
      <c r="B1121" s="87" t="s">
        <v>5655</v>
      </c>
      <c r="C1121" s="87" t="s">
        <v>5656</v>
      </c>
      <c r="D1121" s="88">
        <v>477</v>
      </c>
      <c r="E1121" s="85" t="s">
        <v>5494</v>
      </c>
      <c r="F1121" s="87">
        <v>110</v>
      </c>
      <c r="G1121" s="37"/>
      <c r="H1121" s="37">
        <f>COUNTIF('(参考)現行システム機能階層一覧'!$E$3:$E$1048576,sheet1!B1121)</f>
        <v>0</v>
      </c>
      <c r="I1121" s="37"/>
      <c r="J1121" s="37"/>
      <c r="K1121" s="37"/>
      <c r="L1121" s="37"/>
    </row>
    <row r="1122" spans="1:12" ht="15.75" customHeight="1">
      <c r="A1122" s="87" t="s">
        <v>3935</v>
      </c>
      <c r="B1122" s="87" t="s">
        <v>5657</v>
      </c>
      <c r="C1122" s="87" t="s">
        <v>5658</v>
      </c>
      <c r="D1122" s="88">
        <v>306</v>
      </c>
      <c r="E1122" s="85" t="s">
        <v>5494</v>
      </c>
      <c r="F1122" s="87">
        <v>106</v>
      </c>
      <c r="G1122" s="37"/>
      <c r="H1122" s="37">
        <f>COUNTIF('(参考)現行システム機能階層一覧'!$E$3:$E$1048576,sheet1!B1122)</f>
        <v>0</v>
      </c>
      <c r="I1122" s="37"/>
      <c r="J1122" s="37"/>
      <c r="K1122" s="37"/>
      <c r="L1122" s="37"/>
    </row>
    <row r="1123" spans="1:12" ht="15.75" customHeight="1">
      <c r="A1123" s="87" t="s">
        <v>3853</v>
      </c>
      <c r="B1123" s="87" t="s">
        <v>5659</v>
      </c>
      <c r="C1123" s="87" t="s">
        <v>5658</v>
      </c>
      <c r="D1123" s="88">
        <v>38</v>
      </c>
      <c r="E1123" s="85" t="s">
        <v>5494</v>
      </c>
      <c r="F1123" s="87">
        <v>106</v>
      </c>
      <c r="G1123" s="37"/>
      <c r="H1123" s="37">
        <f>COUNTIF('(参考)現行システム機能階層一覧'!$E$3:$E$1048576,sheet1!B1123)</f>
        <v>0</v>
      </c>
      <c r="I1123" s="37"/>
      <c r="J1123" s="37"/>
      <c r="K1123" s="37"/>
      <c r="L1123" s="37"/>
    </row>
    <row r="1124" spans="1:12" ht="15.75" customHeight="1">
      <c r="A1124" s="87" t="s">
        <v>3935</v>
      </c>
      <c r="B1124" s="87" t="s">
        <v>5660</v>
      </c>
      <c r="C1124" s="87" t="s">
        <v>5661</v>
      </c>
      <c r="D1124" s="88">
        <v>303</v>
      </c>
      <c r="E1124" s="85" t="s">
        <v>5494</v>
      </c>
      <c r="F1124" s="87">
        <v>112</v>
      </c>
      <c r="G1124" s="37"/>
      <c r="H1124" s="37">
        <f>COUNTIF('(参考)現行システム機能階層一覧'!$E$3:$E$1048576,sheet1!B1124)</f>
        <v>0</v>
      </c>
      <c r="I1124" s="37"/>
      <c r="J1124" s="37"/>
      <c r="K1124" s="37"/>
      <c r="L1124" s="37"/>
    </row>
    <row r="1125" spans="1:12" ht="15.75" customHeight="1">
      <c r="A1125" s="87" t="s">
        <v>3853</v>
      </c>
      <c r="B1125" s="87" t="s">
        <v>5662</v>
      </c>
      <c r="C1125" s="87" t="s">
        <v>5661</v>
      </c>
      <c r="D1125" s="88">
        <v>18</v>
      </c>
      <c r="E1125" s="85" t="s">
        <v>5494</v>
      </c>
      <c r="F1125" s="87">
        <v>112</v>
      </c>
      <c r="G1125" s="37"/>
      <c r="H1125" s="37">
        <f>COUNTIF('(参考)現行システム機能階層一覧'!$E$3:$E$1048576,sheet1!B1125)</f>
        <v>0</v>
      </c>
      <c r="I1125" s="37"/>
      <c r="J1125" s="37"/>
      <c r="K1125" s="37"/>
      <c r="L1125" s="37"/>
    </row>
    <row r="1126" spans="1:12" ht="15.75" customHeight="1">
      <c r="A1126" s="87" t="s">
        <v>3853</v>
      </c>
      <c r="B1126" s="87" t="s">
        <v>5663</v>
      </c>
      <c r="C1126" s="87" t="s">
        <v>5664</v>
      </c>
      <c r="D1126" s="88">
        <v>14</v>
      </c>
      <c r="E1126" s="85" t="s">
        <v>5494</v>
      </c>
      <c r="F1126" s="87">
        <v>1</v>
      </c>
      <c r="G1126" s="37"/>
      <c r="H1126" s="37">
        <f>COUNTIF('(参考)現行システム機能階層一覧'!$E$3:$E$1048576,sheet1!B1126)</f>
        <v>0</v>
      </c>
      <c r="I1126" s="37"/>
      <c r="J1126" s="37"/>
      <c r="K1126" s="37"/>
      <c r="L1126" s="37"/>
    </row>
    <row r="1127" spans="1:12" ht="15.75" customHeight="1">
      <c r="A1127" s="87" t="s">
        <v>3935</v>
      </c>
      <c r="B1127" s="87" t="s">
        <v>991</v>
      </c>
      <c r="C1127" s="87" t="s">
        <v>5665</v>
      </c>
      <c r="D1127" s="88">
        <v>456</v>
      </c>
      <c r="E1127" s="85" t="s">
        <v>5666</v>
      </c>
      <c r="F1127" s="87">
        <v>100</v>
      </c>
      <c r="G1127" s="37"/>
      <c r="H1127" s="37">
        <f>COUNTIF('(参考)現行システム機能階層一覧'!$E$3:$E$1048576,sheet1!B1127)</f>
        <v>1</v>
      </c>
      <c r="I1127" s="37"/>
      <c r="J1127" s="37"/>
      <c r="K1127" s="37"/>
      <c r="L1127" s="37"/>
    </row>
    <row r="1128" spans="1:12" ht="15.75" customHeight="1">
      <c r="A1128" s="87" t="s">
        <v>3935</v>
      </c>
      <c r="B1128" s="87" t="s">
        <v>310</v>
      </c>
      <c r="C1128" s="87" t="s">
        <v>311</v>
      </c>
      <c r="D1128" s="88">
        <v>391</v>
      </c>
      <c r="E1128" s="85" t="s">
        <v>5666</v>
      </c>
      <c r="F1128" s="87">
        <v>206</v>
      </c>
      <c r="G1128" s="37"/>
      <c r="H1128" s="37">
        <f>COUNTIF('(参考)現行システム機能階層一覧'!$E$3:$E$1048576,sheet1!B1128)</f>
        <v>1</v>
      </c>
      <c r="I1128" s="37"/>
      <c r="J1128" s="37"/>
      <c r="K1128" s="37"/>
      <c r="L1128" s="37"/>
    </row>
    <row r="1129" spans="1:12" ht="15.75" customHeight="1">
      <c r="A1129" s="87" t="s">
        <v>3935</v>
      </c>
      <c r="B1129" s="87" t="s">
        <v>5667</v>
      </c>
      <c r="C1129" s="87" t="s">
        <v>5668</v>
      </c>
      <c r="D1129" s="88">
        <v>206</v>
      </c>
      <c r="E1129" s="85" t="s">
        <v>5666</v>
      </c>
      <c r="F1129" s="87">
        <v>1</v>
      </c>
      <c r="G1129" s="37"/>
      <c r="H1129" s="37">
        <f>COUNTIF('(参考)現行システム機能階層一覧'!$E$3:$E$1048576,sheet1!B1129)</f>
        <v>0</v>
      </c>
      <c r="I1129" s="37"/>
      <c r="J1129" s="37"/>
      <c r="K1129" s="37"/>
      <c r="L1129" s="37"/>
    </row>
    <row r="1130" spans="1:12" ht="15.75" customHeight="1">
      <c r="A1130" s="87" t="s">
        <v>3935</v>
      </c>
      <c r="B1130" s="87" t="s">
        <v>5669</v>
      </c>
      <c r="C1130" s="87" t="s">
        <v>5670</v>
      </c>
      <c r="D1130" s="88">
        <v>348</v>
      </c>
      <c r="E1130" s="85" t="s">
        <v>5666</v>
      </c>
      <c r="F1130" s="87">
        <v>7</v>
      </c>
      <c r="G1130" s="37"/>
      <c r="H1130" s="37">
        <f>COUNTIF('(参考)現行システム機能階層一覧'!$E$3:$E$1048576,sheet1!B1130)</f>
        <v>0</v>
      </c>
      <c r="I1130" s="37"/>
      <c r="J1130" s="37"/>
      <c r="K1130" s="37"/>
      <c r="L1130" s="37"/>
    </row>
    <row r="1131" spans="1:12" ht="15.75" customHeight="1">
      <c r="A1131" s="87" t="s">
        <v>3935</v>
      </c>
      <c r="B1131" s="87" t="s">
        <v>5671</v>
      </c>
      <c r="C1131" s="87" t="s">
        <v>5672</v>
      </c>
      <c r="D1131" s="88">
        <v>332</v>
      </c>
      <c r="E1131" s="85" t="s">
        <v>5666</v>
      </c>
      <c r="F1131" s="87">
        <v>76</v>
      </c>
      <c r="G1131" s="37"/>
      <c r="H1131" s="37">
        <f>COUNTIF('(参考)現行システム機能階層一覧'!$E$3:$E$1048576,sheet1!B1131)</f>
        <v>0</v>
      </c>
      <c r="I1131" s="37"/>
      <c r="J1131" s="37"/>
      <c r="K1131" s="37"/>
      <c r="L1131" s="37"/>
    </row>
    <row r="1132" spans="1:12" ht="15.75" customHeight="1">
      <c r="A1132" s="87" t="s">
        <v>3935</v>
      </c>
      <c r="B1132" s="87" t="s">
        <v>999</v>
      </c>
      <c r="C1132" s="87" t="s">
        <v>5673</v>
      </c>
      <c r="D1132" s="88">
        <v>399</v>
      </c>
      <c r="E1132" s="85" t="s">
        <v>5666</v>
      </c>
      <c r="F1132" s="87">
        <v>49</v>
      </c>
      <c r="G1132" s="37"/>
      <c r="H1132" s="37">
        <f>COUNTIF('(参考)現行システム機能階層一覧'!$E$3:$E$1048576,sheet1!B1132)</f>
        <v>1</v>
      </c>
      <c r="I1132" s="37"/>
      <c r="J1132" s="37"/>
      <c r="K1132" s="37"/>
      <c r="L1132" s="37"/>
    </row>
    <row r="1133" spans="1:12" ht="15.75" customHeight="1">
      <c r="A1133" s="87" t="s">
        <v>3935</v>
      </c>
      <c r="B1133" s="87" t="s">
        <v>5674</v>
      </c>
      <c r="C1133" s="87" t="s">
        <v>5675</v>
      </c>
      <c r="D1133" s="88">
        <v>200</v>
      </c>
      <c r="E1133" s="85" t="s">
        <v>5666</v>
      </c>
      <c r="F1133" s="87">
        <v>12</v>
      </c>
      <c r="G1133" s="37"/>
      <c r="H1133" s="37">
        <f>COUNTIF('(参考)現行システム機能階層一覧'!$E$3:$E$1048576,sheet1!B1133)</f>
        <v>0</v>
      </c>
      <c r="I1133" s="37"/>
      <c r="J1133" s="37"/>
      <c r="K1133" s="37"/>
      <c r="L1133" s="37"/>
    </row>
    <row r="1134" spans="1:12" ht="15.75" customHeight="1">
      <c r="A1134" s="87" t="s">
        <v>3935</v>
      </c>
      <c r="B1134" s="87" t="s">
        <v>920</v>
      </c>
      <c r="C1134" s="87" t="s">
        <v>5676</v>
      </c>
      <c r="D1134" s="88">
        <v>672</v>
      </c>
      <c r="E1134" s="85" t="s">
        <v>5666</v>
      </c>
      <c r="F1134" s="87">
        <v>169</v>
      </c>
      <c r="G1134" s="37"/>
      <c r="H1134" s="37">
        <f>COUNTIF('(参考)現行システム機能階層一覧'!$E$3:$E$1048576,sheet1!B1134)</f>
        <v>1</v>
      </c>
      <c r="I1134" s="37"/>
      <c r="J1134" s="37"/>
      <c r="K1134" s="37"/>
      <c r="L1134" s="37"/>
    </row>
    <row r="1135" spans="1:12" ht="15.75" customHeight="1">
      <c r="A1135" s="87" t="s">
        <v>3853</v>
      </c>
      <c r="B1135" s="87" t="s">
        <v>1063</v>
      </c>
      <c r="C1135" s="87" t="s">
        <v>5677</v>
      </c>
      <c r="D1135" s="88">
        <v>25</v>
      </c>
      <c r="E1135" s="85" t="s">
        <v>5666</v>
      </c>
      <c r="F1135" s="87">
        <v>202</v>
      </c>
      <c r="G1135" s="37"/>
      <c r="H1135" s="37">
        <f>COUNTIF('(参考)現行システム機能階層一覧'!$E$3:$E$1048576,sheet1!B1135)</f>
        <v>1</v>
      </c>
      <c r="I1135" s="37"/>
      <c r="J1135" s="37"/>
      <c r="K1135" s="37"/>
      <c r="L1135" s="37"/>
    </row>
    <row r="1136" spans="1:12" ht="15.75" customHeight="1">
      <c r="A1136" s="87" t="s">
        <v>3935</v>
      </c>
      <c r="B1136" s="87" t="s">
        <v>1062</v>
      </c>
      <c r="C1136" s="87" t="s">
        <v>5678</v>
      </c>
      <c r="D1136" s="88">
        <v>304</v>
      </c>
      <c r="E1136" s="85" t="s">
        <v>5666</v>
      </c>
      <c r="F1136" s="87">
        <v>173</v>
      </c>
      <c r="G1136" s="37"/>
      <c r="H1136" s="37">
        <f>COUNTIF('(参考)現行システム機能階層一覧'!$E$3:$E$1048576,sheet1!B1136)</f>
        <v>0</v>
      </c>
      <c r="I1136" s="37"/>
      <c r="J1136" s="37"/>
      <c r="K1136" s="37"/>
      <c r="L1136" s="37"/>
    </row>
    <row r="1137" spans="1:12" ht="15.75" customHeight="1">
      <c r="A1137" s="87" t="s">
        <v>3853</v>
      </c>
      <c r="B1137" s="87" t="s">
        <v>1059</v>
      </c>
      <c r="C1137" s="87" t="s">
        <v>5678</v>
      </c>
      <c r="D1137" s="88">
        <v>45</v>
      </c>
      <c r="E1137" s="85" t="s">
        <v>5666</v>
      </c>
      <c r="F1137" s="87">
        <v>222</v>
      </c>
      <c r="G1137" s="37"/>
      <c r="H1137" s="37">
        <f>COUNTIF('(参考)現行システム機能階層一覧'!$E$3:$E$1048576,sheet1!B1137)</f>
        <v>1</v>
      </c>
      <c r="I1137" s="37"/>
      <c r="J1137" s="37"/>
      <c r="K1137" s="37"/>
      <c r="L1137" s="37"/>
    </row>
    <row r="1138" spans="1:12" ht="15.75" customHeight="1">
      <c r="A1138" s="87" t="s">
        <v>3935</v>
      </c>
      <c r="B1138" s="87" t="s">
        <v>5679</v>
      </c>
      <c r="C1138" s="87" t="s">
        <v>5680</v>
      </c>
      <c r="D1138" s="88">
        <v>304</v>
      </c>
      <c r="E1138" s="85" t="s">
        <v>5666</v>
      </c>
      <c r="F1138" s="87">
        <v>202</v>
      </c>
      <c r="G1138" s="37"/>
      <c r="H1138" s="37">
        <f>COUNTIF('(参考)現行システム機能階層一覧'!$E$3:$E$1048576,sheet1!B1138)</f>
        <v>0</v>
      </c>
      <c r="I1138" s="37"/>
      <c r="J1138" s="37"/>
      <c r="K1138" s="37"/>
      <c r="L1138" s="37"/>
    </row>
    <row r="1139" spans="1:12" ht="15.75" customHeight="1">
      <c r="A1139" s="87" t="s">
        <v>3935</v>
      </c>
      <c r="B1139" s="87" t="s">
        <v>5681</v>
      </c>
      <c r="C1139" s="87" t="s">
        <v>5680</v>
      </c>
      <c r="D1139" s="88">
        <v>379</v>
      </c>
      <c r="E1139" s="85" t="s">
        <v>5666</v>
      </c>
      <c r="F1139" s="87">
        <v>202</v>
      </c>
      <c r="G1139" s="37"/>
      <c r="H1139" s="37">
        <f>COUNTIF('(参考)現行システム機能階層一覧'!$E$3:$E$1048576,sheet1!B1139)</f>
        <v>0</v>
      </c>
      <c r="I1139" s="37"/>
      <c r="J1139" s="37"/>
      <c r="K1139" s="37"/>
      <c r="L1139" s="37"/>
    </row>
    <row r="1140" spans="1:12" ht="15.75" customHeight="1">
      <c r="A1140" s="87" t="s">
        <v>3935</v>
      </c>
      <c r="B1140" s="87" t="s">
        <v>5682</v>
      </c>
      <c r="C1140" s="87" t="s">
        <v>1056</v>
      </c>
      <c r="D1140" s="88">
        <v>1506</v>
      </c>
      <c r="E1140" s="85" t="s">
        <v>5666</v>
      </c>
      <c r="F1140" s="87">
        <v>146</v>
      </c>
      <c r="G1140" s="37"/>
      <c r="H1140" s="37">
        <f>COUNTIF('(参考)現行システム機能階層一覧'!$E$3:$E$1048576,sheet1!B1140)</f>
        <v>0</v>
      </c>
      <c r="I1140" s="37"/>
      <c r="J1140" s="37"/>
      <c r="K1140" s="37"/>
      <c r="L1140" s="37"/>
    </row>
    <row r="1141" spans="1:12" ht="15.75" customHeight="1">
      <c r="A1141" s="87" t="s">
        <v>3853</v>
      </c>
      <c r="B1141" s="87" t="s">
        <v>1058</v>
      </c>
      <c r="C1141" s="87" t="s">
        <v>1056</v>
      </c>
      <c r="D1141" s="88">
        <v>78</v>
      </c>
      <c r="E1141" s="85" t="s">
        <v>5666</v>
      </c>
      <c r="F1141" s="87">
        <v>197</v>
      </c>
      <c r="G1141" s="37"/>
      <c r="H1141" s="37">
        <f>COUNTIF('(参考)現行システム機能階層一覧'!$E$3:$E$1048576,sheet1!B1141)</f>
        <v>1</v>
      </c>
      <c r="I1141" s="37"/>
      <c r="J1141" s="37"/>
      <c r="K1141" s="37"/>
      <c r="L1141" s="37"/>
    </row>
    <row r="1142" spans="1:12" ht="15.75" customHeight="1">
      <c r="A1142" s="87" t="s">
        <v>3935</v>
      </c>
      <c r="B1142" s="87" t="s">
        <v>5683</v>
      </c>
      <c r="C1142" s="87" t="s">
        <v>5684</v>
      </c>
      <c r="D1142" s="88">
        <v>848</v>
      </c>
      <c r="E1142" s="85" t="s">
        <v>5666</v>
      </c>
      <c r="F1142" s="87">
        <v>145</v>
      </c>
      <c r="G1142" s="37"/>
      <c r="H1142" s="37">
        <f>COUNTIF('(参考)現行システム機能階層一覧'!$E$3:$E$1048576,sheet1!B1142)</f>
        <v>0</v>
      </c>
      <c r="I1142" s="37"/>
      <c r="J1142" s="37"/>
      <c r="K1142" s="37"/>
      <c r="L1142" s="37"/>
    </row>
    <row r="1143" spans="1:12" ht="15.75" customHeight="1">
      <c r="A1143" s="87" t="s">
        <v>3935</v>
      </c>
      <c r="B1143" s="87" t="s">
        <v>5685</v>
      </c>
      <c r="C1143" s="87" t="s">
        <v>5686</v>
      </c>
      <c r="D1143" s="88">
        <v>129</v>
      </c>
      <c r="E1143" s="85" t="s">
        <v>5666</v>
      </c>
      <c r="F1143" s="87">
        <v>6</v>
      </c>
      <c r="G1143" s="37"/>
      <c r="H1143" s="37">
        <f>COUNTIF('(参考)現行システム機能階層一覧'!$E$3:$E$1048576,sheet1!B1143)</f>
        <v>0</v>
      </c>
      <c r="I1143" s="37"/>
      <c r="J1143" s="37"/>
      <c r="K1143" s="37"/>
      <c r="L1143" s="37"/>
    </row>
    <row r="1144" spans="1:12" ht="15.75" customHeight="1">
      <c r="A1144" s="87" t="s">
        <v>3853</v>
      </c>
      <c r="B1144" s="87" t="s">
        <v>5687</v>
      </c>
      <c r="C1144" s="87" t="s">
        <v>5688</v>
      </c>
      <c r="D1144" s="88">
        <v>41</v>
      </c>
      <c r="E1144" s="85" t="s">
        <v>5666</v>
      </c>
      <c r="F1144" s="87">
        <v>6</v>
      </c>
      <c r="G1144" s="37"/>
      <c r="H1144" s="37">
        <f>COUNTIF('(参考)現行システム機能階層一覧'!$E$3:$E$1048576,sheet1!B1144)</f>
        <v>0</v>
      </c>
      <c r="I1144" s="37"/>
      <c r="J1144" s="37"/>
      <c r="K1144" s="37"/>
      <c r="L1144" s="37"/>
    </row>
    <row r="1145" spans="1:12" ht="15.75" customHeight="1">
      <c r="A1145" s="87" t="s">
        <v>3935</v>
      </c>
      <c r="B1145" s="87" t="s">
        <v>5689</v>
      </c>
      <c r="C1145" s="87" t="s">
        <v>5690</v>
      </c>
      <c r="D1145" s="88">
        <v>131</v>
      </c>
      <c r="E1145" s="85" t="s">
        <v>5666</v>
      </c>
      <c r="F1145" s="87">
        <v>1</v>
      </c>
      <c r="G1145" s="37"/>
      <c r="H1145" s="37">
        <f>COUNTIF('(参考)現行システム機能階層一覧'!$E$3:$E$1048576,sheet1!B1145)</f>
        <v>0</v>
      </c>
      <c r="I1145" s="37"/>
      <c r="J1145" s="37"/>
      <c r="K1145" s="37"/>
      <c r="L1145" s="37"/>
    </row>
    <row r="1146" spans="1:12" ht="15.75" customHeight="1">
      <c r="A1146" s="87" t="s">
        <v>3853</v>
      </c>
      <c r="B1146" s="87" t="s">
        <v>1051</v>
      </c>
      <c r="C1146" s="87" t="s">
        <v>5691</v>
      </c>
      <c r="D1146" s="88">
        <v>30</v>
      </c>
      <c r="E1146" s="85" t="s">
        <v>5666</v>
      </c>
      <c r="F1146" s="87">
        <v>47</v>
      </c>
      <c r="G1146" s="37"/>
      <c r="H1146" s="37">
        <f>COUNTIF('(参考)現行システム機能階層一覧'!$E$3:$E$1048576,sheet1!B1146)</f>
        <v>1</v>
      </c>
      <c r="I1146" s="37"/>
      <c r="J1146" s="37"/>
      <c r="K1146" s="37"/>
      <c r="L1146" s="37"/>
    </row>
    <row r="1147" spans="1:12" ht="15.75" customHeight="1">
      <c r="A1147" s="87" t="s">
        <v>3935</v>
      </c>
      <c r="B1147" s="87" t="s">
        <v>1054</v>
      </c>
      <c r="C1147" s="87" t="s">
        <v>5692</v>
      </c>
      <c r="D1147" s="88">
        <v>367</v>
      </c>
      <c r="E1147" s="85" t="s">
        <v>5666</v>
      </c>
      <c r="F1147" s="87">
        <v>27</v>
      </c>
      <c r="G1147" s="37"/>
      <c r="H1147" s="37">
        <f>COUNTIF('(参考)現行システム機能階層一覧'!$E$3:$E$1048576,sheet1!B1147)</f>
        <v>0</v>
      </c>
      <c r="I1147" s="37"/>
      <c r="J1147" s="37"/>
      <c r="K1147" s="37"/>
      <c r="L1147" s="37"/>
    </row>
    <row r="1148" spans="1:12" ht="15.75" customHeight="1">
      <c r="A1148" s="87" t="s">
        <v>3853</v>
      </c>
      <c r="B1148" s="87" t="s">
        <v>5693</v>
      </c>
      <c r="C1148" s="87" t="s">
        <v>5694</v>
      </c>
      <c r="D1148" s="88">
        <v>26</v>
      </c>
      <c r="E1148" s="85" t="s">
        <v>5666</v>
      </c>
      <c r="F1148" s="87">
        <v>47</v>
      </c>
      <c r="G1148" s="37"/>
      <c r="H1148" s="37">
        <f>COUNTIF('(参考)現行システム機能階層一覧'!$E$3:$E$1048576,sheet1!B1148)</f>
        <v>0</v>
      </c>
      <c r="I1148" s="37"/>
      <c r="J1148" s="37"/>
      <c r="K1148" s="37"/>
      <c r="L1148" s="37"/>
    </row>
    <row r="1149" spans="1:12" ht="15.75" customHeight="1">
      <c r="A1149" s="87" t="s">
        <v>3935</v>
      </c>
      <c r="B1149" s="87" t="s">
        <v>5695</v>
      </c>
      <c r="C1149" s="87" t="s">
        <v>5696</v>
      </c>
      <c r="D1149" s="88">
        <v>227</v>
      </c>
      <c r="E1149" s="85" t="s">
        <v>5666</v>
      </c>
      <c r="F1149" s="87">
        <v>15</v>
      </c>
      <c r="G1149" s="37"/>
      <c r="H1149" s="37">
        <f>COUNTIF('(参考)現行システム機能階層一覧'!$E$3:$E$1048576,sheet1!B1149)</f>
        <v>0</v>
      </c>
      <c r="I1149" s="37"/>
      <c r="J1149" s="37"/>
      <c r="K1149" s="37"/>
      <c r="L1149" s="37"/>
    </row>
    <row r="1150" spans="1:12" ht="15.75" customHeight="1">
      <c r="A1150" s="87" t="s">
        <v>3853</v>
      </c>
      <c r="B1150" s="87" t="s">
        <v>5697</v>
      </c>
      <c r="C1150" s="87" t="s">
        <v>5696</v>
      </c>
      <c r="D1150" s="88">
        <v>39</v>
      </c>
      <c r="E1150" s="85" t="s">
        <v>5666</v>
      </c>
      <c r="F1150" s="87">
        <v>15</v>
      </c>
      <c r="G1150" s="37"/>
      <c r="H1150" s="37">
        <f>COUNTIF('(参考)現行システム機能階層一覧'!$E$3:$E$1048576,sheet1!B1150)</f>
        <v>0</v>
      </c>
      <c r="I1150" s="37"/>
      <c r="J1150" s="37"/>
      <c r="K1150" s="37"/>
      <c r="L1150" s="37"/>
    </row>
    <row r="1151" spans="1:12" ht="15.75" customHeight="1">
      <c r="A1151" s="87" t="s">
        <v>3935</v>
      </c>
      <c r="B1151" s="87" t="s">
        <v>5698</v>
      </c>
      <c r="C1151" s="87" t="s">
        <v>5699</v>
      </c>
      <c r="D1151" s="88">
        <v>218</v>
      </c>
      <c r="E1151" s="85" t="s">
        <v>5666</v>
      </c>
      <c r="F1151" s="87">
        <v>10</v>
      </c>
      <c r="G1151" s="37"/>
      <c r="H1151" s="37">
        <f>COUNTIF('(参考)現行システム機能階層一覧'!$E$3:$E$1048576,sheet1!B1151)</f>
        <v>0</v>
      </c>
      <c r="I1151" s="37"/>
      <c r="J1151" s="37"/>
      <c r="K1151" s="37"/>
      <c r="L1151" s="37"/>
    </row>
    <row r="1152" spans="1:12" ht="15.75" customHeight="1">
      <c r="A1152" s="87" t="s">
        <v>3853</v>
      </c>
      <c r="B1152" s="87" t="s">
        <v>5700</v>
      </c>
      <c r="C1152" s="87" t="s">
        <v>5699</v>
      </c>
      <c r="D1152" s="88">
        <v>33</v>
      </c>
      <c r="E1152" s="85" t="s">
        <v>5666</v>
      </c>
      <c r="F1152" s="87">
        <v>10</v>
      </c>
      <c r="G1152" s="37"/>
      <c r="H1152" s="37">
        <f>COUNTIF('(参考)現行システム機能階層一覧'!$E$3:$E$1048576,sheet1!B1152)</f>
        <v>0</v>
      </c>
      <c r="I1152" s="37"/>
      <c r="J1152" s="37"/>
      <c r="K1152" s="37"/>
      <c r="L1152" s="37"/>
    </row>
    <row r="1153" spans="1:12" ht="15.75" customHeight="1">
      <c r="A1153" s="87" t="s">
        <v>3935</v>
      </c>
      <c r="B1153" s="87" t="s">
        <v>5701</v>
      </c>
      <c r="C1153" s="87" t="s">
        <v>5702</v>
      </c>
      <c r="D1153" s="88">
        <v>143</v>
      </c>
      <c r="E1153" s="85" t="s">
        <v>5666</v>
      </c>
      <c r="F1153" s="87">
        <v>2</v>
      </c>
      <c r="G1153" s="37"/>
      <c r="H1153" s="37">
        <f>COUNTIF('(参考)現行システム機能階層一覧'!$E$3:$E$1048576,sheet1!B1153)</f>
        <v>0</v>
      </c>
      <c r="I1153" s="37"/>
      <c r="J1153" s="37"/>
      <c r="K1153" s="37"/>
      <c r="L1153" s="37"/>
    </row>
    <row r="1154" spans="1:12" ht="15.75" customHeight="1">
      <c r="A1154" s="87" t="s">
        <v>3853</v>
      </c>
      <c r="B1154" s="87" t="s">
        <v>5703</v>
      </c>
      <c r="C1154" s="87" t="s">
        <v>5702</v>
      </c>
      <c r="D1154" s="88">
        <v>33</v>
      </c>
      <c r="E1154" s="85" t="s">
        <v>5666</v>
      </c>
      <c r="F1154" s="87">
        <v>2</v>
      </c>
      <c r="G1154" s="37"/>
      <c r="H1154" s="37">
        <f>COUNTIF('(参考)現行システム機能階層一覧'!$E$3:$E$1048576,sheet1!B1154)</f>
        <v>0</v>
      </c>
      <c r="I1154" s="37"/>
      <c r="J1154" s="37"/>
      <c r="K1154" s="37"/>
      <c r="L1154" s="37"/>
    </row>
    <row r="1155" spans="1:12" ht="15.75" customHeight="1">
      <c r="A1155" s="87" t="s">
        <v>3935</v>
      </c>
      <c r="B1155" s="87" t="s">
        <v>5704</v>
      </c>
      <c r="C1155" s="87" t="s">
        <v>5705</v>
      </c>
      <c r="D1155" s="88">
        <v>266</v>
      </c>
      <c r="E1155" s="85" t="s">
        <v>5666</v>
      </c>
      <c r="F1155" s="87">
        <v>13</v>
      </c>
      <c r="G1155" s="37"/>
      <c r="H1155" s="37">
        <f>COUNTIF('(参考)現行システム機能階層一覧'!$E$3:$E$1048576,sheet1!B1155)</f>
        <v>0</v>
      </c>
      <c r="I1155" s="37"/>
      <c r="J1155" s="37"/>
      <c r="K1155" s="37"/>
      <c r="L1155" s="37"/>
    </row>
    <row r="1156" spans="1:12" ht="15.75" customHeight="1">
      <c r="A1156" s="87" t="s">
        <v>3853</v>
      </c>
      <c r="B1156" s="87" t="s">
        <v>5706</v>
      </c>
      <c r="C1156" s="87" t="s">
        <v>5705</v>
      </c>
      <c r="D1156" s="88">
        <v>34</v>
      </c>
      <c r="E1156" s="85" t="s">
        <v>5666</v>
      </c>
      <c r="F1156" s="87">
        <v>13</v>
      </c>
      <c r="G1156" s="37"/>
      <c r="H1156" s="37">
        <f>COUNTIF('(参考)現行システム機能階層一覧'!$E$3:$E$1048576,sheet1!B1156)</f>
        <v>0</v>
      </c>
      <c r="I1156" s="37"/>
      <c r="J1156" s="37"/>
      <c r="K1156" s="37"/>
      <c r="L1156" s="37"/>
    </row>
    <row r="1157" spans="1:12" ht="15.75" customHeight="1">
      <c r="A1157" s="87" t="s">
        <v>3935</v>
      </c>
      <c r="B1157" s="87" t="s">
        <v>1068</v>
      </c>
      <c r="C1157" s="87" t="s">
        <v>5707</v>
      </c>
      <c r="D1157" s="88">
        <v>282</v>
      </c>
      <c r="E1157" s="85" t="s">
        <v>5666</v>
      </c>
      <c r="F1157" s="87">
        <v>19</v>
      </c>
      <c r="G1157" s="37"/>
      <c r="H1157" s="37">
        <f>COUNTIF('(参考)現行システム機能階層一覧'!$E$3:$E$1048576,sheet1!B1157)</f>
        <v>0</v>
      </c>
      <c r="I1157" s="37"/>
      <c r="J1157" s="37"/>
      <c r="K1157" s="37"/>
      <c r="L1157" s="37"/>
    </row>
    <row r="1158" spans="1:12" ht="15.75" customHeight="1">
      <c r="A1158" s="87" t="s">
        <v>3853</v>
      </c>
      <c r="B1158" s="87" t="s">
        <v>1065</v>
      </c>
      <c r="C1158" s="87" t="s">
        <v>1066</v>
      </c>
      <c r="D1158" s="88">
        <v>76</v>
      </c>
      <c r="E1158" s="85" t="s">
        <v>5666</v>
      </c>
      <c r="F1158" s="87">
        <v>27</v>
      </c>
      <c r="G1158" s="37"/>
      <c r="H1158" s="37">
        <f>COUNTIF('(参考)現行システム機能階層一覧'!$E$3:$E$1048576,sheet1!B1158)</f>
        <v>1</v>
      </c>
      <c r="I1158" s="37"/>
      <c r="J1158" s="37"/>
      <c r="K1158" s="37"/>
      <c r="L1158" s="37"/>
    </row>
    <row r="1159" spans="1:12" ht="15.75" customHeight="1">
      <c r="A1159" s="87" t="s">
        <v>3935</v>
      </c>
      <c r="B1159" s="87" t="s">
        <v>5708</v>
      </c>
      <c r="C1159" s="87" t="s">
        <v>5709</v>
      </c>
      <c r="D1159" s="88">
        <v>228</v>
      </c>
      <c r="E1159" s="85" t="s">
        <v>5666</v>
      </c>
      <c r="F1159" s="87">
        <v>15</v>
      </c>
      <c r="G1159" s="37"/>
      <c r="H1159" s="37">
        <f>COUNTIF('(参考)現行システム機能階層一覧'!$E$3:$E$1048576,sheet1!B1159)</f>
        <v>0</v>
      </c>
      <c r="I1159" s="37"/>
      <c r="J1159" s="37"/>
      <c r="K1159" s="37"/>
      <c r="L1159" s="37"/>
    </row>
    <row r="1160" spans="1:12" ht="15.75" customHeight="1">
      <c r="A1160" s="87" t="s">
        <v>3935</v>
      </c>
      <c r="B1160" s="87" t="s">
        <v>5710</v>
      </c>
      <c r="C1160" s="87" t="s">
        <v>5711</v>
      </c>
      <c r="D1160" s="88">
        <v>364</v>
      </c>
      <c r="E1160" s="85" t="s">
        <v>5666</v>
      </c>
      <c r="F1160" s="87">
        <v>10</v>
      </c>
      <c r="G1160" s="37"/>
      <c r="H1160" s="37">
        <f>COUNTIF('(参考)現行システム機能階層一覧'!$E$3:$E$1048576,sheet1!B1160)</f>
        <v>0</v>
      </c>
      <c r="I1160" s="37"/>
      <c r="J1160" s="37"/>
      <c r="K1160" s="37"/>
      <c r="L1160" s="37"/>
    </row>
    <row r="1161" spans="1:12" ht="15.75" customHeight="1">
      <c r="A1161" s="87" t="s">
        <v>3935</v>
      </c>
      <c r="B1161" s="87" t="s">
        <v>1050</v>
      </c>
      <c r="C1161" s="87" t="s">
        <v>1048</v>
      </c>
      <c r="D1161" s="88">
        <v>519</v>
      </c>
      <c r="E1161" s="85" t="s">
        <v>5666</v>
      </c>
      <c r="F1161" s="87">
        <v>1</v>
      </c>
      <c r="G1161" s="37"/>
      <c r="H1161" s="37">
        <f>COUNTIF('(参考)現行システム機能階層一覧'!$E$3:$E$1048576,sheet1!B1161)</f>
        <v>0</v>
      </c>
      <c r="I1161" s="37"/>
      <c r="J1161" s="37"/>
      <c r="K1161" s="37"/>
      <c r="L1161" s="37"/>
    </row>
    <row r="1162" spans="1:12" ht="15.75" customHeight="1">
      <c r="A1162" s="87" t="s">
        <v>3853</v>
      </c>
      <c r="B1162" s="87" t="s">
        <v>1047</v>
      </c>
      <c r="C1162" s="87" t="s">
        <v>1048</v>
      </c>
      <c r="D1162" s="88">
        <v>17</v>
      </c>
      <c r="E1162" s="85" t="s">
        <v>5666</v>
      </c>
      <c r="F1162" s="87">
        <v>6</v>
      </c>
      <c r="G1162" s="37"/>
      <c r="H1162" s="37">
        <f>COUNTIF('(参考)現行システム機能階層一覧'!$E$3:$E$1048576,sheet1!B1162)</f>
        <v>1</v>
      </c>
      <c r="I1162" s="37"/>
      <c r="J1162" s="37"/>
      <c r="K1162" s="37"/>
      <c r="L1162" s="37"/>
    </row>
    <row r="1163" spans="1:12" ht="15.75" customHeight="1">
      <c r="A1163" s="87" t="s">
        <v>3935</v>
      </c>
      <c r="B1163" s="87" t="s">
        <v>1072</v>
      </c>
      <c r="C1163" s="87" t="s">
        <v>5712</v>
      </c>
      <c r="D1163" s="88">
        <v>115</v>
      </c>
      <c r="E1163" s="85" t="s">
        <v>5666</v>
      </c>
      <c r="F1163" s="87">
        <v>208</v>
      </c>
      <c r="G1163" s="37"/>
      <c r="H1163" s="37">
        <f>COUNTIF('(参考)現行システム機能階層一覧'!$E$3:$E$1048576,sheet1!B1163)</f>
        <v>0</v>
      </c>
      <c r="I1163" s="37"/>
      <c r="J1163" s="37"/>
      <c r="K1163" s="37"/>
      <c r="L1163" s="37"/>
    </row>
    <row r="1164" spans="1:12" ht="15.75" customHeight="1">
      <c r="A1164" s="87" t="s">
        <v>3853</v>
      </c>
      <c r="B1164" s="87" t="s">
        <v>1069</v>
      </c>
      <c r="C1164" s="87" t="s">
        <v>1070</v>
      </c>
      <c r="D1164" s="88">
        <v>65</v>
      </c>
      <c r="E1164" s="85" t="s">
        <v>5666</v>
      </c>
      <c r="F1164" s="87">
        <v>208</v>
      </c>
      <c r="G1164" s="37"/>
      <c r="H1164" s="37">
        <f>COUNTIF('(参考)現行システム機能階層一覧'!$E$3:$E$1048576,sheet1!B1164)</f>
        <v>1</v>
      </c>
      <c r="I1164" s="37"/>
      <c r="J1164" s="37"/>
      <c r="K1164" s="37"/>
      <c r="L1164" s="37"/>
    </row>
    <row r="1165" spans="1:12" ht="15.75" customHeight="1">
      <c r="A1165" s="87" t="s">
        <v>3935</v>
      </c>
      <c r="B1165" s="87" t="s">
        <v>5713</v>
      </c>
      <c r="C1165" s="87" t="s">
        <v>5714</v>
      </c>
      <c r="D1165" s="88">
        <v>822</v>
      </c>
      <c r="E1165" s="85" t="s">
        <v>5666</v>
      </c>
      <c r="F1165" s="87">
        <v>1886</v>
      </c>
      <c r="G1165" s="37"/>
      <c r="H1165" s="37">
        <f>COUNTIF('(参考)現行システム機能階層一覧'!$E$3:$E$1048576,sheet1!B1165)</f>
        <v>0</v>
      </c>
      <c r="I1165" s="37"/>
      <c r="J1165" s="37"/>
      <c r="K1165" s="37"/>
      <c r="L1165" s="37"/>
    </row>
    <row r="1166" spans="1:12" ht="15.75" customHeight="1">
      <c r="A1166" s="87" t="s">
        <v>3853</v>
      </c>
      <c r="B1166" s="87" t="s">
        <v>5715</v>
      </c>
      <c r="C1166" s="87" t="s">
        <v>5714</v>
      </c>
      <c r="D1166" s="88">
        <v>43</v>
      </c>
      <c r="E1166" s="85" t="s">
        <v>5666</v>
      </c>
      <c r="F1166" s="87">
        <v>1886</v>
      </c>
      <c r="G1166" s="37"/>
      <c r="H1166" s="37">
        <f>COUNTIF('(参考)現行システム機能階層一覧'!$E$3:$E$1048576,sheet1!B1166)</f>
        <v>0</v>
      </c>
      <c r="I1166" s="37"/>
      <c r="J1166" s="37"/>
      <c r="K1166" s="37"/>
      <c r="L1166" s="37"/>
    </row>
    <row r="1167" spans="1:12" ht="15.75" customHeight="1">
      <c r="A1167" s="87" t="s">
        <v>3935</v>
      </c>
      <c r="B1167" s="87" t="s">
        <v>5716</v>
      </c>
      <c r="C1167" s="87" t="s">
        <v>905</v>
      </c>
      <c r="D1167" s="88">
        <v>441</v>
      </c>
      <c r="E1167" s="85" t="s">
        <v>5666</v>
      </c>
      <c r="F1167" s="87">
        <v>1</v>
      </c>
      <c r="G1167" s="37"/>
      <c r="H1167" s="37">
        <f>COUNTIF('(参考)現行システム機能階層一覧'!$E$3:$E$1048576,sheet1!B1167)</f>
        <v>0</v>
      </c>
      <c r="I1167" s="37"/>
      <c r="J1167" s="37"/>
      <c r="K1167" s="37"/>
      <c r="L1167" s="37"/>
    </row>
    <row r="1168" spans="1:12" ht="15.75" customHeight="1">
      <c r="A1168" s="87" t="s">
        <v>3935</v>
      </c>
      <c r="B1168" s="87" t="s">
        <v>5717</v>
      </c>
      <c r="C1168" s="87" t="s">
        <v>5718</v>
      </c>
      <c r="D1168" s="88">
        <v>1855</v>
      </c>
      <c r="E1168" s="85" t="s">
        <v>5666</v>
      </c>
      <c r="F1168" s="87">
        <v>125</v>
      </c>
      <c r="G1168" s="37"/>
      <c r="H1168" s="37">
        <f>COUNTIF('(参考)現行システム機能階層一覧'!$E$3:$E$1048576,sheet1!B1168)</f>
        <v>0</v>
      </c>
      <c r="I1168" s="37"/>
      <c r="J1168" s="37"/>
      <c r="K1168" s="37"/>
      <c r="L1168" s="37"/>
    </row>
    <row r="1169" spans="1:12" ht="15.75" customHeight="1">
      <c r="A1169" s="87" t="s">
        <v>3935</v>
      </c>
      <c r="B1169" s="87" t="s">
        <v>5719</v>
      </c>
      <c r="C1169" s="87" t="s">
        <v>5720</v>
      </c>
      <c r="D1169" s="88">
        <v>291</v>
      </c>
      <c r="E1169" s="85" t="s">
        <v>5666</v>
      </c>
      <c r="F1169" s="87">
        <v>2</v>
      </c>
      <c r="G1169" s="37"/>
      <c r="H1169" s="37">
        <f>COUNTIF('(参考)現行システム機能階層一覧'!$E$3:$E$1048576,sheet1!B1169)</f>
        <v>0</v>
      </c>
      <c r="I1169" s="37"/>
      <c r="J1169" s="37"/>
      <c r="K1169" s="37"/>
      <c r="L1169" s="37"/>
    </row>
    <row r="1170" spans="1:12" ht="15.75" customHeight="1">
      <c r="A1170" s="87" t="s">
        <v>3853</v>
      </c>
      <c r="B1170" s="87" t="s">
        <v>5721</v>
      </c>
      <c r="C1170" s="87" t="s">
        <v>5720</v>
      </c>
      <c r="D1170" s="88">
        <v>29</v>
      </c>
      <c r="E1170" s="85" t="s">
        <v>5666</v>
      </c>
      <c r="F1170" s="87">
        <v>4</v>
      </c>
      <c r="G1170" s="37"/>
      <c r="H1170" s="37">
        <f>COUNTIF('(参考)現行システム機能階層一覧'!$E$3:$E$1048576,sheet1!B1170)</f>
        <v>0</v>
      </c>
      <c r="I1170" s="37"/>
      <c r="J1170" s="37"/>
      <c r="K1170" s="37"/>
      <c r="L1170" s="37"/>
    </row>
    <row r="1171" spans="1:12" ht="15.75" customHeight="1">
      <c r="A1171" s="87" t="s">
        <v>3935</v>
      </c>
      <c r="B1171" s="87" t="s">
        <v>5722</v>
      </c>
      <c r="C1171" s="87" t="s">
        <v>5718</v>
      </c>
      <c r="D1171" s="88">
        <v>2175</v>
      </c>
      <c r="E1171" s="85" t="s">
        <v>5666</v>
      </c>
      <c r="F1171" s="87">
        <v>44</v>
      </c>
      <c r="G1171" s="37"/>
      <c r="H1171" s="37">
        <f>COUNTIF('(参考)現行システム機能階層一覧'!$E$3:$E$1048576,sheet1!B1171)</f>
        <v>0</v>
      </c>
      <c r="I1171" s="37"/>
      <c r="J1171" s="37"/>
      <c r="K1171" s="37"/>
      <c r="L1171" s="37"/>
    </row>
    <row r="1172" spans="1:12" ht="15.75" customHeight="1">
      <c r="A1172" s="87" t="s">
        <v>3935</v>
      </c>
      <c r="B1172" s="87" t="s">
        <v>5723</v>
      </c>
      <c r="C1172" s="87" t="s">
        <v>5724</v>
      </c>
      <c r="D1172" s="88">
        <v>540</v>
      </c>
      <c r="E1172" s="85" t="s">
        <v>5666</v>
      </c>
      <c r="F1172" s="87">
        <v>15</v>
      </c>
      <c r="G1172" s="37"/>
      <c r="H1172" s="37">
        <f>COUNTIF('(参考)現行システム機能階層一覧'!$E$3:$E$1048576,sheet1!B1172)</f>
        <v>0</v>
      </c>
      <c r="I1172" s="37"/>
      <c r="J1172" s="37"/>
      <c r="K1172" s="37"/>
      <c r="L1172" s="37"/>
    </row>
    <row r="1173" spans="1:12" ht="15.75" customHeight="1">
      <c r="A1173" s="87" t="s">
        <v>3935</v>
      </c>
      <c r="B1173" s="87" t="s">
        <v>912</v>
      </c>
      <c r="C1173" s="87" t="s">
        <v>913</v>
      </c>
      <c r="D1173" s="88">
        <v>516</v>
      </c>
      <c r="E1173" s="85" t="s">
        <v>5666</v>
      </c>
      <c r="F1173" s="87">
        <v>23</v>
      </c>
      <c r="G1173" s="37"/>
      <c r="H1173" s="37">
        <f>COUNTIF('(参考)現行システム機能階層一覧'!$E$3:$E$1048576,sheet1!B1173)</f>
        <v>1</v>
      </c>
      <c r="I1173" s="37"/>
      <c r="J1173" s="37"/>
      <c r="K1173" s="37"/>
      <c r="L1173" s="37"/>
    </row>
    <row r="1174" spans="1:12" ht="15.75" customHeight="1">
      <c r="A1174" s="87" t="s">
        <v>3853</v>
      </c>
      <c r="B1174" s="87" t="s">
        <v>5725</v>
      </c>
      <c r="C1174" s="87" t="s">
        <v>913</v>
      </c>
      <c r="D1174" s="88">
        <v>12</v>
      </c>
      <c r="E1174" s="85" t="s">
        <v>5666</v>
      </c>
      <c r="F1174" s="87">
        <v>400</v>
      </c>
      <c r="G1174" s="37"/>
      <c r="H1174" s="37">
        <f>COUNTIF('(参考)現行システム機能階層一覧'!$E$3:$E$1048576,sheet1!B1174)</f>
        <v>0</v>
      </c>
      <c r="I1174" s="37"/>
      <c r="J1174" s="37"/>
      <c r="K1174" s="37"/>
      <c r="L1174" s="37"/>
    </row>
    <row r="1175" spans="1:12" ht="15.75" customHeight="1">
      <c r="A1175" s="87" t="s">
        <v>3935</v>
      </c>
      <c r="B1175" s="87" t="s">
        <v>5726</v>
      </c>
      <c r="C1175" s="87" t="s">
        <v>5727</v>
      </c>
      <c r="D1175" s="88">
        <v>881</v>
      </c>
      <c r="E1175" s="85" t="s">
        <v>5666</v>
      </c>
      <c r="F1175" s="87">
        <v>1</v>
      </c>
      <c r="G1175" s="37"/>
      <c r="H1175" s="37">
        <f>COUNTIF('(参考)現行システム機能階層一覧'!$E$3:$E$1048576,sheet1!B1175)</f>
        <v>0</v>
      </c>
      <c r="I1175" s="37"/>
      <c r="J1175" s="37"/>
      <c r="K1175" s="37"/>
      <c r="L1175" s="37"/>
    </row>
    <row r="1176" spans="1:12" ht="15.75" customHeight="1">
      <c r="A1176" s="87" t="s">
        <v>3853</v>
      </c>
      <c r="B1176" s="87" t="s">
        <v>5728</v>
      </c>
      <c r="C1176" s="87" t="s">
        <v>5727</v>
      </c>
      <c r="D1176" s="88">
        <v>23</v>
      </c>
      <c r="E1176" s="85" t="s">
        <v>5666</v>
      </c>
      <c r="F1176" s="87">
        <v>1</v>
      </c>
      <c r="G1176" s="37"/>
      <c r="H1176" s="37">
        <f>COUNTIF('(参考)現行システム機能階層一覧'!$E$3:$E$1048576,sheet1!B1176)</f>
        <v>0</v>
      </c>
      <c r="I1176" s="37"/>
      <c r="J1176" s="37"/>
      <c r="K1176" s="37"/>
      <c r="L1176" s="37"/>
    </row>
    <row r="1177" spans="1:12" ht="15.75" customHeight="1">
      <c r="A1177" s="87" t="s">
        <v>3853</v>
      </c>
      <c r="B1177" s="87" t="s">
        <v>5729</v>
      </c>
      <c r="C1177" s="87" t="s">
        <v>5730</v>
      </c>
      <c r="D1177" s="88">
        <v>50</v>
      </c>
      <c r="E1177" s="85" t="s">
        <v>5666</v>
      </c>
      <c r="F1177" s="87">
        <v>1185</v>
      </c>
      <c r="G1177" s="37"/>
      <c r="H1177" s="37">
        <f>COUNTIF('(参考)現行システム機能階層一覧'!$E$3:$E$1048576,sheet1!B1177)</f>
        <v>0</v>
      </c>
      <c r="I1177" s="37"/>
      <c r="J1177" s="37"/>
      <c r="K1177" s="37"/>
      <c r="L1177" s="37"/>
    </row>
    <row r="1178" spans="1:12" ht="15.75" customHeight="1">
      <c r="A1178" s="87" t="s">
        <v>3935</v>
      </c>
      <c r="B1178" s="87" t="s">
        <v>5731</v>
      </c>
      <c r="C1178" s="87" t="s">
        <v>5727</v>
      </c>
      <c r="D1178" s="88">
        <v>2142</v>
      </c>
      <c r="E1178" s="85" t="s">
        <v>5666</v>
      </c>
      <c r="F1178" s="87">
        <v>174</v>
      </c>
      <c r="G1178" s="37"/>
      <c r="H1178" s="37">
        <f>COUNTIF('(参考)現行システム機能階層一覧'!$E$3:$E$1048576,sheet1!B1178)</f>
        <v>0</v>
      </c>
      <c r="I1178" s="37"/>
      <c r="J1178" s="37"/>
      <c r="K1178" s="37"/>
      <c r="L1178" s="37"/>
    </row>
    <row r="1179" spans="1:12" ht="15.75" customHeight="1">
      <c r="A1179" s="87" t="s">
        <v>3935</v>
      </c>
      <c r="B1179" s="87" t="s">
        <v>5732</v>
      </c>
      <c r="C1179" s="87" t="s">
        <v>5733</v>
      </c>
      <c r="D1179" s="88">
        <v>2120</v>
      </c>
      <c r="E1179" s="85" t="s">
        <v>5666</v>
      </c>
      <c r="F1179" s="87">
        <v>167</v>
      </c>
      <c r="G1179" s="37"/>
      <c r="H1179" s="37">
        <f>COUNTIF('(参考)現行システム機能階層一覧'!$E$3:$E$1048576,sheet1!B1179)</f>
        <v>0</v>
      </c>
      <c r="I1179" s="37"/>
      <c r="J1179" s="37"/>
      <c r="K1179" s="37"/>
      <c r="L1179" s="37"/>
    </row>
    <row r="1180" spans="1:12" ht="15.75" customHeight="1">
      <c r="A1180" s="87" t="s">
        <v>3935</v>
      </c>
      <c r="B1180" s="87" t="s">
        <v>5734</v>
      </c>
      <c r="C1180" s="87" t="s">
        <v>5730</v>
      </c>
      <c r="D1180" s="88">
        <v>2057</v>
      </c>
      <c r="E1180" s="85" t="s">
        <v>5666</v>
      </c>
      <c r="F1180" s="87">
        <v>203</v>
      </c>
      <c r="G1180" s="37"/>
      <c r="H1180" s="37">
        <f>COUNTIF('(参考)現行システム機能階層一覧'!$E$3:$E$1048576,sheet1!B1180)</f>
        <v>0</v>
      </c>
      <c r="I1180" s="37"/>
      <c r="J1180" s="37"/>
      <c r="K1180" s="37"/>
      <c r="L1180" s="37"/>
    </row>
    <row r="1181" spans="1:12" ht="15.75" customHeight="1">
      <c r="A1181" s="87" t="s">
        <v>3935</v>
      </c>
      <c r="B1181" s="87" t="s">
        <v>5735</v>
      </c>
      <c r="C1181" s="87" t="s">
        <v>5736</v>
      </c>
      <c r="D1181" s="88">
        <v>82</v>
      </c>
      <c r="E1181" s="85" t="s">
        <v>5666</v>
      </c>
      <c r="F1181" s="87">
        <v>96</v>
      </c>
      <c r="G1181" s="37"/>
      <c r="H1181" s="37">
        <f>COUNTIF('(参考)現行システム機能階層一覧'!$E$3:$E$1048576,sheet1!B1181)</f>
        <v>0</v>
      </c>
      <c r="I1181" s="37"/>
      <c r="J1181" s="37"/>
      <c r="K1181" s="37"/>
      <c r="L1181" s="37"/>
    </row>
    <row r="1182" spans="1:12" ht="15.75" customHeight="1">
      <c r="A1182" s="87" t="s">
        <v>3853</v>
      </c>
      <c r="B1182" s="87" t="s">
        <v>5737</v>
      </c>
      <c r="C1182" s="87" t="s">
        <v>5736</v>
      </c>
      <c r="D1182" s="88">
        <v>19</v>
      </c>
      <c r="E1182" s="85" t="s">
        <v>5666</v>
      </c>
      <c r="F1182" s="87">
        <v>96</v>
      </c>
      <c r="G1182" s="37"/>
      <c r="H1182" s="37">
        <f>COUNTIF('(参考)現行システム機能階層一覧'!$E$3:$E$1048576,sheet1!B1182)</f>
        <v>0</v>
      </c>
      <c r="I1182" s="37"/>
      <c r="J1182" s="37"/>
      <c r="K1182" s="37"/>
      <c r="L1182" s="37"/>
    </row>
    <row r="1183" spans="1:12" ht="15.75" customHeight="1">
      <c r="A1183" s="87" t="s">
        <v>3853</v>
      </c>
      <c r="B1183" s="87" t="s">
        <v>5738</v>
      </c>
      <c r="C1183" s="87" t="s">
        <v>5739</v>
      </c>
      <c r="D1183" s="88">
        <v>50</v>
      </c>
      <c r="E1183" s="85" t="s">
        <v>5666</v>
      </c>
      <c r="F1183" s="87">
        <v>75</v>
      </c>
      <c r="G1183" s="37"/>
      <c r="H1183" s="37">
        <f>COUNTIF('(参考)現行システム機能階層一覧'!$E$3:$E$1048576,sheet1!B1183)</f>
        <v>0</v>
      </c>
      <c r="I1183" s="37"/>
      <c r="J1183" s="37"/>
      <c r="K1183" s="37"/>
      <c r="L1183" s="37"/>
    </row>
    <row r="1184" spans="1:12" ht="15.75" customHeight="1">
      <c r="A1184" s="87" t="s">
        <v>3935</v>
      </c>
      <c r="B1184" s="87" t="s">
        <v>5740</v>
      </c>
      <c r="C1184" s="87" t="s">
        <v>5741</v>
      </c>
      <c r="D1184" s="88">
        <v>2304</v>
      </c>
      <c r="E1184" s="85" t="s">
        <v>5666</v>
      </c>
      <c r="F1184" s="87">
        <v>75</v>
      </c>
      <c r="G1184" s="37"/>
      <c r="H1184" s="37">
        <f>COUNTIF('(参考)現行システム機能階層一覧'!$E$3:$E$1048576,sheet1!B1184)</f>
        <v>0</v>
      </c>
      <c r="I1184" s="37"/>
      <c r="J1184" s="37"/>
      <c r="K1184" s="37"/>
      <c r="L1184" s="37"/>
    </row>
    <row r="1185" spans="1:12" ht="15.75" customHeight="1">
      <c r="A1185" s="87" t="s">
        <v>3935</v>
      </c>
      <c r="B1185" s="87" t="s">
        <v>908</v>
      </c>
      <c r="C1185" s="87" t="s">
        <v>909</v>
      </c>
      <c r="D1185" s="88">
        <v>383</v>
      </c>
      <c r="E1185" s="85" t="s">
        <v>5666</v>
      </c>
      <c r="F1185" s="87">
        <v>54</v>
      </c>
      <c r="G1185" s="37"/>
      <c r="H1185" s="37">
        <f>COUNTIF('(参考)現行システム機能階層一覧'!$E$3:$E$1048576,sheet1!B1185)</f>
        <v>1</v>
      </c>
      <c r="I1185" s="37"/>
      <c r="J1185" s="37"/>
      <c r="K1185" s="37"/>
      <c r="L1185" s="37"/>
    </row>
    <row r="1186" spans="1:12" ht="15.75" customHeight="1">
      <c r="A1186" s="87" t="s">
        <v>3853</v>
      </c>
      <c r="B1186" s="87" t="s">
        <v>5742</v>
      </c>
      <c r="C1186" s="87" t="s">
        <v>909</v>
      </c>
      <c r="D1186" s="88">
        <v>12</v>
      </c>
      <c r="E1186" s="85" t="s">
        <v>5666</v>
      </c>
      <c r="F1186" s="87">
        <v>504</v>
      </c>
      <c r="G1186" s="37"/>
      <c r="H1186" s="37">
        <f>COUNTIF('(参考)現行システム機能階層一覧'!$E$3:$E$1048576,sheet1!B1186)</f>
        <v>0</v>
      </c>
      <c r="I1186" s="37"/>
      <c r="J1186" s="37"/>
      <c r="K1186" s="37"/>
      <c r="L1186" s="37"/>
    </row>
    <row r="1187" spans="1:12" ht="15.75" customHeight="1">
      <c r="A1187" s="87" t="s">
        <v>3935</v>
      </c>
      <c r="B1187" s="87" t="s">
        <v>5743</v>
      </c>
      <c r="C1187" s="87" t="s">
        <v>917</v>
      </c>
      <c r="D1187" s="88">
        <v>400</v>
      </c>
      <c r="E1187" s="85" t="s">
        <v>5666</v>
      </c>
      <c r="F1187" s="87">
        <v>1</v>
      </c>
      <c r="G1187" s="37"/>
      <c r="H1187" s="37">
        <f>COUNTIF('(参考)現行システム機能階層一覧'!$E$3:$E$1048576,sheet1!B1187)</f>
        <v>0</v>
      </c>
      <c r="I1187" s="37"/>
      <c r="J1187" s="37"/>
      <c r="K1187" s="37"/>
      <c r="L1187" s="37"/>
    </row>
    <row r="1188" spans="1:12" ht="15.75" customHeight="1">
      <c r="A1188" s="87" t="s">
        <v>3935</v>
      </c>
      <c r="B1188" s="87" t="s">
        <v>904</v>
      </c>
      <c r="C1188" s="87" t="s">
        <v>5744</v>
      </c>
      <c r="D1188" s="88">
        <v>818</v>
      </c>
      <c r="E1188" s="85" t="s">
        <v>5666</v>
      </c>
      <c r="F1188" s="87">
        <v>36</v>
      </c>
      <c r="G1188" s="37"/>
      <c r="H1188" s="37">
        <f>COUNTIF('(参考)現行システム機能階層一覧'!$E$3:$E$1048576,sheet1!B1188)</f>
        <v>1</v>
      </c>
      <c r="I1188" s="37"/>
      <c r="J1188" s="37"/>
      <c r="K1188" s="37"/>
      <c r="L1188" s="37"/>
    </row>
    <row r="1189" spans="1:12" ht="15.75" customHeight="1">
      <c r="A1189" s="87" t="s">
        <v>3853</v>
      </c>
      <c r="B1189" s="87" t="s">
        <v>5745</v>
      </c>
      <c r="C1189" s="87" t="s">
        <v>5744</v>
      </c>
      <c r="D1189" s="88">
        <v>39</v>
      </c>
      <c r="E1189" s="85" t="s">
        <v>5666</v>
      </c>
      <c r="F1189" s="87">
        <v>845</v>
      </c>
      <c r="G1189" s="37"/>
      <c r="H1189" s="37">
        <f>COUNTIF('(参考)現行システム機能階層一覧'!$E$3:$E$1048576,sheet1!B1189)</f>
        <v>0</v>
      </c>
      <c r="I1189" s="37"/>
      <c r="J1189" s="37"/>
      <c r="K1189" s="37"/>
      <c r="L1189" s="37"/>
    </row>
    <row r="1190" spans="1:12" ht="15.75" customHeight="1">
      <c r="A1190" s="87" t="s">
        <v>3935</v>
      </c>
      <c r="B1190" s="87" t="s">
        <v>5746</v>
      </c>
      <c r="C1190" s="87" t="s">
        <v>5747</v>
      </c>
      <c r="D1190" s="88">
        <v>1816</v>
      </c>
      <c r="E1190" s="85" t="s">
        <v>5666</v>
      </c>
      <c r="F1190" s="87">
        <v>207</v>
      </c>
      <c r="G1190" s="37"/>
      <c r="H1190" s="37">
        <f>COUNTIF('(参考)現行システム機能階層一覧'!$E$3:$E$1048576,sheet1!B1190)</f>
        <v>0</v>
      </c>
      <c r="I1190" s="37"/>
      <c r="J1190" s="37"/>
      <c r="K1190" s="37"/>
      <c r="L1190" s="37"/>
    </row>
    <row r="1191" spans="1:12" ht="15.75" customHeight="1">
      <c r="A1191" s="87" t="s">
        <v>3935</v>
      </c>
      <c r="B1191" s="87" t="s">
        <v>5748</v>
      </c>
      <c r="C1191" s="87" t="s">
        <v>5747</v>
      </c>
      <c r="D1191" s="88">
        <v>2169</v>
      </c>
      <c r="E1191" s="85" t="s">
        <v>5666</v>
      </c>
      <c r="F1191" s="87">
        <v>55</v>
      </c>
      <c r="G1191" s="37"/>
      <c r="H1191" s="37">
        <f>COUNTIF('(参考)現行システム機能階層一覧'!$E$3:$E$1048576,sheet1!B1191)</f>
        <v>0</v>
      </c>
      <c r="I1191" s="37"/>
      <c r="J1191" s="37"/>
      <c r="K1191" s="37"/>
      <c r="L1191" s="37"/>
    </row>
    <row r="1192" spans="1:12" ht="15.75" customHeight="1">
      <c r="A1192" s="87" t="s">
        <v>3935</v>
      </c>
      <c r="B1192" s="87" t="s">
        <v>916</v>
      </c>
      <c r="C1192" s="87" t="s">
        <v>5749</v>
      </c>
      <c r="D1192" s="88">
        <v>518</v>
      </c>
      <c r="E1192" s="85" t="s">
        <v>5666</v>
      </c>
      <c r="F1192" s="87">
        <v>150</v>
      </c>
      <c r="G1192" s="37"/>
      <c r="H1192" s="37">
        <f>COUNTIF('(参考)現行システム機能階層一覧'!$E$3:$E$1048576,sheet1!B1192)</f>
        <v>1</v>
      </c>
      <c r="I1192" s="37"/>
      <c r="J1192" s="37"/>
      <c r="K1192" s="37"/>
      <c r="L1192" s="37"/>
    </row>
    <row r="1193" spans="1:12" ht="15.75" customHeight="1">
      <c r="A1193" s="87" t="s">
        <v>3935</v>
      </c>
      <c r="B1193" s="87" t="s">
        <v>931</v>
      </c>
      <c r="C1193" s="87" t="s">
        <v>5750</v>
      </c>
      <c r="D1193" s="88">
        <v>1184</v>
      </c>
      <c r="E1193" s="85" t="s">
        <v>5666</v>
      </c>
      <c r="F1193" s="87">
        <v>563</v>
      </c>
      <c r="G1193" s="37"/>
      <c r="H1193" s="37">
        <f>COUNTIF('(参考)現行システム機能階層一覧'!$E$3:$E$1048576,sheet1!B1193)</f>
        <v>1</v>
      </c>
      <c r="I1193" s="37"/>
      <c r="J1193" s="37"/>
      <c r="K1193" s="37"/>
      <c r="L1193" s="37"/>
    </row>
    <row r="1194" spans="1:12" ht="15.75" customHeight="1">
      <c r="A1194" s="87" t="s">
        <v>3935</v>
      </c>
      <c r="B1194" s="87" t="s">
        <v>1038</v>
      </c>
      <c r="C1194" s="87" t="s">
        <v>5751</v>
      </c>
      <c r="D1194" s="88">
        <v>633</v>
      </c>
      <c r="E1194" s="85" t="s">
        <v>5666</v>
      </c>
      <c r="F1194" s="87">
        <v>364</v>
      </c>
      <c r="G1194" s="37"/>
      <c r="H1194" s="37">
        <f>COUNTIF('(参考)現行システム機能階層一覧'!$E$3:$E$1048576,sheet1!B1194)</f>
        <v>1</v>
      </c>
      <c r="I1194" s="37"/>
      <c r="J1194" s="37"/>
      <c r="K1194" s="37"/>
      <c r="L1194" s="37"/>
    </row>
    <row r="1195" spans="1:12" ht="15.75" customHeight="1">
      <c r="A1195" s="87" t="s">
        <v>3935</v>
      </c>
      <c r="B1195" s="87" t="s">
        <v>449</v>
      </c>
      <c r="C1195" s="87" t="s">
        <v>450</v>
      </c>
      <c r="D1195" s="88">
        <v>429</v>
      </c>
      <c r="E1195" s="85" t="s">
        <v>5666</v>
      </c>
      <c r="F1195" s="87">
        <v>1156</v>
      </c>
      <c r="G1195" s="37"/>
      <c r="H1195" s="37">
        <f>COUNTIF('(参考)現行システム機能階層一覧'!$E$3:$E$1048576,sheet1!B1195)</f>
        <v>1</v>
      </c>
      <c r="I1195" s="37"/>
      <c r="J1195" s="37"/>
      <c r="K1195" s="37"/>
      <c r="L1195" s="37"/>
    </row>
    <row r="1196" spans="1:12" ht="15.75" customHeight="1">
      <c r="A1196" s="87" t="s">
        <v>3935</v>
      </c>
      <c r="B1196" s="87" t="s">
        <v>1044</v>
      </c>
      <c r="C1196" s="87" t="s">
        <v>5752</v>
      </c>
      <c r="D1196" s="88">
        <v>654</v>
      </c>
      <c r="E1196" s="85" t="s">
        <v>5666</v>
      </c>
      <c r="F1196" s="87">
        <v>481</v>
      </c>
      <c r="G1196" s="37"/>
      <c r="H1196" s="37">
        <f>COUNTIF('(参考)現行システム機能階層一覧'!$E$3:$E$1048576,sheet1!B1196)</f>
        <v>1</v>
      </c>
      <c r="I1196" s="37"/>
      <c r="J1196" s="37"/>
      <c r="K1196" s="37"/>
      <c r="L1196" s="37"/>
    </row>
    <row r="1197" spans="1:12" ht="15.75" customHeight="1">
      <c r="A1197" s="87" t="s">
        <v>3935</v>
      </c>
      <c r="B1197" s="87" t="s">
        <v>959</v>
      </c>
      <c r="C1197" s="87" t="s">
        <v>960</v>
      </c>
      <c r="D1197" s="88">
        <v>706</v>
      </c>
      <c r="E1197" s="85" t="s">
        <v>5666</v>
      </c>
      <c r="F1197" s="87">
        <v>71</v>
      </c>
      <c r="G1197" s="37"/>
      <c r="H1197" s="37">
        <f>COUNTIF('(参考)現行システム機能階層一覧'!$E$3:$E$1048576,sheet1!B1197)</f>
        <v>1</v>
      </c>
      <c r="I1197" s="37"/>
      <c r="J1197" s="37"/>
      <c r="K1197" s="37"/>
      <c r="L1197" s="37"/>
    </row>
    <row r="1198" spans="1:12" ht="15.75" customHeight="1">
      <c r="A1198" s="87" t="s">
        <v>3935</v>
      </c>
      <c r="B1198" s="87" t="s">
        <v>5753</v>
      </c>
      <c r="C1198" s="87" t="s">
        <v>5754</v>
      </c>
      <c r="D1198" s="88">
        <v>382</v>
      </c>
      <c r="E1198" s="85" t="s">
        <v>5666</v>
      </c>
      <c r="F1198" s="87">
        <v>1191</v>
      </c>
      <c r="G1198" s="37"/>
      <c r="H1198" s="37">
        <f>COUNTIF('(参考)現行システム機能階層一覧'!$E$3:$E$1048576,sheet1!B1198)</f>
        <v>0</v>
      </c>
      <c r="I1198" s="37"/>
      <c r="J1198" s="37"/>
      <c r="K1198" s="37"/>
      <c r="L1198" s="37"/>
    </row>
    <row r="1199" spans="1:12" ht="15.75" customHeight="1">
      <c r="A1199" s="87" t="s">
        <v>3935</v>
      </c>
      <c r="B1199" s="87" t="s">
        <v>935</v>
      </c>
      <c r="C1199" s="87" t="s">
        <v>936</v>
      </c>
      <c r="D1199" s="88">
        <v>4812</v>
      </c>
      <c r="E1199" s="85" t="s">
        <v>5666</v>
      </c>
      <c r="F1199" s="87">
        <v>17</v>
      </c>
      <c r="G1199" s="37"/>
      <c r="H1199" s="37">
        <f>COUNTIF('(参考)現行システム機能階層一覧'!$E$3:$E$1048576,sheet1!B1199)</f>
        <v>1</v>
      </c>
      <c r="I1199" s="37"/>
      <c r="J1199" s="37"/>
      <c r="K1199" s="37"/>
      <c r="L1199" s="37"/>
    </row>
    <row r="1200" spans="1:12" ht="15.75" customHeight="1">
      <c r="A1200" s="87" t="s">
        <v>3853</v>
      </c>
      <c r="B1200" s="87" t="s">
        <v>5755</v>
      </c>
      <c r="C1200" s="87" t="s">
        <v>936</v>
      </c>
      <c r="D1200" s="88">
        <v>62</v>
      </c>
      <c r="E1200" s="85" t="s">
        <v>5666</v>
      </c>
      <c r="F1200" s="87">
        <v>316</v>
      </c>
      <c r="G1200" s="37"/>
      <c r="H1200" s="37">
        <f>COUNTIF('(参考)現行システム機能階層一覧'!$E$3:$E$1048576,sheet1!B1200)</f>
        <v>0</v>
      </c>
      <c r="I1200" s="37"/>
      <c r="J1200" s="37"/>
      <c r="K1200" s="37"/>
      <c r="L1200" s="37"/>
    </row>
    <row r="1201" spans="1:12" ht="15.75" customHeight="1">
      <c r="A1201" s="87" t="s">
        <v>3935</v>
      </c>
      <c r="B1201" s="87" t="s">
        <v>943</v>
      </c>
      <c r="C1201" s="87" t="s">
        <v>944</v>
      </c>
      <c r="D1201" s="88">
        <v>2688</v>
      </c>
      <c r="E1201" s="85" t="s">
        <v>5666</v>
      </c>
      <c r="F1201" s="87">
        <v>42</v>
      </c>
      <c r="G1201" s="37"/>
      <c r="H1201" s="37">
        <f>COUNTIF('(参考)現行システム機能階層一覧'!$E$3:$E$1048576,sheet1!B1201)</f>
        <v>1</v>
      </c>
      <c r="I1201" s="37"/>
      <c r="J1201" s="37"/>
      <c r="K1201" s="37"/>
      <c r="L1201" s="37"/>
    </row>
    <row r="1202" spans="1:12" ht="15.75" customHeight="1">
      <c r="A1202" s="87" t="s">
        <v>3853</v>
      </c>
      <c r="B1202" s="87" t="s">
        <v>5756</v>
      </c>
      <c r="C1202" s="87" t="s">
        <v>944</v>
      </c>
      <c r="D1202" s="88">
        <v>27</v>
      </c>
      <c r="E1202" s="85" t="s">
        <v>5666</v>
      </c>
      <c r="F1202" s="87">
        <v>1188</v>
      </c>
      <c r="G1202" s="37"/>
      <c r="H1202" s="37">
        <f>COUNTIF('(参考)現行システム機能階層一覧'!$E$3:$E$1048576,sheet1!B1202)</f>
        <v>0</v>
      </c>
      <c r="I1202" s="37"/>
      <c r="J1202" s="37"/>
      <c r="K1202" s="37"/>
      <c r="L1202" s="37"/>
    </row>
    <row r="1203" spans="1:12" ht="15.75" customHeight="1">
      <c r="A1203" s="87" t="s">
        <v>3935</v>
      </c>
      <c r="B1203" s="87" t="s">
        <v>939</v>
      </c>
      <c r="C1203" s="87" t="s">
        <v>940</v>
      </c>
      <c r="D1203" s="88">
        <v>3107</v>
      </c>
      <c r="E1203" s="85" t="s">
        <v>5666</v>
      </c>
      <c r="F1203" s="87">
        <v>58</v>
      </c>
      <c r="G1203" s="37"/>
      <c r="H1203" s="37">
        <f>COUNTIF('(参考)現行システム機能階層一覧'!$E$3:$E$1048576,sheet1!B1203)</f>
        <v>1</v>
      </c>
      <c r="I1203" s="37"/>
      <c r="J1203" s="37"/>
      <c r="K1203" s="37"/>
      <c r="L1203" s="37"/>
    </row>
    <row r="1204" spans="1:12" ht="15.75" customHeight="1">
      <c r="A1204" s="87" t="s">
        <v>3853</v>
      </c>
      <c r="B1204" s="87" t="s">
        <v>5757</v>
      </c>
      <c r="C1204" s="87" t="s">
        <v>940</v>
      </c>
      <c r="D1204" s="88">
        <v>28</v>
      </c>
      <c r="E1204" s="85" t="s">
        <v>5666</v>
      </c>
      <c r="F1204" s="87">
        <v>776</v>
      </c>
      <c r="G1204" s="37"/>
      <c r="H1204" s="37">
        <f>COUNTIF('(参考)現行システム機能階層一覧'!$E$3:$E$1048576,sheet1!B1204)</f>
        <v>0</v>
      </c>
      <c r="I1204" s="37"/>
      <c r="J1204" s="37"/>
      <c r="K1204" s="37"/>
      <c r="L1204" s="37"/>
    </row>
    <row r="1205" spans="1:12" ht="15.75" customHeight="1">
      <c r="A1205" s="87" t="s">
        <v>3935</v>
      </c>
      <c r="B1205" s="87" t="s">
        <v>951</v>
      </c>
      <c r="C1205" s="87" t="s">
        <v>952</v>
      </c>
      <c r="D1205" s="88">
        <v>1732</v>
      </c>
      <c r="E1205" s="85" t="s">
        <v>5666</v>
      </c>
      <c r="F1205" s="87">
        <v>72</v>
      </c>
      <c r="G1205" s="37"/>
      <c r="H1205" s="37">
        <f>COUNTIF('(参考)現行システム機能階層一覧'!$E$3:$E$1048576,sheet1!B1205)</f>
        <v>1</v>
      </c>
      <c r="I1205" s="37"/>
      <c r="J1205" s="37"/>
      <c r="K1205" s="37"/>
      <c r="L1205" s="37"/>
    </row>
    <row r="1206" spans="1:12" ht="15.75" customHeight="1">
      <c r="A1206" s="87" t="s">
        <v>3853</v>
      </c>
      <c r="B1206" s="87" t="s">
        <v>5758</v>
      </c>
      <c r="C1206" s="87" t="s">
        <v>952</v>
      </c>
      <c r="D1206" s="88">
        <v>39</v>
      </c>
      <c r="E1206" s="85" t="s">
        <v>5666</v>
      </c>
      <c r="F1206" s="87">
        <v>1193</v>
      </c>
      <c r="G1206" s="37"/>
      <c r="H1206" s="37">
        <f>COUNTIF('(参考)現行システム機能階層一覧'!$E$3:$E$1048576,sheet1!B1206)</f>
        <v>0</v>
      </c>
      <c r="I1206" s="37"/>
      <c r="J1206" s="37"/>
      <c r="K1206" s="37"/>
      <c r="L1206" s="37"/>
    </row>
    <row r="1207" spans="1:12" ht="15.75" customHeight="1">
      <c r="A1207" s="87" t="s">
        <v>3935</v>
      </c>
      <c r="B1207" s="87" t="s">
        <v>947</v>
      </c>
      <c r="C1207" s="87" t="s">
        <v>948</v>
      </c>
      <c r="D1207" s="88">
        <v>2583</v>
      </c>
      <c r="E1207" s="85" t="s">
        <v>5666</v>
      </c>
      <c r="F1207" s="87">
        <v>48</v>
      </c>
      <c r="G1207" s="37"/>
      <c r="H1207" s="37">
        <f>COUNTIF('(参考)現行システム機能階層一覧'!$E$3:$E$1048576,sheet1!B1207)</f>
        <v>1</v>
      </c>
      <c r="I1207" s="37"/>
      <c r="J1207" s="37"/>
      <c r="K1207" s="37"/>
      <c r="L1207" s="37"/>
    </row>
    <row r="1208" spans="1:12" ht="15.75" customHeight="1">
      <c r="A1208" s="87" t="s">
        <v>3853</v>
      </c>
      <c r="B1208" s="87" t="s">
        <v>5759</v>
      </c>
      <c r="C1208" s="87" t="s">
        <v>948</v>
      </c>
      <c r="D1208" s="88">
        <v>23</v>
      </c>
      <c r="E1208" s="85" t="s">
        <v>5666</v>
      </c>
      <c r="F1208" s="87">
        <v>609</v>
      </c>
      <c r="G1208" s="37"/>
      <c r="H1208" s="37">
        <f>COUNTIF('(参考)現行システム機能階層一覧'!$E$3:$E$1048576,sheet1!B1208)</f>
        <v>0</v>
      </c>
      <c r="I1208" s="37"/>
      <c r="J1208" s="37"/>
      <c r="K1208" s="37"/>
      <c r="L1208" s="37"/>
    </row>
    <row r="1209" spans="1:12" ht="15.75" customHeight="1">
      <c r="A1209" s="87" t="s">
        <v>3935</v>
      </c>
      <c r="B1209" s="87" t="s">
        <v>5760</v>
      </c>
      <c r="C1209" s="87" t="s">
        <v>5761</v>
      </c>
      <c r="D1209" s="88">
        <v>1296</v>
      </c>
      <c r="E1209" s="85" t="s">
        <v>5666</v>
      </c>
      <c r="F1209" s="87">
        <v>555</v>
      </c>
      <c r="G1209" s="37"/>
      <c r="H1209" s="37">
        <f>COUNTIF('(参考)現行システム機能階層一覧'!$E$3:$E$1048576,sheet1!B1209)</f>
        <v>0</v>
      </c>
      <c r="I1209" s="37"/>
      <c r="J1209" s="37"/>
      <c r="K1209" s="37"/>
      <c r="L1209" s="37"/>
    </row>
    <row r="1210" spans="1:12" ht="15.75" customHeight="1">
      <c r="A1210" s="87" t="s">
        <v>3853</v>
      </c>
      <c r="B1210" s="87" t="s">
        <v>5762</v>
      </c>
      <c r="C1210" s="87" t="s">
        <v>5761</v>
      </c>
      <c r="D1210" s="88">
        <v>64</v>
      </c>
      <c r="E1210" s="85" t="s">
        <v>5666</v>
      </c>
      <c r="F1210" s="87">
        <v>555</v>
      </c>
      <c r="G1210" s="37"/>
      <c r="H1210" s="37">
        <f>COUNTIF('(参考)現行システム機能階層一覧'!$E$3:$E$1048576,sheet1!B1210)</f>
        <v>0</v>
      </c>
      <c r="I1210" s="37"/>
      <c r="J1210" s="37"/>
      <c r="K1210" s="37"/>
      <c r="L1210" s="37"/>
    </row>
    <row r="1211" spans="1:12" ht="15.75" customHeight="1">
      <c r="A1211" s="87" t="s">
        <v>3935</v>
      </c>
      <c r="B1211" s="87" t="s">
        <v>967</v>
      </c>
      <c r="C1211" s="87" t="s">
        <v>968</v>
      </c>
      <c r="D1211" s="88">
        <v>9212</v>
      </c>
      <c r="E1211" s="85" t="s">
        <v>5666</v>
      </c>
      <c r="F1211" s="87">
        <v>394</v>
      </c>
      <c r="G1211" s="37"/>
      <c r="H1211" s="37">
        <f>COUNTIF('(参考)現行システム機能階層一覧'!$E$3:$E$1048576,sheet1!B1211)</f>
        <v>1</v>
      </c>
      <c r="I1211" s="37"/>
      <c r="J1211" s="37"/>
      <c r="K1211" s="37"/>
      <c r="L1211" s="37"/>
    </row>
    <row r="1212" spans="1:12" ht="15.75" customHeight="1">
      <c r="A1212" s="87" t="s">
        <v>3853</v>
      </c>
      <c r="B1212" s="87" t="s">
        <v>5763</v>
      </c>
      <c r="C1212" s="87" t="s">
        <v>968</v>
      </c>
      <c r="D1212" s="88">
        <v>85</v>
      </c>
      <c r="E1212" s="85" t="s">
        <v>5666</v>
      </c>
      <c r="F1212" s="87">
        <v>1229</v>
      </c>
      <c r="G1212" s="37"/>
      <c r="H1212" s="37">
        <f>COUNTIF('(参考)現行システム機能階層一覧'!$E$3:$E$1048576,sheet1!B1212)</f>
        <v>0</v>
      </c>
      <c r="I1212" s="37"/>
      <c r="J1212" s="37"/>
      <c r="K1212" s="37"/>
      <c r="L1212" s="37"/>
    </row>
    <row r="1213" spans="1:12" ht="15.75" customHeight="1">
      <c r="A1213" s="87" t="s">
        <v>3935</v>
      </c>
      <c r="B1213" s="87" t="s">
        <v>5764</v>
      </c>
      <c r="C1213" s="87" t="s">
        <v>5765</v>
      </c>
      <c r="D1213" s="88">
        <v>60</v>
      </c>
      <c r="E1213" s="85" t="s">
        <v>5666</v>
      </c>
      <c r="F1213" s="87">
        <v>36</v>
      </c>
      <c r="G1213" s="37"/>
      <c r="H1213" s="37">
        <f>COUNTIF('(参考)現行システム機能階層一覧'!$E$3:$E$1048576,sheet1!B1213)</f>
        <v>0</v>
      </c>
      <c r="I1213" s="37"/>
      <c r="J1213" s="37"/>
      <c r="K1213" s="37"/>
      <c r="L1213" s="37"/>
    </row>
    <row r="1214" spans="1:12" ht="15.75" customHeight="1">
      <c r="A1214" s="87" t="s">
        <v>3935</v>
      </c>
      <c r="B1214" s="87" t="s">
        <v>971</v>
      </c>
      <c r="C1214" s="87" t="s">
        <v>972</v>
      </c>
      <c r="D1214" s="88">
        <v>7168</v>
      </c>
      <c r="E1214" s="85" t="s">
        <v>5666</v>
      </c>
      <c r="F1214" s="87">
        <v>1105</v>
      </c>
      <c r="G1214" s="37"/>
      <c r="H1214" s="37">
        <f>COUNTIF('(参考)現行システム機能階層一覧'!$E$3:$E$1048576,sheet1!B1214)</f>
        <v>1</v>
      </c>
      <c r="I1214" s="37"/>
      <c r="J1214" s="37"/>
      <c r="K1214" s="37"/>
      <c r="L1214" s="37"/>
    </row>
    <row r="1215" spans="1:12" ht="15.75" customHeight="1">
      <c r="A1215" s="87" t="s">
        <v>3853</v>
      </c>
      <c r="B1215" s="87" t="s">
        <v>5766</v>
      </c>
      <c r="C1215" s="87" t="s">
        <v>5767</v>
      </c>
      <c r="D1215" s="88">
        <v>61</v>
      </c>
      <c r="E1215" s="85" t="s">
        <v>5666</v>
      </c>
      <c r="F1215" s="87">
        <v>1105</v>
      </c>
      <c r="G1215" s="37"/>
      <c r="H1215" s="37">
        <f>COUNTIF('(参考)現行システム機能階層一覧'!$E$3:$E$1048576,sheet1!B1215)</f>
        <v>0</v>
      </c>
      <c r="I1215" s="37"/>
      <c r="J1215" s="37"/>
      <c r="K1215" s="37"/>
      <c r="L1215" s="37"/>
    </row>
    <row r="1216" spans="1:12" ht="15.75" customHeight="1">
      <c r="A1216" s="87" t="s">
        <v>3935</v>
      </c>
      <c r="B1216" s="87" t="s">
        <v>987</v>
      </c>
      <c r="C1216" s="87" t="s">
        <v>5768</v>
      </c>
      <c r="D1216" s="88">
        <v>2207</v>
      </c>
      <c r="E1216" s="85" t="s">
        <v>5666</v>
      </c>
      <c r="F1216" s="87">
        <v>22</v>
      </c>
      <c r="G1216" s="37"/>
      <c r="H1216" s="37">
        <f>COUNTIF('(参考)現行システム機能階層一覧'!$E$3:$E$1048576,sheet1!B1216)</f>
        <v>1</v>
      </c>
      <c r="I1216" s="37"/>
      <c r="J1216" s="37"/>
      <c r="K1216" s="37"/>
      <c r="L1216" s="37"/>
    </row>
    <row r="1217" spans="1:12" ht="15.75" customHeight="1">
      <c r="A1217" s="87" t="s">
        <v>3853</v>
      </c>
      <c r="B1217" s="87" t="s">
        <v>5769</v>
      </c>
      <c r="C1217" s="87" t="s">
        <v>5770</v>
      </c>
      <c r="D1217" s="88">
        <v>28</v>
      </c>
      <c r="E1217" s="85" t="s">
        <v>5666</v>
      </c>
      <c r="F1217" s="87">
        <v>22</v>
      </c>
      <c r="G1217" s="37"/>
      <c r="H1217" s="37">
        <f>COUNTIF('(参考)現行システム機能階層一覧'!$E$3:$E$1048576,sheet1!B1217)</f>
        <v>0</v>
      </c>
      <c r="I1217" s="37"/>
      <c r="J1217" s="37"/>
      <c r="K1217" s="37"/>
      <c r="L1217" s="37"/>
    </row>
    <row r="1218" spans="1:12" ht="15.75" customHeight="1">
      <c r="A1218" s="87" t="s">
        <v>3935</v>
      </c>
      <c r="B1218" s="87" t="s">
        <v>5771</v>
      </c>
      <c r="C1218" s="87" t="s">
        <v>5772</v>
      </c>
      <c r="D1218" s="88">
        <v>1729</v>
      </c>
      <c r="E1218" s="85" t="s">
        <v>5666</v>
      </c>
      <c r="F1218" s="87">
        <v>1379</v>
      </c>
      <c r="G1218" s="37"/>
      <c r="H1218" s="37">
        <f>COUNTIF('(参考)現行システム機能階層一覧'!$E$3:$E$1048576,sheet1!B1218)</f>
        <v>0</v>
      </c>
      <c r="I1218" s="37"/>
      <c r="J1218" s="37"/>
      <c r="K1218" s="37"/>
      <c r="L1218" s="37"/>
    </row>
    <row r="1219" spans="1:12" ht="15.75" customHeight="1">
      <c r="A1219" s="87" t="s">
        <v>3853</v>
      </c>
      <c r="B1219" s="87" t="s">
        <v>5773</v>
      </c>
      <c r="C1219" s="87" t="s">
        <v>5774</v>
      </c>
      <c r="D1219" s="88">
        <v>23</v>
      </c>
      <c r="E1219" s="85" t="s">
        <v>5666</v>
      </c>
      <c r="F1219" s="87">
        <v>1379</v>
      </c>
      <c r="G1219" s="37"/>
      <c r="H1219" s="37">
        <f>COUNTIF('(参考)現行システム機能階層一覧'!$E$3:$E$1048576,sheet1!B1219)</f>
        <v>0</v>
      </c>
      <c r="I1219" s="37"/>
      <c r="J1219" s="37"/>
      <c r="K1219" s="37"/>
      <c r="L1219" s="37"/>
    </row>
    <row r="1220" spans="1:12" ht="15.75" customHeight="1">
      <c r="A1220" s="87" t="s">
        <v>3935</v>
      </c>
      <c r="B1220" s="87" t="s">
        <v>979</v>
      </c>
      <c r="C1220" s="87" t="s">
        <v>980</v>
      </c>
      <c r="D1220" s="88">
        <v>2364</v>
      </c>
      <c r="E1220" s="85" t="s">
        <v>5666</v>
      </c>
      <c r="F1220" s="87">
        <v>516</v>
      </c>
      <c r="G1220" s="37"/>
      <c r="H1220" s="37">
        <f>COUNTIF('(参考)現行システム機能階層一覧'!$E$3:$E$1048576,sheet1!B1220)</f>
        <v>1</v>
      </c>
      <c r="I1220" s="37"/>
      <c r="J1220" s="37"/>
      <c r="K1220" s="37"/>
      <c r="L1220" s="37"/>
    </row>
    <row r="1221" spans="1:12" ht="15.75" customHeight="1">
      <c r="A1221" s="87" t="s">
        <v>3853</v>
      </c>
      <c r="B1221" s="87" t="s">
        <v>5775</v>
      </c>
      <c r="C1221" s="87" t="s">
        <v>980</v>
      </c>
      <c r="D1221" s="88">
        <v>31</v>
      </c>
      <c r="E1221" s="85" t="s">
        <v>5666</v>
      </c>
      <c r="F1221" s="87">
        <v>516</v>
      </c>
      <c r="G1221" s="37"/>
      <c r="H1221" s="37">
        <f>COUNTIF('(参考)現行システム機能階層一覧'!$E$3:$E$1048576,sheet1!B1221)</f>
        <v>0</v>
      </c>
      <c r="I1221" s="37"/>
      <c r="J1221" s="37"/>
      <c r="K1221" s="37"/>
      <c r="L1221" s="37"/>
    </row>
    <row r="1222" spans="1:12" ht="15.75" customHeight="1">
      <c r="A1222" s="87" t="s">
        <v>3935</v>
      </c>
      <c r="B1222" s="87" t="s">
        <v>963</v>
      </c>
      <c r="C1222" s="87" t="s">
        <v>964</v>
      </c>
      <c r="D1222" s="88">
        <v>1546</v>
      </c>
      <c r="E1222" s="85" t="s">
        <v>5666</v>
      </c>
      <c r="F1222" s="87">
        <v>32</v>
      </c>
      <c r="G1222" s="37"/>
      <c r="H1222" s="37">
        <f>COUNTIF('(参考)現行システム機能階層一覧'!$E$3:$E$1048576,sheet1!B1222)</f>
        <v>1</v>
      </c>
      <c r="I1222" s="37"/>
      <c r="J1222" s="37"/>
      <c r="K1222" s="37"/>
      <c r="L1222" s="37"/>
    </row>
    <row r="1223" spans="1:12" ht="15.75" customHeight="1">
      <c r="A1223" s="87" t="s">
        <v>3853</v>
      </c>
      <c r="B1223" s="87" t="s">
        <v>5776</v>
      </c>
      <c r="C1223" s="87" t="s">
        <v>964</v>
      </c>
      <c r="D1223" s="88">
        <v>46</v>
      </c>
      <c r="E1223" s="85" t="s">
        <v>5666</v>
      </c>
      <c r="F1223" s="87">
        <v>32</v>
      </c>
      <c r="G1223" s="37"/>
      <c r="H1223" s="37">
        <f>COUNTIF('(参考)現行システム機能階層一覧'!$E$3:$E$1048576,sheet1!B1223)</f>
        <v>0</v>
      </c>
      <c r="I1223" s="37"/>
      <c r="J1223" s="37"/>
      <c r="K1223" s="37"/>
      <c r="L1223" s="37"/>
    </row>
    <row r="1224" spans="1:12" ht="15.75" customHeight="1">
      <c r="A1224" s="87" t="s">
        <v>3935</v>
      </c>
      <c r="B1224" s="87" t="s">
        <v>975</v>
      </c>
      <c r="C1224" s="87" t="s">
        <v>976</v>
      </c>
      <c r="D1224" s="88">
        <v>6430</v>
      </c>
      <c r="E1224" s="85" t="s">
        <v>5666</v>
      </c>
      <c r="F1224" s="87">
        <v>149</v>
      </c>
      <c r="G1224" s="37"/>
      <c r="H1224" s="37">
        <f>COUNTIF('(参考)現行システム機能階層一覧'!$E$3:$E$1048576,sheet1!B1224)</f>
        <v>1</v>
      </c>
      <c r="I1224" s="37"/>
      <c r="J1224" s="37"/>
      <c r="K1224" s="37"/>
      <c r="L1224" s="37"/>
    </row>
    <row r="1225" spans="1:12" ht="15.75" customHeight="1">
      <c r="A1225" s="87" t="s">
        <v>3853</v>
      </c>
      <c r="B1225" s="87" t="s">
        <v>5777</v>
      </c>
      <c r="C1225" s="87" t="s">
        <v>5778</v>
      </c>
      <c r="D1225" s="88">
        <v>56</v>
      </c>
      <c r="E1225" s="85" t="s">
        <v>5666</v>
      </c>
      <c r="F1225" s="87">
        <v>149</v>
      </c>
      <c r="G1225" s="37"/>
      <c r="H1225" s="37">
        <f>COUNTIF('(参考)現行システム機能階層一覧'!$E$3:$E$1048576,sheet1!B1225)</f>
        <v>0</v>
      </c>
      <c r="I1225" s="37"/>
      <c r="J1225" s="37"/>
      <c r="K1225" s="37"/>
      <c r="L1225" s="37"/>
    </row>
    <row r="1226" spans="1:12" ht="15.75" customHeight="1">
      <c r="A1226" s="87" t="s">
        <v>3935</v>
      </c>
      <c r="B1226" s="87" t="s">
        <v>983</v>
      </c>
      <c r="C1226" s="87" t="s">
        <v>984</v>
      </c>
      <c r="D1226" s="88">
        <v>3378</v>
      </c>
      <c r="E1226" s="85" t="s">
        <v>5666</v>
      </c>
      <c r="F1226" s="87">
        <v>296</v>
      </c>
      <c r="G1226" s="37"/>
      <c r="H1226" s="37">
        <f>COUNTIF('(参考)現行システム機能階層一覧'!$E$3:$E$1048576,sheet1!B1226)</f>
        <v>1</v>
      </c>
      <c r="I1226" s="37"/>
      <c r="J1226" s="37"/>
      <c r="K1226" s="37"/>
      <c r="L1226" s="37"/>
    </row>
    <row r="1227" spans="1:12" ht="15.75" customHeight="1">
      <c r="A1227" s="87" t="s">
        <v>3853</v>
      </c>
      <c r="B1227" s="87" t="s">
        <v>5779</v>
      </c>
      <c r="C1227" s="87" t="s">
        <v>984</v>
      </c>
      <c r="D1227" s="88">
        <v>32</v>
      </c>
      <c r="E1227" s="85" t="s">
        <v>5666</v>
      </c>
      <c r="F1227" s="87">
        <v>296</v>
      </c>
      <c r="G1227" s="37"/>
      <c r="H1227" s="37">
        <f>COUNTIF('(参考)現行システム機能階層一覧'!$E$3:$E$1048576,sheet1!B1227)</f>
        <v>0</v>
      </c>
      <c r="I1227" s="37"/>
      <c r="J1227" s="37"/>
      <c r="K1227" s="37"/>
      <c r="L1227" s="37"/>
    </row>
    <row r="1228" spans="1:12" ht="15.75" customHeight="1">
      <c r="A1228" s="87" t="s">
        <v>3935</v>
      </c>
      <c r="B1228" s="87" t="s">
        <v>955</v>
      </c>
      <c r="C1228" s="87" t="s">
        <v>956</v>
      </c>
      <c r="D1228" s="88">
        <v>2056</v>
      </c>
      <c r="E1228" s="85" t="s">
        <v>5666</v>
      </c>
      <c r="F1228" s="87">
        <v>32</v>
      </c>
      <c r="G1228" s="37"/>
      <c r="H1228" s="37">
        <f>COUNTIF('(参考)現行システム機能階層一覧'!$E$3:$E$1048576,sheet1!B1228)</f>
        <v>1</v>
      </c>
      <c r="I1228" s="37"/>
      <c r="J1228" s="37"/>
      <c r="K1228" s="37"/>
      <c r="L1228" s="37"/>
    </row>
    <row r="1229" spans="1:12" ht="15.75" customHeight="1">
      <c r="A1229" s="87" t="s">
        <v>3853</v>
      </c>
      <c r="B1229" s="87" t="s">
        <v>5780</v>
      </c>
      <c r="C1229" s="87" t="s">
        <v>5781</v>
      </c>
      <c r="D1229" s="88">
        <v>44</v>
      </c>
      <c r="E1229" s="85" t="s">
        <v>5666</v>
      </c>
      <c r="F1229" s="87">
        <v>60</v>
      </c>
      <c r="G1229" s="37"/>
      <c r="H1229" s="37">
        <f>COUNTIF('(参考)現行システム機能階層一覧'!$E$3:$E$1048576,sheet1!B1229)</f>
        <v>0</v>
      </c>
      <c r="I1229" s="37"/>
      <c r="J1229" s="37"/>
      <c r="K1229" s="37"/>
      <c r="L1229" s="37"/>
    </row>
    <row r="1230" spans="1:12" ht="15.75" customHeight="1">
      <c r="A1230" s="87" t="s">
        <v>3935</v>
      </c>
      <c r="B1230" s="87" t="s">
        <v>5782</v>
      </c>
      <c r="C1230" s="87" t="s">
        <v>5783</v>
      </c>
      <c r="D1230" s="88">
        <v>603</v>
      </c>
      <c r="E1230" s="85" t="s">
        <v>5666</v>
      </c>
      <c r="F1230" s="87">
        <v>576</v>
      </c>
      <c r="G1230" s="37"/>
      <c r="H1230" s="37">
        <f>COUNTIF('(参考)現行システム機能階層一覧'!$E$3:$E$1048576,sheet1!B1230)</f>
        <v>0</v>
      </c>
      <c r="I1230" s="37"/>
      <c r="J1230" s="37"/>
      <c r="K1230" s="37"/>
      <c r="L1230" s="37"/>
    </row>
    <row r="1231" spans="1:12" ht="15.75" customHeight="1">
      <c r="A1231" s="87" t="s">
        <v>3853</v>
      </c>
      <c r="B1231" s="87" t="s">
        <v>5784</v>
      </c>
      <c r="C1231" s="87" t="s">
        <v>5783</v>
      </c>
      <c r="D1231" s="88">
        <v>22</v>
      </c>
      <c r="E1231" s="85" t="s">
        <v>5666</v>
      </c>
      <c r="F1231" s="87">
        <v>576</v>
      </c>
      <c r="G1231" s="37"/>
      <c r="H1231" s="37">
        <f>COUNTIF('(参考)現行システム機能階層一覧'!$E$3:$E$1048576,sheet1!B1231)</f>
        <v>0</v>
      </c>
      <c r="I1231" s="37"/>
      <c r="J1231" s="37"/>
      <c r="K1231" s="37"/>
      <c r="L1231" s="37"/>
    </row>
    <row r="1232" spans="1:12" ht="15.75" customHeight="1">
      <c r="A1232" s="87" t="s">
        <v>3935</v>
      </c>
      <c r="B1232" s="87" t="s">
        <v>1023</v>
      </c>
      <c r="C1232" s="87" t="s">
        <v>1024</v>
      </c>
      <c r="D1232" s="88">
        <v>2241</v>
      </c>
      <c r="E1232" s="85" t="s">
        <v>5666</v>
      </c>
      <c r="F1232" s="87">
        <v>158</v>
      </c>
      <c r="G1232" s="37"/>
      <c r="H1232" s="37">
        <f>COUNTIF('(参考)現行システム機能階層一覧'!$E$3:$E$1048576,sheet1!B1232)</f>
        <v>1</v>
      </c>
      <c r="I1232" s="37"/>
      <c r="J1232" s="37"/>
      <c r="K1232" s="37"/>
      <c r="L1232" s="37"/>
    </row>
    <row r="1233" spans="1:12" ht="15.75" customHeight="1">
      <c r="A1233" s="87" t="s">
        <v>3853</v>
      </c>
      <c r="B1233" s="87" t="s">
        <v>5785</v>
      </c>
      <c r="C1233" s="87" t="s">
        <v>1024</v>
      </c>
      <c r="D1233" s="88">
        <v>19</v>
      </c>
      <c r="E1233" s="85" t="s">
        <v>5666</v>
      </c>
      <c r="F1233" s="87">
        <v>158</v>
      </c>
      <c r="G1233" s="37"/>
      <c r="H1233" s="37">
        <f>COUNTIF('(参考)現行システム機能階層一覧'!$E$3:$E$1048576,sheet1!B1233)</f>
        <v>0</v>
      </c>
      <c r="I1233" s="37"/>
      <c r="J1233" s="37"/>
      <c r="K1233" s="37"/>
      <c r="L1233" s="37"/>
    </row>
    <row r="1234" spans="1:12" ht="15.75" customHeight="1">
      <c r="A1234" s="87" t="s">
        <v>3935</v>
      </c>
      <c r="B1234" s="87" t="s">
        <v>1006</v>
      </c>
      <c r="C1234" s="87" t="s">
        <v>1007</v>
      </c>
      <c r="D1234" s="88">
        <v>785</v>
      </c>
      <c r="E1234" s="85" t="s">
        <v>5666</v>
      </c>
      <c r="F1234" s="87">
        <v>85</v>
      </c>
      <c r="G1234" s="37"/>
      <c r="H1234" s="37">
        <f>COUNTIF('(参考)現行システム機能階層一覧'!$E$3:$E$1048576,sheet1!B1234)</f>
        <v>1</v>
      </c>
      <c r="I1234" s="37"/>
      <c r="J1234" s="37"/>
      <c r="K1234" s="37"/>
      <c r="L1234" s="37"/>
    </row>
    <row r="1235" spans="1:12" ht="15.75" customHeight="1">
      <c r="A1235" s="87" t="s">
        <v>3853</v>
      </c>
      <c r="B1235" s="87" t="s">
        <v>5786</v>
      </c>
      <c r="C1235" s="87" t="s">
        <v>1007</v>
      </c>
      <c r="D1235" s="88">
        <v>19</v>
      </c>
      <c r="E1235" s="85" t="s">
        <v>5666</v>
      </c>
      <c r="F1235" s="87">
        <v>1366</v>
      </c>
      <c r="G1235" s="37"/>
      <c r="H1235" s="37">
        <f>COUNTIF('(参考)現行システム機能階層一覧'!$E$3:$E$1048576,sheet1!B1235)</f>
        <v>0</v>
      </c>
      <c r="I1235" s="37"/>
      <c r="J1235" s="37"/>
      <c r="K1235" s="37"/>
      <c r="L1235" s="37"/>
    </row>
    <row r="1236" spans="1:12" ht="15.75" customHeight="1">
      <c r="A1236" s="87" t="s">
        <v>3935</v>
      </c>
      <c r="B1236" s="87" t="s">
        <v>5787</v>
      </c>
      <c r="C1236" s="87" t="s">
        <v>5788</v>
      </c>
      <c r="D1236" s="88">
        <v>202</v>
      </c>
      <c r="E1236" s="85" t="s">
        <v>5666</v>
      </c>
      <c r="F1236" s="87">
        <v>989</v>
      </c>
      <c r="G1236" s="37"/>
      <c r="H1236" s="37">
        <f>COUNTIF('(参考)現行システム機能階層一覧'!$E$3:$E$1048576,sheet1!B1236)</f>
        <v>0</v>
      </c>
      <c r="I1236" s="37"/>
      <c r="J1236" s="37"/>
      <c r="K1236" s="37"/>
      <c r="L1236" s="37"/>
    </row>
    <row r="1237" spans="1:12" ht="15.75" customHeight="1">
      <c r="A1237" s="87" t="s">
        <v>3935</v>
      </c>
      <c r="B1237" s="87" t="s">
        <v>5789</v>
      </c>
      <c r="C1237" s="87" t="s">
        <v>5790</v>
      </c>
      <c r="D1237" s="88">
        <v>462</v>
      </c>
      <c r="E1237" s="85" t="s">
        <v>5666</v>
      </c>
      <c r="F1237" s="87">
        <v>1218</v>
      </c>
      <c r="G1237" s="37"/>
      <c r="H1237" s="37">
        <f>COUNTIF('(参考)現行システム機能階層一覧'!$E$3:$E$1048576,sheet1!B1237)</f>
        <v>0</v>
      </c>
      <c r="I1237" s="37"/>
      <c r="J1237" s="37"/>
      <c r="K1237" s="37"/>
      <c r="L1237" s="37"/>
    </row>
    <row r="1238" spans="1:12" ht="15.75" customHeight="1">
      <c r="A1238" s="87" t="s">
        <v>3935</v>
      </c>
      <c r="B1238" s="87" t="s">
        <v>995</v>
      </c>
      <c r="C1238" s="87" t="s">
        <v>5791</v>
      </c>
      <c r="D1238" s="88">
        <v>856</v>
      </c>
      <c r="E1238" s="85" t="s">
        <v>5666</v>
      </c>
      <c r="F1238" s="87">
        <v>1293</v>
      </c>
      <c r="G1238" s="37"/>
      <c r="H1238" s="37">
        <f>COUNTIF('(参考)現行システム機能階層一覧'!$E$3:$E$1048576,sheet1!B1238)</f>
        <v>1</v>
      </c>
      <c r="I1238" s="37"/>
      <c r="J1238" s="37"/>
      <c r="K1238" s="37"/>
      <c r="L1238" s="37"/>
    </row>
    <row r="1239" spans="1:12" ht="15.75" customHeight="1">
      <c r="A1239" s="87" t="s">
        <v>3935</v>
      </c>
      <c r="B1239" s="87" t="s">
        <v>5792</v>
      </c>
      <c r="C1239" s="87" t="s">
        <v>5793</v>
      </c>
      <c r="D1239" s="88">
        <v>365</v>
      </c>
      <c r="E1239" s="85" t="s">
        <v>5666</v>
      </c>
      <c r="F1239" s="87">
        <v>834</v>
      </c>
      <c r="G1239" s="37"/>
      <c r="H1239" s="37">
        <f>COUNTIF('(参考)現行システム機能階層一覧'!$E$3:$E$1048576,sheet1!B1239)</f>
        <v>0</v>
      </c>
      <c r="I1239" s="37"/>
      <c r="J1239" s="37"/>
      <c r="K1239" s="37"/>
      <c r="L1239" s="37"/>
    </row>
    <row r="1240" spans="1:12" ht="15.75" customHeight="1">
      <c r="A1240" s="87" t="s">
        <v>3935</v>
      </c>
      <c r="B1240" s="87" t="s">
        <v>1020</v>
      </c>
      <c r="C1240" s="87" t="s">
        <v>5794</v>
      </c>
      <c r="D1240" s="88">
        <v>876</v>
      </c>
      <c r="E1240" s="85" t="s">
        <v>5666</v>
      </c>
      <c r="F1240" s="87">
        <v>428</v>
      </c>
      <c r="G1240" s="37"/>
      <c r="H1240" s="37">
        <f>COUNTIF('(参考)現行システム機能階層一覧'!$E$3:$E$1048576,sheet1!B1240)</f>
        <v>1</v>
      </c>
      <c r="I1240" s="37"/>
      <c r="J1240" s="37"/>
      <c r="K1240" s="37"/>
      <c r="L1240" s="37"/>
    </row>
    <row r="1241" spans="1:12" ht="15.75" customHeight="1">
      <c r="A1241" s="87" t="s">
        <v>3935</v>
      </c>
      <c r="B1241" s="87" t="s">
        <v>5795</v>
      </c>
      <c r="C1241" s="87" t="s">
        <v>5796</v>
      </c>
      <c r="D1241" s="88">
        <v>1162</v>
      </c>
      <c r="E1241" s="85" t="s">
        <v>5666</v>
      </c>
      <c r="F1241" s="87">
        <v>1026</v>
      </c>
      <c r="G1241" s="37"/>
      <c r="H1241" s="37">
        <f>COUNTIF('(参考)現行システム機能階層一覧'!$E$3:$E$1048576,sheet1!B1241)</f>
        <v>0</v>
      </c>
      <c r="I1241" s="37"/>
      <c r="J1241" s="37"/>
      <c r="K1241" s="37"/>
      <c r="L1241" s="37"/>
    </row>
    <row r="1242" spans="1:12" ht="15.75" customHeight="1">
      <c r="A1242" s="87" t="s">
        <v>3853</v>
      </c>
      <c r="B1242" s="87" t="s">
        <v>5797</v>
      </c>
      <c r="C1242" s="87" t="s">
        <v>5798</v>
      </c>
      <c r="D1242" s="88">
        <v>31</v>
      </c>
      <c r="E1242" s="85" t="s">
        <v>5666</v>
      </c>
      <c r="F1242" s="87">
        <v>1026</v>
      </c>
      <c r="G1242" s="37"/>
      <c r="H1242" s="37">
        <f>COUNTIF('(参考)現行システム機能階層一覧'!$E$3:$E$1048576,sheet1!B1242)</f>
        <v>0</v>
      </c>
      <c r="I1242" s="37"/>
      <c r="J1242" s="37"/>
      <c r="K1242" s="37"/>
      <c r="L1242" s="37"/>
    </row>
    <row r="1243" spans="1:12" ht="15.75" customHeight="1">
      <c r="A1243" s="87" t="s">
        <v>3935</v>
      </c>
      <c r="B1243" s="87" t="s">
        <v>1029</v>
      </c>
      <c r="C1243" s="87" t="s">
        <v>5799</v>
      </c>
      <c r="D1243" s="88">
        <v>2954</v>
      </c>
      <c r="E1243" s="85" t="s">
        <v>5666</v>
      </c>
      <c r="F1243" s="87">
        <v>47</v>
      </c>
      <c r="G1243" s="37"/>
      <c r="H1243" s="37">
        <f>COUNTIF('(参考)現行システム機能階層一覧'!$E$3:$E$1048576,sheet1!B1243)</f>
        <v>1</v>
      </c>
      <c r="I1243" s="37"/>
      <c r="J1243" s="37"/>
      <c r="K1243" s="37"/>
      <c r="L1243" s="37"/>
    </row>
    <row r="1244" spans="1:12" ht="15.75" customHeight="1">
      <c r="A1244" s="87" t="s">
        <v>3853</v>
      </c>
      <c r="B1244" s="87" t="s">
        <v>5800</v>
      </c>
      <c r="C1244" s="87" t="s">
        <v>5799</v>
      </c>
      <c r="D1244" s="88">
        <v>30</v>
      </c>
      <c r="E1244" s="85" t="s">
        <v>5666</v>
      </c>
      <c r="F1244" s="87">
        <v>52</v>
      </c>
      <c r="G1244" s="37"/>
      <c r="H1244" s="37">
        <f>COUNTIF('(参考)現行システム機能階層一覧'!$E$3:$E$1048576,sheet1!B1244)</f>
        <v>0</v>
      </c>
      <c r="I1244" s="37"/>
      <c r="J1244" s="37"/>
      <c r="K1244" s="37"/>
      <c r="L1244" s="37"/>
    </row>
    <row r="1245" spans="1:12" ht="15.75" customHeight="1">
      <c r="A1245" s="87" t="s">
        <v>3935</v>
      </c>
      <c r="B1245" s="87" t="s">
        <v>923</v>
      </c>
      <c r="C1245" s="87" t="s">
        <v>5801</v>
      </c>
      <c r="D1245" s="88">
        <v>955</v>
      </c>
      <c r="E1245" s="85" t="s">
        <v>5666</v>
      </c>
      <c r="F1245" s="87">
        <v>795</v>
      </c>
      <c r="G1245" s="37"/>
      <c r="H1245" s="37">
        <f>COUNTIF('(参考)現行システム機能階層一覧'!$E$3:$E$1048576,sheet1!B1245)</f>
        <v>1</v>
      </c>
      <c r="I1245" s="37"/>
      <c r="J1245" s="37"/>
      <c r="K1245" s="37"/>
      <c r="L1245" s="37"/>
    </row>
    <row r="1246" spans="1:12" ht="15.75" customHeight="1">
      <c r="A1246" s="87" t="s">
        <v>3935</v>
      </c>
      <c r="B1246" s="87" t="s">
        <v>5802</v>
      </c>
      <c r="C1246" s="87" t="s">
        <v>5801</v>
      </c>
      <c r="D1246" s="88">
        <v>915</v>
      </c>
      <c r="E1246" s="85" t="s">
        <v>5666</v>
      </c>
      <c r="F1246" s="87">
        <v>1</v>
      </c>
      <c r="G1246" s="37"/>
      <c r="H1246" s="37">
        <f>COUNTIF('(参考)現行システム機能階層一覧'!$E$3:$E$1048576,sheet1!B1246)</f>
        <v>0</v>
      </c>
      <c r="I1246" s="37"/>
      <c r="J1246" s="37"/>
      <c r="K1246" s="37"/>
      <c r="L1246" s="37"/>
    </row>
    <row r="1247" spans="1:12" ht="15.75" customHeight="1">
      <c r="A1247" s="87" t="s">
        <v>3935</v>
      </c>
      <c r="B1247" s="87" t="s">
        <v>1026</v>
      </c>
      <c r="C1247" s="87" t="s">
        <v>1027</v>
      </c>
      <c r="D1247" s="88">
        <v>388</v>
      </c>
      <c r="E1247" s="85" t="s">
        <v>5666</v>
      </c>
      <c r="F1247" s="87">
        <v>361</v>
      </c>
      <c r="G1247" s="37"/>
      <c r="H1247" s="37">
        <f>COUNTIF('(参考)現行システム機能階層一覧'!$E$3:$E$1048576,sheet1!B1247)</f>
        <v>1</v>
      </c>
      <c r="I1247" s="37"/>
      <c r="J1247" s="37"/>
      <c r="K1247" s="37"/>
      <c r="L1247" s="37"/>
    </row>
    <row r="1248" spans="1:12" ht="15.75" customHeight="1">
      <c r="A1248" s="87" t="s">
        <v>3853</v>
      </c>
      <c r="B1248" s="87" t="s">
        <v>5803</v>
      </c>
      <c r="C1248" s="87" t="s">
        <v>1027</v>
      </c>
      <c r="D1248" s="88">
        <v>29</v>
      </c>
      <c r="E1248" s="85" t="s">
        <v>5666</v>
      </c>
      <c r="F1248" s="87">
        <v>361</v>
      </c>
      <c r="G1248" s="37"/>
      <c r="H1248" s="37">
        <f>COUNTIF('(参考)現行システム機能階層一覧'!$E$3:$E$1048576,sheet1!B1248)</f>
        <v>0</v>
      </c>
      <c r="I1248" s="37"/>
      <c r="J1248" s="37"/>
      <c r="K1248" s="37"/>
      <c r="L1248" s="37"/>
    </row>
    <row r="1249" spans="1:12" ht="15.75" customHeight="1">
      <c r="A1249" s="87" t="s">
        <v>3935</v>
      </c>
      <c r="B1249" s="87" t="s">
        <v>3358</v>
      </c>
      <c r="C1249" s="87" t="s">
        <v>5804</v>
      </c>
      <c r="D1249" s="88">
        <v>353</v>
      </c>
      <c r="E1249" s="85" t="s">
        <v>5666</v>
      </c>
      <c r="F1249" s="87">
        <v>503</v>
      </c>
      <c r="G1249" s="37"/>
      <c r="H1249" s="37">
        <f>COUNTIF('(参考)現行システム機能階層一覧'!$E$3:$E$1048576,sheet1!B1249)</f>
        <v>2</v>
      </c>
      <c r="I1249" s="37"/>
      <c r="J1249" s="37"/>
      <c r="K1249" s="37"/>
      <c r="L1249" s="37"/>
    </row>
    <row r="1250" spans="1:12" ht="15.75" customHeight="1">
      <c r="A1250" s="87" t="s">
        <v>3935</v>
      </c>
      <c r="B1250" s="87" t="s">
        <v>5805</v>
      </c>
      <c r="C1250" s="87" t="s">
        <v>5806</v>
      </c>
      <c r="D1250" s="88">
        <v>1366</v>
      </c>
      <c r="E1250" s="85" t="s">
        <v>5666</v>
      </c>
      <c r="F1250" s="87">
        <v>485</v>
      </c>
      <c r="G1250" s="37"/>
      <c r="H1250" s="37">
        <f>COUNTIF('(参考)現行システム機能階層一覧'!$E$3:$E$1048576,sheet1!B1250)</f>
        <v>0</v>
      </c>
      <c r="I1250" s="37"/>
      <c r="J1250" s="37"/>
      <c r="K1250" s="37"/>
      <c r="L1250" s="37"/>
    </row>
    <row r="1251" spans="1:12" ht="15.75" customHeight="1">
      <c r="A1251" s="87" t="s">
        <v>3853</v>
      </c>
      <c r="B1251" s="87" t="s">
        <v>5807</v>
      </c>
      <c r="C1251" s="87" t="s">
        <v>5808</v>
      </c>
      <c r="D1251" s="88">
        <v>48</v>
      </c>
      <c r="E1251" s="85" t="s">
        <v>5666</v>
      </c>
      <c r="F1251" s="87">
        <v>485</v>
      </c>
      <c r="G1251" s="37"/>
      <c r="H1251" s="37">
        <f>COUNTIF('(参考)現行システム機能階層一覧'!$E$3:$E$1048576,sheet1!B1251)</f>
        <v>0</v>
      </c>
      <c r="I1251" s="37"/>
      <c r="J1251" s="37"/>
      <c r="K1251" s="37"/>
      <c r="L1251" s="37"/>
    </row>
    <row r="1252" spans="1:12" ht="15.75" customHeight="1">
      <c r="A1252" s="87" t="s">
        <v>3853</v>
      </c>
      <c r="B1252" s="87" t="s">
        <v>5809</v>
      </c>
      <c r="C1252" s="87" t="s">
        <v>5810</v>
      </c>
      <c r="D1252" s="88">
        <v>111</v>
      </c>
      <c r="E1252" s="85" t="s">
        <v>5666</v>
      </c>
      <c r="F1252" s="87">
        <v>485</v>
      </c>
      <c r="G1252" s="37"/>
      <c r="H1252" s="37">
        <f>COUNTIF('(参考)現行システム機能階層一覧'!$E$3:$E$1048576,sheet1!B1252)</f>
        <v>0</v>
      </c>
      <c r="I1252" s="37"/>
      <c r="J1252" s="37"/>
      <c r="K1252" s="37"/>
      <c r="L1252" s="37"/>
    </row>
    <row r="1253" spans="1:12" ht="15.75" customHeight="1">
      <c r="A1253" s="87" t="s">
        <v>3935</v>
      </c>
      <c r="B1253" s="87" t="s">
        <v>3361</v>
      </c>
      <c r="C1253" s="87" t="s">
        <v>5811</v>
      </c>
      <c r="D1253" s="88">
        <v>338</v>
      </c>
      <c r="E1253" s="85" t="s">
        <v>5666</v>
      </c>
      <c r="F1253" s="87">
        <v>22</v>
      </c>
      <c r="G1253" s="37"/>
      <c r="H1253" s="37">
        <f>COUNTIF('(参考)現行システム機能階層一覧'!$E$3:$E$1048576,sheet1!B1253)</f>
        <v>1</v>
      </c>
      <c r="I1253" s="37"/>
      <c r="J1253" s="37"/>
      <c r="K1253" s="37"/>
      <c r="L1253" s="37"/>
    </row>
    <row r="1254" spans="1:12" ht="15.75" customHeight="1">
      <c r="A1254" s="87" t="s">
        <v>3935</v>
      </c>
      <c r="B1254" s="87" t="s">
        <v>5812</v>
      </c>
      <c r="C1254" s="87" t="s">
        <v>5813</v>
      </c>
      <c r="D1254" s="88">
        <v>900</v>
      </c>
      <c r="E1254" s="85" t="s">
        <v>5666</v>
      </c>
      <c r="F1254" s="87">
        <v>16</v>
      </c>
      <c r="G1254" s="37"/>
      <c r="H1254" s="37">
        <f>COUNTIF('(参考)現行システム機能階層一覧'!$E$3:$E$1048576,sheet1!B1254)</f>
        <v>0</v>
      </c>
      <c r="I1254" s="37"/>
      <c r="J1254" s="37"/>
      <c r="K1254" s="37"/>
      <c r="L1254" s="37"/>
    </row>
    <row r="1255" spans="1:12" ht="15.75" customHeight="1">
      <c r="A1255" s="87" t="s">
        <v>3853</v>
      </c>
      <c r="B1255" s="87" t="s">
        <v>5814</v>
      </c>
      <c r="C1255" s="87" t="s">
        <v>5815</v>
      </c>
      <c r="D1255" s="88">
        <v>41</v>
      </c>
      <c r="E1255" s="85" t="s">
        <v>5666</v>
      </c>
      <c r="F1255" s="87">
        <v>16</v>
      </c>
      <c r="G1255" s="37"/>
      <c r="H1255" s="37">
        <f>COUNTIF('(参考)現行システム機能階層一覧'!$E$3:$E$1048576,sheet1!B1255)</f>
        <v>0</v>
      </c>
      <c r="I1255" s="37"/>
      <c r="J1255" s="37"/>
      <c r="K1255" s="37"/>
      <c r="L1255" s="37"/>
    </row>
    <row r="1256" spans="1:12" ht="15.75" customHeight="1">
      <c r="A1256" s="87" t="s">
        <v>3853</v>
      </c>
      <c r="B1256" s="87" t="s">
        <v>5816</v>
      </c>
      <c r="C1256" s="87" t="s">
        <v>5817</v>
      </c>
      <c r="D1256" s="88">
        <v>106</v>
      </c>
      <c r="E1256" s="85" t="s">
        <v>5666</v>
      </c>
      <c r="F1256" s="87">
        <v>16</v>
      </c>
      <c r="G1256" s="37"/>
      <c r="H1256" s="37">
        <f>COUNTIF('(参考)現行システム機能階層一覧'!$E$3:$E$1048576,sheet1!B1256)</f>
        <v>0</v>
      </c>
      <c r="I1256" s="37"/>
      <c r="J1256" s="37"/>
      <c r="K1256" s="37"/>
      <c r="L1256" s="37"/>
    </row>
    <row r="1257" spans="1:12" ht="15.75" customHeight="1">
      <c r="A1257" s="87" t="s">
        <v>3935</v>
      </c>
      <c r="B1257" s="87" t="s">
        <v>3364</v>
      </c>
      <c r="C1257" s="87" t="s">
        <v>5818</v>
      </c>
      <c r="D1257" s="88">
        <v>469</v>
      </c>
      <c r="E1257" s="85" t="s">
        <v>5666</v>
      </c>
      <c r="F1257" s="87">
        <v>146</v>
      </c>
      <c r="G1257" s="37"/>
      <c r="H1257" s="37">
        <f>COUNTIF('(参考)現行システム機能階層一覧'!$E$3:$E$1048576,sheet1!B1257)</f>
        <v>1</v>
      </c>
      <c r="I1257" s="37"/>
      <c r="J1257" s="37"/>
      <c r="K1257" s="37"/>
      <c r="L1257" s="37"/>
    </row>
    <row r="1258" spans="1:12" ht="15.75" customHeight="1">
      <c r="A1258" s="87" t="s">
        <v>3935</v>
      </c>
      <c r="B1258" s="87" t="s">
        <v>5819</v>
      </c>
      <c r="C1258" s="87" t="s">
        <v>5820</v>
      </c>
      <c r="D1258" s="88">
        <v>706</v>
      </c>
      <c r="E1258" s="85" t="s">
        <v>5666</v>
      </c>
      <c r="F1258" s="87">
        <v>136</v>
      </c>
      <c r="G1258" s="37"/>
      <c r="H1258" s="37">
        <f>COUNTIF('(参考)現行システム機能階層一覧'!$E$3:$E$1048576,sheet1!B1258)</f>
        <v>0</v>
      </c>
      <c r="I1258" s="37"/>
      <c r="J1258" s="37"/>
      <c r="K1258" s="37"/>
      <c r="L1258" s="37"/>
    </row>
    <row r="1259" spans="1:12" ht="15.75" customHeight="1">
      <c r="A1259" s="87" t="s">
        <v>3853</v>
      </c>
      <c r="B1259" s="87" t="s">
        <v>5821</v>
      </c>
      <c r="C1259" s="87" t="s">
        <v>5822</v>
      </c>
      <c r="D1259" s="88">
        <v>66</v>
      </c>
      <c r="E1259" s="85" t="s">
        <v>5666</v>
      </c>
      <c r="F1259" s="87">
        <v>136</v>
      </c>
      <c r="G1259" s="37"/>
      <c r="H1259" s="37">
        <f>COUNTIF('(参考)現行システム機能階層一覧'!$E$3:$E$1048576,sheet1!B1259)</f>
        <v>0</v>
      </c>
      <c r="I1259" s="37"/>
      <c r="J1259" s="37"/>
      <c r="K1259" s="37"/>
      <c r="L1259" s="37"/>
    </row>
    <row r="1260" spans="1:12" ht="15.75" customHeight="1">
      <c r="A1260" s="87" t="s">
        <v>3853</v>
      </c>
      <c r="B1260" s="87" t="s">
        <v>5823</v>
      </c>
      <c r="C1260" s="87" t="s">
        <v>5824</v>
      </c>
      <c r="D1260" s="88">
        <v>203</v>
      </c>
      <c r="E1260" s="85" t="s">
        <v>5666</v>
      </c>
      <c r="F1260" s="87">
        <v>136</v>
      </c>
      <c r="G1260" s="37"/>
      <c r="H1260" s="37">
        <f>COUNTIF('(参考)現行システム機能階層一覧'!$E$3:$E$1048576,sheet1!B1260)</f>
        <v>0</v>
      </c>
      <c r="I1260" s="37"/>
      <c r="J1260" s="37"/>
      <c r="K1260" s="37"/>
      <c r="L1260" s="37"/>
    </row>
    <row r="1261" spans="1:12" ht="15.75" customHeight="1">
      <c r="A1261" s="87" t="s">
        <v>3935</v>
      </c>
      <c r="B1261" s="87" t="s">
        <v>2848</v>
      </c>
      <c r="C1261" s="87" t="s">
        <v>5825</v>
      </c>
      <c r="D1261" s="88">
        <v>216</v>
      </c>
      <c r="E1261" s="85" t="s">
        <v>5666</v>
      </c>
      <c r="F1261" s="87">
        <v>119</v>
      </c>
      <c r="G1261" s="37"/>
      <c r="H1261" s="37">
        <f>COUNTIF('(参考)現行システム機能階層一覧'!$E$3:$E$1048576,sheet1!B1261)</f>
        <v>1</v>
      </c>
      <c r="I1261" s="37"/>
      <c r="J1261" s="37"/>
      <c r="K1261" s="37"/>
      <c r="L1261" s="37"/>
    </row>
    <row r="1262" spans="1:12" ht="15.75" customHeight="1">
      <c r="A1262" s="87" t="s">
        <v>3853</v>
      </c>
      <c r="B1262" s="87" t="s">
        <v>5826</v>
      </c>
      <c r="C1262" s="87" t="s">
        <v>5827</v>
      </c>
      <c r="D1262" s="88">
        <v>21</v>
      </c>
      <c r="E1262" s="85" t="s">
        <v>5666</v>
      </c>
      <c r="F1262" s="87">
        <v>179</v>
      </c>
      <c r="G1262" s="37"/>
      <c r="H1262" s="37">
        <f>COUNTIF('(参考)現行システム機能階層一覧'!$E$3:$E$1048576,sheet1!B1262)</f>
        <v>0</v>
      </c>
      <c r="I1262" s="37"/>
      <c r="J1262" s="37"/>
      <c r="K1262" s="37"/>
      <c r="L1262" s="37"/>
    </row>
    <row r="1263" spans="1:12" ht="15.75" customHeight="1">
      <c r="A1263" s="87" t="s">
        <v>3935</v>
      </c>
      <c r="B1263" s="87" t="s">
        <v>5828</v>
      </c>
      <c r="C1263" s="87" t="s">
        <v>5829</v>
      </c>
      <c r="D1263" s="88">
        <v>1339</v>
      </c>
      <c r="E1263" s="85" t="s">
        <v>5666</v>
      </c>
      <c r="F1263" s="87">
        <v>173</v>
      </c>
      <c r="G1263" s="37"/>
      <c r="H1263" s="37">
        <f>COUNTIF('(参考)現行システム機能階層一覧'!$E$3:$E$1048576,sheet1!B1263)</f>
        <v>0</v>
      </c>
      <c r="I1263" s="37"/>
      <c r="J1263" s="37"/>
      <c r="K1263" s="37"/>
      <c r="L1263" s="37"/>
    </row>
    <row r="1264" spans="1:12" ht="15.75" customHeight="1">
      <c r="A1264" s="87" t="s">
        <v>3935</v>
      </c>
      <c r="B1264" s="87" t="s">
        <v>5830</v>
      </c>
      <c r="C1264" s="87" t="s">
        <v>5831</v>
      </c>
      <c r="D1264" s="88">
        <v>1339</v>
      </c>
      <c r="E1264" s="85" t="s">
        <v>5666</v>
      </c>
      <c r="F1264" s="87">
        <v>173</v>
      </c>
      <c r="G1264" s="37"/>
      <c r="H1264" s="37">
        <f>COUNTIF('(参考)現行システム機能階層一覧'!$E$3:$E$1048576,sheet1!B1264)</f>
        <v>0</v>
      </c>
      <c r="I1264" s="37"/>
      <c r="J1264" s="37"/>
      <c r="K1264" s="37"/>
      <c r="L1264" s="37"/>
    </row>
    <row r="1265" spans="1:12" ht="15.75" customHeight="1">
      <c r="A1265" s="87" t="s">
        <v>3935</v>
      </c>
      <c r="B1265" s="87" t="s">
        <v>5832</v>
      </c>
      <c r="C1265" s="87" t="s">
        <v>5833</v>
      </c>
      <c r="D1265" s="88">
        <v>94</v>
      </c>
      <c r="E1265" s="85" t="s">
        <v>5666</v>
      </c>
      <c r="F1265" s="87">
        <v>173</v>
      </c>
      <c r="G1265" s="37"/>
      <c r="H1265" s="37">
        <f>COUNTIF('(参考)現行システム機能階層一覧'!$E$3:$E$1048576,sheet1!B1265)</f>
        <v>0</v>
      </c>
      <c r="I1265" s="37"/>
      <c r="J1265" s="37"/>
      <c r="K1265" s="37"/>
      <c r="L1265" s="37"/>
    </row>
    <row r="1266" spans="1:12" ht="15.75" customHeight="1">
      <c r="A1266" s="87" t="s">
        <v>3935</v>
      </c>
      <c r="B1266" s="87" t="s">
        <v>3346</v>
      </c>
      <c r="C1266" s="87" t="s">
        <v>5834</v>
      </c>
      <c r="D1266" s="88">
        <v>170</v>
      </c>
      <c r="E1266" s="85" t="s">
        <v>5666</v>
      </c>
      <c r="F1266" s="87">
        <v>297</v>
      </c>
      <c r="G1266" s="37"/>
      <c r="H1266" s="37">
        <f>COUNTIF('(参考)現行システム機能階層一覧'!$E$3:$E$1048576,sheet1!B1266)</f>
        <v>1</v>
      </c>
      <c r="I1266" s="37"/>
      <c r="J1266" s="37"/>
      <c r="K1266" s="37"/>
      <c r="L1266" s="37"/>
    </row>
    <row r="1267" spans="1:12" ht="15.75" customHeight="1">
      <c r="A1267" s="87" t="s">
        <v>3853</v>
      </c>
      <c r="B1267" s="87" t="s">
        <v>5835</v>
      </c>
      <c r="C1267" s="87" t="s">
        <v>5836</v>
      </c>
      <c r="D1267" s="88">
        <v>67</v>
      </c>
      <c r="E1267" s="85" t="s">
        <v>5666</v>
      </c>
      <c r="F1267" s="87">
        <v>507</v>
      </c>
      <c r="G1267" s="37"/>
      <c r="H1267" s="37">
        <f>COUNTIF('(参考)現行システム機能階層一覧'!$E$3:$E$1048576,sheet1!B1267)</f>
        <v>0</v>
      </c>
      <c r="I1267" s="37"/>
      <c r="J1267" s="37"/>
      <c r="K1267" s="37"/>
      <c r="L1267" s="37"/>
    </row>
    <row r="1268" spans="1:12" ht="15.75" customHeight="1">
      <c r="A1268" s="87" t="s">
        <v>3935</v>
      </c>
      <c r="B1268" s="87" t="s">
        <v>5837</v>
      </c>
      <c r="C1268" s="87" t="s">
        <v>5838</v>
      </c>
      <c r="D1268" s="88">
        <v>1095</v>
      </c>
      <c r="E1268" s="85" t="s">
        <v>5666</v>
      </c>
      <c r="F1268" s="87">
        <v>485</v>
      </c>
      <c r="G1268" s="37"/>
      <c r="H1268" s="37">
        <f>COUNTIF('(参考)現行システム機能階層一覧'!$E$3:$E$1048576,sheet1!B1268)</f>
        <v>0</v>
      </c>
      <c r="I1268" s="37"/>
      <c r="J1268" s="37"/>
      <c r="K1268" s="37"/>
      <c r="L1268" s="37"/>
    </row>
    <row r="1269" spans="1:12" ht="15.75" customHeight="1">
      <c r="A1269" s="87" t="s">
        <v>3935</v>
      </c>
      <c r="B1269" s="87" t="s">
        <v>5839</v>
      </c>
      <c r="C1269" s="87" t="s">
        <v>5840</v>
      </c>
      <c r="D1269" s="88">
        <v>1358</v>
      </c>
      <c r="E1269" s="85" t="s">
        <v>5666</v>
      </c>
      <c r="F1269" s="87">
        <v>488</v>
      </c>
      <c r="G1269" s="37"/>
      <c r="H1269" s="37">
        <f>COUNTIF('(参考)現行システム機能階層一覧'!$E$3:$E$1048576,sheet1!B1269)</f>
        <v>0</v>
      </c>
      <c r="I1269" s="37"/>
      <c r="J1269" s="37"/>
      <c r="K1269" s="37"/>
      <c r="L1269" s="37"/>
    </row>
    <row r="1270" spans="1:12" ht="15.75" customHeight="1">
      <c r="A1270" s="87" t="s">
        <v>3935</v>
      </c>
      <c r="B1270" s="87" t="s">
        <v>5841</v>
      </c>
      <c r="C1270" s="87" t="s">
        <v>5842</v>
      </c>
      <c r="D1270" s="88">
        <v>234</v>
      </c>
      <c r="E1270" s="85" t="s">
        <v>5666</v>
      </c>
      <c r="F1270" s="87">
        <v>488</v>
      </c>
      <c r="G1270" s="37"/>
      <c r="H1270" s="37">
        <f>COUNTIF('(参考)現行システム機能階層一覧'!$E$3:$E$1048576,sheet1!B1270)</f>
        <v>0</v>
      </c>
      <c r="I1270" s="37"/>
      <c r="J1270" s="37"/>
      <c r="K1270" s="37"/>
      <c r="L1270" s="37"/>
    </row>
    <row r="1271" spans="1:12" ht="15.75" customHeight="1">
      <c r="A1271" s="87" t="s">
        <v>3935</v>
      </c>
      <c r="B1271" s="87" t="s">
        <v>1073</v>
      </c>
      <c r="C1271" s="87" t="s">
        <v>5843</v>
      </c>
      <c r="D1271" s="88">
        <v>663</v>
      </c>
      <c r="E1271" s="85" t="s">
        <v>5666</v>
      </c>
      <c r="F1271" s="87">
        <v>139</v>
      </c>
      <c r="G1271" s="37"/>
      <c r="H1271" s="37">
        <f>COUNTIF('(参考)現行システム機能階層一覧'!$E$3:$E$1048576,sheet1!B1271)</f>
        <v>1</v>
      </c>
      <c r="I1271" s="37"/>
      <c r="J1271" s="37"/>
      <c r="K1271" s="37"/>
      <c r="L1271" s="37"/>
    </row>
    <row r="1272" spans="1:12" ht="15.75" customHeight="1">
      <c r="A1272" s="87" t="s">
        <v>3935</v>
      </c>
      <c r="B1272" s="87" t="s">
        <v>5844</v>
      </c>
      <c r="C1272" s="87" t="s">
        <v>5845</v>
      </c>
      <c r="D1272" s="88">
        <v>85</v>
      </c>
      <c r="E1272" s="85" t="s">
        <v>5666</v>
      </c>
      <c r="F1272" s="87">
        <v>267</v>
      </c>
      <c r="G1272" s="37"/>
      <c r="H1272" s="37">
        <f>COUNTIF('(参考)現行システム機能階層一覧'!$E$3:$E$1048576,sheet1!B1272)</f>
        <v>0</v>
      </c>
      <c r="I1272" s="37"/>
      <c r="J1272" s="37"/>
      <c r="K1272" s="37"/>
      <c r="L1272" s="37"/>
    </row>
    <row r="1273" spans="1:12" ht="15.75" customHeight="1">
      <c r="A1273" s="87" t="s">
        <v>3935</v>
      </c>
      <c r="B1273" s="87" t="s">
        <v>5846</v>
      </c>
      <c r="C1273" s="87" t="s">
        <v>5847</v>
      </c>
      <c r="D1273" s="88">
        <v>88</v>
      </c>
      <c r="E1273" s="85" t="s">
        <v>5666</v>
      </c>
      <c r="F1273" s="87">
        <v>541</v>
      </c>
      <c r="G1273" s="37"/>
      <c r="H1273" s="37">
        <f>COUNTIF('(参考)現行システム機能階層一覧'!$E$3:$E$1048576,sheet1!B1273)</f>
        <v>0</v>
      </c>
      <c r="I1273" s="37"/>
      <c r="J1273" s="37"/>
      <c r="K1273" s="37"/>
      <c r="L1273" s="37"/>
    </row>
    <row r="1274" spans="1:12" ht="15.75" customHeight="1">
      <c r="A1274" s="87" t="s">
        <v>3935</v>
      </c>
      <c r="B1274" s="87" t="s">
        <v>5848</v>
      </c>
      <c r="C1274" s="87" t="s">
        <v>5849</v>
      </c>
      <c r="D1274" s="88">
        <v>183</v>
      </c>
      <c r="E1274" s="85" t="s">
        <v>5666</v>
      </c>
      <c r="F1274" s="87">
        <v>813</v>
      </c>
      <c r="G1274" s="37"/>
      <c r="H1274" s="37">
        <f>COUNTIF('(参考)現行システム機能階層一覧'!$E$3:$E$1048576,sheet1!B1274)</f>
        <v>0</v>
      </c>
      <c r="I1274" s="37"/>
      <c r="J1274" s="37"/>
      <c r="K1274" s="37"/>
      <c r="L1274" s="37"/>
    </row>
    <row r="1275" spans="1:12" ht="15.75" customHeight="1">
      <c r="A1275" s="87" t="s">
        <v>3853</v>
      </c>
      <c r="B1275" s="87" t="s">
        <v>5850</v>
      </c>
      <c r="C1275" s="87" t="s">
        <v>5851</v>
      </c>
      <c r="D1275" s="88">
        <v>90</v>
      </c>
      <c r="E1275" s="85" t="s">
        <v>5852</v>
      </c>
      <c r="F1275" s="87">
        <v>910</v>
      </c>
      <c r="G1275" s="37"/>
      <c r="H1275" s="37">
        <f>COUNTIF('(参考)現行システム機能階層一覧'!$E$3:$E$1048576,sheet1!B1275)</f>
        <v>0</v>
      </c>
      <c r="I1275" s="37"/>
      <c r="J1275" s="37"/>
      <c r="K1275" s="37"/>
      <c r="L1275" s="37"/>
    </row>
    <row r="1276" spans="1:12" ht="15.75" customHeight="1">
      <c r="A1276" s="87" t="s">
        <v>3853</v>
      </c>
      <c r="B1276" s="87" t="s">
        <v>5853</v>
      </c>
      <c r="C1276" s="87" t="s">
        <v>5854</v>
      </c>
      <c r="D1276" s="88">
        <v>73</v>
      </c>
      <c r="E1276" s="85" t="s">
        <v>5852</v>
      </c>
      <c r="F1276" s="87">
        <v>1221</v>
      </c>
      <c r="G1276" s="37"/>
      <c r="H1276" s="37">
        <f>COUNTIF('(参考)現行システム機能階層一覧'!$E$3:$E$1048576,sheet1!B1276)</f>
        <v>0</v>
      </c>
      <c r="I1276" s="37"/>
      <c r="J1276" s="37"/>
      <c r="K1276" s="37"/>
      <c r="L1276" s="37"/>
    </row>
    <row r="1277" spans="1:12" ht="15.75" customHeight="1">
      <c r="A1277" s="87" t="s">
        <v>3853</v>
      </c>
      <c r="B1277" s="87" t="s">
        <v>5855</v>
      </c>
      <c r="C1277" s="87" t="s">
        <v>5851</v>
      </c>
      <c r="D1277" s="88">
        <v>82</v>
      </c>
      <c r="E1277" s="85" t="s">
        <v>5852</v>
      </c>
      <c r="F1277" s="87">
        <v>3</v>
      </c>
      <c r="G1277" s="37"/>
      <c r="H1277" s="37">
        <f>COUNTIF('(参考)現行システム機能階層一覧'!$E$3:$E$1048576,sheet1!B1277)</f>
        <v>0</v>
      </c>
      <c r="I1277" s="37"/>
      <c r="J1277" s="37"/>
      <c r="K1277" s="37"/>
      <c r="L1277" s="37"/>
    </row>
    <row r="1278" spans="1:12" ht="15.75" customHeight="1">
      <c r="A1278" s="87" t="s">
        <v>3853</v>
      </c>
      <c r="B1278" s="87" t="s">
        <v>5856</v>
      </c>
      <c r="C1278" s="87" t="s">
        <v>5857</v>
      </c>
      <c r="D1278" s="88">
        <v>47</v>
      </c>
      <c r="E1278" s="85" t="s">
        <v>5852</v>
      </c>
      <c r="F1278" s="87">
        <v>1</v>
      </c>
      <c r="G1278" s="37"/>
      <c r="H1278" s="37">
        <f>COUNTIF('(参考)現行システム機能階層一覧'!$E$3:$E$1048576,sheet1!B1278)</f>
        <v>0</v>
      </c>
      <c r="I1278" s="37"/>
      <c r="J1278" s="37"/>
      <c r="K1278" s="37"/>
      <c r="L1278" s="37"/>
    </row>
    <row r="1279" spans="1:12" ht="15.75" customHeight="1">
      <c r="A1279" s="87" t="s">
        <v>3853</v>
      </c>
      <c r="B1279" s="87" t="s">
        <v>5858</v>
      </c>
      <c r="C1279" s="87" t="s">
        <v>5859</v>
      </c>
      <c r="D1279" s="88">
        <v>95</v>
      </c>
      <c r="E1279" s="85" t="s">
        <v>5852</v>
      </c>
      <c r="F1279" s="87">
        <v>917</v>
      </c>
      <c r="G1279" s="37"/>
      <c r="H1279" s="37">
        <f>COUNTIF('(参考)現行システム機能階層一覧'!$E$3:$E$1048576,sheet1!B1279)</f>
        <v>0</v>
      </c>
      <c r="I1279" s="37"/>
      <c r="J1279" s="37"/>
      <c r="K1279" s="37"/>
      <c r="L1279" s="37"/>
    </row>
    <row r="1280" spans="1:12" ht="15.75" customHeight="1">
      <c r="A1280" s="87" t="s">
        <v>3853</v>
      </c>
      <c r="B1280" s="87" t="s">
        <v>5860</v>
      </c>
      <c r="C1280" s="87" t="s">
        <v>5861</v>
      </c>
      <c r="D1280" s="88">
        <v>47</v>
      </c>
      <c r="E1280" s="85" t="s">
        <v>5852</v>
      </c>
      <c r="F1280" s="87">
        <v>1</v>
      </c>
      <c r="G1280" s="37"/>
      <c r="H1280" s="37">
        <f>COUNTIF('(参考)現行システム機能階層一覧'!$E$3:$E$1048576,sheet1!B1280)</f>
        <v>0</v>
      </c>
      <c r="I1280" s="37"/>
      <c r="J1280" s="37"/>
      <c r="K1280" s="37"/>
      <c r="L1280" s="37"/>
    </row>
    <row r="1281" spans="1:12" ht="15.75" customHeight="1">
      <c r="A1281" s="87" t="s">
        <v>3853</v>
      </c>
      <c r="B1281" s="87" t="s">
        <v>5862</v>
      </c>
      <c r="C1281" s="87" t="s">
        <v>5863</v>
      </c>
      <c r="D1281" s="88">
        <v>68</v>
      </c>
      <c r="E1281" s="85" t="s">
        <v>5852</v>
      </c>
      <c r="F1281" s="87">
        <v>1</v>
      </c>
      <c r="G1281" s="37"/>
      <c r="H1281" s="37">
        <f>COUNTIF('(参考)現行システム機能階層一覧'!$E$3:$E$1048576,sheet1!B1281)</f>
        <v>0</v>
      </c>
      <c r="I1281" s="37"/>
      <c r="J1281" s="37"/>
      <c r="K1281" s="37"/>
      <c r="L1281" s="37"/>
    </row>
    <row r="1282" spans="1:12" ht="15.75" customHeight="1">
      <c r="A1282" s="87" t="s">
        <v>3853</v>
      </c>
      <c r="B1282" s="87" t="s">
        <v>5864</v>
      </c>
      <c r="C1282" s="87" t="s">
        <v>5865</v>
      </c>
      <c r="D1282" s="88">
        <v>47</v>
      </c>
      <c r="E1282" s="85" t="s">
        <v>5852</v>
      </c>
      <c r="F1282" s="87">
        <v>1484</v>
      </c>
      <c r="G1282" s="37"/>
      <c r="H1282" s="37">
        <f>COUNTIF('(参考)現行システム機能階層一覧'!$E$3:$E$1048576,sheet1!B1282)</f>
        <v>0</v>
      </c>
      <c r="I1282" s="37"/>
      <c r="J1282" s="37"/>
      <c r="K1282" s="37"/>
      <c r="L1282" s="37"/>
    </row>
    <row r="1283" spans="1:12" ht="15.75" customHeight="1">
      <c r="A1283" s="87" t="s">
        <v>3853</v>
      </c>
      <c r="B1283" s="87" t="s">
        <v>5866</v>
      </c>
      <c r="C1283" s="87" t="s">
        <v>5867</v>
      </c>
      <c r="D1283" s="88">
        <v>47</v>
      </c>
      <c r="E1283" s="85" t="s">
        <v>5852</v>
      </c>
      <c r="F1283" s="87">
        <v>1</v>
      </c>
      <c r="G1283" s="37"/>
      <c r="H1283" s="37">
        <f>COUNTIF('(参考)現行システム機能階層一覧'!$E$3:$E$1048576,sheet1!B1283)</f>
        <v>0</v>
      </c>
      <c r="I1283" s="37"/>
      <c r="J1283" s="37"/>
      <c r="K1283" s="37"/>
      <c r="L1283" s="37"/>
    </row>
    <row r="1284" spans="1:12" ht="15.75" customHeight="1">
      <c r="A1284" s="87" t="s">
        <v>3853</v>
      </c>
      <c r="B1284" s="87" t="s">
        <v>5868</v>
      </c>
      <c r="C1284" s="87" t="s">
        <v>5869</v>
      </c>
      <c r="D1284" s="88">
        <v>104</v>
      </c>
      <c r="E1284" s="85" t="s">
        <v>5852</v>
      </c>
      <c r="F1284" s="87">
        <v>780</v>
      </c>
      <c r="G1284" s="37"/>
      <c r="H1284" s="37">
        <f>COUNTIF('(参考)現行システム機能階層一覧'!$E$3:$E$1048576,sheet1!B1284)</f>
        <v>0</v>
      </c>
      <c r="I1284" s="37"/>
      <c r="J1284" s="37"/>
      <c r="K1284" s="37"/>
      <c r="L1284" s="37"/>
    </row>
    <row r="1285" spans="1:12" ht="15.75" customHeight="1">
      <c r="A1285" s="87" t="s">
        <v>3853</v>
      </c>
      <c r="B1285" s="87" t="s">
        <v>5870</v>
      </c>
      <c r="C1285" s="87" t="s">
        <v>5871</v>
      </c>
      <c r="D1285" s="88">
        <v>220</v>
      </c>
      <c r="E1285" s="85" t="s">
        <v>5852</v>
      </c>
      <c r="F1285" s="87">
        <v>1660</v>
      </c>
      <c r="G1285" s="37"/>
      <c r="H1285" s="37">
        <f>COUNTIF('(参考)現行システム機能階層一覧'!$E$3:$E$1048576,sheet1!B1285)</f>
        <v>0</v>
      </c>
      <c r="I1285" s="37"/>
      <c r="J1285" s="37"/>
      <c r="K1285" s="37"/>
      <c r="L1285" s="37"/>
    </row>
    <row r="1286" spans="1:12" ht="15.75" customHeight="1">
      <c r="A1286" s="87" t="s">
        <v>3853</v>
      </c>
      <c r="B1286" s="87" t="s">
        <v>5872</v>
      </c>
      <c r="C1286" s="87" t="s">
        <v>5873</v>
      </c>
      <c r="D1286" s="88">
        <v>126</v>
      </c>
      <c r="E1286" s="85" t="s">
        <v>5852</v>
      </c>
      <c r="F1286" s="87">
        <v>739</v>
      </c>
      <c r="G1286" s="37"/>
      <c r="H1286" s="37">
        <f>COUNTIF('(参考)現行システム機能階層一覧'!$E$3:$E$1048576,sheet1!B1286)</f>
        <v>0</v>
      </c>
      <c r="I1286" s="37"/>
      <c r="J1286" s="37"/>
      <c r="K1286" s="37"/>
      <c r="L1286" s="37"/>
    </row>
    <row r="1287" spans="1:12" ht="15.75" customHeight="1">
      <c r="A1287" s="87" t="s">
        <v>3853</v>
      </c>
      <c r="B1287" s="87" t="s">
        <v>5874</v>
      </c>
      <c r="C1287" s="87" t="s">
        <v>5875</v>
      </c>
      <c r="D1287" s="88">
        <v>79</v>
      </c>
      <c r="E1287" s="85" t="s">
        <v>5852</v>
      </c>
      <c r="F1287" s="87">
        <v>32</v>
      </c>
      <c r="G1287" s="37"/>
      <c r="H1287" s="37">
        <f>COUNTIF('(参考)現行システム機能階層一覧'!$E$3:$E$1048576,sheet1!B1287)</f>
        <v>0</v>
      </c>
      <c r="I1287" s="37"/>
      <c r="J1287" s="37"/>
      <c r="K1287" s="37"/>
      <c r="L1287" s="37"/>
    </row>
    <row r="1288" spans="1:12" ht="15.75" customHeight="1">
      <c r="A1288" s="87" t="s">
        <v>3853</v>
      </c>
      <c r="B1288" s="87" t="s">
        <v>5876</v>
      </c>
      <c r="C1288" s="87" t="s">
        <v>5877</v>
      </c>
      <c r="D1288" s="88">
        <v>132</v>
      </c>
      <c r="E1288" s="85" t="s">
        <v>5852</v>
      </c>
      <c r="F1288" s="87">
        <v>1249</v>
      </c>
      <c r="G1288" s="37"/>
      <c r="H1288" s="37">
        <f>COUNTIF('(参考)現行システム機能階層一覧'!$E$3:$E$1048576,sheet1!B1288)</f>
        <v>0</v>
      </c>
      <c r="I1288" s="37"/>
      <c r="J1288" s="37"/>
      <c r="K1288" s="37"/>
      <c r="L1288" s="37"/>
    </row>
    <row r="1289" spans="1:12" ht="15.75" customHeight="1">
      <c r="A1289" s="87" t="s">
        <v>3853</v>
      </c>
      <c r="B1289" s="87" t="s">
        <v>5878</v>
      </c>
      <c r="C1289" s="87" t="s">
        <v>5879</v>
      </c>
      <c r="D1289" s="88">
        <v>132</v>
      </c>
      <c r="E1289" s="85" t="s">
        <v>5852</v>
      </c>
      <c r="F1289" s="87">
        <v>1169</v>
      </c>
      <c r="G1289" s="37"/>
      <c r="H1289" s="37">
        <f>COUNTIF('(参考)現行システム機能階層一覧'!$E$3:$E$1048576,sheet1!B1289)</f>
        <v>0</v>
      </c>
      <c r="I1289" s="37"/>
      <c r="J1289" s="37"/>
      <c r="K1289" s="37"/>
      <c r="L1289" s="37"/>
    </row>
    <row r="1290" spans="1:12" ht="15.75" customHeight="1">
      <c r="A1290" s="87" t="s">
        <v>3853</v>
      </c>
      <c r="B1290" s="87" t="s">
        <v>5880</v>
      </c>
      <c r="C1290" s="87" t="s">
        <v>5881</v>
      </c>
      <c r="D1290" s="88">
        <v>132</v>
      </c>
      <c r="E1290" s="85" t="s">
        <v>5852</v>
      </c>
      <c r="F1290" s="87">
        <v>1343</v>
      </c>
      <c r="G1290" s="37"/>
      <c r="H1290" s="37">
        <f>COUNTIF('(参考)現行システム機能階層一覧'!$E$3:$E$1048576,sheet1!B1290)</f>
        <v>0</v>
      </c>
      <c r="I1290" s="37"/>
      <c r="J1290" s="37"/>
      <c r="K1290" s="37"/>
      <c r="L1290" s="37"/>
    </row>
    <row r="1291" spans="1:12" ht="15.75" customHeight="1">
      <c r="A1291" s="87" t="s">
        <v>3853</v>
      </c>
      <c r="B1291" s="87" t="s">
        <v>5882</v>
      </c>
      <c r="C1291" s="87" t="s">
        <v>5883</v>
      </c>
      <c r="D1291" s="88">
        <v>131</v>
      </c>
      <c r="E1291" s="85" t="s">
        <v>5852</v>
      </c>
      <c r="F1291" s="87">
        <v>1</v>
      </c>
      <c r="G1291" s="37"/>
      <c r="H1291" s="37">
        <f>COUNTIF('(参考)現行システム機能階層一覧'!$E$3:$E$1048576,sheet1!B1291)</f>
        <v>0</v>
      </c>
      <c r="I1291" s="37"/>
      <c r="J1291" s="37"/>
      <c r="K1291" s="37"/>
      <c r="L1291" s="37"/>
    </row>
    <row r="1292" spans="1:12" ht="15.75" customHeight="1">
      <c r="A1292" s="87" t="s">
        <v>3853</v>
      </c>
      <c r="B1292" s="87" t="s">
        <v>5884</v>
      </c>
      <c r="C1292" s="87" t="s">
        <v>5885</v>
      </c>
      <c r="D1292" s="88">
        <v>113</v>
      </c>
      <c r="E1292" s="85" t="s">
        <v>5852</v>
      </c>
      <c r="F1292" s="87">
        <v>1</v>
      </c>
      <c r="G1292" s="37"/>
      <c r="H1292" s="37">
        <f>COUNTIF('(参考)現行システム機能階層一覧'!$E$3:$E$1048576,sheet1!B1292)</f>
        <v>0</v>
      </c>
      <c r="I1292" s="37"/>
      <c r="J1292" s="37"/>
      <c r="K1292" s="37"/>
      <c r="L1292" s="37"/>
    </row>
    <row r="1293" spans="1:12" ht="15.75" customHeight="1">
      <c r="A1293" s="87" t="s">
        <v>3853</v>
      </c>
      <c r="B1293" s="87" t="s">
        <v>5886</v>
      </c>
      <c r="C1293" s="87" t="s">
        <v>5887</v>
      </c>
      <c r="D1293" s="88">
        <v>131</v>
      </c>
      <c r="E1293" s="85" t="s">
        <v>5852</v>
      </c>
      <c r="F1293" s="87">
        <v>1429</v>
      </c>
      <c r="G1293" s="37"/>
      <c r="H1293" s="37">
        <f>COUNTIF('(参考)現行システム機能階層一覧'!$E$3:$E$1048576,sheet1!B1293)</f>
        <v>0</v>
      </c>
      <c r="I1293" s="37"/>
      <c r="J1293" s="37"/>
      <c r="K1293" s="37"/>
      <c r="L1293" s="37"/>
    </row>
    <row r="1294" spans="1:12" ht="15.75" customHeight="1">
      <c r="A1294" s="87" t="s">
        <v>3853</v>
      </c>
      <c r="B1294" s="87" t="s">
        <v>5888</v>
      </c>
      <c r="C1294" s="87" t="s">
        <v>5889</v>
      </c>
      <c r="D1294" s="88">
        <v>130</v>
      </c>
      <c r="E1294" s="85" t="s">
        <v>5852</v>
      </c>
      <c r="F1294" s="87">
        <v>1312</v>
      </c>
      <c r="G1294" s="37"/>
      <c r="H1294" s="37">
        <f>COUNTIF('(参考)現行システム機能階層一覧'!$E$3:$E$1048576,sheet1!B1294)</f>
        <v>0</v>
      </c>
      <c r="I1294" s="37"/>
      <c r="J1294" s="37"/>
      <c r="K1294" s="37"/>
      <c r="L1294" s="37"/>
    </row>
    <row r="1295" spans="1:12" ht="15.75" customHeight="1">
      <c r="A1295" s="87" t="s">
        <v>3853</v>
      </c>
      <c r="B1295" s="87" t="s">
        <v>5890</v>
      </c>
      <c r="C1295" s="87" t="s">
        <v>5891</v>
      </c>
      <c r="D1295" s="88">
        <v>152</v>
      </c>
      <c r="E1295" s="85" t="s">
        <v>5852</v>
      </c>
      <c r="F1295" s="87">
        <v>40</v>
      </c>
      <c r="G1295" s="37"/>
      <c r="H1295" s="37">
        <f>COUNTIF('(参考)現行システム機能階層一覧'!$E$3:$E$1048576,sheet1!B1295)</f>
        <v>0</v>
      </c>
      <c r="I1295" s="37"/>
      <c r="J1295" s="37"/>
      <c r="K1295" s="37"/>
      <c r="L1295" s="37"/>
    </row>
    <row r="1296" spans="1:12" ht="15.75" customHeight="1">
      <c r="A1296" s="87" t="s">
        <v>3853</v>
      </c>
      <c r="B1296" s="87" t="s">
        <v>5892</v>
      </c>
      <c r="C1296" s="87" t="s">
        <v>5893</v>
      </c>
      <c r="D1296" s="88">
        <v>155</v>
      </c>
      <c r="E1296" s="85" t="s">
        <v>5852</v>
      </c>
      <c r="F1296" s="87">
        <v>1</v>
      </c>
      <c r="G1296" s="37"/>
      <c r="H1296" s="37">
        <f>COUNTIF('(参考)現行システム機能階層一覧'!$E$3:$E$1048576,sheet1!B1296)</f>
        <v>0</v>
      </c>
      <c r="I1296" s="37"/>
      <c r="J1296" s="37"/>
      <c r="K1296" s="37"/>
      <c r="L1296" s="37"/>
    </row>
    <row r="1297" spans="1:12" ht="15.75" customHeight="1">
      <c r="A1297" s="87" t="s">
        <v>3853</v>
      </c>
      <c r="B1297" s="87" t="s">
        <v>5894</v>
      </c>
      <c r="C1297" s="87" t="s">
        <v>5895</v>
      </c>
      <c r="D1297" s="88">
        <v>132</v>
      </c>
      <c r="E1297" s="85" t="s">
        <v>5852</v>
      </c>
      <c r="F1297" s="87">
        <v>1389</v>
      </c>
      <c r="G1297" s="37"/>
      <c r="H1297" s="37">
        <f>COUNTIF('(参考)現行システム機能階層一覧'!$E$3:$E$1048576,sheet1!B1297)</f>
        <v>0</v>
      </c>
      <c r="I1297" s="37"/>
      <c r="J1297" s="37"/>
      <c r="K1297" s="37"/>
      <c r="L1297" s="37"/>
    </row>
    <row r="1298" spans="1:12" ht="15.75" customHeight="1">
      <c r="A1298" s="87" t="s">
        <v>3853</v>
      </c>
      <c r="B1298" s="87" t="s">
        <v>5896</v>
      </c>
      <c r="C1298" s="87" t="s">
        <v>5897</v>
      </c>
      <c r="D1298" s="88">
        <v>144</v>
      </c>
      <c r="E1298" s="85" t="s">
        <v>5852</v>
      </c>
      <c r="F1298" s="87">
        <v>1304</v>
      </c>
      <c r="G1298" s="37"/>
      <c r="H1298" s="37">
        <f>COUNTIF('(参考)現行システム機能階層一覧'!$E$3:$E$1048576,sheet1!B1298)</f>
        <v>0</v>
      </c>
      <c r="I1298" s="37"/>
      <c r="J1298" s="37"/>
      <c r="K1298" s="37"/>
      <c r="L1298" s="37"/>
    </row>
    <row r="1299" spans="1:12" ht="15.75" customHeight="1">
      <c r="A1299" s="87" t="s">
        <v>3853</v>
      </c>
      <c r="B1299" s="87" t="s">
        <v>5898</v>
      </c>
      <c r="C1299" s="87" t="s">
        <v>5899</v>
      </c>
      <c r="D1299" s="88">
        <v>119</v>
      </c>
      <c r="E1299" s="85" t="s">
        <v>5852</v>
      </c>
      <c r="F1299" s="87">
        <v>1769</v>
      </c>
      <c r="G1299" s="37"/>
      <c r="H1299" s="37">
        <f>COUNTIF('(参考)現行システム機能階層一覧'!$E$3:$E$1048576,sheet1!B1299)</f>
        <v>0</v>
      </c>
      <c r="I1299" s="37"/>
      <c r="J1299" s="37"/>
      <c r="K1299" s="37"/>
      <c r="L1299" s="37"/>
    </row>
    <row r="1300" spans="1:12" ht="15.75" customHeight="1">
      <c r="A1300" s="87" t="s">
        <v>3853</v>
      </c>
      <c r="B1300" s="87" t="s">
        <v>5900</v>
      </c>
      <c r="C1300" s="87" t="s">
        <v>5901</v>
      </c>
      <c r="D1300" s="88">
        <v>132</v>
      </c>
      <c r="E1300" s="85" t="s">
        <v>5852</v>
      </c>
      <c r="F1300" s="87">
        <v>64</v>
      </c>
      <c r="G1300" s="37"/>
      <c r="H1300" s="37">
        <f>COUNTIF('(参考)現行システム機能階層一覧'!$E$3:$E$1048576,sheet1!B1300)</f>
        <v>0</v>
      </c>
      <c r="I1300" s="37"/>
      <c r="J1300" s="37"/>
      <c r="K1300" s="37"/>
      <c r="L1300" s="37"/>
    </row>
    <row r="1301" spans="1:12" ht="15.75" customHeight="1">
      <c r="A1301" s="87" t="s">
        <v>3853</v>
      </c>
      <c r="B1301" s="87" t="s">
        <v>5902</v>
      </c>
      <c r="C1301" s="87" t="s">
        <v>5903</v>
      </c>
      <c r="D1301" s="88">
        <v>126</v>
      </c>
      <c r="E1301" s="85" t="s">
        <v>5852</v>
      </c>
      <c r="F1301" s="87">
        <v>1</v>
      </c>
      <c r="G1301" s="37"/>
      <c r="H1301" s="37">
        <f>COUNTIF('(参考)現行システム機能階層一覧'!$E$3:$E$1048576,sheet1!B1301)</f>
        <v>0</v>
      </c>
      <c r="I1301" s="37"/>
      <c r="J1301" s="37"/>
      <c r="K1301" s="37"/>
      <c r="L1301" s="37"/>
    </row>
    <row r="1302" spans="1:12" ht="15.75" customHeight="1">
      <c r="A1302" s="87" t="s">
        <v>3853</v>
      </c>
      <c r="B1302" s="87" t="s">
        <v>5904</v>
      </c>
      <c r="C1302" s="87" t="s">
        <v>5905</v>
      </c>
      <c r="D1302" s="88">
        <v>108</v>
      </c>
      <c r="E1302" s="85" t="s">
        <v>5852</v>
      </c>
      <c r="F1302" s="87">
        <v>1</v>
      </c>
      <c r="G1302" s="37"/>
      <c r="H1302" s="37">
        <f>COUNTIF('(参考)現行システム機能階層一覧'!$E$3:$E$1048576,sheet1!B1302)</f>
        <v>0</v>
      </c>
      <c r="I1302" s="37"/>
      <c r="J1302" s="37"/>
      <c r="K1302" s="37"/>
      <c r="L1302" s="37"/>
    </row>
    <row r="1303" spans="1:12" ht="15.75" customHeight="1">
      <c r="A1303" s="87" t="s">
        <v>3853</v>
      </c>
      <c r="B1303" s="87" t="s">
        <v>5906</v>
      </c>
      <c r="C1303" s="87" t="s">
        <v>5907</v>
      </c>
      <c r="D1303" s="88">
        <v>126</v>
      </c>
      <c r="E1303" s="85" t="s">
        <v>5852</v>
      </c>
      <c r="F1303" s="87">
        <v>1</v>
      </c>
      <c r="G1303" s="37"/>
      <c r="H1303" s="37">
        <f>COUNTIF('(参考)現行システム機能階層一覧'!$E$3:$E$1048576,sheet1!B1303)</f>
        <v>0</v>
      </c>
      <c r="I1303" s="37"/>
      <c r="J1303" s="37"/>
      <c r="K1303" s="37"/>
      <c r="L1303" s="37"/>
    </row>
    <row r="1304" spans="1:12" ht="15.75" customHeight="1">
      <c r="A1304" s="87" t="s">
        <v>3853</v>
      </c>
      <c r="B1304" s="87" t="s">
        <v>5908</v>
      </c>
      <c r="C1304" s="87" t="s">
        <v>5909</v>
      </c>
      <c r="D1304" s="88">
        <v>193</v>
      </c>
      <c r="E1304" s="85" t="s">
        <v>5852</v>
      </c>
      <c r="F1304" s="87">
        <v>1</v>
      </c>
      <c r="G1304" s="37"/>
      <c r="H1304" s="37">
        <f>COUNTIF('(参考)現行システム機能階層一覧'!$E$3:$E$1048576,sheet1!B1304)</f>
        <v>0</v>
      </c>
      <c r="I1304" s="37"/>
      <c r="J1304" s="37"/>
      <c r="K1304" s="37"/>
      <c r="L1304" s="37"/>
    </row>
    <row r="1305" spans="1:12" ht="15.75" customHeight="1">
      <c r="A1305" s="87" t="s">
        <v>3853</v>
      </c>
      <c r="B1305" s="87" t="s">
        <v>5910</v>
      </c>
      <c r="C1305" s="87" t="s">
        <v>5911</v>
      </c>
      <c r="D1305" s="88">
        <v>123</v>
      </c>
      <c r="E1305" s="85" t="s">
        <v>5852</v>
      </c>
      <c r="F1305" s="87">
        <v>1</v>
      </c>
      <c r="G1305" s="37"/>
      <c r="H1305" s="37">
        <f>COUNTIF('(参考)現行システム機能階層一覧'!$E$3:$E$1048576,sheet1!B1305)</f>
        <v>0</v>
      </c>
      <c r="I1305" s="37"/>
      <c r="J1305" s="37"/>
      <c r="K1305" s="37"/>
      <c r="L1305" s="37"/>
    </row>
    <row r="1306" spans="1:12" ht="15.75" customHeight="1">
      <c r="A1306" s="87" t="s">
        <v>3853</v>
      </c>
      <c r="B1306" s="87" t="s">
        <v>5912</v>
      </c>
      <c r="C1306" s="87" t="s">
        <v>5913</v>
      </c>
      <c r="D1306" s="88">
        <v>193</v>
      </c>
      <c r="E1306" s="85" t="s">
        <v>5852</v>
      </c>
      <c r="F1306" s="87">
        <v>286</v>
      </c>
      <c r="G1306" s="37"/>
      <c r="H1306" s="37">
        <f>COUNTIF('(参考)現行システム機能階層一覧'!$E$3:$E$1048576,sheet1!B1306)</f>
        <v>0</v>
      </c>
      <c r="I1306" s="37"/>
      <c r="J1306" s="37"/>
      <c r="K1306" s="37"/>
      <c r="L1306" s="37"/>
    </row>
    <row r="1307" spans="1:12" ht="15.75" customHeight="1">
      <c r="A1307" s="87" t="s">
        <v>3853</v>
      </c>
      <c r="B1307" s="87" t="s">
        <v>5914</v>
      </c>
      <c r="C1307" s="87" t="s">
        <v>5915</v>
      </c>
      <c r="D1307" s="88">
        <v>109</v>
      </c>
      <c r="E1307" s="85" t="s">
        <v>5852</v>
      </c>
      <c r="F1307" s="87">
        <v>1</v>
      </c>
      <c r="G1307" s="37"/>
      <c r="H1307" s="37">
        <f>COUNTIF('(参考)現行システム機能階層一覧'!$E$3:$E$1048576,sheet1!B1307)</f>
        <v>0</v>
      </c>
      <c r="I1307" s="37"/>
      <c r="J1307" s="37"/>
      <c r="K1307" s="37"/>
      <c r="L1307" s="37"/>
    </row>
    <row r="1308" spans="1:12" ht="15.75" customHeight="1">
      <c r="A1308" s="87" t="s">
        <v>3853</v>
      </c>
      <c r="B1308" s="87" t="s">
        <v>5916</v>
      </c>
      <c r="C1308" s="87" t="s">
        <v>5917</v>
      </c>
      <c r="D1308" s="88">
        <v>64</v>
      </c>
      <c r="E1308" s="85" t="s">
        <v>5852</v>
      </c>
      <c r="F1308" s="87">
        <v>1002</v>
      </c>
      <c r="G1308" s="37"/>
      <c r="H1308" s="37">
        <f>COUNTIF('(参考)現行システム機能階層一覧'!$E$3:$E$1048576,sheet1!B1308)</f>
        <v>0</v>
      </c>
      <c r="I1308" s="37"/>
      <c r="J1308" s="37"/>
      <c r="K1308" s="37"/>
      <c r="L1308" s="37"/>
    </row>
    <row r="1309" spans="1:12" ht="15.75" customHeight="1">
      <c r="A1309" s="87" t="s">
        <v>3853</v>
      </c>
      <c r="B1309" s="87" t="s">
        <v>5918</v>
      </c>
      <c r="C1309" s="87" t="s">
        <v>5913</v>
      </c>
      <c r="D1309" s="88">
        <v>162</v>
      </c>
      <c r="E1309" s="85" t="s">
        <v>5852</v>
      </c>
      <c r="F1309" s="87">
        <v>246</v>
      </c>
      <c r="G1309" s="37"/>
      <c r="H1309" s="37">
        <f>COUNTIF('(参考)現行システム機能階層一覧'!$E$3:$E$1048576,sheet1!B1309)</f>
        <v>0</v>
      </c>
      <c r="I1309" s="37"/>
      <c r="J1309" s="37"/>
      <c r="K1309" s="37"/>
      <c r="L1309" s="37"/>
    </row>
    <row r="1310" spans="1:12" ht="15.75" customHeight="1">
      <c r="A1310" s="87" t="s">
        <v>3853</v>
      </c>
      <c r="B1310" s="87" t="s">
        <v>5919</v>
      </c>
      <c r="C1310" s="87" t="s">
        <v>5920</v>
      </c>
      <c r="D1310" s="88">
        <v>109</v>
      </c>
      <c r="E1310" s="85" t="s">
        <v>5852</v>
      </c>
      <c r="F1310" s="87">
        <v>1200</v>
      </c>
      <c r="G1310" s="37"/>
      <c r="H1310" s="37">
        <f>COUNTIF('(参考)現行システム機能階層一覧'!$E$3:$E$1048576,sheet1!B1310)</f>
        <v>0</v>
      </c>
      <c r="I1310" s="37"/>
      <c r="J1310" s="37"/>
      <c r="K1310" s="37"/>
      <c r="L1310" s="37"/>
    </row>
    <row r="1311" spans="1:12" ht="15.75" customHeight="1">
      <c r="A1311" s="87" t="s">
        <v>3853</v>
      </c>
      <c r="B1311" s="87" t="s">
        <v>5921</v>
      </c>
      <c r="C1311" s="87" t="s">
        <v>5922</v>
      </c>
      <c r="D1311" s="88">
        <v>152</v>
      </c>
      <c r="E1311" s="85" t="s">
        <v>5852</v>
      </c>
      <c r="F1311" s="87">
        <v>12</v>
      </c>
      <c r="G1311" s="37"/>
      <c r="H1311" s="37">
        <f>COUNTIF('(参考)現行システム機能階層一覧'!$E$3:$E$1048576,sheet1!B1311)</f>
        <v>0</v>
      </c>
      <c r="I1311" s="37"/>
      <c r="J1311" s="37"/>
      <c r="K1311" s="37"/>
      <c r="L1311" s="37"/>
    </row>
    <row r="1312" spans="1:12" ht="15.75" customHeight="1">
      <c r="A1312" s="87" t="s">
        <v>3853</v>
      </c>
      <c r="B1312" s="87" t="s">
        <v>5923</v>
      </c>
      <c r="C1312" s="87" t="s">
        <v>5924</v>
      </c>
      <c r="D1312" s="88">
        <v>166</v>
      </c>
      <c r="E1312" s="85" t="s">
        <v>5852</v>
      </c>
      <c r="F1312" s="87">
        <v>1</v>
      </c>
      <c r="G1312" s="37"/>
      <c r="H1312" s="37">
        <f>COUNTIF('(参考)現行システム機能階層一覧'!$E$3:$E$1048576,sheet1!B1312)</f>
        <v>0</v>
      </c>
      <c r="I1312" s="37"/>
      <c r="J1312" s="37"/>
      <c r="K1312" s="37"/>
      <c r="L1312" s="37"/>
    </row>
    <row r="1313" spans="1:12" ht="15.75" customHeight="1">
      <c r="A1313" s="87" t="s">
        <v>3853</v>
      </c>
      <c r="B1313" s="87" t="s">
        <v>5925</v>
      </c>
      <c r="C1313" s="87" t="s">
        <v>5926</v>
      </c>
      <c r="D1313" s="88">
        <v>140</v>
      </c>
      <c r="E1313" s="85" t="s">
        <v>5852</v>
      </c>
      <c r="F1313" s="87">
        <v>322</v>
      </c>
      <c r="G1313" s="37"/>
      <c r="H1313" s="37">
        <f>COUNTIF('(参考)現行システム機能階層一覧'!$E$3:$E$1048576,sheet1!B1313)</f>
        <v>0</v>
      </c>
      <c r="I1313" s="37"/>
      <c r="J1313" s="37"/>
      <c r="K1313" s="37"/>
      <c r="L1313" s="37"/>
    </row>
    <row r="1314" spans="1:12" ht="15.75" customHeight="1">
      <c r="A1314" s="87" t="s">
        <v>3853</v>
      </c>
      <c r="B1314" s="87" t="s">
        <v>5927</v>
      </c>
      <c r="C1314" s="87" t="s">
        <v>5928</v>
      </c>
      <c r="D1314" s="88">
        <v>237</v>
      </c>
      <c r="E1314" s="85" t="s">
        <v>5852</v>
      </c>
      <c r="F1314" s="87">
        <v>107</v>
      </c>
      <c r="G1314" s="37"/>
      <c r="H1314" s="37">
        <f>COUNTIF('(参考)現行システム機能階層一覧'!$E$3:$E$1048576,sheet1!B1314)</f>
        <v>0</v>
      </c>
      <c r="I1314" s="37"/>
      <c r="J1314" s="37"/>
      <c r="K1314" s="37"/>
      <c r="L1314" s="37"/>
    </row>
    <row r="1315" spans="1:12" ht="15.75" customHeight="1">
      <c r="A1315" s="87" t="s">
        <v>3853</v>
      </c>
      <c r="B1315" s="87" t="s">
        <v>5929</v>
      </c>
      <c r="C1315" s="87" t="s">
        <v>5930</v>
      </c>
      <c r="D1315" s="88">
        <v>124</v>
      </c>
      <c r="E1315" s="85" t="s">
        <v>5852</v>
      </c>
      <c r="F1315" s="87">
        <v>1140</v>
      </c>
      <c r="G1315" s="37"/>
      <c r="H1315" s="37">
        <f>COUNTIF('(参考)現行システム機能階層一覧'!$E$3:$E$1048576,sheet1!B1315)</f>
        <v>0</v>
      </c>
      <c r="I1315" s="37"/>
      <c r="J1315" s="37"/>
      <c r="K1315" s="37"/>
      <c r="L1315" s="37"/>
    </row>
    <row r="1316" spans="1:12" ht="15.75" customHeight="1">
      <c r="A1316" s="87" t="s">
        <v>3853</v>
      </c>
      <c r="B1316" s="87" t="s">
        <v>5931</v>
      </c>
      <c r="C1316" s="87" t="s">
        <v>5932</v>
      </c>
      <c r="D1316" s="88">
        <v>387</v>
      </c>
      <c r="E1316" s="85" t="s">
        <v>5852</v>
      </c>
      <c r="F1316" s="87">
        <v>607</v>
      </c>
      <c r="G1316" s="37"/>
      <c r="H1316" s="37">
        <f>COUNTIF('(参考)現行システム機能階層一覧'!$E$3:$E$1048576,sheet1!B1316)</f>
        <v>0</v>
      </c>
      <c r="I1316" s="37"/>
      <c r="J1316" s="37"/>
      <c r="K1316" s="37"/>
      <c r="L1316" s="37"/>
    </row>
    <row r="1317" spans="1:12" ht="15.75" customHeight="1">
      <c r="A1317" s="87" t="s">
        <v>3853</v>
      </c>
      <c r="B1317" s="87" t="s">
        <v>5933</v>
      </c>
      <c r="C1317" s="87" t="s">
        <v>5934</v>
      </c>
      <c r="D1317" s="88">
        <v>380</v>
      </c>
      <c r="E1317" s="85" t="s">
        <v>5852</v>
      </c>
      <c r="F1317" s="87">
        <v>1110</v>
      </c>
      <c r="G1317" s="37"/>
      <c r="H1317" s="37">
        <f>COUNTIF('(参考)現行システム機能階層一覧'!$E$3:$E$1048576,sheet1!B1317)</f>
        <v>0</v>
      </c>
      <c r="I1317" s="37"/>
      <c r="J1317" s="37"/>
      <c r="K1317" s="37"/>
      <c r="L1317" s="37"/>
    </row>
    <row r="1318" spans="1:12" ht="15.75" customHeight="1">
      <c r="A1318" s="87" t="s">
        <v>3853</v>
      </c>
      <c r="B1318" s="87" t="s">
        <v>5935</v>
      </c>
      <c r="C1318" s="87" t="s">
        <v>5936</v>
      </c>
      <c r="D1318" s="88">
        <v>394</v>
      </c>
      <c r="E1318" s="85" t="s">
        <v>5852</v>
      </c>
      <c r="F1318" s="87">
        <v>738</v>
      </c>
      <c r="G1318" s="37"/>
      <c r="H1318" s="37">
        <f>COUNTIF('(参考)現行システム機能階層一覧'!$E$3:$E$1048576,sheet1!B1318)</f>
        <v>0</v>
      </c>
      <c r="I1318" s="37"/>
      <c r="J1318" s="37"/>
      <c r="K1318" s="37"/>
      <c r="L1318" s="37"/>
    </row>
    <row r="1319" spans="1:12" ht="15.75" customHeight="1">
      <c r="A1319" s="87" t="s">
        <v>3853</v>
      </c>
      <c r="B1319" s="87" t="s">
        <v>5937</v>
      </c>
      <c r="C1319" s="87" t="s">
        <v>5932</v>
      </c>
      <c r="D1319" s="88">
        <v>328</v>
      </c>
      <c r="E1319" s="85" t="s">
        <v>5852</v>
      </c>
      <c r="F1319" s="87">
        <v>1268</v>
      </c>
      <c r="G1319" s="37"/>
      <c r="H1319" s="37">
        <f>COUNTIF('(参考)現行システム機能階層一覧'!$E$3:$E$1048576,sheet1!B1319)</f>
        <v>0</v>
      </c>
      <c r="I1319" s="37"/>
      <c r="J1319" s="37"/>
      <c r="K1319" s="37"/>
      <c r="L1319" s="37"/>
    </row>
    <row r="1320" spans="1:12" ht="15.75" customHeight="1">
      <c r="A1320" s="87" t="s">
        <v>3853</v>
      </c>
      <c r="B1320" s="87" t="s">
        <v>5938</v>
      </c>
      <c r="C1320" s="87" t="s">
        <v>5939</v>
      </c>
      <c r="D1320" s="88">
        <v>265</v>
      </c>
      <c r="E1320" s="85" t="s">
        <v>5852</v>
      </c>
      <c r="F1320" s="87">
        <v>1338</v>
      </c>
      <c r="G1320" s="37"/>
      <c r="H1320" s="37">
        <f>COUNTIF('(参考)現行システム機能階層一覧'!$E$3:$E$1048576,sheet1!B1320)</f>
        <v>0</v>
      </c>
      <c r="I1320" s="37"/>
      <c r="J1320" s="37"/>
      <c r="K1320" s="37"/>
      <c r="L1320" s="37"/>
    </row>
    <row r="1321" spans="1:12" ht="15.75" customHeight="1">
      <c r="A1321" s="87" t="s">
        <v>3853</v>
      </c>
      <c r="B1321" s="87" t="s">
        <v>5940</v>
      </c>
      <c r="C1321" s="87" t="s">
        <v>5941</v>
      </c>
      <c r="D1321" s="88">
        <v>189</v>
      </c>
      <c r="E1321" s="85" t="s">
        <v>5852</v>
      </c>
      <c r="F1321" s="87">
        <v>1032</v>
      </c>
      <c r="G1321" s="37"/>
      <c r="H1321" s="37">
        <f>COUNTIF('(参考)現行システム機能階層一覧'!$E$3:$E$1048576,sheet1!B1321)</f>
        <v>0</v>
      </c>
      <c r="I1321" s="37"/>
      <c r="J1321" s="37"/>
      <c r="K1321" s="37"/>
      <c r="L1321" s="37"/>
    </row>
    <row r="1322" spans="1:12" ht="15.75" customHeight="1">
      <c r="A1322" s="87" t="s">
        <v>3853</v>
      </c>
      <c r="B1322" s="87" t="s">
        <v>5942</v>
      </c>
      <c r="C1322" s="87" t="s">
        <v>5943</v>
      </c>
      <c r="D1322" s="88">
        <v>241</v>
      </c>
      <c r="E1322" s="85" t="s">
        <v>5852</v>
      </c>
      <c r="F1322" s="87">
        <v>1279</v>
      </c>
      <c r="G1322" s="37"/>
      <c r="H1322" s="37">
        <f>COUNTIF('(参考)現行システム機能階層一覧'!$E$3:$E$1048576,sheet1!B1322)</f>
        <v>0</v>
      </c>
      <c r="I1322" s="37"/>
      <c r="J1322" s="37"/>
      <c r="K1322" s="37"/>
      <c r="L1322" s="37"/>
    </row>
    <row r="1323" spans="1:12" ht="15.75" customHeight="1">
      <c r="A1323" s="87" t="s">
        <v>3853</v>
      </c>
      <c r="B1323" s="87" t="s">
        <v>5944</v>
      </c>
      <c r="C1323" s="87" t="s">
        <v>5945</v>
      </c>
      <c r="D1323" s="88">
        <v>186</v>
      </c>
      <c r="E1323" s="85" t="s">
        <v>5852</v>
      </c>
      <c r="F1323" s="87">
        <v>1</v>
      </c>
      <c r="G1323" s="37"/>
      <c r="H1323" s="37">
        <f>COUNTIF('(参考)現行システム機能階層一覧'!$E$3:$E$1048576,sheet1!B1323)</f>
        <v>0</v>
      </c>
      <c r="I1323" s="37"/>
      <c r="J1323" s="37"/>
      <c r="K1323" s="37"/>
      <c r="L1323" s="37"/>
    </row>
    <row r="1324" spans="1:12" ht="15.75" customHeight="1">
      <c r="A1324" s="87" t="s">
        <v>3853</v>
      </c>
      <c r="B1324" s="87" t="s">
        <v>5946</v>
      </c>
      <c r="C1324" s="87" t="s">
        <v>5947</v>
      </c>
      <c r="D1324" s="88">
        <v>276</v>
      </c>
      <c r="E1324" s="85" t="s">
        <v>5852</v>
      </c>
      <c r="F1324" s="87">
        <v>987</v>
      </c>
      <c r="G1324" s="37"/>
      <c r="H1324" s="37">
        <f>COUNTIF('(参考)現行システム機能階層一覧'!$E$3:$E$1048576,sheet1!B1324)</f>
        <v>0</v>
      </c>
      <c r="I1324" s="37"/>
      <c r="J1324" s="37"/>
      <c r="K1324" s="37"/>
      <c r="L1324" s="37"/>
    </row>
    <row r="1325" spans="1:12" ht="15.75" customHeight="1">
      <c r="A1325" s="87" t="s">
        <v>3853</v>
      </c>
      <c r="B1325" s="87" t="s">
        <v>5948</v>
      </c>
      <c r="C1325" s="87" t="s">
        <v>5949</v>
      </c>
      <c r="D1325" s="88">
        <v>186</v>
      </c>
      <c r="E1325" s="85" t="s">
        <v>5852</v>
      </c>
      <c r="F1325" s="87">
        <v>1</v>
      </c>
      <c r="G1325" s="37"/>
      <c r="H1325" s="37">
        <f>COUNTIF('(参考)現行システム機能階層一覧'!$E$3:$E$1048576,sheet1!B1325)</f>
        <v>0</v>
      </c>
      <c r="I1325" s="37"/>
      <c r="J1325" s="37"/>
      <c r="K1325" s="37"/>
      <c r="L1325" s="37"/>
    </row>
    <row r="1326" spans="1:12" ht="15.75" customHeight="1">
      <c r="A1326" s="87" t="s">
        <v>3853</v>
      </c>
      <c r="B1326" s="87" t="s">
        <v>5950</v>
      </c>
      <c r="C1326" s="87" t="s">
        <v>5951</v>
      </c>
      <c r="D1326" s="88">
        <v>107</v>
      </c>
      <c r="E1326" s="85" t="s">
        <v>5852</v>
      </c>
      <c r="F1326" s="87">
        <v>716</v>
      </c>
      <c r="G1326" s="37"/>
      <c r="H1326" s="37">
        <f>COUNTIF('(参考)現行システム機能階層一覧'!$E$3:$E$1048576,sheet1!B1326)</f>
        <v>0</v>
      </c>
      <c r="I1326" s="37"/>
      <c r="J1326" s="37"/>
      <c r="K1326" s="37"/>
      <c r="L1326" s="37"/>
    </row>
    <row r="1327" spans="1:12" ht="15.75" customHeight="1">
      <c r="A1327" s="87" t="s">
        <v>3853</v>
      </c>
      <c r="B1327" s="87" t="s">
        <v>5952</v>
      </c>
      <c r="C1327" s="87" t="s">
        <v>5953</v>
      </c>
      <c r="D1327" s="88">
        <v>70</v>
      </c>
      <c r="E1327" s="85" t="s">
        <v>5852</v>
      </c>
      <c r="F1327" s="87">
        <v>1018</v>
      </c>
      <c r="G1327" s="37"/>
      <c r="H1327" s="37">
        <f>COUNTIF('(参考)現行システム機能階層一覧'!$E$3:$E$1048576,sheet1!B1327)</f>
        <v>0</v>
      </c>
      <c r="I1327" s="37"/>
      <c r="J1327" s="37"/>
      <c r="K1327" s="37"/>
      <c r="L1327" s="37"/>
    </row>
    <row r="1328" spans="1:12" ht="15.75" customHeight="1">
      <c r="A1328" s="87" t="s">
        <v>3853</v>
      </c>
      <c r="B1328" s="87" t="s">
        <v>5954</v>
      </c>
      <c r="C1328" s="87" t="s">
        <v>5955</v>
      </c>
      <c r="D1328" s="88">
        <v>332</v>
      </c>
      <c r="E1328" s="85" t="s">
        <v>5852</v>
      </c>
      <c r="F1328" s="87">
        <v>1398</v>
      </c>
      <c r="G1328" s="37"/>
      <c r="H1328" s="37">
        <f>COUNTIF('(参考)現行システム機能階層一覧'!$E$3:$E$1048576,sheet1!B1328)</f>
        <v>0</v>
      </c>
      <c r="I1328" s="37"/>
      <c r="J1328" s="37"/>
      <c r="K1328" s="37"/>
      <c r="L1328" s="37"/>
    </row>
    <row r="1329" spans="1:12" ht="15.75" customHeight="1">
      <c r="A1329" s="87" t="s">
        <v>3853</v>
      </c>
      <c r="B1329" s="87" t="s">
        <v>5956</v>
      </c>
      <c r="C1329" s="87" t="s">
        <v>5957</v>
      </c>
      <c r="D1329" s="88">
        <v>179</v>
      </c>
      <c r="E1329" s="85" t="s">
        <v>5852</v>
      </c>
      <c r="F1329" s="87">
        <v>1</v>
      </c>
      <c r="G1329" s="37"/>
      <c r="H1329" s="37">
        <f>COUNTIF('(参考)現行システム機能階層一覧'!$E$3:$E$1048576,sheet1!B1329)</f>
        <v>0</v>
      </c>
      <c r="I1329" s="37"/>
      <c r="J1329" s="37"/>
      <c r="K1329" s="37"/>
      <c r="L1329" s="37"/>
    </row>
    <row r="1330" spans="1:12" ht="15.75" customHeight="1">
      <c r="A1330" s="87" t="s">
        <v>3853</v>
      </c>
      <c r="B1330" s="87" t="s">
        <v>5958</v>
      </c>
      <c r="C1330" s="87" t="s">
        <v>5959</v>
      </c>
      <c r="D1330" s="88">
        <v>94</v>
      </c>
      <c r="E1330" s="85" t="s">
        <v>5852</v>
      </c>
      <c r="F1330" s="87">
        <v>78</v>
      </c>
      <c r="G1330" s="37"/>
      <c r="H1330" s="37">
        <f>COUNTIF('(参考)現行システム機能階層一覧'!$E$3:$E$1048576,sheet1!B1330)</f>
        <v>0</v>
      </c>
      <c r="I1330" s="37"/>
      <c r="J1330" s="37"/>
      <c r="K1330" s="37"/>
      <c r="L1330" s="37"/>
    </row>
    <row r="1331" spans="1:12" ht="15.75" customHeight="1">
      <c r="A1331" s="87" t="s">
        <v>3853</v>
      </c>
      <c r="B1331" s="87" t="s">
        <v>5960</v>
      </c>
      <c r="C1331" s="87" t="s">
        <v>5961</v>
      </c>
      <c r="D1331" s="88">
        <v>203</v>
      </c>
      <c r="E1331" s="85" t="s">
        <v>5852</v>
      </c>
      <c r="F1331" s="87">
        <v>1103</v>
      </c>
      <c r="G1331" s="37"/>
      <c r="H1331" s="37">
        <f>COUNTIF('(参考)現行システム機能階層一覧'!$E$3:$E$1048576,sheet1!B1331)</f>
        <v>0</v>
      </c>
      <c r="I1331" s="37"/>
      <c r="J1331" s="37"/>
      <c r="K1331" s="37"/>
      <c r="L1331" s="37"/>
    </row>
    <row r="1332" spans="1:12" ht="15.75" customHeight="1">
      <c r="A1332" s="87" t="s">
        <v>3853</v>
      </c>
      <c r="B1332" s="87" t="s">
        <v>5962</v>
      </c>
      <c r="C1332" s="87" t="s">
        <v>5963</v>
      </c>
      <c r="D1332" s="88">
        <v>91</v>
      </c>
      <c r="E1332" s="85" t="s">
        <v>5852</v>
      </c>
      <c r="F1332" s="87">
        <v>20</v>
      </c>
      <c r="G1332" s="37"/>
      <c r="H1332" s="37">
        <f>COUNTIF('(参考)現行システム機能階層一覧'!$E$3:$E$1048576,sheet1!B1332)</f>
        <v>0</v>
      </c>
      <c r="I1332" s="37"/>
      <c r="J1332" s="37"/>
      <c r="K1332" s="37"/>
      <c r="L1332" s="37"/>
    </row>
    <row r="1333" spans="1:12" ht="15.75" customHeight="1">
      <c r="A1333" s="87" t="s">
        <v>3853</v>
      </c>
      <c r="B1333" s="87" t="s">
        <v>5964</v>
      </c>
      <c r="C1333" s="87" t="s">
        <v>5965</v>
      </c>
      <c r="D1333" s="88">
        <v>112</v>
      </c>
      <c r="E1333" s="85" t="s">
        <v>5852</v>
      </c>
      <c r="F1333" s="87">
        <v>96</v>
      </c>
      <c r="G1333" s="37"/>
      <c r="H1333" s="37">
        <f>COUNTIF('(参考)現行システム機能階層一覧'!$E$3:$E$1048576,sheet1!B1333)</f>
        <v>0</v>
      </c>
      <c r="I1333" s="37"/>
      <c r="J1333" s="37"/>
      <c r="K1333" s="37"/>
      <c r="L1333" s="37"/>
    </row>
    <row r="1334" spans="1:12" ht="15.75" customHeight="1">
      <c r="A1334" s="87" t="s">
        <v>3853</v>
      </c>
      <c r="B1334" s="87" t="s">
        <v>5966</v>
      </c>
      <c r="C1334" s="87" t="s">
        <v>5967</v>
      </c>
      <c r="D1334" s="88">
        <v>151</v>
      </c>
      <c r="E1334" s="85" t="s">
        <v>5852</v>
      </c>
      <c r="F1334" s="87">
        <v>658</v>
      </c>
      <c r="G1334" s="37"/>
      <c r="H1334" s="37">
        <f>COUNTIF('(参考)現行システム機能階層一覧'!$E$3:$E$1048576,sheet1!B1334)</f>
        <v>0</v>
      </c>
      <c r="I1334" s="37"/>
      <c r="J1334" s="37"/>
      <c r="K1334" s="37"/>
      <c r="L1334" s="37"/>
    </row>
    <row r="1335" spans="1:12" ht="15.75" customHeight="1">
      <c r="A1335" s="87" t="s">
        <v>3853</v>
      </c>
      <c r="B1335" s="87" t="s">
        <v>5968</v>
      </c>
      <c r="C1335" s="87" t="s">
        <v>5969</v>
      </c>
      <c r="D1335" s="88">
        <v>327</v>
      </c>
      <c r="E1335" s="85" t="s">
        <v>5852</v>
      </c>
      <c r="F1335" s="87">
        <v>885</v>
      </c>
      <c r="G1335" s="37"/>
      <c r="H1335" s="37">
        <f>COUNTIF('(参考)現行システム機能階層一覧'!$E$3:$E$1048576,sheet1!B1335)</f>
        <v>0</v>
      </c>
      <c r="I1335" s="37"/>
      <c r="J1335" s="37"/>
      <c r="K1335" s="37"/>
      <c r="L1335" s="37"/>
    </row>
    <row r="1336" spans="1:12" ht="15.75" customHeight="1">
      <c r="A1336" s="87" t="s">
        <v>3853</v>
      </c>
      <c r="B1336" s="87" t="s">
        <v>5970</v>
      </c>
      <c r="C1336" s="87" t="s">
        <v>5971</v>
      </c>
      <c r="D1336" s="88">
        <v>220</v>
      </c>
      <c r="E1336" s="85" t="s">
        <v>5852</v>
      </c>
      <c r="F1336" s="87">
        <v>1274</v>
      </c>
      <c r="G1336" s="37"/>
      <c r="H1336" s="37">
        <f>COUNTIF('(参考)現行システム機能階層一覧'!$E$3:$E$1048576,sheet1!B1336)</f>
        <v>0</v>
      </c>
      <c r="I1336" s="37"/>
      <c r="J1336" s="37"/>
      <c r="K1336" s="37"/>
      <c r="L1336" s="37"/>
    </row>
    <row r="1337" spans="1:12" ht="15.75" customHeight="1">
      <c r="A1337" s="87" t="s">
        <v>3853</v>
      </c>
      <c r="B1337" s="87" t="s">
        <v>5972</v>
      </c>
      <c r="C1337" s="87" t="s">
        <v>5973</v>
      </c>
      <c r="D1337" s="88">
        <v>229</v>
      </c>
      <c r="E1337" s="85" t="s">
        <v>5852</v>
      </c>
      <c r="F1337" s="87">
        <v>854</v>
      </c>
      <c r="G1337" s="37"/>
      <c r="H1337" s="37">
        <f>COUNTIF('(参考)現行システム機能階層一覧'!$E$3:$E$1048576,sheet1!B1337)</f>
        <v>0</v>
      </c>
      <c r="I1337" s="37"/>
      <c r="J1337" s="37"/>
      <c r="K1337" s="37"/>
      <c r="L1337" s="37"/>
    </row>
    <row r="1338" spans="1:12" ht="15.75" customHeight="1">
      <c r="A1338" s="87" t="s">
        <v>3853</v>
      </c>
      <c r="B1338" s="87" t="s">
        <v>5974</v>
      </c>
      <c r="C1338" s="87" t="s">
        <v>5975</v>
      </c>
      <c r="D1338" s="88">
        <v>347</v>
      </c>
      <c r="E1338" s="85" t="s">
        <v>5852</v>
      </c>
      <c r="F1338" s="87">
        <v>1</v>
      </c>
      <c r="G1338" s="37"/>
      <c r="H1338" s="37">
        <f>COUNTIF('(参考)現行システム機能階層一覧'!$E$3:$E$1048576,sheet1!B1338)</f>
        <v>0</v>
      </c>
      <c r="I1338" s="37"/>
      <c r="J1338" s="37"/>
      <c r="K1338" s="37"/>
      <c r="L1338" s="37"/>
    </row>
    <row r="1339" spans="1:12" ht="15.75" customHeight="1">
      <c r="A1339" s="87" t="s">
        <v>3853</v>
      </c>
      <c r="B1339" s="87" t="s">
        <v>5976</v>
      </c>
      <c r="C1339" s="87" t="s">
        <v>5977</v>
      </c>
      <c r="D1339" s="88">
        <v>68</v>
      </c>
      <c r="E1339" s="85" t="s">
        <v>5852</v>
      </c>
      <c r="F1339" s="87">
        <v>1</v>
      </c>
      <c r="G1339" s="37"/>
      <c r="H1339" s="37">
        <f>COUNTIF('(参考)現行システム機能階層一覧'!$E$3:$E$1048576,sheet1!B1339)</f>
        <v>0</v>
      </c>
      <c r="I1339" s="37"/>
      <c r="J1339" s="37"/>
      <c r="K1339" s="37"/>
      <c r="L1339" s="37"/>
    </row>
    <row r="1340" spans="1:12" ht="15.75" customHeight="1">
      <c r="A1340" s="87" t="s">
        <v>3853</v>
      </c>
      <c r="B1340" s="87" t="s">
        <v>5978</v>
      </c>
      <c r="C1340" s="87" t="s">
        <v>5979</v>
      </c>
      <c r="D1340" s="88">
        <v>115</v>
      </c>
      <c r="E1340" s="85" t="s">
        <v>5852</v>
      </c>
      <c r="F1340" s="87">
        <v>757</v>
      </c>
      <c r="G1340" s="37"/>
      <c r="H1340" s="37">
        <f>COUNTIF('(参考)現行システム機能階層一覧'!$E$3:$E$1048576,sheet1!B1340)</f>
        <v>0</v>
      </c>
      <c r="I1340" s="37"/>
      <c r="J1340" s="37"/>
      <c r="K1340" s="37"/>
      <c r="L1340" s="37"/>
    </row>
    <row r="1341" spans="1:12" ht="15.75" customHeight="1">
      <c r="A1341" s="87" t="s">
        <v>3853</v>
      </c>
      <c r="B1341" s="87" t="s">
        <v>5980</v>
      </c>
      <c r="C1341" s="87" t="s">
        <v>5981</v>
      </c>
      <c r="D1341" s="88">
        <v>249</v>
      </c>
      <c r="E1341" s="85" t="s">
        <v>5852</v>
      </c>
      <c r="F1341" s="87">
        <v>388</v>
      </c>
      <c r="G1341" s="37"/>
      <c r="H1341" s="37">
        <f>COUNTIF('(参考)現行システム機能階層一覧'!$E$3:$E$1048576,sheet1!B1341)</f>
        <v>0</v>
      </c>
      <c r="I1341" s="37"/>
      <c r="J1341" s="37"/>
      <c r="K1341" s="37"/>
      <c r="L1341" s="37"/>
    </row>
    <row r="1342" spans="1:12" ht="15.75" customHeight="1">
      <c r="A1342" s="87" t="s">
        <v>3853</v>
      </c>
      <c r="B1342" s="87" t="s">
        <v>5982</v>
      </c>
      <c r="C1342" s="87" t="s">
        <v>5983</v>
      </c>
      <c r="D1342" s="88">
        <v>443</v>
      </c>
      <c r="E1342" s="85" t="s">
        <v>5852</v>
      </c>
      <c r="F1342" s="87">
        <v>38</v>
      </c>
      <c r="G1342" s="37"/>
      <c r="H1342" s="37">
        <f>COUNTIF('(参考)現行システム機能階層一覧'!$E$3:$E$1048576,sheet1!B1342)</f>
        <v>0</v>
      </c>
      <c r="I1342" s="37"/>
      <c r="J1342" s="37"/>
      <c r="K1342" s="37"/>
      <c r="L1342" s="37"/>
    </row>
    <row r="1343" spans="1:12" ht="15.75" customHeight="1">
      <c r="A1343" s="87" t="s">
        <v>3853</v>
      </c>
      <c r="B1343" s="87" t="s">
        <v>5984</v>
      </c>
      <c r="C1343" s="87" t="s">
        <v>5983</v>
      </c>
      <c r="D1343" s="88">
        <v>371</v>
      </c>
      <c r="E1343" s="85" t="s">
        <v>5852</v>
      </c>
      <c r="F1343" s="87">
        <v>1</v>
      </c>
      <c r="G1343" s="37"/>
      <c r="H1343" s="37">
        <f>COUNTIF('(参考)現行システム機能階層一覧'!$E$3:$E$1048576,sheet1!B1343)</f>
        <v>0</v>
      </c>
      <c r="I1343" s="37"/>
      <c r="J1343" s="37"/>
      <c r="K1343" s="37"/>
      <c r="L1343" s="37"/>
    </row>
    <row r="1344" spans="1:12" ht="15.75" customHeight="1">
      <c r="A1344" s="87" t="s">
        <v>3853</v>
      </c>
      <c r="B1344" s="87" t="s">
        <v>5985</v>
      </c>
      <c r="C1344" s="87" t="s">
        <v>3797</v>
      </c>
      <c r="D1344" s="88">
        <v>253</v>
      </c>
      <c r="E1344" s="85" t="s">
        <v>5852</v>
      </c>
      <c r="F1344" s="87">
        <v>28</v>
      </c>
      <c r="G1344" s="37"/>
      <c r="H1344" s="37">
        <f>COUNTIF('(参考)現行システム機能階層一覧'!$E$3:$E$1048576,sheet1!B1344)</f>
        <v>0</v>
      </c>
      <c r="I1344" s="37"/>
      <c r="J1344" s="37"/>
      <c r="K1344" s="37"/>
      <c r="L1344" s="37"/>
    </row>
    <row r="1345" spans="1:12" ht="15.75" customHeight="1">
      <c r="A1345" s="87" t="s">
        <v>3853</v>
      </c>
      <c r="B1345" s="87" t="s">
        <v>5986</v>
      </c>
      <c r="C1345" s="87" t="s">
        <v>5987</v>
      </c>
      <c r="D1345" s="88">
        <v>160</v>
      </c>
      <c r="E1345" s="85" t="s">
        <v>5852</v>
      </c>
      <c r="F1345" s="87">
        <v>32</v>
      </c>
      <c r="G1345" s="37"/>
      <c r="H1345" s="37">
        <f>COUNTIF('(参考)現行システム機能階層一覧'!$E$3:$E$1048576,sheet1!B1345)</f>
        <v>0</v>
      </c>
      <c r="I1345" s="37"/>
      <c r="J1345" s="37"/>
      <c r="K1345" s="37"/>
      <c r="L1345" s="37"/>
    </row>
    <row r="1346" spans="1:12" ht="15.75" customHeight="1">
      <c r="A1346" s="87" t="s">
        <v>3853</v>
      </c>
      <c r="B1346" s="87" t="s">
        <v>5988</v>
      </c>
      <c r="C1346" s="87" t="s">
        <v>5989</v>
      </c>
      <c r="D1346" s="88">
        <v>196</v>
      </c>
      <c r="E1346" s="85" t="s">
        <v>5852</v>
      </c>
      <c r="F1346" s="87">
        <v>1469</v>
      </c>
      <c r="G1346" s="37"/>
      <c r="H1346" s="37">
        <f>COUNTIF('(参考)現行システム機能階層一覧'!$E$3:$E$1048576,sheet1!B1346)</f>
        <v>0</v>
      </c>
      <c r="I1346" s="37"/>
      <c r="J1346" s="37"/>
      <c r="K1346" s="37"/>
      <c r="L1346" s="37"/>
    </row>
    <row r="1347" spans="1:12" ht="15.75" customHeight="1">
      <c r="A1347" s="87" t="s">
        <v>3853</v>
      </c>
      <c r="B1347" s="87" t="s">
        <v>5990</v>
      </c>
      <c r="C1347" s="87" t="s">
        <v>5991</v>
      </c>
      <c r="D1347" s="88">
        <v>223</v>
      </c>
      <c r="E1347" s="85" t="s">
        <v>5852</v>
      </c>
      <c r="F1347" s="87">
        <v>138</v>
      </c>
      <c r="G1347" s="37"/>
      <c r="H1347" s="37">
        <f>COUNTIF('(参考)現行システム機能階層一覧'!$E$3:$E$1048576,sheet1!B1347)</f>
        <v>0</v>
      </c>
      <c r="I1347" s="37"/>
      <c r="J1347" s="37"/>
      <c r="K1347" s="37"/>
      <c r="L1347" s="37"/>
    </row>
    <row r="1348" spans="1:12" ht="15.75" customHeight="1">
      <c r="A1348" s="87" t="s">
        <v>3853</v>
      </c>
      <c r="B1348" s="87" t="s">
        <v>5992</v>
      </c>
      <c r="C1348" s="87" t="s">
        <v>5993</v>
      </c>
      <c r="D1348" s="88">
        <v>274</v>
      </c>
      <c r="E1348" s="85" t="s">
        <v>5852</v>
      </c>
      <c r="F1348" s="87">
        <v>86</v>
      </c>
      <c r="G1348" s="37"/>
      <c r="H1348" s="37">
        <f>COUNTIF('(参考)現行システム機能階層一覧'!$E$3:$E$1048576,sheet1!B1348)</f>
        <v>0</v>
      </c>
      <c r="I1348" s="37"/>
      <c r="J1348" s="37"/>
      <c r="K1348" s="37"/>
      <c r="L1348" s="37"/>
    </row>
    <row r="1349" spans="1:12" ht="15.75" customHeight="1">
      <c r="A1349" s="87" t="s">
        <v>3853</v>
      </c>
      <c r="B1349" s="87" t="s">
        <v>5994</v>
      </c>
      <c r="C1349" s="87" t="s">
        <v>5995</v>
      </c>
      <c r="D1349" s="88">
        <v>163</v>
      </c>
      <c r="E1349" s="85" t="s">
        <v>5852</v>
      </c>
      <c r="F1349" s="87">
        <v>929</v>
      </c>
      <c r="G1349" s="37"/>
      <c r="H1349" s="37">
        <f>COUNTIF('(参考)現行システム機能階層一覧'!$E$3:$E$1048576,sheet1!B1349)</f>
        <v>0</v>
      </c>
      <c r="I1349" s="37"/>
      <c r="J1349" s="37"/>
      <c r="K1349" s="37"/>
      <c r="L1349" s="37"/>
    </row>
    <row r="1350" spans="1:12" ht="15.75" customHeight="1">
      <c r="A1350" s="87" t="s">
        <v>3853</v>
      </c>
      <c r="B1350" s="87" t="s">
        <v>5996</v>
      </c>
      <c r="C1350" s="87" t="s">
        <v>5997</v>
      </c>
      <c r="D1350" s="88">
        <v>161</v>
      </c>
      <c r="E1350" s="85" t="s">
        <v>5852</v>
      </c>
      <c r="F1350" s="87">
        <v>893</v>
      </c>
      <c r="G1350" s="37"/>
      <c r="H1350" s="37">
        <f>COUNTIF('(参考)現行システム機能階層一覧'!$E$3:$E$1048576,sheet1!B1350)</f>
        <v>0</v>
      </c>
      <c r="I1350" s="37"/>
      <c r="J1350" s="37"/>
      <c r="K1350" s="37"/>
      <c r="L1350" s="37"/>
    </row>
    <row r="1351" spans="1:12" ht="15.75" customHeight="1">
      <c r="A1351" s="87" t="s">
        <v>3853</v>
      </c>
      <c r="B1351" s="87" t="s">
        <v>5998</v>
      </c>
      <c r="C1351" s="87" t="s">
        <v>5999</v>
      </c>
      <c r="D1351" s="88">
        <v>244</v>
      </c>
      <c r="E1351" s="85" t="s">
        <v>5852</v>
      </c>
      <c r="F1351" s="87">
        <v>1219</v>
      </c>
      <c r="G1351" s="37"/>
      <c r="H1351" s="37">
        <f>COUNTIF('(参考)現行システム機能階層一覧'!$E$3:$E$1048576,sheet1!B1351)</f>
        <v>0</v>
      </c>
      <c r="I1351" s="37"/>
      <c r="J1351" s="37"/>
      <c r="K1351" s="37"/>
      <c r="L1351" s="37"/>
    </row>
    <row r="1352" spans="1:12" ht="15.75" customHeight="1">
      <c r="A1352" s="87" t="s">
        <v>3853</v>
      </c>
      <c r="B1352" s="87" t="s">
        <v>6000</v>
      </c>
      <c r="C1352" s="87" t="s">
        <v>6001</v>
      </c>
      <c r="D1352" s="88">
        <v>262</v>
      </c>
      <c r="E1352" s="85" t="s">
        <v>5852</v>
      </c>
      <c r="F1352" s="87">
        <v>649</v>
      </c>
      <c r="G1352" s="37"/>
      <c r="H1352" s="37">
        <f>COUNTIF('(参考)現行システム機能階層一覧'!$E$3:$E$1048576,sheet1!B1352)</f>
        <v>0</v>
      </c>
      <c r="I1352" s="37"/>
      <c r="J1352" s="37"/>
      <c r="K1352" s="37"/>
      <c r="L1352" s="37"/>
    </row>
    <row r="1353" spans="1:12" ht="15.75" customHeight="1">
      <c r="A1353" s="87" t="s">
        <v>3853</v>
      </c>
      <c r="B1353" s="87" t="s">
        <v>6002</v>
      </c>
      <c r="C1353" s="87" t="s">
        <v>6003</v>
      </c>
      <c r="D1353" s="88">
        <v>155</v>
      </c>
      <c r="E1353" s="85" t="s">
        <v>5852</v>
      </c>
      <c r="F1353" s="87">
        <v>257</v>
      </c>
      <c r="G1353" s="37"/>
      <c r="H1353" s="37">
        <f>COUNTIF('(参考)現行システム機能階層一覧'!$E$3:$E$1048576,sheet1!B1353)</f>
        <v>0</v>
      </c>
      <c r="I1353" s="37"/>
      <c r="J1353" s="37"/>
      <c r="K1353" s="37"/>
      <c r="L1353" s="37"/>
    </row>
    <row r="1354" spans="1:12" ht="15.75" customHeight="1">
      <c r="A1354" s="87" t="s">
        <v>3853</v>
      </c>
      <c r="B1354" s="87" t="s">
        <v>6004</v>
      </c>
      <c r="C1354" s="87" t="s">
        <v>6005</v>
      </c>
      <c r="D1354" s="88">
        <v>155</v>
      </c>
      <c r="E1354" s="85" t="s">
        <v>5852</v>
      </c>
      <c r="F1354" s="87">
        <v>1182</v>
      </c>
      <c r="G1354" s="37"/>
      <c r="H1354" s="37">
        <f>COUNTIF('(参考)現行システム機能階層一覧'!$E$3:$E$1048576,sheet1!B1354)</f>
        <v>0</v>
      </c>
      <c r="I1354" s="37"/>
      <c r="J1354" s="37"/>
      <c r="K1354" s="37"/>
      <c r="L1354" s="37"/>
    </row>
    <row r="1355" spans="1:12" ht="15.75" customHeight="1">
      <c r="A1355" s="87" t="s">
        <v>3853</v>
      </c>
      <c r="B1355" s="87" t="s">
        <v>6006</v>
      </c>
      <c r="C1355" s="87" t="s">
        <v>6007</v>
      </c>
      <c r="D1355" s="88">
        <v>209</v>
      </c>
      <c r="E1355" s="85" t="s">
        <v>5852</v>
      </c>
      <c r="F1355" s="87">
        <v>522</v>
      </c>
      <c r="G1355" s="37"/>
      <c r="H1355" s="37">
        <f>COUNTIF('(参考)現行システム機能階層一覧'!$E$3:$E$1048576,sheet1!B1355)</f>
        <v>0</v>
      </c>
      <c r="I1355" s="37"/>
      <c r="J1355" s="37"/>
      <c r="K1355" s="37"/>
      <c r="L1355" s="37"/>
    </row>
    <row r="1356" spans="1:12" ht="15.75" customHeight="1">
      <c r="A1356" s="87" t="s">
        <v>3853</v>
      </c>
      <c r="B1356" s="87" t="s">
        <v>6008</v>
      </c>
      <c r="C1356" s="87" t="s">
        <v>6009</v>
      </c>
      <c r="D1356" s="88">
        <v>76</v>
      </c>
      <c r="E1356" s="85" t="s">
        <v>5852</v>
      </c>
      <c r="F1356" s="87">
        <v>329</v>
      </c>
      <c r="G1356" s="37"/>
      <c r="H1356" s="37">
        <f>COUNTIF('(参考)現行システム機能階層一覧'!$E$3:$E$1048576,sheet1!B1356)</f>
        <v>0</v>
      </c>
      <c r="I1356" s="37"/>
      <c r="J1356" s="37"/>
      <c r="K1356" s="37"/>
      <c r="L1356" s="37"/>
    </row>
    <row r="1357" spans="1:12" ht="15.75" customHeight="1">
      <c r="A1357" s="87" t="s">
        <v>3853</v>
      </c>
      <c r="B1357" s="87" t="s">
        <v>6010</v>
      </c>
      <c r="C1357" s="87" t="s">
        <v>6011</v>
      </c>
      <c r="D1357" s="88">
        <v>123</v>
      </c>
      <c r="E1357" s="85" t="s">
        <v>5852</v>
      </c>
      <c r="F1357" s="87">
        <v>418</v>
      </c>
      <c r="G1357" s="37"/>
      <c r="H1357" s="37">
        <f>COUNTIF('(参考)現行システム機能階層一覧'!$E$3:$E$1048576,sheet1!B1357)</f>
        <v>0</v>
      </c>
      <c r="I1357" s="37"/>
      <c r="J1357" s="37"/>
      <c r="K1357" s="37"/>
      <c r="L1357" s="37"/>
    </row>
    <row r="1358" spans="1:12" ht="15.75" customHeight="1">
      <c r="A1358" s="87" t="s">
        <v>3853</v>
      </c>
      <c r="B1358" s="87" t="s">
        <v>6012</v>
      </c>
      <c r="C1358" s="87" t="s">
        <v>6013</v>
      </c>
      <c r="D1358" s="88">
        <v>198</v>
      </c>
      <c r="E1358" s="85" t="s">
        <v>5852</v>
      </c>
      <c r="F1358" s="87">
        <v>870</v>
      </c>
      <c r="G1358" s="37"/>
      <c r="H1358" s="37">
        <f>COUNTIF('(参考)現行システム機能階層一覧'!$E$3:$E$1048576,sheet1!B1358)</f>
        <v>0</v>
      </c>
      <c r="I1358" s="37"/>
      <c r="J1358" s="37"/>
      <c r="K1358" s="37"/>
      <c r="L1358" s="37"/>
    </row>
    <row r="1359" spans="1:12" ht="15.75" customHeight="1">
      <c r="A1359" s="87" t="s">
        <v>3853</v>
      </c>
      <c r="B1359" s="87" t="s">
        <v>6014</v>
      </c>
      <c r="C1359" s="87" t="s">
        <v>6015</v>
      </c>
      <c r="D1359" s="88">
        <v>77</v>
      </c>
      <c r="E1359" s="85" t="s">
        <v>5852</v>
      </c>
      <c r="F1359" s="87">
        <v>588</v>
      </c>
      <c r="G1359" s="37"/>
      <c r="H1359" s="37">
        <f>COUNTIF('(参考)現行システム機能階層一覧'!$E$3:$E$1048576,sheet1!B1359)</f>
        <v>0</v>
      </c>
      <c r="I1359" s="37"/>
      <c r="J1359" s="37"/>
      <c r="K1359" s="37"/>
      <c r="L1359" s="37"/>
    </row>
    <row r="1360" spans="1:12" ht="15.75" customHeight="1">
      <c r="A1360" s="87" t="s">
        <v>3853</v>
      </c>
      <c r="B1360" s="87" t="s">
        <v>6016</v>
      </c>
      <c r="C1360" s="87" t="s">
        <v>6017</v>
      </c>
      <c r="D1360" s="88">
        <v>87</v>
      </c>
      <c r="E1360" s="85" t="s">
        <v>5852</v>
      </c>
      <c r="F1360" s="87">
        <v>199</v>
      </c>
      <c r="G1360" s="37"/>
      <c r="H1360" s="37">
        <f>COUNTIF('(参考)現行システム機能階層一覧'!$E$3:$E$1048576,sheet1!B1360)</f>
        <v>0</v>
      </c>
      <c r="I1360" s="37"/>
      <c r="J1360" s="37"/>
      <c r="K1360" s="37"/>
      <c r="L1360" s="37"/>
    </row>
    <row r="1361" spans="1:12" ht="15.75" customHeight="1">
      <c r="A1361" s="87" t="s">
        <v>3853</v>
      </c>
      <c r="B1361" s="87" t="s">
        <v>6018</v>
      </c>
      <c r="C1361" s="87" t="s">
        <v>6019</v>
      </c>
      <c r="D1361" s="88">
        <v>88</v>
      </c>
      <c r="E1361" s="85" t="s">
        <v>5852</v>
      </c>
      <c r="F1361" s="87">
        <v>216</v>
      </c>
      <c r="G1361" s="37"/>
      <c r="H1361" s="37">
        <f>COUNTIF('(参考)現行システム機能階層一覧'!$E$3:$E$1048576,sheet1!B1361)</f>
        <v>0</v>
      </c>
      <c r="I1361" s="37"/>
      <c r="J1361" s="37"/>
      <c r="K1361" s="37"/>
      <c r="L1361" s="37"/>
    </row>
    <row r="1362" spans="1:12" ht="15.75" customHeight="1">
      <c r="A1362" s="87" t="s">
        <v>3853</v>
      </c>
      <c r="B1362" s="87" t="s">
        <v>6020</v>
      </c>
      <c r="C1362" s="87" t="s">
        <v>6021</v>
      </c>
      <c r="D1362" s="88">
        <v>75</v>
      </c>
      <c r="E1362" s="85" t="s">
        <v>5852</v>
      </c>
      <c r="F1362" s="87">
        <v>167</v>
      </c>
      <c r="G1362" s="37"/>
      <c r="H1362" s="37">
        <f>COUNTIF('(参考)現行システム機能階層一覧'!$E$3:$E$1048576,sheet1!B1362)</f>
        <v>0</v>
      </c>
      <c r="I1362" s="37"/>
      <c r="J1362" s="37"/>
      <c r="K1362" s="37"/>
      <c r="L1362" s="37"/>
    </row>
    <row r="1363" spans="1:12" ht="15.75" customHeight="1">
      <c r="A1363" s="87" t="s">
        <v>3853</v>
      </c>
      <c r="B1363" s="87" t="s">
        <v>6022</v>
      </c>
      <c r="C1363" s="87" t="s">
        <v>6023</v>
      </c>
      <c r="D1363" s="88">
        <v>81</v>
      </c>
      <c r="E1363" s="85" t="s">
        <v>5852</v>
      </c>
      <c r="F1363" s="87">
        <v>87</v>
      </c>
      <c r="G1363" s="37"/>
      <c r="H1363" s="37">
        <f>COUNTIF('(参考)現行システム機能階層一覧'!$E$3:$E$1048576,sheet1!B1363)</f>
        <v>0</v>
      </c>
      <c r="I1363" s="37"/>
      <c r="J1363" s="37"/>
      <c r="K1363" s="37"/>
      <c r="L1363" s="37"/>
    </row>
    <row r="1364" spans="1:12" ht="15.75" customHeight="1">
      <c r="A1364" s="87" t="s">
        <v>3853</v>
      </c>
      <c r="B1364" s="87" t="s">
        <v>6024</v>
      </c>
      <c r="C1364" s="87" t="s">
        <v>6025</v>
      </c>
      <c r="D1364" s="88">
        <v>123</v>
      </c>
      <c r="E1364" s="85" t="s">
        <v>5852</v>
      </c>
      <c r="F1364" s="87">
        <v>92</v>
      </c>
      <c r="G1364" s="37"/>
      <c r="H1364" s="37">
        <f>COUNTIF('(参考)現行システム機能階層一覧'!$E$3:$E$1048576,sheet1!B1364)</f>
        <v>0</v>
      </c>
      <c r="I1364" s="37"/>
      <c r="J1364" s="37"/>
      <c r="K1364" s="37"/>
      <c r="L1364" s="37"/>
    </row>
    <row r="1365" spans="1:12" ht="15.75" customHeight="1">
      <c r="A1365" s="87" t="s">
        <v>3853</v>
      </c>
      <c r="B1365" s="87" t="s">
        <v>6026</v>
      </c>
      <c r="C1365" s="87" t="s">
        <v>6027</v>
      </c>
      <c r="D1365" s="88">
        <v>138</v>
      </c>
      <c r="E1365" s="85" t="s">
        <v>5852</v>
      </c>
      <c r="F1365" s="87">
        <v>54</v>
      </c>
      <c r="G1365" s="37"/>
      <c r="H1365" s="37">
        <f>COUNTIF('(参考)現行システム機能階層一覧'!$E$3:$E$1048576,sheet1!B1365)</f>
        <v>0</v>
      </c>
      <c r="I1365" s="37"/>
      <c r="J1365" s="37"/>
      <c r="K1365" s="37"/>
      <c r="L1365" s="37"/>
    </row>
    <row r="1366" spans="1:12" ht="15.75" customHeight="1">
      <c r="A1366" s="87" t="s">
        <v>3853</v>
      </c>
      <c r="B1366" s="87" t="s">
        <v>6028</v>
      </c>
      <c r="C1366" s="87" t="s">
        <v>6029</v>
      </c>
      <c r="D1366" s="88">
        <v>101</v>
      </c>
      <c r="E1366" s="85" t="s">
        <v>5852</v>
      </c>
      <c r="F1366" s="87">
        <v>5</v>
      </c>
      <c r="G1366" s="37"/>
      <c r="H1366" s="37">
        <f>COUNTIF('(参考)現行システム機能階層一覧'!$E$3:$E$1048576,sheet1!B1366)</f>
        <v>0</v>
      </c>
      <c r="I1366" s="37"/>
      <c r="J1366" s="37"/>
      <c r="K1366" s="37"/>
      <c r="L1366" s="37"/>
    </row>
    <row r="1367" spans="1:12" ht="15.75" customHeight="1">
      <c r="A1367" s="87" t="s">
        <v>3853</v>
      </c>
      <c r="B1367" s="87" t="s">
        <v>6030</v>
      </c>
      <c r="C1367" s="87" t="s">
        <v>6031</v>
      </c>
      <c r="D1367" s="88">
        <v>136</v>
      </c>
      <c r="E1367" s="85" t="s">
        <v>5852</v>
      </c>
      <c r="F1367" s="87">
        <v>6</v>
      </c>
      <c r="G1367" s="37"/>
      <c r="H1367" s="37">
        <f>COUNTIF('(参考)現行システム機能階層一覧'!$E$3:$E$1048576,sheet1!B1367)</f>
        <v>0</v>
      </c>
      <c r="I1367" s="37"/>
      <c r="J1367" s="37"/>
      <c r="K1367" s="37"/>
      <c r="L1367" s="37"/>
    </row>
    <row r="1368" spans="1:12" ht="15.75" customHeight="1">
      <c r="A1368" s="87" t="s">
        <v>3853</v>
      </c>
      <c r="B1368" s="87" t="s">
        <v>6032</v>
      </c>
      <c r="C1368" s="87" t="s">
        <v>6033</v>
      </c>
      <c r="D1368" s="88">
        <v>142</v>
      </c>
      <c r="E1368" s="85" t="s">
        <v>5852</v>
      </c>
      <c r="F1368" s="87">
        <v>1</v>
      </c>
      <c r="G1368" s="37"/>
      <c r="H1368" s="37">
        <f>COUNTIF('(参考)現行システム機能階層一覧'!$E$3:$E$1048576,sheet1!B1368)</f>
        <v>0</v>
      </c>
      <c r="I1368" s="37"/>
      <c r="J1368" s="37"/>
      <c r="K1368" s="37"/>
      <c r="L1368" s="37"/>
    </row>
    <row r="1369" spans="1:12" ht="15.75" customHeight="1">
      <c r="A1369" s="87" t="s">
        <v>3853</v>
      </c>
      <c r="B1369" s="87" t="s">
        <v>6034</v>
      </c>
      <c r="C1369" s="87" t="s">
        <v>6035</v>
      </c>
      <c r="D1369" s="88">
        <v>163</v>
      </c>
      <c r="E1369" s="85" t="s">
        <v>5852</v>
      </c>
      <c r="F1369" s="87">
        <v>1455</v>
      </c>
      <c r="G1369" s="37"/>
      <c r="H1369" s="37">
        <f>COUNTIF('(参考)現行システム機能階層一覧'!$E$3:$E$1048576,sheet1!B1369)</f>
        <v>0</v>
      </c>
      <c r="I1369" s="37"/>
      <c r="J1369" s="37"/>
      <c r="K1369" s="37"/>
      <c r="L1369" s="37"/>
    </row>
    <row r="1370" spans="1:12" ht="15.75" customHeight="1">
      <c r="A1370" s="87" t="s">
        <v>3853</v>
      </c>
      <c r="B1370" s="87" t="s">
        <v>6036</v>
      </c>
      <c r="C1370" s="87" t="s">
        <v>6037</v>
      </c>
      <c r="D1370" s="88">
        <v>181</v>
      </c>
      <c r="E1370" s="85" t="s">
        <v>5852</v>
      </c>
      <c r="F1370" s="87">
        <v>568</v>
      </c>
      <c r="G1370" s="37"/>
      <c r="H1370" s="37">
        <f>COUNTIF('(参考)現行システム機能階層一覧'!$E$3:$E$1048576,sheet1!B1370)</f>
        <v>0</v>
      </c>
      <c r="I1370" s="37"/>
      <c r="J1370" s="37"/>
      <c r="K1370" s="37"/>
      <c r="L1370" s="37"/>
    </row>
    <row r="1371" spans="1:12" ht="15.75" customHeight="1">
      <c r="A1371" s="87" t="s">
        <v>3853</v>
      </c>
      <c r="B1371" s="87" t="s">
        <v>6038</v>
      </c>
      <c r="C1371" s="87" t="s">
        <v>6039</v>
      </c>
      <c r="D1371" s="88">
        <v>201</v>
      </c>
      <c r="E1371" s="85" t="s">
        <v>5852</v>
      </c>
      <c r="F1371" s="87">
        <v>310</v>
      </c>
      <c r="G1371" s="37"/>
      <c r="H1371" s="37">
        <f>COUNTIF('(参考)現行システム機能階層一覧'!$E$3:$E$1048576,sheet1!B1371)</f>
        <v>0</v>
      </c>
      <c r="I1371" s="37"/>
      <c r="J1371" s="37"/>
      <c r="K1371" s="37"/>
      <c r="L1371" s="37"/>
    </row>
    <row r="1372" spans="1:12" ht="15.75" customHeight="1">
      <c r="A1372" s="87" t="s">
        <v>3853</v>
      </c>
      <c r="B1372" s="87" t="s">
        <v>6040</v>
      </c>
      <c r="C1372" s="87" t="s">
        <v>6041</v>
      </c>
      <c r="D1372" s="88">
        <v>67</v>
      </c>
      <c r="E1372" s="85" t="s">
        <v>5852</v>
      </c>
      <c r="F1372" s="87">
        <v>11</v>
      </c>
      <c r="G1372" s="37"/>
      <c r="H1372" s="37">
        <f>COUNTIF('(参考)現行システム機能階層一覧'!$E$3:$E$1048576,sheet1!B1372)</f>
        <v>0</v>
      </c>
      <c r="I1372" s="37"/>
      <c r="J1372" s="37"/>
      <c r="K1372" s="37"/>
      <c r="L1372" s="37"/>
    </row>
    <row r="1373" spans="1:12" ht="15.75" customHeight="1">
      <c r="A1373" s="87" t="s">
        <v>3853</v>
      </c>
      <c r="B1373" s="87" t="s">
        <v>6042</v>
      </c>
      <c r="C1373" s="87" t="s">
        <v>6043</v>
      </c>
      <c r="D1373" s="88">
        <v>195</v>
      </c>
      <c r="E1373" s="85" t="s">
        <v>5852</v>
      </c>
      <c r="F1373" s="87">
        <v>321</v>
      </c>
      <c r="G1373" s="37"/>
      <c r="H1373" s="37">
        <f>COUNTIF('(参考)現行システム機能階層一覧'!$E$3:$E$1048576,sheet1!B1373)</f>
        <v>0</v>
      </c>
      <c r="I1373" s="37"/>
      <c r="J1373" s="37"/>
      <c r="K1373" s="37"/>
      <c r="L1373" s="37"/>
    </row>
    <row r="1374" spans="1:12" ht="15.75" customHeight="1">
      <c r="A1374" s="87" t="s">
        <v>3853</v>
      </c>
      <c r="B1374" s="87" t="s">
        <v>6044</v>
      </c>
      <c r="C1374" s="87" t="s">
        <v>6045</v>
      </c>
      <c r="D1374" s="88">
        <v>180</v>
      </c>
      <c r="E1374" s="85" t="s">
        <v>5852</v>
      </c>
      <c r="F1374" s="87">
        <v>51</v>
      </c>
      <c r="G1374" s="37"/>
      <c r="H1374" s="37">
        <f>COUNTIF('(参考)現行システム機能階層一覧'!$E$3:$E$1048576,sheet1!B1374)</f>
        <v>0</v>
      </c>
      <c r="I1374" s="37"/>
      <c r="J1374" s="37"/>
      <c r="K1374" s="37"/>
      <c r="L1374" s="37"/>
    </row>
    <row r="1375" spans="1:12" ht="15.75" customHeight="1">
      <c r="A1375" s="87" t="s">
        <v>3853</v>
      </c>
      <c r="B1375" s="87" t="s">
        <v>6046</v>
      </c>
      <c r="C1375" s="87" t="s">
        <v>6047</v>
      </c>
      <c r="D1375" s="88">
        <v>108</v>
      </c>
      <c r="E1375" s="85" t="s">
        <v>5852</v>
      </c>
      <c r="F1375" s="87">
        <v>260</v>
      </c>
      <c r="G1375" s="37"/>
      <c r="H1375" s="37">
        <f>COUNTIF('(参考)現行システム機能階層一覧'!$E$3:$E$1048576,sheet1!B1375)</f>
        <v>0</v>
      </c>
      <c r="I1375" s="37"/>
      <c r="J1375" s="37"/>
      <c r="K1375" s="37"/>
      <c r="L1375" s="37"/>
    </row>
    <row r="1376" spans="1:12" ht="15.75" customHeight="1">
      <c r="A1376" s="87" t="s">
        <v>3853</v>
      </c>
      <c r="B1376" s="87" t="s">
        <v>6048</v>
      </c>
      <c r="C1376" s="87" t="s">
        <v>6049</v>
      </c>
      <c r="D1376" s="88">
        <v>116</v>
      </c>
      <c r="E1376" s="85" t="s">
        <v>5852</v>
      </c>
      <c r="F1376" s="87">
        <v>75</v>
      </c>
      <c r="G1376" s="37"/>
      <c r="H1376" s="37">
        <f>COUNTIF('(参考)現行システム機能階層一覧'!$E$3:$E$1048576,sheet1!B1376)</f>
        <v>0</v>
      </c>
      <c r="I1376" s="37"/>
      <c r="J1376" s="37"/>
      <c r="K1376" s="37"/>
      <c r="L1376" s="37"/>
    </row>
    <row r="1377" spans="1:12" ht="15.75" customHeight="1">
      <c r="A1377" s="87" t="s">
        <v>3853</v>
      </c>
      <c r="B1377" s="87" t="s">
        <v>6050</v>
      </c>
      <c r="C1377" s="87" t="s">
        <v>6051</v>
      </c>
      <c r="D1377" s="88">
        <v>179</v>
      </c>
      <c r="E1377" s="85" t="s">
        <v>5852</v>
      </c>
      <c r="F1377" s="87">
        <v>270</v>
      </c>
      <c r="G1377" s="37"/>
      <c r="H1377" s="37">
        <f>COUNTIF('(参考)現行システム機能階層一覧'!$E$3:$E$1048576,sheet1!B1377)</f>
        <v>0</v>
      </c>
      <c r="I1377" s="37"/>
      <c r="J1377" s="37"/>
      <c r="K1377" s="37"/>
      <c r="L1377" s="37"/>
    </row>
    <row r="1378" spans="1:12" ht="15.75" customHeight="1">
      <c r="A1378" s="87" t="s">
        <v>3853</v>
      </c>
      <c r="B1378" s="87" t="s">
        <v>6052</v>
      </c>
      <c r="C1378" s="87" t="s">
        <v>6053</v>
      </c>
      <c r="D1378" s="88">
        <v>111</v>
      </c>
      <c r="E1378" s="85" t="s">
        <v>5852</v>
      </c>
      <c r="F1378" s="87">
        <v>593</v>
      </c>
      <c r="G1378" s="37"/>
      <c r="H1378" s="37">
        <f>COUNTIF('(参考)現行システム機能階層一覧'!$E$3:$E$1048576,sheet1!B1378)</f>
        <v>0</v>
      </c>
      <c r="I1378" s="37"/>
      <c r="J1378" s="37"/>
      <c r="K1378" s="37"/>
      <c r="L1378" s="37"/>
    </row>
    <row r="1379" spans="1:12" ht="15.75" customHeight="1">
      <c r="A1379" s="87" t="s">
        <v>3853</v>
      </c>
      <c r="B1379" s="87" t="s">
        <v>6054</v>
      </c>
      <c r="C1379" s="87" t="s">
        <v>6055</v>
      </c>
      <c r="D1379" s="88">
        <v>119</v>
      </c>
      <c r="E1379" s="85" t="s">
        <v>5852</v>
      </c>
      <c r="F1379" s="87">
        <v>793</v>
      </c>
      <c r="G1379" s="37"/>
      <c r="H1379" s="37">
        <f>COUNTIF('(参考)現行システム機能階層一覧'!$E$3:$E$1048576,sheet1!B1379)</f>
        <v>0</v>
      </c>
      <c r="I1379" s="37"/>
      <c r="J1379" s="37"/>
      <c r="K1379" s="37"/>
      <c r="L1379" s="37"/>
    </row>
    <row r="1380" spans="1:12" ht="15.75" customHeight="1">
      <c r="A1380" s="87" t="s">
        <v>3853</v>
      </c>
      <c r="B1380" s="87" t="s">
        <v>6056</v>
      </c>
      <c r="C1380" s="87" t="s">
        <v>6057</v>
      </c>
      <c r="D1380" s="88">
        <v>258</v>
      </c>
      <c r="E1380" s="85" t="s">
        <v>5852</v>
      </c>
      <c r="F1380" s="87">
        <v>50</v>
      </c>
      <c r="G1380" s="37"/>
      <c r="H1380" s="37">
        <f>COUNTIF('(参考)現行システム機能階層一覧'!$E$3:$E$1048576,sheet1!B1380)</f>
        <v>0</v>
      </c>
      <c r="I1380" s="37"/>
      <c r="J1380" s="37"/>
      <c r="K1380" s="37"/>
      <c r="L1380" s="37"/>
    </row>
    <row r="1381" spans="1:12" ht="15.75" customHeight="1">
      <c r="A1381" s="87" t="s">
        <v>3853</v>
      </c>
      <c r="B1381" s="87" t="s">
        <v>6058</v>
      </c>
      <c r="C1381" s="87" t="s">
        <v>6059</v>
      </c>
      <c r="D1381" s="88">
        <v>66</v>
      </c>
      <c r="E1381" s="85" t="s">
        <v>5852</v>
      </c>
      <c r="F1381" s="87">
        <v>30</v>
      </c>
      <c r="G1381" s="37"/>
      <c r="H1381" s="37">
        <f>COUNTIF('(参考)現行システム機能階層一覧'!$E$3:$E$1048576,sheet1!B1381)</f>
        <v>0</v>
      </c>
      <c r="I1381" s="37"/>
      <c r="J1381" s="37"/>
      <c r="K1381" s="37"/>
      <c r="L1381" s="37"/>
    </row>
    <row r="1382" spans="1:12" ht="15.75" customHeight="1">
      <c r="A1382" s="87" t="s">
        <v>3853</v>
      </c>
      <c r="B1382" s="87" t="s">
        <v>6060</v>
      </c>
      <c r="C1382" s="87" t="s">
        <v>6061</v>
      </c>
      <c r="D1382" s="88">
        <v>178</v>
      </c>
      <c r="E1382" s="85" t="s">
        <v>5852</v>
      </c>
      <c r="F1382" s="87">
        <v>18</v>
      </c>
      <c r="G1382" s="37"/>
      <c r="H1382" s="37">
        <f>COUNTIF('(参考)現行システム機能階層一覧'!$E$3:$E$1048576,sheet1!B1382)</f>
        <v>0</v>
      </c>
      <c r="I1382" s="37"/>
      <c r="J1382" s="37"/>
      <c r="K1382" s="37"/>
      <c r="L1382" s="37"/>
    </row>
    <row r="1383" spans="1:12" ht="15.75" customHeight="1">
      <c r="A1383" s="87" t="s">
        <v>3853</v>
      </c>
      <c r="B1383" s="87" t="s">
        <v>6062</v>
      </c>
      <c r="C1383" s="87" t="s">
        <v>6063</v>
      </c>
      <c r="D1383" s="88">
        <v>102</v>
      </c>
      <c r="E1383" s="85" t="s">
        <v>5852</v>
      </c>
      <c r="F1383" s="87">
        <v>8</v>
      </c>
      <c r="G1383" s="37"/>
      <c r="H1383" s="37">
        <f>COUNTIF('(参考)現行システム機能階層一覧'!$E$3:$E$1048576,sheet1!B1383)</f>
        <v>0</v>
      </c>
      <c r="I1383" s="37"/>
      <c r="J1383" s="37"/>
      <c r="K1383" s="37"/>
      <c r="L1383" s="37"/>
    </row>
    <row r="1384" spans="1:12" ht="15.75" customHeight="1">
      <c r="A1384" s="87" t="s">
        <v>3853</v>
      </c>
      <c r="B1384" s="87" t="s">
        <v>6064</v>
      </c>
      <c r="C1384" s="87" t="s">
        <v>6065</v>
      </c>
      <c r="D1384" s="88">
        <v>94</v>
      </c>
      <c r="E1384" s="85" t="s">
        <v>5852</v>
      </c>
      <c r="F1384" s="87">
        <v>3</v>
      </c>
      <c r="G1384" s="37"/>
      <c r="H1384" s="37">
        <f>COUNTIF('(参考)現行システム機能階層一覧'!$E$3:$E$1048576,sheet1!B1384)</f>
        <v>0</v>
      </c>
      <c r="I1384" s="37"/>
      <c r="J1384" s="37"/>
      <c r="K1384" s="37"/>
      <c r="L1384" s="37"/>
    </row>
    <row r="1385" spans="1:12" ht="15.75" customHeight="1">
      <c r="A1385" s="87" t="s">
        <v>3853</v>
      </c>
      <c r="B1385" s="87" t="s">
        <v>6066</v>
      </c>
      <c r="C1385" s="87" t="s">
        <v>6067</v>
      </c>
      <c r="D1385" s="88">
        <v>94</v>
      </c>
      <c r="E1385" s="85" t="s">
        <v>5852</v>
      </c>
      <c r="F1385" s="87">
        <v>8</v>
      </c>
      <c r="G1385" s="37"/>
      <c r="H1385" s="37">
        <f>COUNTIF('(参考)現行システム機能階層一覧'!$E$3:$E$1048576,sheet1!B1385)</f>
        <v>0</v>
      </c>
      <c r="I1385" s="37"/>
      <c r="J1385" s="37"/>
      <c r="K1385" s="37"/>
      <c r="L1385" s="37"/>
    </row>
    <row r="1386" spans="1:12" ht="15.75" customHeight="1">
      <c r="A1386" s="87" t="s">
        <v>3853</v>
      </c>
      <c r="B1386" s="87" t="s">
        <v>6068</v>
      </c>
      <c r="C1386" s="87" t="s">
        <v>6069</v>
      </c>
      <c r="D1386" s="88">
        <v>137</v>
      </c>
      <c r="E1386" s="85" t="s">
        <v>5852</v>
      </c>
      <c r="F1386" s="87">
        <v>20</v>
      </c>
      <c r="G1386" s="37"/>
      <c r="H1386" s="37">
        <f>COUNTIF('(参考)現行システム機能階層一覧'!$E$3:$E$1048576,sheet1!B1386)</f>
        <v>0</v>
      </c>
      <c r="I1386" s="37"/>
      <c r="J1386" s="37"/>
      <c r="K1386" s="37"/>
      <c r="L1386" s="37"/>
    </row>
    <row r="1387" spans="1:12" ht="15.75" customHeight="1">
      <c r="A1387" s="87" t="s">
        <v>3935</v>
      </c>
      <c r="B1387" s="87" t="s">
        <v>6070</v>
      </c>
      <c r="C1387" s="87" t="s">
        <v>6071</v>
      </c>
      <c r="D1387" s="88">
        <v>251</v>
      </c>
      <c r="E1387" s="85" t="s">
        <v>6072</v>
      </c>
      <c r="F1387" s="87">
        <v>3</v>
      </c>
      <c r="G1387" s="37"/>
      <c r="H1387" s="37">
        <f>COUNTIF('(参考)現行システム機能階層一覧'!$E$3:$E$1048576,sheet1!B1387)</f>
        <v>0</v>
      </c>
      <c r="I1387" s="37"/>
      <c r="J1387" s="37"/>
      <c r="K1387" s="37"/>
      <c r="L1387" s="37"/>
    </row>
    <row r="1388" spans="1:12" ht="15.75" customHeight="1">
      <c r="A1388" s="87" t="s">
        <v>3853</v>
      </c>
      <c r="B1388" s="87" t="s">
        <v>6073</v>
      </c>
      <c r="C1388" s="87" t="s">
        <v>6074</v>
      </c>
      <c r="D1388" s="88">
        <v>19</v>
      </c>
      <c r="E1388" s="85" t="s">
        <v>6072</v>
      </c>
      <c r="F1388" s="87">
        <v>1</v>
      </c>
      <c r="G1388" s="37"/>
      <c r="H1388" s="37">
        <f>COUNTIF('(参考)現行システム機能階層一覧'!$E$3:$E$1048576,sheet1!B1388)</f>
        <v>0</v>
      </c>
      <c r="I1388" s="37"/>
      <c r="J1388" s="37"/>
      <c r="K1388" s="37"/>
      <c r="L1388" s="37"/>
    </row>
    <row r="1389" spans="1:12" ht="15.75" customHeight="1">
      <c r="A1389" s="87" t="s">
        <v>3853</v>
      </c>
      <c r="B1389" s="87" t="s">
        <v>6075</v>
      </c>
      <c r="C1389" s="87" t="s">
        <v>6074</v>
      </c>
      <c r="D1389" s="88">
        <v>19</v>
      </c>
      <c r="E1389" s="85" t="s">
        <v>6072</v>
      </c>
      <c r="F1389" s="87">
        <v>4</v>
      </c>
      <c r="G1389" s="37"/>
      <c r="H1389" s="37">
        <f>COUNTIF('(参考)現行システム機能階層一覧'!$E$3:$E$1048576,sheet1!B1389)</f>
        <v>0</v>
      </c>
      <c r="I1389" s="37"/>
      <c r="J1389" s="37"/>
      <c r="K1389" s="37"/>
      <c r="L1389" s="37"/>
    </row>
    <row r="1390" spans="1:12" ht="15.75" customHeight="1">
      <c r="A1390" s="87" t="s">
        <v>3935</v>
      </c>
      <c r="B1390" s="87" t="s">
        <v>6076</v>
      </c>
      <c r="C1390" s="87" t="s">
        <v>6077</v>
      </c>
      <c r="D1390" s="88">
        <v>413</v>
      </c>
      <c r="E1390" s="85" t="s">
        <v>6072</v>
      </c>
      <c r="F1390" s="87">
        <v>26</v>
      </c>
      <c r="G1390" s="37"/>
      <c r="H1390" s="37">
        <f>COUNTIF('(参考)現行システム機能階層一覧'!$E$3:$E$1048576,sheet1!B1390)</f>
        <v>0</v>
      </c>
      <c r="I1390" s="37"/>
      <c r="J1390" s="37"/>
      <c r="K1390" s="37"/>
      <c r="L1390" s="37"/>
    </row>
    <row r="1391" spans="1:12" ht="15.75" customHeight="1">
      <c r="A1391" s="87" t="s">
        <v>3853</v>
      </c>
      <c r="B1391" s="87" t="s">
        <v>6078</v>
      </c>
      <c r="C1391" s="87" t="s">
        <v>6079</v>
      </c>
      <c r="D1391" s="88">
        <v>9</v>
      </c>
      <c r="E1391" s="85" t="s">
        <v>6072</v>
      </c>
      <c r="F1391" s="87">
        <v>26</v>
      </c>
      <c r="G1391" s="37"/>
      <c r="H1391" s="37">
        <f>COUNTIF('(参考)現行システム機能階層一覧'!$E$3:$E$1048576,sheet1!B1391)</f>
        <v>0</v>
      </c>
      <c r="I1391" s="37"/>
      <c r="J1391" s="37"/>
      <c r="K1391" s="37"/>
      <c r="L1391" s="37"/>
    </row>
    <row r="1392" spans="1:12" ht="15.75" customHeight="1">
      <c r="A1392" s="87" t="s">
        <v>3935</v>
      </c>
      <c r="B1392" s="87" t="s">
        <v>2236</v>
      </c>
      <c r="C1392" s="87" t="s">
        <v>2237</v>
      </c>
      <c r="D1392" s="88">
        <v>227</v>
      </c>
      <c r="E1392" s="85" t="s">
        <v>6072</v>
      </c>
      <c r="F1392" s="87">
        <v>16</v>
      </c>
      <c r="G1392" s="37"/>
      <c r="H1392" s="37">
        <f>COUNTIF('(参考)現行システム機能階層一覧'!$E$3:$E$1048576,sheet1!B1392)</f>
        <v>1</v>
      </c>
      <c r="I1392" s="37"/>
      <c r="J1392" s="37"/>
      <c r="K1392" s="37"/>
      <c r="L1392" s="37"/>
    </row>
    <row r="1393" spans="1:12" ht="15.75" customHeight="1">
      <c r="A1393" s="87" t="s">
        <v>3853</v>
      </c>
      <c r="B1393" s="87" t="s">
        <v>6080</v>
      </c>
      <c r="C1393" s="87" t="s">
        <v>2237</v>
      </c>
      <c r="D1393" s="88">
        <v>63</v>
      </c>
      <c r="E1393" s="85" t="s">
        <v>6072</v>
      </c>
      <c r="F1393" s="87">
        <v>16</v>
      </c>
      <c r="G1393" s="37"/>
      <c r="H1393" s="37">
        <f>COUNTIF('(参考)現行システム機能階層一覧'!$E$3:$E$1048576,sheet1!B1393)</f>
        <v>0</v>
      </c>
      <c r="I1393" s="37"/>
      <c r="J1393" s="37"/>
      <c r="K1393" s="37"/>
      <c r="L1393" s="37"/>
    </row>
    <row r="1394" spans="1:12" ht="15.75" customHeight="1">
      <c r="A1394" s="87" t="s">
        <v>3935</v>
      </c>
      <c r="B1394" s="87" t="s">
        <v>6081</v>
      </c>
      <c r="C1394" s="87" t="s">
        <v>2237</v>
      </c>
      <c r="D1394" s="88">
        <v>255</v>
      </c>
      <c r="E1394" s="85" t="s">
        <v>6072</v>
      </c>
      <c r="F1394" s="87">
        <v>12</v>
      </c>
      <c r="G1394" s="37"/>
      <c r="H1394" s="37">
        <f>COUNTIF('(参考)現行システム機能階層一覧'!$E$3:$E$1048576,sheet1!B1394)</f>
        <v>0</v>
      </c>
      <c r="I1394" s="37"/>
      <c r="J1394" s="37"/>
      <c r="K1394" s="37"/>
      <c r="L1394" s="37"/>
    </row>
    <row r="1395" spans="1:12" ht="15.75" customHeight="1">
      <c r="A1395" s="87" t="s">
        <v>3935</v>
      </c>
      <c r="B1395" s="87" t="s">
        <v>6082</v>
      </c>
      <c r="C1395" s="87" t="s">
        <v>6083</v>
      </c>
      <c r="D1395" s="88">
        <v>199</v>
      </c>
      <c r="E1395" s="85" t="s">
        <v>6072</v>
      </c>
      <c r="F1395" s="87">
        <v>1</v>
      </c>
      <c r="G1395" s="37"/>
      <c r="H1395" s="37">
        <f>COUNTIF('(参考)現行システム機能階層一覧'!$E$3:$E$1048576,sheet1!B1395)</f>
        <v>0</v>
      </c>
      <c r="I1395" s="37"/>
      <c r="J1395" s="37"/>
      <c r="K1395" s="37"/>
      <c r="L1395" s="37"/>
    </row>
    <row r="1396" spans="1:12" ht="15.75" customHeight="1">
      <c r="A1396" s="87" t="s">
        <v>3935</v>
      </c>
      <c r="B1396" s="87" t="s">
        <v>2209</v>
      </c>
      <c r="C1396" s="87" t="s">
        <v>6084</v>
      </c>
      <c r="D1396" s="88">
        <v>165</v>
      </c>
      <c r="E1396" s="85" t="s">
        <v>6072</v>
      </c>
      <c r="F1396" s="87">
        <v>5</v>
      </c>
      <c r="G1396" s="37"/>
      <c r="H1396" s="37">
        <f>COUNTIF('(参考)現行システム機能階層一覧'!$E$3:$E$1048576,sheet1!B1396)</f>
        <v>1</v>
      </c>
      <c r="I1396" s="37"/>
      <c r="J1396" s="37"/>
      <c r="K1396" s="37"/>
      <c r="L1396" s="37"/>
    </row>
    <row r="1397" spans="1:12" ht="15.75" customHeight="1">
      <c r="A1397" s="87" t="s">
        <v>3853</v>
      </c>
      <c r="B1397" s="87" t="s">
        <v>6085</v>
      </c>
      <c r="C1397" s="87" t="s">
        <v>6086</v>
      </c>
      <c r="D1397" s="88">
        <v>32</v>
      </c>
      <c r="E1397" s="85" t="s">
        <v>6072</v>
      </c>
      <c r="F1397" s="87">
        <v>5</v>
      </c>
      <c r="G1397" s="37"/>
      <c r="H1397" s="37">
        <f>COUNTIF('(参考)現行システム機能階層一覧'!$E$3:$E$1048576,sheet1!B1397)</f>
        <v>0</v>
      </c>
      <c r="I1397" s="37"/>
      <c r="J1397" s="37"/>
      <c r="K1397" s="37"/>
      <c r="L1397" s="37"/>
    </row>
    <row r="1398" spans="1:12" ht="15.75" customHeight="1">
      <c r="A1398" s="87" t="s">
        <v>3935</v>
      </c>
      <c r="B1398" s="87" t="s">
        <v>6087</v>
      </c>
      <c r="C1398" s="87" t="s">
        <v>6088</v>
      </c>
      <c r="D1398" s="88">
        <v>192</v>
      </c>
      <c r="E1398" s="85" t="s">
        <v>6072</v>
      </c>
      <c r="F1398" s="87">
        <v>2</v>
      </c>
      <c r="G1398" s="37"/>
      <c r="H1398" s="37">
        <f>COUNTIF('(参考)現行システム機能階層一覧'!$E$3:$E$1048576,sheet1!B1398)</f>
        <v>0</v>
      </c>
      <c r="I1398" s="37"/>
      <c r="J1398" s="37"/>
      <c r="K1398" s="37"/>
      <c r="L1398" s="37"/>
    </row>
    <row r="1399" spans="1:12" ht="15.75" customHeight="1">
      <c r="A1399" s="87" t="s">
        <v>3935</v>
      </c>
      <c r="B1399" s="87" t="s">
        <v>6089</v>
      </c>
      <c r="C1399" s="87" t="s">
        <v>6090</v>
      </c>
      <c r="D1399" s="88">
        <v>492</v>
      </c>
      <c r="E1399" s="85" t="s">
        <v>6072</v>
      </c>
      <c r="F1399" s="87">
        <v>2</v>
      </c>
      <c r="G1399" s="37"/>
      <c r="H1399" s="37">
        <f>COUNTIF('(参考)現行システム機能階層一覧'!$E$3:$E$1048576,sheet1!B1399)</f>
        <v>0</v>
      </c>
      <c r="I1399" s="37"/>
      <c r="J1399" s="37"/>
      <c r="K1399" s="37"/>
      <c r="L1399" s="37"/>
    </row>
    <row r="1400" spans="1:12" ht="15.75" customHeight="1">
      <c r="A1400" s="87" t="s">
        <v>3935</v>
      </c>
      <c r="B1400" s="87" t="s">
        <v>6091</v>
      </c>
      <c r="C1400" s="87" t="s">
        <v>6092</v>
      </c>
      <c r="D1400" s="88">
        <v>108</v>
      </c>
      <c r="E1400" s="85" t="s">
        <v>6072</v>
      </c>
      <c r="F1400" s="87">
        <v>1887</v>
      </c>
      <c r="G1400" s="37"/>
      <c r="H1400" s="37">
        <f>COUNTIF('(参考)現行システム機能階層一覧'!$E$3:$E$1048576,sheet1!B1400)</f>
        <v>0</v>
      </c>
      <c r="I1400" s="37"/>
      <c r="J1400" s="37"/>
      <c r="K1400" s="37"/>
      <c r="L1400" s="37"/>
    </row>
    <row r="1401" spans="1:12" ht="15.75" customHeight="1">
      <c r="A1401" s="87" t="s">
        <v>3935</v>
      </c>
      <c r="B1401" s="87" t="s">
        <v>2509</v>
      </c>
      <c r="C1401" s="87" t="s">
        <v>6093</v>
      </c>
      <c r="D1401" s="88">
        <v>119</v>
      </c>
      <c r="E1401" s="85" t="s">
        <v>6072</v>
      </c>
      <c r="F1401" s="87">
        <v>169</v>
      </c>
      <c r="G1401" s="37"/>
      <c r="H1401" s="37">
        <f>COUNTIF('(参考)現行システム機能階層一覧'!$E$3:$E$1048576,sheet1!B1401)</f>
        <v>1</v>
      </c>
      <c r="I1401" s="37"/>
      <c r="J1401" s="37"/>
      <c r="K1401" s="37"/>
      <c r="L1401" s="37"/>
    </row>
    <row r="1402" spans="1:12" ht="15.75" customHeight="1">
      <c r="A1402" s="87" t="s">
        <v>3853</v>
      </c>
      <c r="B1402" s="87" t="s">
        <v>6094</v>
      </c>
      <c r="C1402" s="87" t="s">
        <v>2548</v>
      </c>
      <c r="D1402" s="88">
        <v>48</v>
      </c>
      <c r="E1402" s="85" t="s">
        <v>6072</v>
      </c>
      <c r="F1402" s="87">
        <v>169</v>
      </c>
      <c r="G1402" s="37"/>
      <c r="H1402" s="37">
        <f>COUNTIF('(参考)現行システム機能階層一覧'!$E$3:$E$1048576,sheet1!B1402)</f>
        <v>0</v>
      </c>
      <c r="I1402" s="37"/>
      <c r="J1402" s="37"/>
      <c r="K1402" s="37"/>
      <c r="L1402" s="37"/>
    </row>
    <row r="1403" spans="1:12" ht="15.75" customHeight="1">
      <c r="A1403" s="87" t="s">
        <v>3935</v>
      </c>
      <c r="B1403" s="87" t="s">
        <v>6095</v>
      </c>
      <c r="C1403" s="87" t="s">
        <v>2548</v>
      </c>
      <c r="D1403" s="88">
        <v>329</v>
      </c>
      <c r="E1403" s="85" t="s">
        <v>6072</v>
      </c>
      <c r="F1403" s="87">
        <v>107</v>
      </c>
      <c r="G1403" s="37"/>
      <c r="H1403" s="37">
        <f>COUNTIF('(参考)現行システム機能階層一覧'!$E$3:$E$1048576,sheet1!B1403)</f>
        <v>0</v>
      </c>
      <c r="I1403" s="37"/>
      <c r="J1403" s="37"/>
      <c r="K1403" s="37"/>
      <c r="L1403" s="37"/>
    </row>
    <row r="1404" spans="1:12" ht="15.75" customHeight="1">
      <c r="A1404" s="87" t="s">
        <v>3935</v>
      </c>
      <c r="B1404" s="87" t="s">
        <v>2542</v>
      </c>
      <c r="C1404" s="87" t="s">
        <v>2579</v>
      </c>
      <c r="D1404" s="88">
        <v>278</v>
      </c>
      <c r="E1404" s="85" t="s">
        <v>6072</v>
      </c>
      <c r="F1404" s="87">
        <v>25</v>
      </c>
      <c r="G1404" s="37"/>
      <c r="H1404" s="37">
        <f>COUNTIF('(参考)現行システム機能階層一覧'!$E$3:$E$1048576,sheet1!B1404)</f>
        <v>1</v>
      </c>
      <c r="I1404" s="37"/>
      <c r="J1404" s="37"/>
      <c r="K1404" s="37"/>
      <c r="L1404" s="37"/>
    </row>
    <row r="1405" spans="1:12" ht="15.75" customHeight="1">
      <c r="A1405" s="87" t="s">
        <v>3935</v>
      </c>
      <c r="B1405" s="87" t="s">
        <v>6096</v>
      </c>
      <c r="C1405" s="87" t="s">
        <v>2584</v>
      </c>
      <c r="D1405" s="88">
        <v>285</v>
      </c>
      <c r="E1405" s="85" t="s">
        <v>6072</v>
      </c>
      <c r="F1405" s="87">
        <v>359</v>
      </c>
      <c r="G1405" s="37"/>
      <c r="H1405" s="37">
        <f>COUNTIF('(参考)現行システム機能階層一覧'!$E$3:$E$1048576,sheet1!B1405)</f>
        <v>0</v>
      </c>
      <c r="I1405" s="37"/>
      <c r="J1405" s="37"/>
      <c r="K1405" s="37"/>
      <c r="L1405" s="37"/>
    </row>
    <row r="1406" spans="1:12" ht="15.75" customHeight="1">
      <c r="A1406" s="87" t="s">
        <v>3935</v>
      </c>
      <c r="B1406" s="87" t="s">
        <v>6097</v>
      </c>
      <c r="C1406" s="87" t="s">
        <v>6098</v>
      </c>
      <c r="D1406" s="88">
        <v>199</v>
      </c>
      <c r="E1406" s="85" t="s">
        <v>6072</v>
      </c>
      <c r="F1406" s="87">
        <v>95</v>
      </c>
      <c r="G1406" s="37"/>
      <c r="H1406" s="37">
        <f>COUNTIF('(参考)現行システム機能階層一覧'!$E$3:$E$1048576,sheet1!B1406)</f>
        <v>0</v>
      </c>
      <c r="I1406" s="37"/>
      <c r="J1406" s="37"/>
      <c r="K1406" s="37"/>
      <c r="L1406" s="37"/>
    </row>
    <row r="1407" spans="1:12" ht="15.75" customHeight="1">
      <c r="A1407" s="87" t="s">
        <v>3853</v>
      </c>
      <c r="B1407" s="87" t="s">
        <v>6099</v>
      </c>
      <c r="C1407" s="87" t="s">
        <v>2243</v>
      </c>
      <c r="D1407" s="88">
        <v>61</v>
      </c>
      <c r="E1407" s="85" t="s">
        <v>6072</v>
      </c>
      <c r="F1407" s="87">
        <v>98</v>
      </c>
      <c r="G1407" s="37"/>
      <c r="H1407" s="37">
        <f>COUNTIF('(参考)現行システム機能階層一覧'!$E$3:$E$1048576,sheet1!B1407)</f>
        <v>0</v>
      </c>
      <c r="I1407" s="37"/>
      <c r="J1407" s="37"/>
      <c r="K1407" s="37"/>
      <c r="L1407" s="37"/>
    </row>
    <row r="1408" spans="1:12" ht="15.75" customHeight="1">
      <c r="A1408" s="87" t="s">
        <v>3935</v>
      </c>
      <c r="B1408" s="87" t="s">
        <v>2215</v>
      </c>
      <c r="C1408" s="87" t="s">
        <v>6100</v>
      </c>
      <c r="D1408" s="88">
        <v>156</v>
      </c>
      <c r="E1408" s="85" t="s">
        <v>6072</v>
      </c>
      <c r="F1408" s="87">
        <v>98</v>
      </c>
      <c r="G1408" s="37"/>
      <c r="H1408" s="37">
        <f>COUNTIF('(参考)現行システム機能階層一覧'!$E$3:$E$1048576,sheet1!B1408)</f>
        <v>1</v>
      </c>
      <c r="I1408" s="37"/>
      <c r="J1408" s="37"/>
      <c r="K1408" s="37"/>
      <c r="L1408" s="37"/>
    </row>
    <row r="1409" spans="1:12" ht="15.75" customHeight="1">
      <c r="A1409" s="87" t="s">
        <v>3935</v>
      </c>
      <c r="B1409" s="87" t="s">
        <v>6101</v>
      </c>
      <c r="C1409" s="87" t="s">
        <v>6102</v>
      </c>
      <c r="D1409" s="88">
        <v>306</v>
      </c>
      <c r="E1409" s="85" t="s">
        <v>6072</v>
      </c>
      <c r="F1409" s="87">
        <v>95</v>
      </c>
      <c r="G1409" s="37"/>
      <c r="H1409" s="37">
        <f>COUNTIF('(参考)現行システム機能階層一覧'!$E$3:$E$1048576,sheet1!B1409)</f>
        <v>0</v>
      </c>
      <c r="I1409" s="37"/>
      <c r="J1409" s="37"/>
      <c r="K1409" s="37"/>
      <c r="L1409" s="37"/>
    </row>
    <row r="1410" spans="1:12" ht="15.75" customHeight="1">
      <c r="A1410" s="87" t="s">
        <v>3935</v>
      </c>
      <c r="B1410" s="87" t="s">
        <v>6103</v>
      </c>
      <c r="C1410" s="87" t="s">
        <v>6104</v>
      </c>
      <c r="D1410" s="88">
        <v>152</v>
      </c>
      <c r="E1410" s="85" t="s">
        <v>6072</v>
      </c>
      <c r="F1410" s="87">
        <v>1</v>
      </c>
      <c r="G1410" s="37"/>
      <c r="H1410" s="37">
        <f>COUNTIF('(参考)現行システム機能階層一覧'!$E$3:$E$1048576,sheet1!B1410)</f>
        <v>0</v>
      </c>
      <c r="I1410" s="37"/>
      <c r="J1410" s="37"/>
      <c r="K1410" s="37"/>
      <c r="L1410" s="37"/>
    </row>
    <row r="1411" spans="1:12" ht="15.75" customHeight="1">
      <c r="A1411" s="87" t="s">
        <v>3853</v>
      </c>
      <c r="B1411" s="87" t="s">
        <v>6105</v>
      </c>
      <c r="C1411" s="87" t="s">
        <v>3712</v>
      </c>
      <c r="D1411" s="88">
        <v>63</v>
      </c>
      <c r="E1411" s="85" t="s">
        <v>6072</v>
      </c>
      <c r="F1411" s="87">
        <v>1</v>
      </c>
      <c r="G1411" s="37"/>
      <c r="H1411" s="37">
        <f>COUNTIF('(参考)現行システム機能階層一覧'!$E$3:$E$1048576,sheet1!B1411)</f>
        <v>0</v>
      </c>
      <c r="I1411" s="37"/>
      <c r="J1411" s="37"/>
      <c r="K1411" s="37"/>
      <c r="L1411" s="37"/>
    </row>
    <row r="1412" spans="1:12" ht="15.75" customHeight="1">
      <c r="A1412" s="87" t="s">
        <v>3935</v>
      </c>
      <c r="B1412" s="87" t="s">
        <v>6106</v>
      </c>
      <c r="C1412" s="87" t="s">
        <v>6107</v>
      </c>
      <c r="D1412" s="88">
        <v>473</v>
      </c>
      <c r="E1412" s="85" t="s">
        <v>6072</v>
      </c>
      <c r="F1412" s="87">
        <v>1</v>
      </c>
      <c r="G1412" s="37"/>
      <c r="H1412" s="37">
        <f>COUNTIF('(参考)現行システム機能階層一覧'!$E$3:$E$1048576,sheet1!B1412)</f>
        <v>0</v>
      </c>
      <c r="I1412" s="37"/>
      <c r="J1412" s="37"/>
      <c r="K1412" s="37"/>
      <c r="L1412" s="37"/>
    </row>
    <row r="1413" spans="1:12" ht="15.75" customHeight="1">
      <c r="A1413" s="87" t="s">
        <v>3935</v>
      </c>
      <c r="B1413" s="87" t="s">
        <v>6108</v>
      </c>
      <c r="C1413" s="87" t="s">
        <v>6109</v>
      </c>
      <c r="D1413" s="88">
        <v>492</v>
      </c>
      <c r="E1413" s="85" t="s">
        <v>6072</v>
      </c>
      <c r="F1413" s="87">
        <v>1</v>
      </c>
      <c r="G1413" s="37"/>
      <c r="H1413" s="37">
        <f>COUNTIF('(参考)現行システム機能階層一覧'!$E$3:$E$1048576,sheet1!B1413)</f>
        <v>0</v>
      </c>
      <c r="I1413" s="37"/>
      <c r="J1413" s="37"/>
      <c r="K1413" s="37"/>
      <c r="L1413" s="37"/>
    </row>
    <row r="1414" spans="1:12" ht="15.75" customHeight="1">
      <c r="A1414" s="87" t="s">
        <v>3935</v>
      </c>
      <c r="B1414" s="87" t="s">
        <v>6110</v>
      </c>
      <c r="C1414" s="87" t="s">
        <v>6111</v>
      </c>
      <c r="D1414" s="88">
        <v>129</v>
      </c>
      <c r="E1414" s="85" t="s">
        <v>6112</v>
      </c>
      <c r="F1414" s="87">
        <v>118</v>
      </c>
      <c r="G1414" s="37"/>
      <c r="H1414" s="37">
        <f>COUNTIF('(参考)現行システム機能階層一覧'!$E$3:$E$1048576,sheet1!B1414)</f>
        <v>0</v>
      </c>
      <c r="I1414" s="37"/>
      <c r="J1414" s="37"/>
      <c r="K1414" s="37"/>
      <c r="L1414" s="37"/>
    </row>
    <row r="1415" spans="1:12" ht="15.75" customHeight="1">
      <c r="A1415" s="87" t="s">
        <v>3935</v>
      </c>
      <c r="B1415" s="87" t="s">
        <v>2735</v>
      </c>
      <c r="C1415" s="87" t="s">
        <v>6113</v>
      </c>
      <c r="D1415" s="88">
        <v>168</v>
      </c>
      <c r="E1415" s="85" t="s">
        <v>6112</v>
      </c>
      <c r="F1415" s="87">
        <v>31</v>
      </c>
      <c r="G1415" s="37"/>
      <c r="H1415" s="37">
        <f>COUNTIF('(参考)現行システム機能階層一覧'!$E$3:$E$1048576,sheet1!B1415)</f>
        <v>1</v>
      </c>
      <c r="I1415" s="37"/>
      <c r="J1415" s="37"/>
      <c r="K1415" s="37"/>
      <c r="L1415" s="37"/>
    </row>
    <row r="1416" spans="1:12" ht="15.75" customHeight="1">
      <c r="A1416" s="87" t="s">
        <v>3935</v>
      </c>
      <c r="B1416" s="87" t="s">
        <v>2738</v>
      </c>
      <c r="C1416" s="87" t="s">
        <v>6114</v>
      </c>
      <c r="D1416" s="88">
        <v>193</v>
      </c>
      <c r="E1416" s="85" t="s">
        <v>6112</v>
      </c>
      <c r="F1416" s="87">
        <v>1</v>
      </c>
      <c r="G1416" s="37"/>
      <c r="H1416" s="37">
        <f>COUNTIF('(参考)現行システム機能階層一覧'!$E$3:$E$1048576,sheet1!B1416)</f>
        <v>1</v>
      </c>
      <c r="I1416" s="37"/>
      <c r="J1416" s="37"/>
      <c r="K1416" s="37"/>
      <c r="L1416" s="37"/>
    </row>
    <row r="1417" spans="1:12" ht="15.75" customHeight="1">
      <c r="A1417" s="87" t="s">
        <v>3935</v>
      </c>
      <c r="B1417" s="87" t="s">
        <v>6115</v>
      </c>
      <c r="C1417" s="87" t="s">
        <v>6116</v>
      </c>
      <c r="D1417" s="88">
        <v>58</v>
      </c>
      <c r="E1417" s="85" t="s">
        <v>6112</v>
      </c>
      <c r="F1417" s="87">
        <v>2</v>
      </c>
      <c r="G1417" s="37"/>
      <c r="H1417" s="37">
        <f>COUNTIF('(参考)現行システム機能階層一覧'!$E$3:$E$1048576,sheet1!B1417)</f>
        <v>0</v>
      </c>
      <c r="I1417" s="37"/>
      <c r="J1417" s="37"/>
      <c r="K1417" s="37"/>
      <c r="L1417" s="37"/>
    </row>
    <row r="1418" spans="1:12" ht="15.75" customHeight="1">
      <c r="A1418" s="87" t="s">
        <v>3853</v>
      </c>
      <c r="B1418" s="87" t="s">
        <v>6117</v>
      </c>
      <c r="C1418" s="87" t="s">
        <v>6118</v>
      </c>
      <c r="D1418" s="88">
        <v>15</v>
      </c>
      <c r="E1418" s="85" t="s">
        <v>6112</v>
      </c>
      <c r="F1418" s="87">
        <v>2</v>
      </c>
      <c r="G1418" s="37"/>
      <c r="H1418" s="37">
        <f>COUNTIF('(参考)現行システム機能階層一覧'!$E$3:$E$1048576,sheet1!B1418)</f>
        <v>0</v>
      </c>
      <c r="I1418" s="37"/>
      <c r="J1418" s="37"/>
      <c r="K1418" s="37"/>
      <c r="L1418" s="37"/>
    </row>
    <row r="1419" spans="1:12" ht="15.75" customHeight="1">
      <c r="A1419" s="87" t="s">
        <v>3935</v>
      </c>
      <c r="B1419" s="87" t="s">
        <v>2741</v>
      </c>
      <c r="C1419" s="87" t="s">
        <v>6119</v>
      </c>
      <c r="D1419" s="88">
        <v>332</v>
      </c>
      <c r="E1419" s="85" t="s">
        <v>6112</v>
      </c>
      <c r="F1419" s="87">
        <v>2</v>
      </c>
      <c r="G1419" s="37"/>
      <c r="H1419" s="37">
        <f>COUNTIF('(参考)現行システム機能階層一覧'!$E$3:$E$1048576,sheet1!B1419)</f>
        <v>1</v>
      </c>
      <c r="I1419" s="37"/>
      <c r="J1419" s="37"/>
      <c r="K1419" s="37"/>
      <c r="L1419" s="37"/>
    </row>
    <row r="1420" spans="1:12" ht="15.75" customHeight="1">
      <c r="A1420" s="87" t="s">
        <v>3935</v>
      </c>
      <c r="B1420" s="87" t="s">
        <v>2783</v>
      </c>
      <c r="C1420" s="87" t="s">
        <v>6120</v>
      </c>
      <c r="D1420" s="88">
        <v>85</v>
      </c>
      <c r="E1420" s="85" t="s">
        <v>6112</v>
      </c>
      <c r="F1420" s="87">
        <v>6</v>
      </c>
      <c r="G1420" s="37"/>
      <c r="H1420" s="37">
        <f>COUNTIF('(参考)現行システム機能階層一覧'!$E$3:$E$1048576,sheet1!B1420)</f>
        <v>1</v>
      </c>
      <c r="I1420" s="37"/>
      <c r="J1420" s="37"/>
      <c r="K1420" s="37"/>
      <c r="L1420" s="37"/>
    </row>
    <row r="1421" spans="1:12" ht="15.75" customHeight="1">
      <c r="A1421" s="87" t="s">
        <v>3853</v>
      </c>
      <c r="B1421" s="87" t="s">
        <v>6121</v>
      </c>
      <c r="C1421" s="87" t="s">
        <v>6122</v>
      </c>
      <c r="D1421" s="88">
        <v>22</v>
      </c>
      <c r="E1421" s="85" t="s">
        <v>6112</v>
      </c>
      <c r="F1421" s="87">
        <v>6</v>
      </c>
      <c r="G1421" s="37"/>
      <c r="H1421" s="37">
        <f>COUNTIF('(参考)現行システム機能階層一覧'!$E$3:$E$1048576,sheet1!B1421)</f>
        <v>0</v>
      </c>
      <c r="I1421" s="37"/>
      <c r="J1421" s="37"/>
      <c r="K1421" s="37"/>
      <c r="L1421" s="37"/>
    </row>
    <row r="1422" spans="1:12" ht="15.75" customHeight="1">
      <c r="A1422" s="87" t="s">
        <v>3935</v>
      </c>
      <c r="B1422" s="87" t="s">
        <v>2705</v>
      </c>
      <c r="C1422" s="87" t="s">
        <v>6123</v>
      </c>
      <c r="D1422" s="88">
        <v>148</v>
      </c>
      <c r="E1422" s="85" t="s">
        <v>6112</v>
      </c>
      <c r="F1422" s="87">
        <v>1</v>
      </c>
      <c r="G1422" s="37"/>
      <c r="H1422" s="37">
        <f>COUNTIF('(参考)現行システム機能階層一覧'!$E$3:$E$1048576,sheet1!B1422)</f>
        <v>1</v>
      </c>
      <c r="I1422" s="37"/>
      <c r="J1422" s="37"/>
      <c r="K1422" s="37"/>
      <c r="L1422" s="37"/>
    </row>
    <row r="1423" spans="1:12" ht="15.75" customHeight="1">
      <c r="A1423" s="87" t="s">
        <v>3935</v>
      </c>
      <c r="B1423" s="87" t="s">
        <v>2672</v>
      </c>
      <c r="C1423" s="87" t="s">
        <v>6124</v>
      </c>
      <c r="D1423" s="88">
        <v>116</v>
      </c>
      <c r="E1423" s="85" t="s">
        <v>6112</v>
      </c>
      <c r="F1423" s="87">
        <v>15</v>
      </c>
      <c r="G1423" s="37"/>
      <c r="H1423" s="37">
        <f>COUNTIF('(参考)現行システム機能階層一覧'!$E$3:$E$1048576,sheet1!B1423)</f>
        <v>1</v>
      </c>
      <c r="I1423" s="37"/>
      <c r="J1423" s="37"/>
      <c r="K1423" s="37"/>
      <c r="L1423" s="37"/>
    </row>
    <row r="1424" spans="1:12" ht="15.75" customHeight="1">
      <c r="A1424" s="87" t="s">
        <v>3935</v>
      </c>
      <c r="B1424" s="87" t="s">
        <v>2676</v>
      </c>
      <c r="C1424" s="87" t="s">
        <v>6125</v>
      </c>
      <c r="D1424" s="88">
        <v>376</v>
      </c>
      <c r="E1424" s="85" t="s">
        <v>6112</v>
      </c>
      <c r="F1424" s="87">
        <v>29</v>
      </c>
      <c r="G1424" s="37"/>
      <c r="H1424" s="37">
        <f>COUNTIF('(参考)現行システム機能階層一覧'!$E$3:$E$1048576,sheet1!B1424)</f>
        <v>1</v>
      </c>
      <c r="I1424" s="37"/>
      <c r="J1424" s="37"/>
      <c r="K1424" s="37"/>
      <c r="L1424" s="37"/>
    </row>
    <row r="1425" spans="1:12" ht="15.75" customHeight="1">
      <c r="A1425" s="87" t="s">
        <v>3935</v>
      </c>
      <c r="B1425" s="87" t="s">
        <v>2732</v>
      </c>
      <c r="C1425" s="87" t="s">
        <v>6126</v>
      </c>
      <c r="D1425" s="88">
        <v>297</v>
      </c>
      <c r="E1425" s="85" t="s">
        <v>6112</v>
      </c>
      <c r="F1425" s="87">
        <v>1</v>
      </c>
      <c r="G1425" s="37"/>
      <c r="H1425" s="37">
        <f>COUNTIF('(参考)現行システム機能階層一覧'!$E$3:$E$1048576,sheet1!B1425)</f>
        <v>1</v>
      </c>
      <c r="I1425" s="37"/>
      <c r="J1425" s="37"/>
      <c r="K1425" s="37"/>
      <c r="L1425" s="37"/>
    </row>
    <row r="1426" spans="1:12" ht="15.75" customHeight="1">
      <c r="A1426" s="87" t="s">
        <v>3935</v>
      </c>
      <c r="B1426" s="87" t="s">
        <v>2714</v>
      </c>
      <c r="C1426" s="87" t="s">
        <v>6127</v>
      </c>
      <c r="D1426" s="88">
        <v>138</v>
      </c>
      <c r="E1426" s="85" t="s">
        <v>6112</v>
      </c>
      <c r="F1426" s="87">
        <v>8</v>
      </c>
      <c r="G1426" s="37"/>
      <c r="H1426" s="37">
        <f>COUNTIF('(参考)現行システム機能階層一覧'!$E$3:$E$1048576,sheet1!B1426)</f>
        <v>1</v>
      </c>
      <c r="I1426" s="37"/>
      <c r="J1426" s="37"/>
      <c r="K1426" s="37"/>
      <c r="L1426" s="37"/>
    </row>
    <row r="1427" spans="1:12" ht="15.75" customHeight="1">
      <c r="A1427" s="87" t="s">
        <v>3935</v>
      </c>
      <c r="B1427" s="87" t="s">
        <v>2708</v>
      </c>
      <c r="C1427" s="87" t="s">
        <v>6128</v>
      </c>
      <c r="D1427" s="88">
        <v>302</v>
      </c>
      <c r="E1427" s="85" t="s">
        <v>6112</v>
      </c>
      <c r="F1427" s="87">
        <v>6</v>
      </c>
      <c r="G1427" s="37"/>
      <c r="H1427" s="37">
        <f>COUNTIF('(参考)現行システム機能階層一覧'!$E$3:$E$1048576,sheet1!B1427)</f>
        <v>1</v>
      </c>
      <c r="I1427" s="37"/>
      <c r="J1427" s="37"/>
      <c r="K1427" s="37"/>
      <c r="L1427" s="37"/>
    </row>
    <row r="1428" spans="1:12" ht="15.75" customHeight="1">
      <c r="A1428" s="87" t="s">
        <v>3935</v>
      </c>
      <c r="B1428" s="87" t="s">
        <v>2698</v>
      </c>
      <c r="C1428" s="87" t="s">
        <v>6129</v>
      </c>
      <c r="D1428" s="88">
        <v>824</v>
      </c>
      <c r="E1428" s="85" t="s">
        <v>6112</v>
      </c>
      <c r="F1428" s="87">
        <v>38</v>
      </c>
      <c r="G1428" s="37"/>
      <c r="H1428" s="37">
        <f>COUNTIF('(参考)現行システム機能階層一覧'!$E$3:$E$1048576,sheet1!B1428)</f>
        <v>1</v>
      </c>
      <c r="I1428" s="37"/>
      <c r="J1428" s="37"/>
      <c r="K1428" s="37"/>
      <c r="L1428" s="37"/>
    </row>
    <row r="1429" spans="1:12" ht="15.75" customHeight="1">
      <c r="A1429" s="87" t="s">
        <v>3935</v>
      </c>
      <c r="B1429" s="87" t="s">
        <v>2700</v>
      </c>
      <c r="C1429" s="87" t="s">
        <v>6130</v>
      </c>
      <c r="D1429" s="88">
        <v>539</v>
      </c>
      <c r="E1429" s="85" t="s">
        <v>6112</v>
      </c>
      <c r="F1429" s="87">
        <v>56</v>
      </c>
      <c r="G1429" s="37"/>
      <c r="H1429" s="37">
        <f>COUNTIF('(参考)現行システム機能階層一覧'!$E$3:$E$1048576,sheet1!B1429)</f>
        <v>1</v>
      </c>
      <c r="I1429" s="37"/>
      <c r="J1429" s="37"/>
      <c r="K1429" s="37"/>
      <c r="L1429" s="37"/>
    </row>
    <row r="1430" spans="1:12" ht="15.75" customHeight="1">
      <c r="A1430" s="87" t="s">
        <v>3935</v>
      </c>
      <c r="B1430" s="87" t="s">
        <v>6131</v>
      </c>
      <c r="C1430" s="87" t="s">
        <v>6132</v>
      </c>
      <c r="D1430" s="88">
        <v>179</v>
      </c>
      <c r="E1430" s="85" t="s">
        <v>6112</v>
      </c>
      <c r="F1430" s="87">
        <v>8</v>
      </c>
      <c r="G1430" s="37"/>
      <c r="H1430" s="37">
        <f>COUNTIF('(参考)現行システム機能階層一覧'!$E$3:$E$1048576,sheet1!B1430)</f>
        <v>0</v>
      </c>
      <c r="I1430" s="37"/>
      <c r="J1430" s="37"/>
      <c r="K1430" s="37"/>
      <c r="L1430" s="37"/>
    </row>
    <row r="1431" spans="1:12" ht="15.75" customHeight="1">
      <c r="A1431" s="87" t="s">
        <v>3935</v>
      </c>
      <c r="B1431" s="87" t="s">
        <v>2776</v>
      </c>
      <c r="C1431" s="87" t="s">
        <v>6133</v>
      </c>
      <c r="D1431" s="88">
        <v>419</v>
      </c>
      <c r="E1431" s="85" t="s">
        <v>6112</v>
      </c>
      <c r="F1431" s="87">
        <v>13</v>
      </c>
      <c r="G1431" s="37"/>
      <c r="H1431" s="37">
        <f>COUNTIF('(参考)現行システム機能階層一覧'!$E$3:$E$1048576,sheet1!B1431)</f>
        <v>1</v>
      </c>
      <c r="I1431" s="37"/>
      <c r="J1431" s="37"/>
      <c r="K1431" s="37"/>
      <c r="L1431" s="37"/>
    </row>
    <row r="1432" spans="1:12" ht="15.75" customHeight="1">
      <c r="A1432" s="87" t="s">
        <v>3853</v>
      </c>
      <c r="B1432" s="87" t="s">
        <v>6134</v>
      </c>
      <c r="C1432" s="87" t="s">
        <v>6133</v>
      </c>
      <c r="D1432" s="88">
        <v>26</v>
      </c>
      <c r="E1432" s="85" t="s">
        <v>6112</v>
      </c>
      <c r="F1432" s="87">
        <v>13</v>
      </c>
      <c r="G1432" s="37"/>
      <c r="H1432" s="37">
        <f>COUNTIF('(参考)現行システム機能階層一覧'!$E$3:$E$1048576,sheet1!B1432)</f>
        <v>0</v>
      </c>
      <c r="I1432" s="37"/>
      <c r="J1432" s="37"/>
      <c r="K1432" s="37"/>
      <c r="L1432" s="37"/>
    </row>
    <row r="1433" spans="1:12" ht="15.75" customHeight="1">
      <c r="A1433" s="87" t="s">
        <v>3935</v>
      </c>
      <c r="B1433" s="87" t="s">
        <v>2744</v>
      </c>
      <c r="C1433" s="87" t="s">
        <v>2772</v>
      </c>
      <c r="D1433" s="88">
        <v>143</v>
      </c>
      <c r="E1433" s="85" t="s">
        <v>6112</v>
      </c>
      <c r="F1433" s="87">
        <v>34</v>
      </c>
      <c r="G1433" s="37"/>
      <c r="H1433" s="37">
        <f>COUNTIF('(参考)現行システム機能階層一覧'!$E$3:$E$1048576,sheet1!B1433)</f>
        <v>1</v>
      </c>
      <c r="I1433" s="37"/>
      <c r="J1433" s="37"/>
      <c r="K1433" s="37"/>
      <c r="L1433" s="37"/>
    </row>
    <row r="1434" spans="1:12" ht="15.75" customHeight="1">
      <c r="A1434" s="87" t="s">
        <v>3935</v>
      </c>
      <c r="B1434" s="87" t="s">
        <v>2756</v>
      </c>
      <c r="C1434" s="87" t="s">
        <v>6135</v>
      </c>
      <c r="D1434" s="88">
        <v>63</v>
      </c>
      <c r="E1434" s="85" t="s">
        <v>6112</v>
      </c>
      <c r="F1434" s="87">
        <v>6</v>
      </c>
      <c r="G1434" s="37"/>
      <c r="H1434" s="37">
        <f>COUNTIF('(参考)現行システム機能階層一覧'!$E$3:$E$1048576,sheet1!B1434)</f>
        <v>1</v>
      </c>
      <c r="I1434" s="37"/>
      <c r="J1434" s="37"/>
      <c r="K1434" s="37"/>
      <c r="L1434" s="37"/>
    </row>
    <row r="1435" spans="1:12" ht="15.75" customHeight="1">
      <c r="A1435" s="87" t="s">
        <v>3935</v>
      </c>
      <c r="B1435" s="87" t="s">
        <v>2679</v>
      </c>
      <c r="C1435" s="87" t="s">
        <v>6136</v>
      </c>
      <c r="D1435" s="88">
        <v>960</v>
      </c>
      <c r="E1435" s="85" t="s">
        <v>6112</v>
      </c>
      <c r="F1435" s="87">
        <v>30</v>
      </c>
      <c r="G1435" s="37"/>
      <c r="H1435" s="37">
        <f>COUNTIF('(参考)現行システム機能階層一覧'!$E$3:$E$1048576,sheet1!B1435)</f>
        <v>1</v>
      </c>
      <c r="I1435" s="37"/>
      <c r="J1435" s="37"/>
      <c r="K1435" s="37"/>
      <c r="L1435" s="37"/>
    </row>
    <row r="1436" spans="1:12" ht="15.75" customHeight="1">
      <c r="A1436" s="87" t="s">
        <v>3935</v>
      </c>
      <c r="B1436" s="87" t="s">
        <v>2682</v>
      </c>
      <c r="C1436" s="87" t="s">
        <v>6137</v>
      </c>
      <c r="D1436" s="88">
        <v>498</v>
      </c>
      <c r="E1436" s="85" t="s">
        <v>6112</v>
      </c>
      <c r="F1436" s="87">
        <v>11</v>
      </c>
      <c r="G1436" s="37"/>
      <c r="H1436" s="37">
        <f>COUNTIF('(参考)現行システム機能階層一覧'!$E$3:$E$1048576,sheet1!B1436)</f>
        <v>1</v>
      </c>
      <c r="I1436" s="37"/>
      <c r="J1436" s="37"/>
      <c r="K1436" s="37"/>
      <c r="L1436" s="37"/>
    </row>
    <row r="1437" spans="1:12" ht="15.75" customHeight="1">
      <c r="A1437" s="87" t="s">
        <v>3935</v>
      </c>
      <c r="B1437" s="87" t="s">
        <v>2747</v>
      </c>
      <c r="C1437" s="87" t="s">
        <v>2774</v>
      </c>
      <c r="D1437" s="88">
        <v>102</v>
      </c>
      <c r="E1437" s="85" t="s">
        <v>6112</v>
      </c>
      <c r="F1437" s="87">
        <v>7</v>
      </c>
      <c r="G1437" s="37"/>
      <c r="H1437" s="37">
        <f>COUNTIF('(参考)現行システム機能階層一覧'!$E$3:$E$1048576,sheet1!B1437)</f>
        <v>1</v>
      </c>
      <c r="I1437" s="37"/>
      <c r="J1437" s="37"/>
      <c r="K1437" s="37"/>
      <c r="L1437" s="37"/>
    </row>
    <row r="1438" spans="1:12" ht="15.75" customHeight="1">
      <c r="A1438" s="87" t="s">
        <v>3935</v>
      </c>
      <c r="B1438" s="87" t="s">
        <v>2759</v>
      </c>
      <c r="C1438" s="87" t="s">
        <v>6138</v>
      </c>
      <c r="D1438" s="88">
        <v>167</v>
      </c>
      <c r="E1438" s="85" t="s">
        <v>6112</v>
      </c>
      <c r="F1438" s="87">
        <v>13</v>
      </c>
      <c r="G1438" s="37"/>
      <c r="H1438" s="37">
        <f>COUNTIF('(参考)現行システム機能階層一覧'!$E$3:$E$1048576,sheet1!B1438)</f>
        <v>1</v>
      </c>
      <c r="I1438" s="37"/>
      <c r="J1438" s="37"/>
      <c r="K1438" s="37"/>
      <c r="L1438" s="37"/>
    </row>
    <row r="1439" spans="1:12" ht="15.75" customHeight="1">
      <c r="A1439" s="87" t="s">
        <v>3935</v>
      </c>
      <c r="B1439" s="87" t="s">
        <v>2769</v>
      </c>
      <c r="C1439" s="87" t="s">
        <v>6139</v>
      </c>
      <c r="D1439" s="88">
        <v>288</v>
      </c>
      <c r="E1439" s="85" t="s">
        <v>6112</v>
      </c>
      <c r="F1439" s="87">
        <v>3</v>
      </c>
      <c r="G1439" s="37"/>
      <c r="H1439" s="37">
        <f>COUNTIF('(参考)現行システム機能階層一覧'!$E$3:$E$1048576,sheet1!B1439)</f>
        <v>1</v>
      </c>
      <c r="I1439" s="37"/>
      <c r="J1439" s="37"/>
      <c r="K1439" s="37"/>
      <c r="L1439" s="37"/>
    </row>
    <row r="1440" spans="1:12" ht="15.75" customHeight="1">
      <c r="A1440" s="87" t="s">
        <v>3853</v>
      </c>
      <c r="B1440" s="87" t="s">
        <v>6140</v>
      </c>
      <c r="C1440" s="87" t="s">
        <v>6141</v>
      </c>
      <c r="D1440" s="88">
        <v>49</v>
      </c>
      <c r="E1440" s="85" t="s">
        <v>6112</v>
      </c>
      <c r="F1440" s="87">
        <v>3</v>
      </c>
      <c r="G1440" s="37"/>
      <c r="H1440" s="37">
        <f>COUNTIF('(参考)現行システム機能階層一覧'!$E$3:$E$1048576,sheet1!B1440)</f>
        <v>0</v>
      </c>
      <c r="I1440" s="37"/>
      <c r="J1440" s="37"/>
      <c r="K1440" s="37"/>
      <c r="L1440" s="37"/>
    </row>
    <row r="1441" spans="1:12" ht="15.75" customHeight="1">
      <c r="A1441" s="87" t="s">
        <v>3935</v>
      </c>
      <c r="B1441" s="87" t="s">
        <v>6142</v>
      </c>
      <c r="C1441" s="87" t="s">
        <v>6143</v>
      </c>
      <c r="D1441" s="88">
        <v>169</v>
      </c>
      <c r="E1441" s="85" t="s">
        <v>6112</v>
      </c>
      <c r="F1441" s="87">
        <v>1</v>
      </c>
      <c r="G1441" s="37"/>
      <c r="H1441" s="37">
        <f>COUNTIF('(参考)現行システム機能階層一覧'!$E$3:$E$1048576,sheet1!B1441)</f>
        <v>0</v>
      </c>
      <c r="I1441" s="37"/>
      <c r="J1441" s="37"/>
      <c r="K1441" s="37"/>
      <c r="L1441" s="37"/>
    </row>
    <row r="1442" spans="1:12" ht="15.75" customHeight="1">
      <c r="A1442" s="87" t="s">
        <v>3935</v>
      </c>
      <c r="B1442" s="87" t="s">
        <v>2750</v>
      </c>
      <c r="C1442" s="87" t="s">
        <v>6144</v>
      </c>
      <c r="D1442" s="88">
        <v>71</v>
      </c>
      <c r="E1442" s="85" t="s">
        <v>6112</v>
      </c>
      <c r="F1442" s="87">
        <v>24</v>
      </c>
      <c r="G1442" s="37"/>
      <c r="H1442" s="37">
        <f>COUNTIF('(参考)現行システム機能階層一覧'!$E$3:$E$1048576,sheet1!B1442)</f>
        <v>1</v>
      </c>
      <c r="I1442" s="37"/>
      <c r="J1442" s="37"/>
      <c r="K1442" s="37"/>
      <c r="L1442" s="37"/>
    </row>
    <row r="1443" spans="1:12" ht="15.75" customHeight="1">
      <c r="A1443" s="87" t="s">
        <v>3935</v>
      </c>
      <c r="B1443" s="87" t="s">
        <v>2753</v>
      </c>
      <c r="C1443" s="87" t="s">
        <v>6145</v>
      </c>
      <c r="D1443" s="88">
        <v>96</v>
      </c>
      <c r="E1443" s="85" t="s">
        <v>6112</v>
      </c>
      <c r="F1443" s="87">
        <v>3</v>
      </c>
      <c r="G1443" s="37"/>
      <c r="H1443" s="37">
        <f>COUNTIF('(参考)現行システム機能階層一覧'!$E$3:$E$1048576,sheet1!B1443)</f>
        <v>1</v>
      </c>
      <c r="I1443" s="37"/>
      <c r="J1443" s="37"/>
      <c r="K1443" s="37"/>
      <c r="L1443" s="37"/>
    </row>
    <row r="1444" spans="1:12" ht="15.75" customHeight="1">
      <c r="A1444" s="87" t="s">
        <v>3935</v>
      </c>
      <c r="B1444" s="87" t="s">
        <v>2685</v>
      </c>
      <c r="C1444" s="87" t="s">
        <v>6146</v>
      </c>
      <c r="D1444" s="88">
        <v>250</v>
      </c>
      <c r="E1444" s="85" t="s">
        <v>6112</v>
      </c>
      <c r="F1444" s="87">
        <v>62</v>
      </c>
      <c r="G1444" s="37"/>
      <c r="H1444" s="37">
        <f>COUNTIF('(参考)現行システム機能階層一覧'!$E$3:$E$1048576,sheet1!B1444)</f>
        <v>1</v>
      </c>
      <c r="I1444" s="37"/>
      <c r="J1444" s="37"/>
      <c r="K1444" s="37"/>
      <c r="L1444" s="37"/>
    </row>
    <row r="1445" spans="1:12" ht="15.75" customHeight="1">
      <c r="A1445" s="87" t="s">
        <v>3935</v>
      </c>
      <c r="B1445" s="87" t="s">
        <v>2688</v>
      </c>
      <c r="C1445" s="87" t="s">
        <v>6147</v>
      </c>
      <c r="D1445" s="88">
        <v>379</v>
      </c>
      <c r="E1445" s="85" t="s">
        <v>6112</v>
      </c>
      <c r="F1445" s="87">
        <v>20</v>
      </c>
      <c r="G1445" s="37"/>
      <c r="H1445" s="37">
        <f>COUNTIF('(参考)現行システム機能階層一覧'!$E$3:$E$1048576,sheet1!B1445)</f>
        <v>1</v>
      </c>
      <c r="I1445" s="37"/>
      <c r="J1445" s="37"/>
      <c r="K1445" s="37"/>
      <c r="L1445" s="37"/>
    </row>
    <row r="1446" spans="1:12" ht="15.75" customHeight="1">
      <c r="A1446" s="87" t="s">
        <v>3935</v>
      </c>
      <c r="B1446" s="87" t="s">
        <v>2690</v>
      </c>
      <c r="C1446" s="87" t="s">
        <v>6148</v>
      </c>
      <c r="D1446" s="88">
        <v>382</v>
      </c>
      <c r="E1446" s="85" t="s">
        <v>6112</v>
      </c>
      <c r="F1446" s="87">
        <v>3</v>
      </c>
      <c r="G1446" s="37"/>
      <c r="H1446" s="37">
        <f>COUNTIF('(参考)現行システム機能階層一覧'!$E$3:$E$1048576,sheet1!B1446)</f>
        <v>1</v>
      </c>
      <c r="I1446" s="37"/>
      <c r="J1446" s="37"/>
      <c r="K1446" s="37"/>
      <c r="L1446" s="37"/>
    </row>
    <row r="1447" spans="1:12" ht="15.75" customHeight="1">
      <c r="A1447" s="87" t="s">
        <v>3935</v>
      </c>
      <c r="B1447" s="87" t="s">
        <v>2692</v>
      </c>
      <c r="C1447" s="87" t="s">
        <v>6149</v>
      </c>
      <c r="D1447" s="88">
        <v>493</v>
      </c>
      <c r="E1447" s="85" t="s">
        <v>6112</v>
      </c>
      <c r="F1447" s="87">
        <v>3</v>
      </c>
      <c r="G1447" s="37"/>
      <c r="H1447" s="37">
        <f>COUNTIF('(参考)現行システム機能階層一覧'!$E$3:$E$1048576,sheet1!B1447)</f>
        <v>1</v>
      </c>
      <c r="I1447" s="37"/>
      <c r="J1447" s="37"/>
      <c r="K1447" s="37"/>
      <c r="L1447" s="37"/>
    </row>
    <row r="1448" spans="1:12" ht="15.75" customHeight="1">
      <c r="A1448" s="87" t="s">
        <v>3935</v>
      </c>
      <c r="B1448" s="87" t="s">
        <v>2762</v>
      </c>
      <c r="C1448" s="87" t="s">
        <v>6150</v>
      </c>
      <c r="D1448" s="88">
        <v>198</v>
      </c>
      <c r="E1448" s="85" t="s">
        <v>6112</v>
      </c>
      <c r="F1448" s="87">
        <v>16</v>
      </c>
      <c r="G1448" s="37"/>
      <c r="H1448" s="37">
        <f>COUNTIF('(参考)現行システム機能階層一覧'!$E$3:$E$1048576,sheet1!B1448)</f>
        <v>1</v>
      </c>
      <c r="I1448" s="37"/>
      <c r="J1448" s="37"/>
      <c r="K1448" s="37"/>
      <c r="L1448" s="37"/>
    </row>
    <row r="1449" spans="1:12" ht="15.75" customHeight="1">
      <c r="A1449" s="87" t="s">
        <v>3935</v>
      </c>
      <c r="B1449" s="87" t="s">
        <v>2695</v>
      </c>
      <c r="C1449" s="87" t="s">
        <v>6151</v>
      </c>
      <c r="D1449" s="88">
        <v>477</v>
      </c>
      <c r="E1449" s="85" t="s">
        <v>6112</v>
      </c>
      <c r="F1449" s="87">
        <v>56</v>
      </c>
      <c r="G1449" s="37"/>
      <c r="H1449" s="37">
        <f>COUNTIF('(参考)現行システム機能階層一覧'!$E$3:$E$1048576,sheet1!B1449)</f>
        <v>1</v>
      </c>
      <c r="I1449" s="37"/>
      <c r="J1449" s="37"/>
      <c r="K1449" s="37"/>
      <c r="L1449" s="37"/>
    </row>
    <row r="1450" spans="1:12" ht="15.75" customHeight="1">
      <c r="A1450" s="87" t="s">
        <v>3935</v>
      </c>
      <c r="B1450" s="87" t="s">
        <v>473</v>
      </c>
      <c r="C1450" s="87" t="s">
        <v>6152</v>
      </c>
      <c r="D1450" s="88">
        <v>427</v>
      </c>
      <c r="E1450" s="85" t="s">
        <v>6112</v>
      </c>
      <c r="F1450" s="87">
        <v>55</v>
      </c>
      <c r="G1450" s="37"/>
      <c r="H1450" s="37">
        <f>COUNTIF('(参考)現行システム機能階層一覧'!$E$3:$E$1048576,sheet1!B1450)</f>
        <v>2</v>
      </c>
      <c r="I1450" s="37"/>
      <c r="J1450" s="37"/>
      <c r="K1450" s="37"/>
      <c r="L1450" s="37"/>
    </row>
    <row r="1451" spans="1:12" ht="15.75" customHeight="1">
      <c r="A1451" s="87" t="s">
        <v>3853</v>
      </c>
      <c r="B1451" s="87" t="s">
        <v>6153</v>
      </c>
      <c r="C1451" s="87" t="s">
        <v>6152</v>
      </c>
      <c r="D1451" s="88">
        <v>20</v>
      </c>
      <c r="E1451" s="85" t="s">
        <v>6112</v>
      </c>
      <c r="F1451" s="87">
        <v>55</v>
      </c>
      <c r="G1451" s="37"/>
      <c r="H1451" s="37">
        <f>COUNTIF('(参考)現行システム機能階層一覧'!$E$3:$E$1048576,sheet1!B1451)</f>
        <v>0</v>
      </c>
      <c r="I1451" s="37"/>
      <c r="J1451" s="37"/>
      <c r="K1451" s="37"/>
      <c r="L1451" s="37"/>
    </row>
    <row r="1452" spans="1:12" ht="15.75" customHeight="1">
      <c r="A1452" s="87" t="s">
        <v>3935</v>
      </c>
      <c r="B1452" s="87" t="s">
        <v>2711</v>
      </c>
      <c r="C1452" s="87" t="s">
        <v>6154</v>
      </c>
      <c r="D1452" s="88">
        <v>227</v>
      </c>
      <c r="E1452" s="85" t="s">
        <v>6112</v>
      </c>
      <c r="F1452" s="87">
        <v>89</v>
      </c>
      <c r="G1452" s="37"/>
      <c r="H1452" s="37">
        <f>COUNTIF('(参考)現行システム機能階層一覧'!$E$3:$E$1048576,sheet1!B1452)</f>
        <v>1</v>
      </c>
      <c r="I1452" s="37"/>
      <c r="J1452" s="37"/>
      <c r="K1452" s="37"/>
      <c r="L1452" s="37"/>
    </row>
    <row r="1453" spans="1:12" ht="15.75" customHeight="1">
      <c r="A1453" s="87" t="s">
        <v>3935</v>
      </c>
      <c r="B1453" s="87" t="s">
        <v>3702</v>
      </c>
      <c r="C1453" s="87" t="s">
        <v>6155</v>
      </c>
      <c r="D1453" s="88">
        <v>1191</v>
      </c>
      <c r="E1453" s="85" t="s">
        <v>6112</v>
      </c>
      <c r="F1453" s="87">
        <v>4</v>
      </c>
      <c r="G1453" s="37"/>
      <c r="H1453" s="37">
        <f>COUNTIF('(参考)現行システム機能階層一覧'!$E$3:$E$1048576,sheet1!B1453)</f>
        <v>1</v>
      </c>
      <c r="I1453" s="37"/>
      <c r="J1453" s="37"/>
      <c r="K1453" s="37"/>
      <c r="L1453" s="37"/>
    </row>
    <row r="1454" spans="1:12" ht="15.75" customHeight="1">
      <c r="A1454" s="87" t="s">
        <v>3935</v>
      </c>
      <c r="B1454" s="87" t="s">
        <v>3584</v>
      </c>
      <c r="C1454" s="87" t="s">
        <v>6156</v>
      </c>
      <c r="D1454" s="88">
        <v>1068</v>
      </c>
      <c r="E1454" s="85" t="s">
        <v>6112</v>
      </c>
      <c r="F1454" s="87">
        <v>2</v>
      </c>
      <c r="G1454" s="37"/>
      <c r="H1454" s="37">
        <f>COUNTIF('(参考)現行システム機能階層一覧'!$E$3:$E$1048576,sheet1!B1454)</f>
        <v>1</v>
      </c>
      <c r="I1454" s="37"/>
      <c r="J1454" s="37"/>
      <c r="K1454" s="37"/>
      <c r="L1454" s="37"/>
    </row>
    <row r="1455" spans="1:12" ht="15.75" customHeight="1">
      <c r="A1455" s="87" t="s">
        <v>3853</v>
      </c>
      <c r="B1455" s="87" t="s">
        <v>6157</v>
      </c>
      <c r="C1455" s="87" t="s">
        <v>6158</v>
      </c>
      <c r="D1455" s="88">
        <v>32</v>
      </c>
      <c r="E1455" s="85" t="s">
        <v>6112</v>
      </c>
      <c r="F1455" s="87">
        <v>1</v>
      </c>
      <c r="G1455" s="37"/>
      <c r="H1455" s="37">
        <f>COUNTIF('(参考)現行システム機能階層一覧'!$E$3:$E$1048576,sheet1!B1455)</f>
        <v>0</v>
      </c>
      <c r="I1455" s="37"/>
      <c r="J1455" s="37"/>
      <c r="K1455" s="37"/>
      <c r="L1455" s="37"/>
    </row>
    <row r="1456" spans="1:12" ht="15.75" customHeight="1">
      <c r="A1456" s="87" t="s">
        <v>3935</v>
      </c>
      <c r="B1456" s="87" t="s">
        <v>6159</v>
      </c>
      <c r="C1456" s="87" t="s">
        <v>6160</v>
      </c>
      <c r="D1456" s="88">
        <v>148</v>
      </c>
      <c r="E1456" s="85" t="s">
        <v>6112</v>
      </c>
      <c r="F1456" s="87">
        <v>1</v>
      </c>
      <c r="G1456" s="37"/>
      <c r="H1456" s="37">
        <f>COUNTIF('(参考)現行システム機能階層一覧'!$E$3:$E$1048576,sheet1!B1456)</f>
        <v>0</v>
      </c>
      <c r="I1456" s="37"/>
      <c r="J1456" s="37"/>
      <c r="K1456" s="37"/>
      <c r="L1456" s="37"/>
    </row>
    <row r="1457" spans="1:12" ht="15.75" customHeight="1">
      <c r="A1457" s="87" t="s">
        <v>3935</v>
      </c>
      <c r="B1457" s="87" t="s">
        <v>3540</v>
      </c>
      <c r="C1457" s="87" t="s">
        <v>6161</v>
      </c>
      <c r="D1457" s="88">
        <v>137</v>
      </c>
      <c r="E1457" s="85" t="s">
        <v>6112</v>
      </c>
      <c r="F1457" s="87">
        <v>1</v>
      </c>
      <c r="G1457" s="37"/>
      <c r="H1457" s="37">
        <f>COUNTIF('(参考)現行システム機能階層一覧'!$E$3:$E$1048576,sheet1!B1457)</f>
        <v>1</v>
      </c>
      <c r="I1457" s="37"/>
      <c r="J1457" s="37"/>
      <c r="K1457" s="37"/>
      <c r="L1457" s="37"/>
    </row>
    <row r="1458" spans="1:12" ht="15.75" customHeight="1">
      <c r="A1458" s="87" t="s">
        <v>3935</v>
      </c>
      <c r="B1458" s="87" t="s">
        <v>6162</v>
      </c>
      <c r="C1458" s="87" t="s">
        <v>6163</v>
      </c>
      <c r="D1458" s="88">
        <v>483</v>
      </c>
      <c r="E1458" s="85" t="s">
        <v>6112</v>
      </c>
      <c r="F1458" s="87">
        <v>1</v>
      </c>
      <c r="G1458" s="37"/>
      <c r="H1458" s="37">
        <f>COUNTIF('(参考)現行システム機能階層一覧'!$E$3:$E$1048576,sheet1!B1458)</f>
        <v>0</v>
      </c>
      <c r="I1458" s="37"/>
      <c r="J1458" s="37"/>
      <c r="K1458" s="37"/>
      <c r="L1458" s="37"/>
    </row>
    <row r="1459" spans="1:12" ht="15.75" customHeight="1">
      <c r="A1459" s="87" t="s">
        <v>3935</v>
      </c>
      <c r="B1459" s="87" t="s">
        <v>3500</v>
      </c>
      <c r="C1459" s="87" t="s">
        <v>6164</v>
      </c>
      <c r="D1459" s="88">
        <v>632</v>
      </c>
      <c r="E1459" s="85" t="s">
        <v>6112</v>
      </c>
      <c r="F1459" s="87">
        <v>2</v>
      </c>
      <c r="G1459" s="37"/>
      <c r="H1459" s="37">
        <f>COUNTIF('(参考)現行システム機能階層一覧'!$E$3:$E$1048576,sheet1!B1459)</f>
        <v>1</v>
      </c>
      <c r="I1459" s="37"/>
      <c r="J1459" s="37"/>
      <c r="K1459" s="37"/>
      <c r="L1459" s="37"/>
    </row>
    <row r="1460" spans="1:12" ht="15.75" customHeight="1">
      <c r="A1460" s="87" t="s">
        <v>3853</v>
      </c>
      <c r="B1460" s="87" t="s">
        <v>6165</v>
      </c>
      <c r="C1460" s="87" t="s">
        <v>6166</v>
      </c>
      <c r="D1460" s="88">
        <v>23</v>
      </c>
      <c r="E1460" s="85" t="s">
        <v>6112</v>
      </c>
      <c r="F1460" s="87">
        <v>2</v>
      </c>
      <c r="G1460" s="37"/>
      <c r="H1460" s="37">
        <f>COUNTIF('(参考)現行システム機能階層一覧'!$E$3:$E$1048576,sheet1!B1460)</f>
        <v>0</v>
      </c>
      <c r="I1460" s="37"/>
      <c r="J1460" s="37"/>
      <c r="K1460" s="37"/>
      <c r="L1460" s="37"/>
    </row>
    <row r="1461" spans="1:12" ht="15.75" customHeight="1">
      <c r="A1461" s="87" t="s">
        <v>3935</v>
      </c>
      <c r="B1461" s="87" t="s">
        <v>6167</v>
      </c>
      <c r="C1461" s="87" t="s">
        <v>6168</v>
      </c>
      <c r="D1461" s="88">
        <v>107</v>
      </c>
      <c r="E1461" s="85" t="s">
        <v>6112</v>
      </c>
      <c r="F1461" s="87">
        <v>1</v>
      </c>
      <c r="G1461" s="37"/>
      <c r="H1461" s="37">
        <f>COUNTIF('(参考)現行システム機能階層一覧'!$E$3:$E$1048576,sheet1!B1461)</f>
        <v>0</v>
      </c>
      <c r="I1461" s="37"/>
      <c r="J1461" s="37"/>
      <c r="K1461" s="37"/>
      <c r="L1461" s="37"/>
    </row>
    <row r="1462" spans="1:12" ht="15.75" customHeight="1">
      <c r="A1462" s="87" t="s">
        <v>3935</v>
      </c>
      <c r="B1462" s="87" t="s">
        <v>3503</v>
      </c>
      <c r="C1462" s="87" t="s">
        <v>6169</v>
      </c>
      <c r="D1462" s="88">
        <v>249</v>
      </c>
      <c r="E1462" s="85" t="s">
        <v>6112</v>
      </c>
      <c r="F1462" s="87">
        <v>1</v>
      </c>
      <c r="G1462" s="37"/>
      <c r="H1462" s="37">
        <f>COUNTIF('(参考)現行システム機能階層一覧'!$E$3:$E$1048576,sheet1!B1462)</f>
        <v>1</v>
      </c>
      <c r="I1462" s="37"/>
      <c r="J1462" s="37"/>
      <c r="K1462" s="37"/>
      <c r="L1462" s="37"/>
    </row>
    <row r="1463" spans="1:12" ht="15.75" customHeight="1">
      <c r="A1463" s="87" t="s">
        <v>3935</v>
      </c>
      <c r="B1463" s="87" t="s">
        <v>3512</v>
      </c>
      <c r="C1463" s="87" t="s">
        <v>6170</v>
      </c>
      <c r="D1463" s="88">
        <v>366</v>
      </c>
      <c r="E1463" s="85" t="s">
        <v>6112</v>
      </c>
      <c r="F1463" s="87">
        <v>1</v>
      </c>
      <c r="G1463" s="37"/>
      <c r="H1463" s="37">
        <f>COUNTIF('(参考)現行システム機能階層一覧'!$E$3:$E$1048576,sheet1!B1463)</f>
        <v>1</v>
      </c>
      <c r="I1463" s="37"/>
      <c r="J1463" s="37"/>
      <c r="K1463" s="37"/>
      <c r="L1463" s="37"/>
    </row>
    <row r="1464" spans="1:12" ht="15.75" customHeight="1">
      <c r="A1464" s="87" t="s">
        <v>3935</v>
      </c>
      <c r="B1464" s="87" t="s">
        <v>3506</v>
      </c>
      <c r="C1464" s="87" t="s">
        <v>6171</v>
      </c>
      <c r="D1464" s="88">
        <v>387</v>
      </c>
      <c r="E1464" s="85" t="s">
        <v>6112</v>
      </c>
      <c r="F1464" s="87">
        <v>1</v>
      </c>
      <c r="G1464" s="37"/>
      <c r="H1464" s="37">
        <f>COUNTIF('(参考)現行システム機能階層一覧'!$E$3:$E$1048576,sheet1!B1464)</f>
        <v>1</v>
      </c>
      <c r="I1464" s="37"/>
      <c r="J1464" s="37"/>
      <c r="K1464" s="37"/>
      <c r="L1464" s="37"/>
    </row>
    <row r="1465" spans="1:12" ht="15.75" customHeight="1">
      <c r="A1465" s="87" t="s">
        <v>3935</v>
      </c>
      <c r="B1465" s="87" t="s">
        <v>3509</v>
      </c>
      <c r="C1465" s="87" t="s">
        <v>6172</v>
      </c>
      <c r="D1465" s="88">
        <v>917</v>
      </c>
      <c r="E1465" s="85" t="s">
        <v>6112</v>
      </c>
      <c r="F1465" s="87">
        <v>1</v>
      </c>
      <c r="G1465" s="37"/>
      <c r="H1465" s="37">
        <f>COUNTIF('(参考)現行システム機能階層一覧'!$E$3:$E$1048576,sheet1!B1465)</f>
        <v>1</v>
      </c>
      <c r="I1465" s="37"/>
      <c r="J1465" s="37"/>
      <c r="K1465" s="37"/>
      <c r="L1465" s="37"/>
    </row>
    <row r="1466" spans="1:12" ht="15.75" customHeight="1">
      <c r="A1466" s="87" t="s">
        <v>3935</v>
      </c>
      <c r="B1466" s="87" t="s">
        <v>3525</v>
      </c>
      <c r="C1466" s="87" t="s">
        <v>6173</v>
      </c>
      <c r="D1466" s="88">
        <v>175</v>
      </c>
      <c r="E1466" s="85" t="s">
        <v>6112</v>
      </c>
      <c r="F1466" s="87">
        <v>1</v>
      </c>
      <c r="G1466" s="37"/>
      <c r="H1466" s="37">
        <f>COUNTIF('(参考)現行システム機能階層一覧'!$E$3:$E$1048576,sheet1!B1466)</f>
        <v>1</v>
      </c>
      <c r="I1466" s="37"/>
      <c r="J1466" s="37"/>
      <c r="K1466" s="37"/>
      <c r="L1466" s="37"/>
    </row>
    <row r="1467" spans="1:12" ht="15.75" customHeight="1">
      <c r="A1467" s="87" t="s">
        <v>3853</v>
      </c>
      <c r="B1467" s="87" t="s">
        <v>6174</v>
      </c>
      <c r="C1467" s="87" t="s">
        <v>6175</v>
      </c>
      <c r="D1467" s="88">
        <v>61</v>
      </c>
      <c r="E1467" s="85" t="s">
        <v>6112</v>
      </c>
      <c r="F1467" s="87">
        <v>1</v>
      </c>
      <c r="G1467" s="37"/>
      <c r="H1467" s="37">
        <f>COUNTIF('(参考)現行システム機能階層一覧'!$E$3:$E$1048576,sheet1!B1467)</f>
        <v>0</v>
      </c>
      <c r="I1467" s="37"/>
      <c r="J1467" s="37"/>
      <c r="K1467" s="37"/>
      <c r="L1467" s="37"/>
    </row>
    <row r="1468" spans="1:12" ht="15.75" customHeight="1">
      <c r="A1468" s="87" t="s">
        <v>3935</v>
      </c>
      <c r="B1468" s="87" t="s">
        <v>6176</v>
      </c>
      <c r="C1468" s="87" t="s">
        <v>6177</v>
      </c>
      <c r="D1468" s="88">
        <v>992</v>
      </c>
      <c r="E1468" s="85" t="s">
        <v>6112</v>
      </c>
      <c r="F1468" s="87">
        <v>1</v>
      </c>
      <c r="G1468" s="37"/>
      <c r="H1468" s="37">
        <f>COUNTIF('(参考)現行システム機能階層一覧'!$E$3:$E$1048576,sheet1!B1468)</f>
        <v>0</v>
      </c>
      <c r="I1468" s="37"/>
      <c r="J1468" s="37"/>
      <c r="K1468" s="37"/>
      <c r="L1468" s="37"/>
    </row>
    <row r="1469" spans="1:12" ht="15.75" customHeight="1">
      <c r="A1469" s="87" t="s">
        <v>3935</v>
      </c>
      <c r="B1469" s="87" t="s">
        <v>6178</v>
      </c>
      <c r="C1469" s="87" t="s">
        <v>6179</v>
      </c>
      <c r="D1469" s="88">
        <v>479</v>
      </c>
      <c r="E1469" s="85" t="s">
        <v>6112</v>
      </c>
      <c r="F1469" s="87">
        <v>1</v>
      </c>
      <c r="G1469" s="37"/>
      <c r="H1469" s="37">
        <f>COUNTIF('(参考)現行システム機能階層一覧'!$E$3:$E$1048576,sheet1!B1469)</f>
        <v>0</v>
      </c>
      <c r="I1469" s="37"/>
      <c r="J1469" s="37"/>
      <c r="K1469" s="37"/>
      <c r="L1469" s="37"/>
    </row>
    <row r="1470" spans="1:12" ht="15.75" customHeight="1">
      <c r="A1470" s="87" t="s">
        <v>3935</v>
      </c>
      <c r="B1470" s="87" t="s">
        <v>6180</v>
      </c>
      <c r="C1470" s="87" t="s">
        <v>6181</v>
      </c>
      <c r="D1470" s="88">
        <v>441</v>
      </c>
      <c r="E1470" s="85" t="s">
        <v>6112</v>
      </c>
      <c r="F1470" s="87">
        <v>1</v>
      </c>
      <c r="G1470" s="37"/>
      <c r="H1470" s="37">
        <f>COUNTIF('(参考)現行システム機能階層一覧'!$E$3:$E$1048576,sheet1!B1470)</f>
        <v>0</v>
      </c>
      <c r="I1470" s="37"/>
      <c r="J1470" s="37"/>
      <c r="K1470" s="37"/>
      <c r="L1470" s="37"/>
    </row>
    <row r="1471" spans="1:12" ht="15.75" customHeight="1">
      <c r="A1471" s="87" t="s">
        <v>3935</v>
      </c>
      <c r="B1471" s="87" t="s">
        <v>6182</v>
      </c>
      <c r="C1471" s="87" t="s">
        <v>6183</v>
      </c>
      <c r="D1471" s="88">
        <v>1196</v>
      </c>
      <c r="E1471" s="85" t="s">
        <v>6112</v>
      </c>
      <c r="F1471" s="87">
        <v>1</v>
      </c>
      <c r="G1471" s="37"/>
      <c r="H1471" s="37">
        <f>COUNTIF('(参考)現行システム機能階層一覧'!$E$3:$E$1048576,sheet1!B1471)</f>
        <v>0</v>
      </c>
      <c r="I1471" s="37"/>
      <c r="J1471" s="37"/>
      <c r="K1471" s="37"/>
      <c r="L1471" s="37"/>
    </row>
    <row r="1472" spans="1:12" ht="15.75" customHeight="1">
      <c r="A1472" s="87" t="s">
        <v>3935</v>
      </c>
      <c r="B1472" s="87" t="s">
        <v>6184</v>
      </c>
      <c r="C1472" s="87" t="s">
        <v>6185</v>
      </c>
      <c r="D1472" s="88">
        <v>205</v>
      </c>
      <c r="E1472" s="85" t="s">
        <v>6112</v>
      </c>
      <c r="F1472" s="87">
        <v>1</v>
      </c>
      <c r="G1472" s="37"/>
      <c r="H1472" s="37">
        <f>COUNTIF('(参考)現行システム機能階層一覧'!$E$3:$E$1048576,sheet1!B1472)</f>
        <v>0</v>
      </c>
      <c r="I1472" s="37"/>
      <c r="J1472" s="37"/>
      <c r="K1472" s="37"/>
      <c r="L1472" s="37"/>
    </row>
    <row r="1473" spans="1:12" ht="15.75" customHeight="1">
      <c r="A1473" s="87" t="s">
        <v>3935</v>
      </c>
      <c r="B1473" s="87" t="s">
        <v>6186</v>
      </c>
      <c r="C1473" s="87" t="s">
        <v>6187</v>
      </c>
      <c r="D1473" s="88">
        <v>318</v>
      </c>
      <c r="E1473" s="85" t="s">
        <v>6112</v>
      </c>
      <c r="F1473" s="87">
        <v>1</v>
      </c>
      <c r="G1473" s="37"/>
      <c r="H1473" s="37">
        <f>COUNTIF('(参考)現行システム機能階層一覧'!$E$3:$E$1048576,sheet1!B1473)</f>
        <v>0</v>
      </c>
      <c r="I1473" s="37"/>
      <c r="J1473" s="37"/>
      <c r="K1473" s="37"/>
      <c r="L1473" s="37"/>
    </row>
    <row r="1474" spans="1:12" ht="15.75" customHeight="1">
      <c r="A1474" s="87" t="s">
        <v>3935</v>
      </c>
      <c r="B1474" s="87" t="s">
        <v>6188</v>
      </c>
      <c r="C1474" s="87" t="s">
        <v>6189</v>
      </c>
      <c r="D1474" s="88">
        <v>244</v>
      </c>
      <c r="E1474" s="85" t="s">
        <v>6112</v>
      </c>
      <c r="F1474" s="87">
        <v>1</v>
      </c>
      <c r="G1474" s="37"/>
      <c r="H1474" s="37">
        <f>COUNTIF('(参考)現行システム機能階層一覧'!$E$3:$E$1048576,sheet1!B1474)</f>
        <v>0</v>
      </c>
      <c r="I1474" s="37"/>
      <c r="J1474" s="37"/>
      <c r="K1474" s="37"/>
      <c r="L1474" s="37"/>
    </row>
    <row r="1475" spans="1:12" ht="15.75" customHeight="1">
      <c r="A1475" s="87" t="s">
        <v>3935</v>
      </c>
      <c r="B1475" s="87" t="s">
        <v>6190</v>
      </c>
      <c r="C1475" s="87" t="s">
        <v>6191</v>
      </c>
      <c r="D1475" s="88">
        <v>994</v>
      </c>
      <c r="E1475" s="85" t="s">
        <v>6112</v>
      </c>
      <c r="F1475" s="87">
        <v>1</v>
      </c>
      <c r="G1475" s="37"/>
      <c r="H1475" s="37">
        <f>COUNTIF('(参考)現行システム機能階層一覧'!$E$3:$E$1048576,sheet1!B1475)</f>
        <v>0</v>
      </c>
      <c r="I1475" s="37"/>
      <c r="J1475" s="37"/>
      <c r="K1475" s="37"/>
      <c r="L1475" s="37"/>
    </row>
    <row r="1476" spans="1:12" ht="15.75" customHeight="1">
      <c r="A1476" s="87" t="s">
        <v>3935</v>
      </c>
      <c r="B1476" s="87" t="s">
        <v>6192</v>
      </c>
      <c r="C1476" s="87" t="s">
        <v>6193</v>
      </c>
      <c r="D1476" s="88">
        <v>877</v>
      </c>
      <c r="E1476" s="85" t="s">
        <v>6112</v>
      </c>
      <c r="F1476" s="87">
        <v>1</v>
      </c>
      <c r="G1476" s="37"/>
      <c r="H1476" s="37">
        <f>COUNTIF('(参考)現行システム機能階層一覧'!$E$3:$E$1048576,sheet1!B1476)</f>
        <v>0</v>
      </c>
      <c r="I1476" s="37"/>
      <c r="J1476" s="37"/>
      <c r="K1476" s="37"/>
      <c r="L1476" s="37"/>
    </row>
    <row r="1477" spans="1:12" ht="15.75" customHeight="1">
      <c r="A1477" s="87" t="s">
        <v>3935</v>
      </c>
      <c r="B1477" s="87" t="s">
        <v>6194</v>
      </c>
      <c r="C1477" s="87" t="s">
        <v>6195</v>
      </c>
      <c r="D1477" s="88">
        <v>337</v>
      </c>
      <c r="E1477" s="85" t="s">
        <v>6112</v>
      </c>
      <c r="F1477" s="87">
        <v>1</v>
      </c>
      <c r="G1477" s="37"/>
      <c r="H1477" s="37">
        <f>COUNTIF('(参考)現行システム機能階層一覧'!$E$3:$E$1048576,sheet1!B1477)</f>
        <v>0</v>
      </c>
      <c r="I1477" s="37"/>
      <c r="J1477" s="37"/>
      <c r="K1477" s="37"/>
      <c r="L1477" s="37"/>
    </row>
    <row r="1478" spans="1:12" ht="15.75" customHeight="1">
      <c r="A1478" s="87" t="s">
        <v>3853</v>
      </c>
      <c r="B1478" s="87" t="s">
        <v>6196</v>
      </c>
      <c r="C1478" s="87" t="s">
        <v>6195</v>
      </c>
      <c r="D1478" s="88">
        <v>25</v>
      </c>
      <c r="E1478" s="85" t="s">
        <v>6112</v>
      </c>
      <c r="F1478" s="87">
        <v>1</v>
      </c>
      <c r="G1478" s="37"/>
      <c r="H1478" s="37">
        <f>COUNTIF('(参考)現行システム機能階層一覧'!$E$3:$E$1048576,sheet1!B1478)</f>
        <v>0</v>
      </c>
      <c r="I1478" s="37"/>
      <c r="J1478" s="37"/>
      <c r="K1478" s="37"/>
      <c r="L1478" s="37"/>
    </row>
    <row r="1479" spans="1:12" ht="15.75" customHeight="1">
      <c r="A1479" s="87" t="s">
        <v>3935</v>
      </c>
      <c r="B1479" s="87" t="s">
        <v>6197</v>
      </c>
      <c r="C1479" s="87" t="s">
        <v>6198</v>
      </c>
      <c r="D1479" s="88">
        <v>229</v>
      </c>
      <c r="E1479" s="85" t="s">
        <v>6112</v>
      </c>
      <c r="F1479" s="87">
        <v>1</v>
      </c>
      <c r="G1479" s="37"/>
      <c r="H1479" s="37">
        <f>COUNTIF('(参考)現行システム機能階層一覧'!$E$3:$E$1048576,sheet1!B1479)</f>
        <v>0</v>
      </c>
      <c r="I1479" s="37"/>
      <c r="J1479" s="37"/>
      <c r="K1479" s="37"/>
      <c r="L1479" s="37"/>
    </row>
    <row r="1480" spans="1:12" ht="15.75" customHeight="1">
      <c r="A1480" s="87" t="s">
        <v>3853</v>
      </c>
      <c r="B1480" s="87" t="s">
        <v>6199</v>
      </c>
      <c r="C1480" s="87" t="s">
        <v>6200</v>
      </c>
      <c r="D1480" s="88">
        <v>27</v>
      </c>
      <c r="E1480" s="85" t="s">
        <v>6112</v>
      </c>
      <c r="F1480" s="87">
        <v>1</v>
      </c>
      <c r="G1480" s="37"/>
      <c r="H1480" s="37">
        <f>COUNTIF('(参考)現行システム機能階層一覧'!$E$3:$E$1048576,sheet1!B1480)</f>
        <v>0</v>
      </c>
      <c r="I1480" s="37"/>
      <c r="J1480" s="37"/>
      <c r="K1480" s="37"/>
      <c r="L1480" s="37"/>
    </row>
    <row r="1481" spans="1:12" ht="15.75" customHeight="1">
      <c r="A1481" s="87" t="s">
        <v>3935</v>
      </c>
      <c r="B1481" s="87" t="s">
        <v>6201</v>
      </c>
      <c r="C1481" s="87" t="s">
        <v>6202</v>
      </c>
      <c r="D1481" s="88">
        <v>297</v>
      </c>
      <c r="E1481" s="85" t="s">
        <v>6112</v>
      </c>
      <c r="F1481" s="87">
        <v>1</v>
      </c>
      <c r="G1481" s="37"/>
      <c r="H1481" s="37">
        <f>COUNTIF('(参考)現行システム機能階層一覧'!$E$3:$E$1048576,sheet1!B1481)</f>
        <v>0</v>
      </c>
      <c r="I1481" s="37"/>
      <c r="J1481" s="37"/>
      <c r="K1481" s="37"/>
      <c r="L1481" s="37"/>
    </row>
    <row r="1482" spans="1:12" ht="15.75" customHeight="1">
      <c r="A1482" s="87" t="s">
        <v>3935</v>
      </c>
      <c r="B1482" s="87" t="s">
        <v>3515</v>
      </c>
      <c r="C1482" s="87" t="s">
        <v>6203</v>
      </c>
      <c r="D1482" s="88">
        <v>585</v>
      </c>
      <c r="E1482" s="85" t="s">
        <v>6112</v>
      </c>
      <c r="F1482" s="87">
        <v>1</v>
      </c>
      <c r="G1482" s="37"/>
      <c r="H1482" s="37">
        <f>COUNTIF('(参考)現行システム機能階層一覧'!$E$3:$E$1048576,sheet1!B1482)</f>
        <v>1</v>
      </c>
      <c r="I1482" s="37"/>
      <c r="J1482" s="37"/>
      <c r="K1482" s="37"/>
      <c r="L1482" s="37"/>
    </row>
    <row r="1483" spans="1:12" ht="15.75" customHeight="1">
      <c r="A1483" s="87" t="s">
        <v>3853</v>
      </c>
      <c r="B1483" s="87" t="s">
        <v>6204</v>
      </c>
      <c r="C1483" s="87" t="s">
        <v>6205</v>
      </c>
      <c r="D1483" s="88">
        <v>23</v>
      </c>
      <c r="E1483" s="85" t="s">
        <v>6112</v>
      </c>
      <c r="F1483" s="87">
        <v>1</v>
      </c>
      <c r="G1483" s="37"/>
      <c r="H1483" s="37">
        <f>COUNTIF('(参考)現行システム機能階層一覧'!$E$3:$E$1048576,sheet1!B1483)</f>
        <v>0</v>
      </c>
      <c r="I1483" s="37"/>
      <c r="J1483" s="37"/>
      <c r="K1483" s="37"/>
      <c r="L1483" s="37"/>
    </row>
    <row r="1484" spans="1:12" ht="15.75" customHeight="1">
      <c r="A1484" s="87" t="s">
        <v>3935</v>
      </c>
      <c r="B1484" s="87" t="s">
        <v>6206</v>
      </c>
      <c r="C1484" s="87" t="s">
        <v>6207</v>
      </c>
      <c r="D1484" s="88">
        <v>100</v>
      </c>
      <c r="E1484" s="85" t="s">
        <v>6112</v>
      </c>
      <c r="F1484" s="87">
        <v>1</v>
      </c>
      <c r="G1484" s="37"/>
      <c r="H1484" s="37">
        <f>COUNTIF('(参考)現行システム機能階層一覧'!$E$3:$E$1048576,sheet1!B1484)</f>
        <v>0</v>
      </c>
      <c r="I1484" s="37"/>
      <c r="J1484" s="37"/>
      <c r="K1484" s="37"/>
      <c r="L1484" s="37"/>
    </row>
    <row r="1485" spans="1:12" ht="15.75" customHeight="1">
      <c r="A1485" s="87" t="s">
        <v>3935</v>
      </c>
      <c r="B1485" s="87" t="s">
        <v>3519</v>
      </c>
      <c r="C1485" s="87" t="s">
        <v>6208</v>
      </c>
      <c r="D1485" s="88">
        <v>649</v>
      </c>
      <c r="E1485" s="85" t="s">
        <v>6112</v>
      </c>
      <c r="F1485" s="87">
        <v>1</v>
      </c>
      <c r="G1485" s="37"/>
      <c r="H1485" s="37">
        <f>COUNTIF('(参考)現行システム機能階層一覧'!$E$3:$E$1048576,sheet1!B1485)</f>
        <v>1</v>
      </c>
      <c r="I1485" s="37"/>
      <c r="J1485" s="37"/>
      <c r="K1485" s="37"/>
      <c r="L1485" s="37"/>
    </row>
    <row r="1486" spans="1:12" ht="15.75" customHeight="1">
      <c r="A1486" s="87" t="s">
        <v>3853</v>
      </c>
      <c r="B1486" s="87" t="s">
        <v>6209</v>
      </c>
      <c r="C1486" s="87" t="s">
        <v>6208</v>
      </c>
      <c r="D1486" s="88">
        <v>23</v>
      </c>
      <c r="E1486" s="85" t="s">
        <v>6112</v>
      </c>
      <c r="F1486" s="87">
        <v>1</v>
      </c>
      <c r="G1486" s="37"/>
      <c r="H1486" s="37">
        <f>COUNTIF('(参考)現行システム機能階層一覧'!$E$3:$E$1048576,sheet1!B1486)</f>
        <v>0</v>
      </c>
      <c r="I1486" s="37"/>
      <c r="J1486" s="37"/>
      <c r="K1486" s="37"/>
      <c r="L1486" s="37"/>
    </row>
    <row r="1487" spans="1:12" ht="15.75" customHeight="1">
      <c r="A1487" s="87" t="s">
        <v>3935</v>
      </c>
      <c r="B1487" s="87" t="s">
        <v>3530</v>
      </c>
      <c r="C1487" s="87" t="s">
        <v>6210</v>
      </c>
      <c r="D1487" s="88">
        <v>232</v>
      </c>
      <c r="E1487" s="85" t="s">
        <v>6112</v>
      </c>
      <c r="F1487" s="87">
        <v>1</v>
      </c>
      <c r="G1487" s="37"/>
      <c r="H1487" s="37">
        <f>COUNTIF('(参考)現行システム機能階層一覧'!$E$3:$E$1048576,sheet1!B1487)</f>
        <v>1</v>
      </c>
      <c r="I1487" s="37"/>
      <c r="J1487" s="37"/>
      <c r="K1487" s="37"/>
      <c r="L1487" s="37"/>
    </row>
    <row r="1488" spans="1:12" ht="15.75" customHeight="1">
      <c r="A1488" s="87" t="s">
        <v>3853</v>
      </c>
      <c r="B1488" s="87" t="s">
        <v>6211</v>
      </c>
      <c r="C1488" s="87" t="s">
        <v>6212</v>
      </c>
      <c r="D1488" s="88">
        <v>33</v>
      </c>
      <c r="E1488" s="85" t="s">
        <v>6112</v>
      </c>
      <c r="F1488" s="87">
        <v>1</v>
      </c>
      <c r="G1488" s="37"/>
      <c r="H1488" s="37">
        <f>COUNTIF('(参考)現行システム機能階層一覧'!$E$3:$E$1048576,sheet1!B1488)</f>
        <v>0</v>
      </c>
      <c r="I1488" s="37"/>
      <c r="J1488" s="37"/>
      <c r="K1488" s="37"/>
      <c r="L1488" s="37"/>
    </row>
    <row r="1489" spans="1:12" ht="15.75" customHeight="1">
      <c r="A1489" s="87" t="s">
        <v>3935</v>
      </c>
      <c r="B1489" s="87" t="s">
        <v>6213</v>
      </c>
      <c r="C1489" s="87" t="s">
        <v>6214</v>
      </c>
      <c r="D1489" s="88">
        <v>962</v>
      </c>
      <c r="E1489" s="85" t="s">
        <v>6112</v>
      </c>
      <c r="F1489" s="87">
        <v>1</v>
      </c>
      <c r="G1489" s="37"/>
      <c r="H1489" s="37">
        <f>COUNTIF('(参考)現行システム機能階層一覧'!$E$3:$E$1048576,sheet1!B1489)</f>
        <v>0</v>
      </c>
      <c r="I1489" s="37"/>
      <c r="J1489" s="37"/>
      <c r="K1489" s="37"/>
      <c r="L1489" s="37"/>
    </row>
    <row r="1490" spans="1:12" ht="15.75" customHeight="1">
      <c r="A1490" s="87" t="s">
        <v>3853</v>
      </c>
      <c r="B1490" s="87" t="s">
        <v>6215</v>
      </c>
      <c r="C1490" s="87" t="s">
        <v>6216</v>
      </c>
      <c r="D1490" s="88">
        <v>34</v>
      </c>
      <c r="E1490" s="85" t="s">
        <v>6112</v>
      </c>
      <c r="F1490" s="87">
        <v>1</v>
      </c>
      <c r="G1490" s="37"/>
      <c r="H1490" s="37">
        <f>COUNTIF('(参考)現行システム機能階層一覧'!$E$3:$E$1048576,sheet1!B1490)</f>
        <v>0</v>
      </c>
      <c r="I1490" s="37"/>
      <c r="J1490" s="37"/>
      <c r="K1490" s="37"/>
      <c r="L1490" s="37"/>
    </row>
    <row r="1491" spans="1:12" ht="15.75" customHeight="1">
      <c r="A1491" s="87" t="s">
        <v>3935</v>
      </c>
      <c r="B1491" s="87" t="s">
        <v>6217</v>
      </c>
      <c r="C1491" s="87" t="s">
        <v>6218</v>
      </c>
      <c r="D1491" s="88">
        <v>922</v>
      </c>
      <c r="E1491" s="85" t="s">
        <v>6112</v>
      </c>
      <c r="F1491" s="87">
        <v>1</v>
      </c>
      <c r="G1491" s="37"/>
      <c r="H1491" s="37">
        <f>COUNTIF('(参考)現行システム機能階層一覧'!$E$3:$E$1048576,sheet1!B1491)</f>
        <v>0</v>
      </c>
      <c r="I1491" s="37"/>
      <c r="J1491" s="37"/>
      <c r="K1491" s="37"/>
      <c r="L1491" s="37"/>
    </row>
    <row r="1492" spans="1:12" ht="15.75" customHeight="1">
      <c r="A1492" s="87" t="s">
        <v>3935</v>
      </c>
      <c r="B1492" s="87" t="s">
        <v>3527</v>
      </c>
      <c r="C1492" s="87" t="s">
        <v>6219</v>
      </c>
      <c r="D1492" s="88">
        <v>622</v>
      </c>
      <c r="E1492" s="85" t="s">
        <v>6112</v>
      </c>
      <c r="F1492" s="87">
        <v>1</v>
      </c>
      <c r="G1492" s="37"/>
      <c r="H1492" s="37">
        <f>COUNTIF('(参考)現行システム機能階層一覧'!$E$3:$E$1048576,sheet1!B1492)</f>
        <v>1</v>
      </c>
      <c r="I1492" s="37"/>
      <c r="J1492" s="37"/>
      <c r="K1492" s="37"/>
      <c r="L1492" s="37"/>
    </row>
    <row r="1493" spans="1:12" ht="15.75" customHeight="1">
      <c r="A1493" s="87" t="s">
        <v>3853</v>
      </c>
      <c r="B1493" s="87" t="s">
        <v>6220</v>
      </c>
      <c r="C1493" s="87" t="s">
        <v>6219</v>
      </c>
      <c r="D1493" s="88">
        <v>23</v>
      </c>
      <c r="E1493" s="85" t="s">
        <v>6112</v>
      </c>
      <c r="F1493" s="87">
        <v>1</v>
      </c>
      <c r="G1493" s="37"/>
      <c r="H1493" s="37">
        <f>COUNTIF('(参考)現行システム機能階層一覧'!$E$3:$E$1048576,sheet1!B1493)</f>
        <v>0</v>
      </c>
      <c r="I1493" s="37"/>
      <c r="J1493" s="37"/>
      <c r="K1493" s="37"/>
      <c r="L1493" s="37"/>
    </row>
    <row r="1494" spans="1:12" ht="15.75" customHeight="1">
      <c r="A1494" s="87" t="s">
        <v>3935</v>
      </c>
      <c r="B1494" s="87" t="s">
        <v>6221</v>
      </c>
      <c r="C1494" s="87" t="s">
        <v>6222</v>
      </c>
      <c r="D1494" s="88">
        <v>107</v>
      </c>
      <c r="E1494" s="85" t="s">
        <v>6112</v>
      </c>
      <c r="F1494" s="87">
        <v>1</v>
      </c>
      <c r="G1494" s="37"/>
      <c r="H1494" s="37">
        <f>COUNTIF('(参考)現行システム機能階層一覧'!$E$3:$E$1048576,sheet1!B1494)</f>
        <v>0</v>
      </c>
      <c r="I1494" s="37"/>
      <c r="J1494" s="37"/>
      <c r="K1494" s="37"/>
      <c r="L1494" s="37"/>
    </row>
    <row r="1495" spans="1:12" ht="15.75" customHeight="1">
      <c r="A1495" s="87" t="s">
        <v>3935</v>
      </c>
      <c r="B1495" s="87" t="s">
        <v>6223</v>
      </c>
      <c r="C1495" s="87" t="s">
        <v>6168</v>
      </c>
      <c r="D1495" s="88">
        <v>112</v>
      </c>
      <c r="E1495" s="85" t="s">
        <v>6112</v>
      </c>
      <c r="F1495" s="87">
        <v>1</v>
      </c>
      <c r="G1495" s="37"/>
      <c r="H1495" s="37">
        <f>COUNTIF('(参考)現行システム機能階層一覧'!$E$3:$E$1048576,sheet1!B1495)</f>
        <v>0</v>
      </c>
      <c r="I1495" s="37"/>
      <c r="J1495" s="37"/>
      <c r="K1495" s="37"/>
      <c r="L1495" s="37"/>
    </row>
    <row r="1496" spans="1:12" ht="15.75" customHeight="1">
      <c r="A1496" s="87" t="s">
        <v>3935</v>
      </c>
      <c r="B1496" s="87" t="s">
        <v>3534</v>
      </c>
      <c r="C1496" s="87" t="s">
        <v>6224</v>
      </c>
      <c r="D1496" s="88">
        <v>409</v>
      </c>
      <c r="E1496" s="85" t="s">
        <v>6112</v>
      </c>
      <c r="F1496" s="87">
        <v>1</v>
      </c>
      <c r="G1496" s="37"/>
      <c r="H1496" s="37">
        <f>COUNTIF('(参考)現行システム機能階層一覧'!$E$3:$E$1048576,sheet1!B1496)</f>
        <v>1</v>
      </c>
      <c r="I1496" s="37"/>
      <c r="J1496" s="37"/>
      <c r="K1496" s="37"/>
      <c r="L1496" s="37"/>
    </row>
    <row r="1497" spans="1:12" ht="15.75" customHeight="1">
      <c r="A1497" s="87" t="s">
        <v>3935</v>
      </c>
      <c r="B1497" s="87" t="s">
        <v>6225</v>
      </c>
      <c r="C1497" s="87" t="s">
        <v>6222</v>
      </c>
      <c r="D1497" s="88">
        <v>129</v>
      </c>
      <c r="E1497" s="85" t="s">
        <v>6112</v>
      </c>
      <c r="F1497" s="87">
        <v>1</v>
      </c>
      <c r="G1497" s="37"/>
      <c r="H1497" s="37">
        <f>COUNTIF('(参考)現行システム機能階層一覧'!$E$3:$E$1048576,sheet1!B1497)</f>
        <v>0</v>
      </c>
      <c r="I1497" s="37"/>
      <c r="J1497" s="37"/>
      <c r="K1497" s="37"/>
      <c r="L1497" s="37"/>
    </row>
    <row r="1498" spans="1:12" ht="15.75" customHeight="1">
      <c r="A1498" s="87" t="s">
        <v>3935</v>
      </c>
      <c r="B1498" s="87" t="s">
        <v>6226</v>
      </c>
      <c r="C1498" s="87" t="s">
        <v>6227</v>
      </c>
      <c r="D1498" s="88">
        <v>424</v>
      </c>
      <c r="E1498" s="85" t="s">
        <v>6112</v>
      </c>
      <c r="F1498" s="87">
        <v>1</v>
      </c>
      <c r="G1498" s="37"/>
      <c r="H1498" s="37">
        <f>COUNTIF('(参考)現行システム機能階層一覧'!$E$3:$E$1048576,sheet1!B1498)</f>
        <v>0</v>
      </c>
      <c r="I1498" s="37"/>
      <c r="J1498" s="37"/>
      <c r="K1498" s="37"/>
      <c r="L1498" s="37"/>
    </row>
    <row r="1499" spans="1:12" ht="15.75" customHeight="1">
      <c r="A1499" s="87" t="s">
        <v>3853</v>
      </c>
      <c r="B1499" s="87" t="s">
        <v>6228</v>
      </c>
      <c r="C1499" s="87" t="s">
        <v>6227</v>
      </c>
      <c r="D1499" s="88">
        <v>23</v>
      </c>
      <c r="E1499" s="85" t="s">
        <v>6112</v>
      </c>
      <c r="F1499" s="87">
        <v>1</v>
      </c>
      <c r="G1499" s="37"/>
      <c r="H1499" s="37">
        <f>COUNTIF('(参考)現行システム機能階層一覧'!$E$3:$E$1048576,sheet1!B1499)</f>
        <v>0</v>
      </c>
      <c r="I1499" s="37"/>
      <c r="J1499" s="37"/>
      <c r="K1499" s="37"/>
      <c r="L1499" s="37"/>
    </row>
    <row r="1500" spans="1:12" ht="15.75" customHeight="1">
      <c r="A1500" s="87" t="s">
        <v>3935</v>
      </c>
      <c r="B1500" s="87" t="s">
        <v>6229</v>
      </c>
      <c r="C1500" s="87" t="s">
        <v>6230</v>
      </c>
      <c r="D1500" s="88">
        <v>502</v>
      </c>
      <c r="E1500" s="85" t="s">
        <v>6112</v>
      </c>
      <c r="F1500" s="87">
        <v>1</v>
      </c>
      <c r="G1500" s="37"/>
      <c r="H1500" s="37">
        <f>COUNTIF('(参考)現行システム機能階層一覧'!$E$3:$E$1048576,sheet1!B1500)</f>
        <v>0</v>
      </c>
      <c r="I1500" s="37"/>
      <c r="J1500" s="37"/>
      <c r="K1500" s="37"/>
      <c r="L1500" s="37"/>
    </row>
    <row r="1501" spans="1:12" ht="15.75" customHeight="1">
      <c r="A1501" s="87" t="s">
        <v>3853</v>
      </c>
      <c r="B1501" s="87" t="s">
        <v>6231</v>
      </c>
      <c r="C1501" s="87" t="s">
        <v>6230</v>
      </c>
      <c r="D1501" s="88">
        <v>23</v>
      </c>
      <c r="E1501" s="85" t="s">
        <v>6112</v>
      </c>
      <c r="F1501" s="87">
        <v>1</v>
      </c>
      <c r="G1501" s="37"/>
      <c r="H1501" s="37">
        <f>COUNTIF('(参考)現行システム機能階層一覧'!$E$3:$E$1048576,sheet1!B1501)</f>
        <v>0</v>
      </c>
      <c r="I1501" s="37"/>
      <c r="J1501" s="37"/>
      <c r="K1501" s="37"/>
      <c r="L1501" s="37"/>
    </row>
    <row r="1502" spans="1:12" ht="15.75" customHeight="1">
      <c r="A1502" s="87" t="s">
        <v>3935</v>
      </c>
      <c r="B1502" s="87" t="s">
        <v>6232</v>
      </c>
      <c r="C1502" s="87" t="s">
        <v>6233</v>
      </c>
      <c r="D1502" s="88">
        <v>145</v>
      </c>
      <c r="E1502" s="85" t="s">
        <v>6112</v>
      </c>
      <c r="F1502" s="87">
        <v>1</v>
      </c>
      <c r="G1502" s="37"/>
      <c r="H1502" s="37">
        <f>COUNTIF('(参考)現行システム機能階層一覧'!$E$3:$E$1048576,sheet1!B1502)</f>
        <v>0</v>
      </c>
      <c r="I1502" s="37"/>
      <c r="J1502" s="37"/>
      <c r="K1502" s="37"/>
      <c r="L1502" s="37"/>
    </row>
    <row r="1503" spans="1:12" ht="15.75" customHeight="1">
      <c r="A1503" s="87" t="s">
        <v>3935</v>
      </c>
      <c r="B1503" s="87" t="s">
        <v>3522</v>
      </c>
      <c r="C1503" s="87" t="s">
        <v>6234</v>
      </c>
      <c r="D1503" s="88">
        <v>95</v>
      </c>
      <c r="E1503" s="85" t="s">
        <v>6112</v>
      </c>
      <c r="F1503" s="87">
        <v>1</v>
      </c>
      <c r="G1503" s="37"/>
      <c r="H1503" s="37">
        <f>COUNTIF('(参考)現行システム機能階層一覧'!$E$3:$E$1048576,sheet1!B1503)</f>
        <v>1</v>
      </c>
      <c r="I1503" s="37"/>
      <c r="J1503" s="37"/>
      <c r="K1503" s="37"/>
      <c r="L1503" s="37"/>
    </row>
    <row r="1504" spans="1:12" ht="15.75" customHeight="1">
      <c r="A1504" s="87" t="s">
        <v>3853</v>
      </c>
      <c r="B1504" s="87" t="s">
        <v>6235</v>
      </c>
      <c r="C1504" s="87" t="s">
        <v>3552</v>
      </c>
      <c r="D1504" s="88">
        <v>24</v>
      </c>
      <c r="E1504" s="85" t="s">
        <v>6112</v>
      </c>
      <c r="F1504" s="87">
        <v>1</v>
      </c>
      <c r="G1504" s="37"/>
      <c r="H1504" s="37">
        <f>COUNTIF('(参考)現行システム機能階層一覧'!$E$3:$E$1048576,sheet1!B1504)</f>
        <v>0</v>
      </c>
      <c r="I1504" s="37"/>
      <c r="J1504" s="37"/>
      <c r="K1504" s="37"/>
      <c r="L1504" s="37"/>
    </row>
    <row r="1505" spans="1:12" ht="15.75" customHeight="1">
      <c r="A1505" s="87" t="s">
        <v>3935</v>
      </c>
      <c r="B1505" s="87" t="s">
        <v>3537</v>
      </c>
      <c r="C1505" s="87" t="s">
        <v>6236</v>
      </c>
      <c r="D1505" s="88">
        <v>136</v>
      </c>
      <c r="E1505" s="85" t="s">
        <v>6112</v>
      </c>
      <c r="F1505" s="87">
        <v>1</v>
      </c>
      <c r="G1505" s="37"/>
      <c r="H1505" s="37">
        <f>COUNTIF('(参考)現行システム機能階層一覧'!$E$3:$E$1048576,sheet1!B1505)</f>
        <v>1</v>
      </c>
      <c r="I1505" s="37"/>
      <c r="J1505" s="37"/>
      <c r="K1505" s="37"/>
      <c r="L1505" s="37"/>
    </row>
    <row r="1506" spans="1:12" ht="15.75" customHeight="1">
      <c r="A1506" s="87" t="s">
        <v>3853</v>
      </c>
      <c r="B1506" s="87" t="s">
        <v>6237</v>
      </c>
      <c r="C1506" s="87" t="s">
        <v>6238</v>
      </c>
      <c r="D1506" s="88">
        <v>67</v>
      </c>
      <c r="E1506" s="85" t="s">
        <v>6112</v>
      </c>
      <c r="F1506" s="87">
        <v>1</v>
      </c>
      <c r="G1506" s="37"/>
      <c r="H1506" s="37">
        <f>COUNTIF('(参考)現行システム機能階層一覧'!$E$3:$E$1048576,sheet1!B1506)</f>
        <v>0</v>
      </c>
      <c r="I1506" s="37"/>
      <c r="J1506" s="37"/>
      <c r="K1506" s="37"/>
      <c r="L1506" s="37"/>
    </row>
    <row r="1507" spans="1:12" ht="15.75" customHeight="1">
      <c r="A1507" s="87" t="s">
        <v>3935</v>
      </c>
      <c r="B1507" s="87" t="s">
        <v>6239</v>
      </c>
      <c r="C1507" s="87" t="s">
        <v>6240</v>
      </c>
      <c r="D1507" s="88">
        <v>487</v>
      </c>
      <c r="E1507" s="85" t="s">
        <v>6112</v>
      </c>
      <c r="F1507" s="87">
        <v>1</v>
      </c>
      <c r="G1507" s="37"/>
      <c r="H1507" s="37">
        <f>COUNTIF('(参考)現行システム機能階層一覧'!$E$3:$E$1048576,sheet1!B1507)</f>
        <v>0</v>
      </c>
      <c r="I1507" s="37"/>
      <c r="J1507" s="37"/>
      <c r="K1507" s="37"/>
      <c r="L1507" s="37"/>
    </row>
    <row r="1508" spans="1:12" ht="15.75" customHeight="1">
      <c r="A1508" s="87" t="s">
        <v>3935</v>
      </c>
      <c r="B1508" s="87" t="s">
        <v>6241</v>
      </c>
      <c r="C1508" s="87" t="s">
        <v>6242</v>
      </c>
      <c r="D1508" s="88">
        <v>318</v>
      </c>
      <c r="E1508" s="85" t="s">
        <v>6112</v>
      </c>
      <c r="F1508" s="87">
        <v>1</v>
      </c>
      <c r="G1508" s="37"/>
      <c r="H1508" s="37">
        <f>COUNTIF('(参考)現行システム機能階層一覧'!$E$3:$E$1048576,sheet1!B1508)</f>
        <v>0</v>
      </c>
      <c r="I1508" s="37"/>
      <c r="J1508" s="37"/>
      <c r="K1508" s="37"/>
      <c r="L1508" s="37"/>
    </row>
    <row r="1509" spans="1:12" ht="15.75" customHeight="1">
      <c r="A1509" s="87" t="s">
        <v>3935</v>
      </c>
      <c r="B1509" s="87" t="s">
        <v>3545</v>
      </c>
      <c r="C1509" s="87" t="s">
        <v>6243</v>
      </c>
      <c r="D1509" s="88">
        <v>632</v>
      </c>
      <c r="E1509" s="85" t="s">
        <v>6112</v>
      </c>
      <c r="F1509" s="87">
        <v>1</v>
      </c>
      <c r="G1509" s="37"/>
      <c r="H1509" s="37">
        <f>COUNTIF('(参考)現行システム機能階層一覧'!$E$3:$E$1048576,sheet1!B1509)</f>
        <v>1</v>
      </c>
      <c r="I1509" s="37"/>
      <c r="J1509" s="37"/>
      <c r="K1509" s="37"/>
      <c r="L1509" s="37"/>
    </row>
    <row r="1510" spans="1:12" ht="15.75" customHeight="1">
      <c r="A1510" s="87" t="s">
        <v>3853</v>
      </c>
      <c r="B1510" s="87" t="s">
        <v>6244</v>
      </c>
      <c r="C1510" s="87" t="s">
        <v>6245</v>
      </c>
      <c r="D1510" s="88">
        <v>23</v>
      </c>
      <c r="E1510" s="85" t="s">
        <v>6112</v>
      </c>
      <c r="F1510" s="87">
        <v>1</v>
      </c>
      <c r="G1510" s="37"/>
      <c r="H1510" s="37">
        <f>COUNTIF('(参考)現行システム機能階層一覧'!$E$3:$E$1048576,sheet1!B1510)</f>
        <v>0</v>
      </c>
      <c r="I1510" s="37"/>
      <c r="J1510" s="37"/>
      <c r="K1510" s="37"/>
      <c r="L1510" s="37"/>
    </row>
    <row r="1511" spans="1:12" ht="15.75" customHeight="1">
      <c r="A1511" s="87" t="s">
        <v>3935</v>
      </c>
      <c r="B1511" s="87" t="s">
        <v>6246</v>
      </c>
      <c r="C1511" s="87" t="s">
        <v>6247</v>
      </c>
      <c r="D1511" s="88">
        <v>110</v>
      </c>
      <c r="E1511" s="85" t="s">
        <v>6112</v>
      </c>
      <c r="F1511" s="87">
        <v>1</v>
      </c>
      <c r="G1511" s="37"/>
      <c r="H1511" s="37">
        <f>COUNTIF('(参考)現行システム機能階層一覧'!$E$3:$E$1048576,sheet1!B1511)</f>
        <v>0</v>
      </c>
      <c r="I1511" s="37"/>
      <c r="J1511" s="37"/>
      <c r="K1511" s="37"/>
      <c r="L1511" s="37"/>
    </row>
    <row r="1512" spans="1:12" ht="15.75" customHeight="1">
      <c r="A1512" s="87" t="s">
        <v>3935</v>
      </c>
      <c r="B1512" s="87" t="s">
        <v>3548</v>
      </c>
      <c r="C1512" s="87" t="s">
        <v>6248</v>
      </c>
      <c r="D1512" s="88">
        <v>224</v>
      </c>
      <c r="E1512" s="85" t="s">
        <v>6112</v>
      </c>
      <c r="F1512" s="87">
        <v>1</v>
      </c>
      <c r="G1512" s="37"/>
      <c r="H1512" s="37">
        <f>COUNTIF('(参考)現行システム機能階層一覧'!$E$3:$E$1048576,sheet1!B1512)</f>
        <v>1</v>
      </c>
      <c r="I1512" s="37"/>
      <c r="J1512" s="37"/>
      <c r="K1512" s="37"/>
      <c r="L1512" s="37"/>
    </row>
    <row r="1513" spans="1:12" ht="15.75" customHeight="1">
      <c r="A1513" s="87" t="s">
        <v>3853</v>
      </c>
      <c r="B1513" s="87" t="s">
        <v>6249</v>
      </c>
      <c r="C1513" s="87" t="s">
        <v>6250</v>
      </c>
      <c r="D1513" s="88">
        <v>33</v>
      </c>
      <c r="E1513" s="85" t="s">
        <v>6112</v>
      </c>
      <c r="F1513" s="87">
        <v>1</v>
      </c>
      <c r="G1513" s="37"/>
      <c r="H1513" s="37">
        <f>COUNTIF('(参考)現行システム機能階層一覧'!$E$3:$E$1048576,sheet1!B1513)</f>
        <v>0</v>
      </c>
      <c r="I1513" s="37"/>
      <c r="J1513" s="37"/>
      <c r="K1513" s="37"/>
      <c r="L1513" s="37"/>
    </row>
    <row r="1514" spans="1:12" ht="15.75" customHeight="1">
      <c r="A1514" s="87" t="s">
        <v>3853</v>
      </c>
      <c r="B1514" s="87" t="s">
        <v>6251</v>
      </c>
      <c r="C1514" s="87" t="s">
        <v>6252</v>
      </c>
      <c r="D1514" s="88">
        <v>34</v>
      </c>
      <c r="E1514" s="85" t="s">
        <v>6112</v>
      </c>
      <c r="F1514" s="87">
        <v>1</v>
      </c>
      <c r="G1514" s="37"/>
      <c r="H1514" s="37">
        <f>COUNTIF('(参考)現行システム機能階層一覧'!$E$3:$E$1048576,sheet1!B1514)</f>
        <v>0</v>
      </c>
      <c r="I1514" s="37"/>
      <c r="J1514" s="37"/>
      <c r="K1514" s="37"/>
      <c r="L1514" s="37"/>
    </row>
    <row r="1515" spans="1:12" ht="15.75" customHeight="1">
      <c r="A1515" s="87" t="s">
        <v>3935</v>
      </c>
      <c r="B1515" s="87" t="s">
        <v>6253</v>
      </c>
      <c r="C1515" s="87" t="s">
        <v>6254</v>
      </c>
      <c r="D1515" s="88">
        <v>1006</v>
      </c>
      <c r="E1515" s="85" t="s">
        <v>6112</v>
      </c>
      <c r="F1515" s="87">
        <v>1</v>
      </c>
      <c r="G1515" s="37"/>
      <c r="H1515" s="37">
        <f>COUNTIF('(参考)現行システム機能階層一覧'!$E$3:$E$1048576,sheet1!B1515)</f>
        <v>0</v>
      </c>
      <c r="I1515" s="37"/>
      <c r="J1515" s="37"/>
      <c r="K1515" s="37"/>
      <c r="L1515" s="37"/>
    </row>
    <row r="1516" spans="1:12" ht="15.75" customHeight="1">
      <c r="A1516" s="87" t="s">
        <v>3935</v>
      </c>
      <c r="B1516" s="87" t="s">
        <v>6255</v>
      </c>
      <c r="C1516" s="87" t="s">
        <v>6256</v>
      </c>
      <c r="D1516" s="88">
        <v>989</v>
      </c>
      <c r="E1516" s="85" t="s">
        <v>6112</v>
      </c>
      <c r="F1516" s="87">
        <v>1</v>
      </c>
      <c r="G1516" s="37"/>
      <c r="H1516" s="37">
        <f>COUNTIF('(参考)現行システム機能階層一覧'!$E$3:$E$1048576,sheet1!B1516)</f>
        <v>0</v>
      </c>
      <c r="I1516" s="37"/>
      <c r="J1516" s="37"/>
      <c r="K1516" s="37"/>
      <c r="L1516" s="37"/>
    </row>
    <row r="1517" spans="1:12" ht="15.75" customHeight="1">
      <c r="A1517" s="87" t="s">
        <v>3935</v>
      </c>
      <c r="B1517" s="87" t="s">
        <v>3551</v>
      </c>
      <c r="C1517" s="87" t="s">
        <v>6257</v>
      </c>
      <c r="D1517" s="88">
        <v>418</v>
      </c>
      <c r="E1517" s="85" t="s">
        <v>6112</v>
      </c>
      <c r="F1517" s="87">
        <v>1</v>
      </c>
      <c r="G1517" s="37"/>
      <c r="H1517" s="37">
        <f>COUNTIF('(参考)現行システム機能階層一覧'!$E$3:$E$1048576,sheet1!B1517)</f>
        <v>1</v>
      </c>
      <c r="I1517" s="37"/>
      <c r="J1517" s="37"/>
      <c r="K1517" s="37"/>
      <c r="L1517" s="37"/>
    </row>
    <row r="1518" spans="1:12" ht="15.75" customHeight="1">
      <c r="A1518" s="87" t="s">
        <v>3935</v>
      </c>
      <c r="B1518" s="87" t="s">
        <v>6258</v>
      </c>
      <c r="C1518" s="87" t="s">
        <v>6259</v>
      </c>
      <c r="D1518" s="88">
        <v>136</v>
      </c>
      <c r="E1518" s="85" t="s">
        <v>6112</v>
      </c>
      <c r="F1518" s="87">
        <v>1</v>
      </c>
      <c r="G1518" s="37"/>
      <c r="H1518" s="37">
        <f>COUNTIF('(参考)現行システム機能階層一覧'!$E$3:$E$1048576,sheet1!B1518)</f>
        <v>0</v>
      </c>
      <c r="I1518" s="37"/>
      <c r="J1518" s="37"/>
      <c r="K1518" s="37"/>
      <c r="L1518" s="37"/>
    </row>
    <row r="1519" spans="1:12" ht="15.75" customHeight="1">
      <c r="A1519" s="87" t="s">
        <v>3935</v>
      </c>
      <c r="B1519" s="87" t="s">
        <v>3554</v>
      </c>
      <c r="C1519" s="87" t="s">
        <v>6260</v>
      </c>
      <c r="D1519" s="88">
        <v>133</v>
      </c>
      <c r="E1519" s="85" t="s">
        <v>6112</v>
      </c>
      <c r="F1519" s="87">
        <v>1</v>
      </c>
      <c r="G1519" s="37"/>
      <c r="H1519" s="37">
        <f>COUNTIF('(参考)現行システム機能階層一覧'!$E$3:$E$1048576,sheet1!B1519)</f>
        <v>1</v>
      </c>
      <c r="I1519" s="37"/>
      <c r="J1519" s="37"/>
      <c r="K1519" s="37"/>
      <c r="L1519" s="37"/>
    </row>
    <row r="1520" spans="1:12" ht="15.75" customHeight="1">
      <c r="A1520" s="87" t="s">
        <v>3853</v>
      </c>
      <c r="B1520" s="87" t="s">
        <v>6261</v>
      </c>
      <c r="C1520" s="87" t="s">
        <v>6262</v>
      </c>
      <c r="D1520" s="88">
        <v>67</v>
      </c>
      <c r="E1520" s="85" t="s">
        <v>6112</v>
      </c>
      <c r="F1520" s="87">
        <v>1</v>
      </c>
      <c r="G1520" s="37"/>
      <c r="H1520" s="37">
        <f>COUNTIF('(参考)現行システム機能階層一覧'!$E$3:$E$1048576,sheet1!B1520)</f>
        <v>0</v>
      </c>
      <c r="I1520" s="37"/>
      <c r="J1520" s="37"/>
      <c r="K1520" s="37"/>
      <c r="L1520" s="37"/>
    </row>
    <row r="1521" spans="1:12" ht="15.75" customHeight="1">
      <c r="A1521" s="87" t="s">
        <v>3935</v>
      </c>
      <c r="B1521" s="87" t="s">
        <v>6263</v>
      </c>
      <c r="C1521" s="87" t="s">
        <v>6264</v>
      </c>
      <c r="D1521" s="88">
        <v>432</v>
      </c>
      <c r="E1521" s="85" t="s">
        <v>6112</v>
      </c>
      <c r="F1521" s="87">
        <v>1</v>
      </c>
      <c r="G1521" s="37"/>
      <c r="H1521" s="37">
        <f>COUNTIF('(参考)現行システム機能階層一覧'!$E$3:$E$1048576,sheet1!B1521)</f>
        <v>0</v>
      </c>
      <c r="I1521" s="37"/>
      <c r="J1521" s="37"/>
      <c r="K1521" s="37"/>
      <c r="L1521" s="37"/>
    </row>
    <row r="1522" spans="1:12" ht="15.75" customHeight="1">
      <c r="A1522" s="87" t="s">
        <v>3935</v>
      </c>
      <c r="B1522" s="87" t="s">
        <v>6265</v>
      </c>
      <c r="C1522" s="87" t="s">
        <v>6266</v>
      </c>
      <c r="D1522" s="88">
        <v>306</v>
      </c>
      <c r="E1522" s="85" t="s">
        <v>6112</v>
      </c>
      <c r="F1522" s="87">
        <v>1</v>
      </c>
      <c r="G1522" s="37"/>
      <c r="H1522" s="37">
        <f>COUNTIF('(参考)現行システム機能階層一覧'!$E$3:$E$1048576,sheet1!B1522)</f>
        <v>0</v>
      </c>
      <c r="I1522" s="37"/>
      <c r="J1522" s="37"/>
      <c r="K1522" s="37"/>
      <c r="L1522" s="37"/>
    </row>
    <row r="1523" spans="1:12" ht="15.75" customHeight="1">
      <c r="A1523" s="87" t="s">
        <v>3935</v>
      </c>
      <c r="B1523" s="87" t="s">
        <v>2615</v>
      </c>
      <c r="C1523" s="87" t="s">
        <v>6267</v>
      </c>
      <c r="D1523" s="88">
        <v>262</v>
      </c>
      <c r="E1523" s="85" t="s">
        <v>6112</v>
      </c>
      <c r="F1523" s="87">
        <v>3</v>
      </c>
      <c r="G1523" s="37"/>
      <c r="H1523" s="37">
        <f>COUNTIF('(参考)現行システム機能階層一覧'!$E$3:$E$1048576,sheet1!B1523)</f>
        <v>1</v>
      </c>
      <c r="I1523" s="37"/>
      <c r="J1523" s="37"/>
      <c r="K1523" s="37"/>
      <c r="L1523" s="37"/>
    </row>
    <row r="1524" spans="1:12" ht="15.75" customHeight="1">
      <c r="A1524" s="87" t="s">
        <v>3935</v>
      </c>
      <c r="B1524" s="87" t="s">
        <v>3557</v>
      </c>
      <c r="C1524" s="87" t="s">
        <v>6268</v>
      </c>
      <c r="D1524" s="88">
        <v>108</v>
      </c>
      <c r="E1524" s="85" t="s">
        <v>6112</v>
      </c>
      <c r="F1524" s="87">
        <v>1</v>
      </c>
      <c r="G1524" s="37"/>
      <c r="H1524" s="37">
        <f>COUNTIF('(参考)現行システム機能階層一覧'!$E$3:$E$1048576,sheet1!B1524)</f>
        <v>1</v>
      </c>
      <c r="I1524" s="37"/>
      <c r="J1524" s="37"/>
      <c r="K1524" s="37"/>
      <c r="L1524" s="37"/>
    </row>
    <row r="1525" spans="1:12" ht="15.75" customHeight="1">
      <c r="A1525" s="87" t="s">
        <v>3853</v>
      </c>
      <c r="B1525" s="87" t="s">
        <v>6269</v>
      </c>
      <c r="C1525" s="87" t="s">
        <v>6270</v>
      </c>
      <c r="D1525" s="88">
        <v>35</v>
      </c>
      <c r="E1525" s="85" t="s">
        <v>6112</v>
      </c>
      <c r="F1525" s="87">
        <v>1</v>
      </c>
      <c r="G1525" s="37"/>
      <c r="H1525" s="37">
        <f>COUNTIF('(参考)現行システム機能階層一覧'!$E$3:$E$1048576,sheet1!B1525)</f>
        <v>0</v>
      </c>
      <c r="I1525" s="37"/>
      <c r="J1525" s="37"/>
      <c r="K1525" s="37"/>
      <c r="L1525" s="37"/>
    </row>
    <row r="1526" spans="1:12" ht="15.75" customHeight="1">
      <c r="A1526" s="87" t="s">
        <v>3935</v>
      </c>
      <c r="B1526" s="87" t="s">
        <v>6271</v>
      </c>
      <c r="C1526" s="87" t="s">
        <v>6270</v>
      </c>
      <c r="D1526" s="88">
        <v>477</v>
      </c>
      <c r="E1526" s="85" t="s">
        <v>6112</v>
      </c>
      <c r="F1526" s="87">
        <v>1</v>
      </c>
      <c r="G1526" s="37"/>
      <c r="H1526" s="37">
        <f>COUNTIF('(参考)現行システム機能階層一覧'!$E$3:$E$1048576,sheet1!B1526)</f>
        <v>0</v>
      </c>
      <c r="I1526" s="37"/>
      <c r="J1526" s="37"/>
      <c r="K1526" s="37"/>
      <c r="L1526" s="37"/>
    </row>
    <row r="1527" spans="1:12" ht="15.75" customHeight="1">
      <c r="A1527" s="87" t="s">
        <v>3935</v>
      </c>
      <c r="B1527" s="87" t="s">
        <v>3560</v>
      </c>
      <c r="C1527" s="87" t="s">
        <v>6272</v>
      </c>
      <c r="D1527" s="88">
        <v>213</v>
      </c>
      <c r="E1527" s="85" t="s">
        <v>6112</v>
      </c>
      <c r="F1527" s="87">
        <v>1</v>
      </c>
      <c r="G1527" s="37"/>
      <c r="H1527" s="37">
        <f>COUNTIF('(参考)現行システム機能階層一覧'!$E$3:$E$1048576,sheet1!B1527)</f>
        <v>1</v>
      </c>
      <c r="I1527" s="37"/>
      <c r="J1527" s="37"/>
      <c r="K1527" s="37"/>
      <c r="L1527" s="37"/>
    </row>
    <row r="1528" spans="1:12" ht="15.75" customHeight="1">
      <c r="A1528" s="87" t="s">
        <v>3853</v>
      </c>
      <c r="B1528" s="87" t="s">
        <v>6273</v>
      </c>
      <c r="C1528" s="87" t="s">
        <v>6274</v>
      </c>
      <c r="D1528" s="88">
        <v>65</v>
      </c>
      <c r="E1528" s="85" t="s">
        <v>6112</v>
      </c>
      <c r="F1528" s="87">
        <v>1</v>
      </c>
      <c r="G1528" s="37"/>
      <c r="H1528" s="37">
        <f>COUNTIF('(参考)現行システム機能階層一覧'!$E$3:$E$1048576,sheet1!B1528)</f>
        <v>0</v>
      </c>
      <c r="I1528" s="37"/>
      <c r="J1528" s="37"/>
      <c r="K1528" s="37"/>
      <c r="L1528" s="37"/>
    </row>
    <row r="1529" spans="1:12" ht="15.75" customHeight="1">
      <c r="A1529" s="87" t="s">
        <v>3935</v>
      </c>
      <c r="B1529" s="87" t="s">
        <v>6275</v>
      </c>
      <c r="C1529" s="87" t="s">
        <v>6276</v>
      </c>
      <c r="D1529" s="88">
        <v>353</v>
      </c>
      <c r="E1529" s="85" t="s">
        <v>6112</v>
      </c>
      <c r="F1529" s="87">
        <v>1</v>
      </c>
      <c r="G1529" s="37"/>
      <c r="H1529" s="37">
        <f>COUNTIF('(参考)現行システム機能階層一覧'!$E$3:$E$1048576,sheet1!B1529)</f>
        <v>0</v>
      </c>
      <c r="I1529" s="37"/>
      <c r="J1529" s="37"/>
      <c r="K1529" s="37"/>
      <c r="L1529" s="37"/>
    </row>
    <row r="1530" spans="1:12" ht="15.75" customHeight="1">
      <c r="A1530" s="87" t="s">
        <v>3935</v>
      </c>
      <c r="B1530" s="87" t="s">
        <v>6277</v>
      </c>
      <c r="C1530" s="87" t="s">
        <v>6278</v>
      </c>
      <c r="D1530" s="88">
        <v>330</v>
      </c>
      <c r="E1530" s="85" t="s">
        <v>6112</v>
      </c>
      <c r="F1530" s="87">
        <v>1</v>
      </c>
      <c r="G1530" s="37"/>
      <c r="H1530" s="37">
        <f>COUNTIF('(参考)現行システム機能階層一覧'!$E$3:$E$1048576,sheet1!B1530)</f>
        <v>0</v>
      </c>
      <c r="I1530" s="37"/>
      <c r="J1530" s="37"/>
      <c r="K1530" s="37"/>
      <c r="L1530" s="37"/>
    </row>
    <row r="1531" spans="1:12" ht="15.75" customHeight="1">
      <c r="A1531" s="87" t="s">
        <v>3935</v>
      </c>
      <c r="B1531" s="87" t="s">
        <v>6279</v>
      </c>
      <c r="C1531" s="87" t="s">
        <v>6280</v>
      </c>
      <c r="D1531" s="88">
        <v>379</v>
      </c>
      <c r="E1531" s="85" t="s">
        <v>6112</v>
      </c>
      <c r="F1531" s="87">
        <v>1</v>
      </c>
      <c r="G1531" s="37"/>
      <c r="H1531" s="37">
        <f>COUNTIF('(参考)現行システム機能階層一覧'!$E$3:$E$1048576,sheet1!B1531)</f>
        <v>0</v>
      </c>
      <c r="I1531" s="37"/>
      <c r="J1531" s="37"/>
      <c r="K1531" s="37"/>
      <c r="L1531" s="37"/>
    </row>
    <row r="1532" spans="1:12" ht="15.75" customHeight="1">
      <c r="A1532" s="87" t="s">
        <v>3935</v>
      </c>
      <c r="B1532" s="87" t="s">
        <v>3563</v>
      </c>
      <c r="C1532" s="87" t="s">
        <v>6281</v>
      </c>
      <c r="D1532" s="88">
        <v>209</v>
      </c>
      <c r="E1532" s="85" t="s">
        <v>6112</v>
      </c>
      <c r="F1532" s="87">
        <v>1</v>
      </c>
      <c r="G1532" s="37"/>
      <c r="H1532" s="37">
        <f>COUNTIF('(参考)現行システム機能階層一覧'!$E$3:$E$1048576,sheet1!B1532)</f>
        <v>1</v>
      </c>
      <c r="I1532" s="37"/>
      <c r="J1532" s="37"/>
      <c r="K1532" s="37"/>
      <c r="L1532" s="37"/>
    </row>
    <row r="1533" spans="1:12" ht="15.75" customHeight="1">
      <c r="A1533" s="87" t="s">
        <v>3853</v>
      </c>
      <c r="B1533" s="87" t="s">
        <v>6282</v>
      </c>
      <c r="C1533" s="87" t="s">
        <v>6283</v>
      </c>
      <c r="D1533" s="88">
        <v>61</v>
      </c>
      <c r="E1533" s="85" t="s">
        <v>6112</v>
      </c>
      <c r="F1533" s="87">
        <v>1</v>
      </c>
      <c r="G1533" s="37"/>
      <c r="H1533" s="37">
        <f>COUNTIF('(参考)現行システム機能階層一覧'!$E$3:$E$1048576,sheet1!B1533)</f>
        <v>0</v>
      </c>
      <c r="I1533" s="37"/>
      <c r="J1533" s="37"/>
      <c r="K1533" s="37"/>
      <c r="L1533" s="37"/>
    </row>
    <row r="1534" spans="1:12" ht="15.75" customHeight="1">
      <c r="A1534" s="87" t="s">
        <v>3935</v>
      </c>
      <c r="B1534" s="87" t="s">
        <v>6284</v>
      </c>
      <c r="C1534" s="87" t="s">
        <v>6285</v>
      </c>
      <c r="D1534" s="88">
        <v>352</v>
      </c>
      <c r="E1534" s="85" t="s">
        <v>6112</v>
      </c>
      <c r="F1534" s="87">
        <v>1</v>
      </c>
      <c r="G1534" s="37"/>
      <c r="H1534" s="37">
        <f>COUNTIF('(参考)現行システム機能階層一覧'!$E$3:$E$1048576,sheet1!B1534)</f>
        <v>0</v>
      </c>
      <c r="I1534" s="37"/>
      <c r="J1534" s="37"/>
      <c r="K1534" s="37"/>
      <c r="L1534" s="37"/>
    </row>
    <row r="1535" spans="1:12" ht="15.75" customHeight="1">
      <c r="A1535" s="87" t="s">
        <v>3935</v>
      </c>
      <c r="B1535" s="87" t="s">
        <v>6286</v>
      </c>
      <c r="C1535" s="87" t="s">
        <v>6287</v>
      </c>
      <c r="D1535" s="88">
        <v>379</v>
      </c>
      <c r="E1535" s="85" t="s">
        <v>6112</v>
      </c>
      <c r="F1535" s="87">
        <v>1</v>
      </c>
      <c r="G1535" s="37"/>
      <c r="H1535" s="37">
        <f>COUNTIF('(参考)現行システム機能階層一覧'!$E$3:$E$1048576,sheet1!B1535)</f>
        <v>0</v>
      </c>
      <c r="I1535" s="37"/>
      <c r="J1535" s="37"/>
      <c r="K1535" s="37"/>
      <c r="L1535" s="37"/>
    </row>
    <row r="1536" spans="1:12" ht="15.75" customHeight="1">
      <c r="A1536" s="87" t="s">
        <v>3935</v>
      </c>
      <c r="B1536" s="87" t="s">
        <v>6288</v>
      </c>
      <c r="C1536" s="87" t="s">
        <v>6289</v>
      </c>
      <c r="D1536" s="88">
        <v>307</v>
      </c>
      <c r="E1536" s="85" t="s">
        <v>6112</v>
      </c>
      <c r="F1536" s="87">
        <v>1</v>
      </c>
      <c r="G1536" s="37"/>
      <c r="H1536" s="37">
        <f>COUNTIF('(参考)現行システム機能階層一覧'!$E$3:$E$1048576,sheet1!B1536)</f>
        <v>0</v>
      </c>
      <c r="I1536" s="37"/>
      <c r="J1536" s="37"/>
      <c r="K1536" s="37"/>
      <c r="L1536" s="37"/>
    </row>
    <row r="1537" spans="1:12" ht="15.75" customHeight="1">
      <c r="A1537" s="87" t="s">
        <v>3935</v>
      </c>
      <c r="B1537" s="87" t="s">
        <v>6290</v>
      </c>
      <c r="C1537" s="87" t="s">
        <v>6291</v>
      </c>
      <c r="D1537" s="88">
        <v>195</v>
      </c>
      <c r="E1537" s="85" t="s">
        <v>6112</v>
      </c>
      <c r="F1537" s="87">
        <v>1</v>
      </c>
      <c r="G1537" s="37"/>
      <c r="H1537" s="37">
        <f>COUNTIF('(参考)現行システム機能階層一覧'!$E$3:$E$1048576,sheet1!B1537)</f>
        <v>0</v>
      </c>
      <c r="I1537" s="37"/>
      <c r="J1537" s="37"/>
      <c r="K1537" s="37"/>
      <c r="L1537" s="37"/>
    </row>
    <row r="1538" spans="1:12" ht="15.75" customHeight="1">
      <c r="A1538" s="87" t="s">
        <v>3853</v>
      </c>
      <c r="B1538" s="87" t="s">
        <v>6292</v>
      </c>
      <c r="C1538" s="87" t="s">
        <v>6293</v>
      </c>
      <c r="D1538" s="88">
        <v>26</v>
      </c>
      <c r="E1538" s="85" t="s">
        <v>6112</v>
      </c>
      <c r="F1538" s="87">
        <v>1</v>
      </c>
      <c r="G1538" s="37"/>
      <c r="H1538" s="37">
        <f>COUNTIF('(参考)現行システム機能階層一覧'!$E$3:$E$1048576,sheet1!B1538)</f>
        <v>0</v>
      </c>
      <c r="I1538" s="37"/>
      <c r="J1538" s="37"/>
      <c r="K1538" s="37"/>
      <c r="L1538" s="37"/>
    </row>
    <row r="1539" spans="1:12" ht="15.75" customHeight="1">
      <c r="A1539" s="87" t="s">
        <v>3935</v>
      </c>
      <c r="B1539" s="87" t="s">
        <v>6294</v>
      </c>
      <c r="C1539" s="87" t="s">
        <v>6295</v>
      </c>
      <c r="D1539" s="88">
        <v>970</v>
      </c>
      <c r="E1539" s="85" t="s">
        <v>6112</v>
      </c>
      <c r="F1539" s="87">
        <v>1</v>
      </c>
      <c r="G1539" s="37"/>
      <c r="H1539" s="37">
        <f>COUNTIF('(参考)現行システム機能階層一覧'!$E$3:$E$1048576,sheet1!B1539)</f>
        <v>0</v>
      </c>
      <c r="I1539" s="37"/>
      <c r="J1539" s="37"/>
      <c r="K1539" s="37"/>
      <c r="L1539" s="37"/>
    </row>
    <row r="1540" spans="1:12" ht="15.75" customHeight="1">
      <c r="A1540" s="87" t="s">
        <v>3935</v>
      </c>
      <c r="B1540" s="87" t="s">
        <v>6296</v>
      </c>
      <c r="C1540" s="87" t="s">
        <v>6297</v>
      </c>
      <c r="D1540" s="88">
        <v>845</v>
      </c>
      <c r="E1540" s="85" t="s">
        <v>6112</v>
      </c>
      <c r="F1540" s="87">
        <v>1</v>
      </c>
      <c r="G1540" s="37"/>
      <c r="H1540" s="37">
        <f>COUNTIF('(参考)現行システム機能階層一覧'!$E$3:$E$1048576,sheet1!B1540)</f>
        <v>0</v>
      </c>
      <c r="I1540" s="37"/>
      <c r="J1540" s="37"/>
      <c r="K1540" s="37"/>
      <c r="L1540" s="37"/>
    </row>
    <row r="1541" spans="1:12" ht="15.75" customHeight="1">
      <c r="A1541" s="87" t="s">
        <v>3935</v>
      </c>
      <c r="B1541" s="87" t="s">
        <v>6298</v>
      </c>
      <c r="C1541" s="87" t="s">
        <v>6299</v>
      </c>
      <c r="D1541" s="88">
        <v>345</v>
      </c>
      <c r="E1541" s="85" t="s">
        <v>6112</v>
      </c>
      <c r="F1541" s="87">
        <v>1</v>
      </c>
      <c r="G1541" s="37"/>
      <c r="H1541" s="37">
        <f>COUNTIF('(参考)現行システム機能階層一覧'!$E$3:$E$1048576,sheet1!B1541)</f>
        <v>0</v>
      </c>
      <c r="I1541" s="37"/>
      <c r="J1541" s="37"/>
      <c r="K1541" s="37"/>
      <c r="L1541" s="37"/>
    </row>
    <row r="1542" spans="1:12" ht="15.75" customHeight="1">
      <c r="A1542" s="87" t="s">
        <v>3853</v>
      </c>
      <c r="B1542" s="87" t="s">
        <v>6300</v>
      </c>
      <c r="C1542" s="87" t="s">
        <v>6301</v>
      </c>
      <c r="D1542" s="88">
        <v>25</v>
      </c>
      <c r="E1542" s="85" t="s">
        <v>6112</v>
      </c>
      <c r="F1542" s="87">
        <v>1</v>
      </c>
      <c r="G1542" s="37"/>
      <c r="H1542" s="37">
        <f>COUNTIF('(参考)現行システム機能階層一覧'!$E$3:$E$1048576,sheet1!B1542)</f>
        <v>0</v>
      </c>
      <c r="I1542" s="37"/>
      <c r="J1542" s="37"/>
      <c r="K1542" s="37"/>
      <c r="L1542" s="37"/>
    </row>
    <row r="1543" spans="1:12" ht="15.75" customHeight="1">
      <c r="A1543" s="87" t="s">
        <v>3935</v>
      </c>
      <c r="B1543" s="87" t="s">
        <v>6302</v>
      </c>
      <c r="C1543" s="87" t="s">
        <v>6303</v>
      </c>
      <c r="D1543" s="88">
        <v>243</v>
      </c>
      <c r="E1543" s="85" t="s">
        <v>6112</v>
      </c>
      <c r="F1543" s="87">
        <v>1</v>
      </c>
      <c r="G1543" s="37"/>
      <c r="H1543" s="37">
        <f>COUNTIF('(参考)現行システム機能階層一覧'!$E$3:$E$1048576,sheet1!B1543)</f>
        <v>0</v>
      </c>
      <c r="I1543" s="37"/>
      <c r="J1543" s="37"/>
      <c r="K1543" s="37"/>
      <c r="L1543" s="37"/>
    </row>
    <row r="1544" spans="1:12" ht="15.75" customHeight="1">
      <c r="A1544" s="87" t="s">
        <v>3935</v>
      </c>
      <c r="B1544" s="87" t="s">
        <v>6304</v>
      </c>
      <c r="C1544" s="87" t="s">
        <v>6305</v>
      </c>
      <c r="D1544" s="88">
        <v>220</v>
      </c>
      <c r="E1544" s="85" t="s">
        <v>6112</v>
      </c>
      <c r="F1544" s="87">
        <v>1</v>
      </c>
      <c r="G1544" s="37"/>
      <c r="H1544" s="37">
        <f>COUNTIF('(参考)現行システム機能階層一覧'!$E$3:$E$1048576,sheet1!B1544)</f>
        <v>0</v>
      </c>
      <c r="I1544" s="37"/>
      <c r="J1544" s="37"/>
      <c r="K1544" s="37"/>
      <c r="L1544" s="37"/>
    </row>
    <row r="1545" spans="1:12" ht="15.75" customHeight="1">
      <c r="A1545" s="87" t="s">
        <v>3935</v>
      </c>
      <c r="B1545" s="87" t="s">
        <v>6306</v>
      </c>
      <c r="C1545" s="87" t="s">
        <v>6307</v>
      </c>
      <c r="D1545" s="88">
        <v>418</v>
      </c>
      <c r="E1545" s="85" t="s">
        <v>6112</v>
      </c>
      <c r="F1545" s="87">
        <v>1</v>
      </c>
      <c r="G1545" s="37"/>
      <c r="H1545" s="37">
        <f>COUNTIF('(参考)現行システム機能階層一覧'!$E$3:$E$1048576,sheet1!B1545)</f>
        <v>0</v>
      </c>
      <c r="I1545" s="37"/>
      <c r="J1545" s="37"/>
      <c r="K1545" s="37"/>
      <c r="L1545" s="37"/>
    </row>
    <row r="1546" spans="1:12" ht="15.75" customHeight="1">
      <c r="A1546" s="87" t="s">
        <v>3853</v>
      </c>
      <c r="B1546" s="87" t="s">
        <v>6308</v>
      </c>
      <c r="C1546" s="87" t="s">
        <v>6307</v>
      </c>
      <c r="D1546" s="88">
        <v>69</v>
      </c>
      <c r="E1546" s="85" t="s">
        <v>6112</v>
      </c>
      <c r="F1546" s="87">
        <v>1</v>
      </c>
      <c r="G1546" s="37"/>
      <c r="H1546" s="37">
        <f>COUNTIF('(参考)現行システム機能階層一覧'!$E$3:$E$1048576,sheet1!B1546)</f>
        <v>0</v>
      </c>
      <c r="I1546" s="37"/>
      <c r="J1546" s="37"/>
      <c r="K1546" s="37"/>
      <c r="L1546" s="37"/>
    </row>
    <row r="1547" spans="1:12" ht="15.75" customHeight="1">
      <c r="A1547" s="87" t="s">
        <v>3935</v>
      </c>
      <c r="B1547" s="87" t="s">
        <v>6309</v>
      </c>
      <c r="C1547" s="87" t="s">
        <v>6307</v>
      </c>
      <c r="D1547" s="88">
        <v>649</v>
      </c>
      <c r="E1547" s="85" t="s">
        <v>6112</v>
      </c>
      <c r="F1547" s="87">
        <v>1</v>
      </c>
      <c r="G1547" s="37"/>
      <c r="H1547" s="37">
        <f>COUNTIF('(参考)現行システム機能階層一覧'!$E$3:$E$1048576,sheet1!B1547)</f>
        <v>0</v>
      </c>
      <c r="I1547" s="37"/>
      <c r="J1547" s="37"/>
      <c r="K1547" s="37"/>
      <c r="L1547" s="37"/>
    </row>
    <row r="1548" spans="1:12" ht="15.75" customHeight="1">
      <c r="A1548" s="87" t="s">
        <v>3853</v>
      </c>
      <c r="B1548" s="87" t="s">
        <v>6310</v>
      </c>
      <c r="C1548" s="87" t="s">
        <v>3573</v>
      </c>
      <c r="D1548" s="88">
        <v>51</v>
      </c>
      <c r="E1548" s="85" t="s">
        <v>6112</v>
      </c>
      <c r="F1548" s="87">
        <v>1</v>
      </c>
      <c r="G1548" s="37"/>
      <c r="H1548" s="37">
        <f>COUNTIF('(参考)現行システム機能階層一覧'!$E$3:$E$1048576,sheet1!B1548)</f>
        <v>0</v>
      </c>
      <c r="I1548" s="37"/>
      <c r="J1548" s="37"/>
      <c r="K1548" s="37"/>
      <c r="L1548" s="37"/>
    </row>
    <row r="1549" spans="1:12" ht="15.75" customHeight="1">
      <c r="A1549" s="87" t="s">
        <v>3935</v>
      </c>
      <c r="B1549" s="87" t="s">
        <v>3427</v>
      </c>
      <c r="C1549" s="87" t="s">
        <v>6311</v>
      </c>
      <c r="D1549" s="88">
        <v>141</v>
      </c>
      <c r="E1549" s="85" t="s">
        <v>6312</v>
      </c>
      <c r="F1549" s="87">
        <v>21</v>
      </c>
      <c r="G1549" s="37"/>
      <c r="H1549" s="37">
        <f>COUNTIF('(参考)現行システム機能階層一覧'!$E$3:$E$1048576,sheet1!B1549)</f>
        <v>1</v>
      </c>
      <c r="I1549" s="37"/>
      <c r="J1549" s="37"/>
      <c r="K1549" s="37"/>
      <c r="L1549" s="37"/>
    </row>
    <row r="1550" spans="1:12" ht="15.75" customHeight="1">
      <c r="A1550" s="87" t="s">
        <v>3853</v>
      </c>
      <c r="B1550" s="87" t="s">
        <v>6313</v>
      </c>
      <c r="C1550" s="87" t="s">
        <v>6314</v>
      </c>
      <c r="D1550" s="88">
        <v>46</v>
      </c>
      <c r="E1550" s="85" t="s">
        <v>6312</v>
      </c>
      <c r="F1550" s="87">
        <v>21</v>
      </c>
      <c r="G1550" s="37"/>
      <c r="H1550" s="37">
        <f>COUNTIF('(参考)現行システム機能階層一覧'!$E$3:$E$1048576,sheet1!B1550)</f>
        <v>0</v>
      </c>
      <c r="I1550" s="37"/>
      <c r="J1550" s="37"/>
      <c r="K1550" s="37"/>
      <c r="L1550" s="37"/>
    </row>
    <row r="1551" spans="1:12" ht="15.75" customHeight="1">
      <c r="A1551" s="87" t="s">
        <v>3935</v>
      </c>
      <c r="B1551" s="87" t="s">
        <v>6315</v>
      </c>
      <c r="C1551" s="87" t="s">
        <v>6316</v>
      </c>
      <c r="D1551" s="88">
        <v>620</v>
      </c>
      <c r="E1551" s="85" t="s">
        <v>6312</v>
      </c>
      <c r="F1551" s="87">
        <v>1</v>
      </c>
      <c r="G1551" s="37"/>
      <c r="H1551" s="37">
        <f>COUNTIF('(参考)現行システム機能階層一覧'!$E$3:$E$1048576,sheet1!B1551)</f>
        <v>0</v>
      </c>
      <c r="I1551" s="37"/>
      <c r="J1551" s="37"/>
      <c r="K1551" s="37"/>
      <c r="L1551" s="37"/>
    </row>
    <row r="1552" spans="1:12" ht="15.75" customHeight="1">
      <c r="A1552" s="87" t="s">
        <v>3935</v>
      </c>
      <c r="B1552" s="87" t="s">
        <v>6317</v>
      </c>
      <c r="C1552" s="87" t="s">
        <v>6318</v>
      </c>
      <c r="D1552" s="88">
        <v>377</v>
      </c>
      <c r="E1552" s="85" t="s">
        <v>6312</v>
      </c>
      <c r="F1552" s="87">
        <v>1</v>
      </c>
      <c r="G1552" s="37"/>
      <c r="H1552" s="37">
        <f>COUNTIF('(参考)現行システム機能階層一覧'!$E$3:$E$1048576,sheet1!B1552)</f>
        <v>0</v>
      </c>
      <c r="I1552" s="37"/>
      <c r="J1552" s="37"/>
      <c r="K1552" s="37"/>
      <c r="L1552" s="37"/>
    </row>
    <row r="1553" spans="1:12" ht="15.75" customHeight="1">
      <c r="A1553" s="87" t="s">
        <v>3853</v>
      </c>
      <c r="B1553" s="87" t="s">
        <v>6319</v>
      </c>
      <c r="C1553" s="87" t="s">
        <v>6318</v>
      </c>
      <c r="D1553" s="88">
        <v>23</v>
      </c>
      <c r="E1553" s="85" t="s">
        <v>6312</v>
      </c>
      <c r="F1553" s="87">
        <v>1</v>
      </c>
      <c r="G1553" s="37"/>
      <c r="H1553" s="37">
        <f>COUNTIF('(参考)現行システム機能階層一覧'!$E$3:$E$1048576,sheet1!B1553)</f>
        <v>0</v>
      </c>
      <c r="I1553" s="37"/>
      <c r="J1553" s="37"/>
      <c r="K1553" s="37"/>
      <c r="L1553" s="37"/>
    </row>
    <row r="1554" spans="1:12" ht="15.75" customHeight="1">
      <c r="A1554" s="87" t="s">
        <v>3935</v>
      </c>
      <c r="B1554" s="87" t="s">
        <v>6320</v>
      </c>
      <c r="C1554" s="87" t="s">
        <v>6321</v>
      </c>
      <c r="D1554" s="88">
        <v>434</v>
      </c>
      <c r="E1554" s="85" t="s">
        <v>6312</v>
      </c>
      <c r="F1554" s="87">
        <v>1</v>
      </c>
      <c r="G1554" s="37"/>
      <c r="H1554" s="37">
        <f>COUNTIF('(参考)現行システム機能階層一覧'!$E$3:$E$1048576,sheet1!B1554)</f>
        <v>0</v>
      </c>
      <c r="I1554" s="37"/>
      <c r="J1554" s="37"/>
      <c r="K1554" s="37"/>
      <c r="L1554" s="37"/>
    </row>
    <row r="1555" spans="1:12" ht="15.75" customHeight="1">
      <c r="A1555" s="87" t="s">
        <v>3935</v>
      </c>
      <c r="B1555" s="87" t="s">
        <v>6322</v>
      </c>
      <c r="C1555" s="87" t="s">
        <v>6323</v>
      </c>
      <c r="D1555" s="88">
        <v>382</v>
      </c>
      <c r="E1555" s="85" t="s">
        <v>6312</v>
      </c>
      <c r="F1555" s="87">
        <v>1</v>
      </c>
      <c r="G1555" s="37"/>
      <c r="H1555" s="37">
        <f>COUNTIF('(参考)現行システム機能階層一覧'!$E$3:$E$1048576,sheet1!B1555)</f>
        <v>0</v>
      </c>
      <c r="I1555" s="37"/>
      <c r="J1555" s="37"/>
      <c r="K1555" s="37"/>
      <c r="L1555" s="37"/>
    </row>
    <row r="1556" spans="1:12" ht="15.75" customHeight="1">
      <c r="A1556" s="87" t="s">
        <v>3935</v>
      </c>
      <c r="B1556" s="87" t="s">
        <v>6324</v>
      </c>
      <c r="C1556" s="87" t="s">
        <v>2797</v>
      </c>
      <c r="D1556" s="88">
        <v>191</v>
      </c>
      <c r="E1556" s="85" t="s">
        <v>6325</v>
      </c>
      <c r="F1556" s="87">
        <v>19</v>
      </c>
      <c r="G1556" s="37"/>
      <c r="H1556" s="37">
        <f>COUNTIF('(参考)現行システム機能階層一覧'!$E$3:$E$1048576,sheet1!B1556)</f>
        <v>0</v>
      </c>
      <c r="I1556" s="37"/>
      <c r="J1556" s="37"/>
      <c r="K1556" s="37"/>
      <c r="L1556" s="37"/>
    </row>
    <row r="1557" spans="1:12" ht="15.75" customHeight="1">
      <c r="A1557" s="87" t="s">
        <v>3853</v>
      </c>
      <c r="B1557" s="87" t="s">
        <v>6326</v>
      </c>
      <c r="C1557" s="87" t="s">
        <v>6327</v>
      </c>
      <c r="D1557" s="88">
        <v>61</v>
      </c>
      <c r="E1557" s="85" t="s">
        <v>6328</v>
      </c>
      <c r="F1557" s="87">
        <v>22</v>
      </c>
      <c r="G1557" s="37"/>
      <c r="H1557" s="37">
        <f>COUNTIF('(参考)現行システム機能階層一覧'!$E$3:$E$1048576,sheet1!B1557)</f>
        <v>0</v>
      </c>
      <c r="I1557" s="37"/>
      <c r="J1557" s="37"/>
      <c r="K1557" s="37"/>
      <c r="L1557" s="37"/>
    </row>
    <row r="1558" spans="1:12" ht="15.75" customHeight="1">
      <c r="A1558" s="87" t="s">
        <v>3935</v>
      </c>
      <c r="B1558" s="87" t="s">
        <v>1087</v>
      </c>
      <c r="C1558" s="87" t="s">
        <v>6329</v>
      </c>
      <c r="D1558" s="88">
        <v>2132</v>
      </c>
      <c r="E1558" s="85" t="s">
        <v>6330</v>
      </c>
      <c r="F1558" s="87">
        <v>750</v>
      </c>
      <c r="G1558" s="37"/>
      <c r="H1558" s="37">
        <f>COUNTIF('(参考)現行システム機能階層一覧'!$E$3:$E$1048576,sheet1!B1558)</f>
        <v>2</v>
      </c>
      <c r="I1558" s="37"/>
      <c r="J1558" s="37"/>
      <c r="K1558" s="37"/>
      <c r="L1558" s="37"/>
    </row>
    <row r="1559" spans="1:12" ht="15.75" customHeight="1">
      <c r="A1559" s="87" t="s">
        <v>3853</v>
      </c>
      <c r="B1559" s="87" t="s">
        <v>6331</v>
      </c>
      <c r="C1559" s="87" t="s">
        <v>6329</v>
      </c>
      <c r="D1559" s="88">
        <v>42</v>
      </c>
      <c r="E1559" s="85" t="s">
        <v>6330</v>
      </c>
      <c r="F1559" s="87">
        <v>761</v>
      </c>
      <c r="G1559" s="37"/>
      <c r="H1559" s="37">
        <f>COUNTIF('(参考)現行システム機能階層一覧'!$E$3:$E$1048576,sheet1!B1559)</f>
        <v>0</v>
      </c>
      <c r="I1559" s="37"/>
      <c r="J1559" s="37"/>
      <c r="K1559" s="37"/>
      <c r="L1559" s="37"/>
    </row>
    <row r="1560" spans="1:12" ht="15.75" customHeight="1">
      <c r="A1560" s="87" t="s">
        <v>3853</v>
      </c>
      <c r="B1560" s="87" t="s">
        <v>6332</v>
      </c>
      <c r="C1560" s="87" t="s">
        <v>6333</v>
      </c>
      <c r="D1560" s="88">
        <v>18</v>
      </c>
      <c r="E1560" s="85" t="s">
        <v>6330</v>
      </c>
      <c r="F1560" s="87">
        <v>1</v>
      </c>
      <c r="G1560" s="37"/>
      <c r="H1560" s="37">
        <f>COUNTIF('(参考)現行システム機能階層一覧'!$E$3:$E$1048576,sheet1!B1560)</f>
        <v>0</v>
      </c>
      <c r="I1560" s="37"/>
      <c r="J1560" s="37"/>
      <c r="K1560" s="37"/>
      <c r="L1560" s="37"/>
    </row>
    <row r="1561" spans="1:12" ht="15.75" customHeight="1">
      <c r="A1561" s="87" t="s">
        <v>3935</v>
      </c>
      <c r="B1561" s="87" t="s">
        <v>1130</v>
      </c>
      <c r="C1561" s="87" t="s">
        <v>6334</v>
      </c>
      <c r="D1561" s="88">
        <v>342</v>
      </c>
      <c r="E1561" s="85" t="s">
        <v>6330</v>
      </c>
      <c r="F1561" s="87">
        <v>9</v>
      </c>
      <c r="G1561" s="37"/>
      <c r="H1561" s="37">
        <f>COUNTIF('(参考)現行システム機能階層一覧'!$E$3:$E$1048576,sheet1!B1561)</f>
        <v>1</v>
      </c>
      <c r="I1561" s="37"/>
      <c r="J1561" s="37"/>
      <c r="K1561" s="37"/>
      <c r="L1561" s="37"/>
    </row>
    <row r="1562" spans="1:12" ht="15.75" customHeight="1">
      <c r="A1562" s="87" t="s">
        <v>3935</v>
      </c>
      <c r="B1562" s="87" t="s">
        <v>6335</v>
      </c>
      <c r="C1562" s="87" t="s">
        <v>6336</v>
      </c>
      <c r="D1562" s="88">
        <v>585</v>
      </c>
      <c r="E1562" s="85" t="s">
        <v>6330</v>
      </c>
      <c r="F1562" s="87">
        <v>760</v>
      </c>
      <c r="G1562" s="37"/>
      <c r="H1562" s="37">
        <f>COUNTIF('(参考)現行システム機能階層一覧'!$E$3:$E$1048576,sheet1!B1562)</f>
        <v>0</v>
      </c>
      <c r="I1562" s="37"/>
      <c r="J1562" s="37"/>
      <c r="K1562" s="37"/>
      <c r="L1562" s="37"/>
    </row>
    <row r="1563" spans="1:12" ht="15.75" customHeight="1">
      <c r="A1563" s="87" t="s">
        <v>3935</v>
      </c>
      <c r="B1563" s="87" t="s">
        <v>6337</v>
      </c>
      <c r="C1563" s="87" t="s">
        <v>6338</v>
      </c>
      <c r="D1563" s="88">
        <v>290</v>
      </c>
      <c r="E1563" s="85" t="s">
        <v>6330</v>
      </c>
      <c r="F1563" s="87">
        <v>661</v>
      </c>
      <c r="G1563" s="37"/>
      <c r="H1563" s="37">
        <f>COUNTIF('(参考)現行システム機能階層一覧'!$E$3:$E$1048576,sheet1!B1563)</f>
        <v>0</v>
      </c>
      <c r="I1563" s="37"/>
      <c r="J1563" s="37"/>
      <c r="K1563" s="37"/>
      <c r="L1563" s="37"/>
    </row>
    <row r="1564" spans="1:12" ht="15.75" customHeight="1">
      <c r="A1564" s="87" t="s">
        <v>3935</v>
      </c>
      <c r="B1564" s="87" t="s">
        <v>1101</v>
      </c>
      <c r="C1564" s="87" t="s">
        <v>6339</v>
      </c>
      <c r="D1564" s="88">
        <v>1766</v>
      </c>
      <c r="E1564" s="85" t="s">
        <v>6330</v>
      </c>
      <c r="F1564" s="87">
        <v>36</v>
      </c>
      <c r="G1564" s="37"/>
      <c r="H1564" s="37">
        <f>COUNTIF('(参考)現行システム機能階層一覧'!$E$3:$E$1048576,sheet1!B1564)</f>
        <v>2</v>
      </c>
      <c r="I1564" s="37"/>
      <c r="J1564" s="37"/>
      <c r="K1564" s="37"/>
      <c r="L1564" s="37"/>
    </row>
    <row r="1565" spans="1:12" ht="15.75" customHeight="1">
      <c r="A1565" s="87" t="s">
        <v>3853</v>
      </c>
      <c r="B1565" s="87" t="s">
        <v>6340</v>
      </c>
      <c r="C1565" s="87" t="s">
        <v>6339</v>
      </c>
      <c r="D1565" s="88">
        <v>32</v>
      </c>
      <c r="E1565" s="85" t="s">
        <v>6330</v>
      </c>
      <c r="F1565" s="87">
        <v>36</v>
      </c>
      <c r="G1565" s="37"/>
      <c r="H1565" s="37">
        <f>COUNTIF('(参考)現行システム機能階層一覧'!$E$3:$E$1048576,sheet1!B1565)</f>
        <v>0</v>
      </c>
      <c r="I1565" s="37"/>
      <c r="J1565" s="37"/>
      <c r="K1565" s="37"/>
      <c r="L1565" s="37"/>
    </row>
    <row r="1566" spans="1:12" ht="15.75" customHeight="1">
      <c r="A1566" s="87" t="s">
        <v>3935</v>
      </c>
      <c r="B1566" s="87" t="s">
        <v>6341</v>
      </c>
      <c r="C1566" s="87" t="s">
        <v>6342</v>
      </c>
      <c r="D1566" s="88">
        <v>525</v>
      </c>
      <c r="E1566" s="85" t="s">
        <v>6330</v>
      </c>
      <c r="F1566" s="87">
        <v>1226</v>
      </c>
      <c r="G1566" s="37"/>
      <c r="H1566" s="37">
        <f>COUNTIF('(参考)現行システム機能階層一覧'!$E$3:$E$1048576,sheet1!B1566)</f>
        <v>0</v>
      </c>
      <c r="I1566" s="37"/>
      <c r="J1566" s="37"/>
      <c r="K1566" s="37"/>
      <c r="L1566" s="37"/>
    </row>
    <row r="1567" spans="1:12" ht="15.75" customHeight="1">
      <c r="A1567" s="87" t="s">
        <v>3935</v>
      </c>
      <c r="B1567" s="87" t="s">
        <v>6343</v>
      </c>
      <c r="C1567" s="87" t="s">
        <v>6344</v>
      </c>
      <c r="D1567" s="88">
        <v>440</v>
      </c>
      <c r="E1567" s="85" t="s">
        <v>6330</v>
      </c>
      <c r="F1567" s="87">
        <v>1226</v>
      </c>
      <c r="G1567" s="37"/>
      <c r="H1567" s="37">
        <f>COUNTIF('(参考)現行システム機能階層一覧'!$E$3:$E$1048576,sheet1!B1567)</f>
        <v>0</v>
      </c>
      <c r="I1567" s="37"/>
      <c r="J1567" s="37"/>
      <c r="K1567" s="37"/>
      <c r="L1567" s="37"/>
    </row>
    <row r="1568" spans="1:12" ht="15.75" customHeight="1">
      <c r="A1568" s="87" t="s">
        <v>3935</v>
      </c>
      <c r="B1568" s="87" t="s">
        <v>6345</v>
      </c>
      <c r="C1568" s="87" t="s">
        <v>6346</v>
      </c>
      <c r="D1568" s="88">
        <v>334</v>
      </c>
      <c r="E1568" s="85" t="s">
        <v>6330</v>
      </c>
      <c r="F1568" s="87">
        <v>769</v>
      </c>
      <c r="G1568" s="37"/>
      <c r="H1568" s="37">
        <f>COUNTIF('(参考)現行システム機能階層一覧'!$E$3:$E$1048576,sheet1!B1568)</f>
        <v>0</v>
      </c>
      <c r="I1568" s="37"/>
      <c r="J1568" s="37"/>
      <c r="K1568" s="37"/>
      <c r="L1568" s="37"/>
    </row>
    <row r="1569" spans="1:12" ht="15.75" customHeight="1">
      <c r="A1569" s="87" t="s">
        <v>3935</v>
      </c>
      <c r="B1569" s="87" t="s">
        <v>6347</v>
      </c>
      <c r="C1569" s="87" t="s">
        <v>6348</v>
      </c>
      <c r="D1569" s="88">
        <v>134</v>
      </c>
      <c r="E1569" s="85" t="s">
        <v>6330</v>
      </c>
      <c r="F1569" s="87">
        <v>6</v>
      </c>
      <c r="G1569" s="37"/>
      <c r="H1569" s="37">
        <f>COUNTIF('(参考)現行システム機能階層一覧'!$E$3:$E$1048576,sheet1!B1569)</f>
        <v>0</v>
      </c>
      <c r="I1569" s="37"/>
      <c r="J1569" s="37"/>
      <c r="K1569" s="37"/>
      <c r="L1569" s="37"/>
    </row>
    <row r="1570" spans="1:12" ht="15.75" customHeight="1">
      <c r="A1570" s="87" t="s">
        <v>3935</v>
      </c>
      <c r="B1570" s="87" t="s">
        <v>6349</v>
      </c>
      <c r="C1570" s="87" t="s">
        <v>6350</v>
      </c>
      <c r="D1570" s="88">
        <v>24</v>
      </c>
      <c r="E1570" s="85" t="s">
        <v>6330</v>
      </c>
      <c r="F1570" s="87">
        <v>1</v>
      </c>
      <c r="G1570" s="37"/>
      <c r="H1570" s="37">
        <f>COUNTIF('(参考)現行システム機能階層一覧'!$E$3:$E$1048576,sheet1!B1570)</f>
        <v>0</v>
      </c>
      <c r="I1570" s="37"/>
      <c r="J1570" s="37"/>
      <c r="K1570" s="37"/>
      <c r="L1570" s="37"/>
    </row>
    <row r="1571" spans="1:12" ht="15.75" customHeight="1">
      <c r="A1571" s="87" t="s">
        <v>3853</v>
      </c>
      <c r="B1571" s="87" t="s">
        <v>1955</v>
      </c>
      <c r="C1571" s="87" t="s">
        <v>6351</v>
      </c>
      <c r="D1571" s="88">
        <v>23</v>
      </c>
      <c r="E1571" s="85" t="s">
        <v>6330</v>
      </c>
      <c r="F1571" s="87">
        <v>1</v>
      </c>
      <c r="G1571" s="37"/>
      <c r="H1571" s="37">
        <f>COUNTIF('(参考)現行システム機能階層一覧'!$E$3:$E$1048576,sheet1!B1571)</f>
        <v>1</v>
      </c>
      <c r="I1571" s="37"/>
      <c r="J1571" s="37"/>
      <c r="K1571" s="37"/>
      <c r="L1571" s="37"/>
    </row>
    <row r="1572" spans="1:12" ht="15.75" customHeight="1">
      <c r="A1572" s="87" t="s">
        <v>3935</v>
      </c>
      <c r="B1572" s="87" t="s">
        <v>6352</v>
      </c>
      <c r="C1572" s="87" t="s">
        <v>6353</v>
      </c>
      <c r="D1572" s="88">
        <v>121</v>
      </c>
      <c r="E1572" s="85" t="s">
        <v>6330</v>
      </c>
      <c r="F1572" s="87">
        <v>1</v>
      </c>
      <c r="G1572" s="37"/>
      <c r="H1572" s="37">
        <f>COUNTIF('(参考)現行システム機能階層一覧'!$E$3:$E$1048576,sheet1!B1572)</f>
        <v>0</v>
      </c>
      <c r="I1572" s="37"/>
      <c r="J1572" s="37"/>
      <c r="K1572" s="37"/>
      <c r="L1572" s="37"/>
    </row>
    <row r="1573" spans="1:12" ht="15.75" customHeight="1">
      <c r="A1573" s="87" t="s">
        <v>3935</v>
      </c>
      <c r="B1573" s="87" t="s">
        <v>1959</v>
      </c>
      <c r="C1573" s="87" t="s">
        <v>6354</v>
      </c>
      <c r="D1573" s="88">
        <v>152</v>
      </c>
      <c r="E1573" s="85" t="s">
        <v>6330</v>
      </c>
      <c r="F1573" s="87">
        <v>3</v>
      </c>
      <c r="G1573" s="37"/>
      <c r="H1573" s="37">
        <f>COUNTIF('(参考)現行システム機能階層一覧'!$E$3:$E$1048576,sheet1!B1573)</f>
        <v>1</v>
      </c>
      <c r="I1573" s="37"/>
      <c r="J1573" s="37"/>
      <c r="K1573" s="37"/>
      <c r="L1573" s="37"/>
    </row>
    <row r="1574" spans="1:12" ht="15.75" customHeight="1">
      <c r="A1574" s="87" t="s">
        <v>3935</v>
      </c>
      <c r="B1574" s="87" t="s">
        <v>1962</v>
      </c>
      <c r="C1574" s="87" t="s">
        <v>6355</v>
      </c>
      <c r="D1574" s="88">
        <v>136</v>
      </c>
      <c r="E1574" s="85" t="s">
        <v>6330</v>
      </c>
      <c r="F1574" s="87">
        <v>4</v>
      </c>
      <c r="G1574" s="37"/>
      <c r="H1574" s="37">
        <f>COUNTIF('(参考)現行システム機能階層一覧'!$E$3:$E$1048576,sheet1!B1574)</f>
        <v>1</v>
      </c>
      <c r="I1574" s="37"/>
      <c r="J1574" s="37"/>
      <c r="K1574" s="37"/>
      <c r="L1574" s="37"/>
    </row>
    <row r="1575" spans="1:12" ht="15.75" customHeight="1">
      <c r="A1575" s="87" t="s">
        <v>3935</v>
      </c>
      <c r="B1575" s="87" t="s">
        <v>1081</v>
      </c>
      <c r="C1575" s="87" t="s">
        <v>6356</v>
      </c>
      <c r="D1575" s="88">
        <v>547</v>
      </c>
      <c r="E1575" s="85" t="s">
        <v>6330</v>
      </c>
      <c r="F1575" s="87">
        <v>88</v>
      </c>
      <c r="G1575" s="37"/>
      <c r="H1575" s="37">
        <f>COUNTIF('(参考)現行システム機能階層一覧'!$E$3:$E$1048576,sheet1!B1575)</f>
        <v>1</v>
      </c>
      <c r="I1575" s="37"/>
      <c r="J1575" s="37"/>
      <c r="K1575" s="37"/>
      <c r="L1575" s="37"/>
    </row>
    <row r="1576" spans="1:12" ht="15.75" customHeight="1">
      <c r="A1576" s="87" t="s">
        <v>3935</v>
      </c>
      <c r="B1576" s="87" t="s">
        <v>1145</v>
      </c>
      <c r="C1576" s="87" t="s">
        <v>6357</v>
      </c>
      <c r="D1576" s="88">
        <v>1055</v>
      </c>
      <c r="E1576" s="85" t="s">
        <v>6330</v>
      </c>
      <c r="F1576" s="87">
        <v>116</v>
      </c>
      <c r="G1576" s="37"/>
      <c r="H1576" s="37">
        <f>COUNTIF('(参考)現行システム機能階層一覧'!$E$3:$E$1048576,sheet1!B1576)</f>
        <v>1</v>
      </c>
      <c r="I1576" s="37"/>
      <c r="J1576" s="37"/>
      <c r="K1576" s="37"/>
      <c r="L1576" s="37"/>
    </row>
    <row r="1577" spans="1:12" ht="15.75" customHeight="1">
      <c r="A1577" s="87" t="s">
        <v>3853</v>
      </c>
      <c r="B1577" s="87" t="s">
        <v>6358</v>
      </c>
      <c r="C1577" s="87" t="s">
        <v>6359</v>
      </c>
      <c r="D1577" s="88">
        <v>26</v>
      </c>
      <c r="E1577" s="85" t="s">
        <v>6330</v>
      </c>
      <c r="F1577" s="87">
        <v>115</v>
      </c>
      <c r="G1577" s="37"/>
      <c r="H1577" s="37">
        <f>COUNTIF('(参考)現行システム機能階層一覧'!$E$3:$E$1048576,sheet1!B1577)</f>
        <v>0</v>
      </c>
      <c r="I1577" s="37"/>
      <c r="J1577" s="37"/>
      <c r="K1577" s="37"/>
      <c r="L1577" s="37"/>
    </row>
    <row r="1578" spans="1:12" ht="15.75" customHeight="1">
      <c r="A1578" s="87" t="s">
        <v>3935</v>
      </c>
      <c r="B1578" s="87" t="s">
        <v>1107</v>
      </c>
      <c r="C1578" s="87" t="s">
        <v>6360</v>
      </c>
      <c r="D1578" s="88">
        <v>792</v>
      </c>
      <c r="E1578" s="85" t="s">
        <v>6330</v>
      </c>
      <c r="F1578" s="87">
        <v>7</v>
      </c>
      <c r="G1578" s="37"/>
      <c r="H1578" s="37">
        <f>COUNTIF('(参考)現行システム機能階層一覧'!$E$3:$E$1048576,sheet1!B1578)</f>
        <v>1</v>
      </c>
      <c r="I1578" s="37"/>
      <c r="J1578" s="37"/>
      <c r="K1578" s="37"/>
      <c r="L1578" s="37"/>
    </row>
    <row r="1579" spans="1:12" ht="15.75" customHeight="1">
      <c r="A1579" s="87" t="s">
        <v>3935</v>
      </c>
      <c r="B1579" s="87" t="s">
        <v>592</v>
      </c>
      <c r="C1579" s="87" t="s">
        <v>6361</v>
      </c>
      <c r="D1579" s="88">
        <v>1587</v>
      </c>
      <c r="E1579" s="85" t="s">
        <v>6330</v>
      </c>
      <c r="F1579" s="87">
        <v>104</v>
      </c>
      <c r="G1579" s="37"/>
      <c r="H1579" s="37">
        <f>COUNTIF('(参考)現行システム機能階層一覧'!$E$3:$E$1048576,sheet1!B1579)</f>
        <v>2</v>
      </c>
      <c r="I1579" s="37"/>
      <c r="J1579" s="37"/>
      <c r="K1579" s="37"/>
      <c r="L1579" s="37"/>
    </row>
    <row r="1580" spans="1:12" ht="15.75" customHeight="1">
      <c r="A1580" s="87" t="s">
        <v>3853</v>
      </c>
      <c r="B1580" s="87" t="s">
        <v>6362</v>
      </c>
      <c r="C1580" s="87" t="s">
        <v>6361</v>
      </c>
      <c r="D1580" s="88">
        <v>114</v>
      </c>
      <c r="E1580" s="85" t="s">
        <v>6330</v>
      </c>
      <c r="F1580" s="87">
        <v>1465</v>
      </c>
      <c r="G1580" s="37"/>
      <c r="H1580" s="37">
        <f>COUNTIF('(参考)現行システム機能階層一覧'!$E$3:$E$1048576,sheet1!B1580)</f>
        <v>0</v>
      </c>
      <c r="I1580" s="37"/>
      <c r="J1580" s="37"/>
      <c r="K1580" s="37"/>
      <c r="L1580" s="37"/>
    </row>
    <row r="1581" spans="1:12" ht="15.75" customHeight="1">
      <c r="A1581" s="87" t="s">
        <v>3853</v>
      </c>
      <c r="B1581" s="87" t="s">
        <v>6363</v>
      </c>
      <c r="C1581" s="87" t="s">
        <v>6364</v>
      </c>
      <c r="D1581" s="88">
        <v>18</v>
      </c>
      <c r="E1581" s="85" t="s">
        <v>6330</v>
      </c>
      <c r="F1581" s="87">
        <v>1</v>
      </c>
      <c r="G1581" s="37"/>
      <c r="H1581" s="37">
        <f>COUNTIF('(参考)現行システム機能階層一覧'!$E$3:$E$1048576,sheet1!B1581)</f>
        <v>0</v>
      </c>
      <c r="I1581" s="37"/>
      <c r="J1581" s="37"/>
      <c r="K1581" s="37"/>
      <c r="L1581" s="37"/>
    </row>
    <row r="1582" spans="1:12" ht="15.75" customHeight="1">
      <c r="A1582" s="87" t="s">
        <v>3935</v>
      </c>
      <c r="B1582" s="87" t="s">
        <v>1137</v>
      </c>
      <c r="C1582" s="87" t="s">
        <v>6365</v>
      </c>
      <c r="D1582" s="88">
        <v>1605</v>
      </c>
      <c r="E1582" s="85" t="s">
        <v>6330</v>
      </c>
      <c r="F1582" s="87">
        <v>43</v>
      </c>
      <c r="G1582" s="37"/>
      <c r="H1582" s="37">
        <f>COUNTIF('(参考)現行システム機能階層一覧'!$E$3:$E$1048576,sheet1!B1582)</f>
        <v>1</v>
      </c>
      <c r="I1582" s="37"/>
      <c r="J1582" s="37"/>
      <c r="K1582" s="37"/>
      <c r="L1582" s="37"/>
    </row>
    <row r="1583" spans="1:12" ht="15.75" customHeight="1">
      <c r="A1583" s="87" t="s">
        <v>3853</v>
      </c>
      <c r="B1583" s="87" t="s">
        <v>6366</v>
      </c>
      <c r="C1583" s="87" t="s">
        <v>6365</v>
      </c>
      <c r="D1583" s="88">
        <v>109</v>
      </c>
      <c r="E1583" s="85" t="s">
        <v>6330</v>
      </c>
      <c r="F1583" s="87">
        <v>171</v>
      </c>
      <c r="G1583" s="37"/>
      <c r="H1583" s="37">
        <f>COUNTIF('(参考)現行システム機能階層一覧'!$E$3:$E$1048576,sheet1!B1583)</f>
        <v>0</v>
      </c>
      <c r="I1583" s="37"/>
      <c r="J1583" s="37"/>
      <c r="K1583" s="37"/>
      <c r="L1583" s="37"/>
    </row>
    <row r="1584" spans="1:12" ht="15.75" customHeight="1">
      <c r="A1584" s="87" t="s">
        <v>3935</v>
      </c>
      <c r="B1584" s="87" t="s">
        <v>6367</v>
      </c>
      <c r="C1584" s="87" t="s">
        <v>6368</v>
      </c>
      <c r="D1584" s="88">
        <v>790</v>
      </c>
      <c r="E1584" s="85" t="s">
        <v>6330</v>
      </c>
      <c r="F1584" s="87">
        <v>113</v>
      </c>
      <c r="G1584" s="37"/>
      <c r="H1584" s="37">
        <f>COUNTIF('(参考)現行システム機能階層一覧'!$E$3:$E$1048576,sheet1!B1584)</f>
        <v>0</v>
      </c>
      <c r="I1584" s="37"/>
      <c r="J1584" s="37"/>
      <c r="K1584" s="37"/>
      <c r="L1584" s="37"/>
    </row>
    <row r="1585" spans="1:12" ht="15.75" customHeight="1">
      <c r="A1585" s="87" t="s">
        <v>3935</v>
      </c>
      <c r="B1585" s="87" t="s">
        <v>351</v>
      </c>
      <c r="C1585" s="87" t="s">
        <v>6369</v>
      </c>
      <c r="D1585" s="88">
        <v>1485</v>
      </c>
      <c r="E1585" s="85" t="s">
        <v>6330</v>
      </c>
      <c r="F1585" s="87">
        <v>1050</v>
      </c>
      <c r="G1585" s="37"/>
      <c r="H1585" s="37">
        <f>COUNTIF('(参考)現行システム機能階層一覧'!$E$3:$E$1048576,sheet1!B1585)</f>
        <v>2</v>
      </c>
      <c r="I1585" s="37"/>
      <c r="J1585" s="37"/>
      <c r="K1585" s="37"/>
      <c r="L1585" s="37"/>
    </row>
    <row r="1586" spans="1:12" ht="15.75" customHeight="1">
      <c r="A1586" s="87" t="s">
        <v>3853</v>
      </c>
      <c r="B1586" s="87" t="s">
        <v>6370</v>
      </c>
      <c r="C1586" s="87" t="s">
        <v>6369</v>
      </c>
      <c r="D1586" s="88">
        <v>112</v>
      </c>
      <c r="E1586" s="85" t="s">
        <v>6330</v>
      </c>
      <c r="F1586" s="87">
        <v>274</v>
      </c>
      <c r="G1586" s="37"/>
      <c r="H1586" s="37">
        <f>COUNTIF('(参考)現行システム機能階層一覧'!$E$3:$E$1048576,sheet1!B1586)</f>
        <v>0</v>
      </c>
      <c r="I1586" s="37"/>
      <c r="J1586" s="37"/>
      <c r="K1586" s="37"/>
      <c r="L1586" s="37"/>
    </row>
    <row r="1587" spans="1:12" ht="15.75" customHeight="1">
      <c r="A1587" s="87" t="s">
        <v>3935</v>
      </c>
      <c r="B1587" s="87" t="s">
        <v>6371</v>
      </c>
      <c r="C1587" s="87" t="s">
        <v>6372</v>
      </c>
      <c r="D1587" s="88">
        <v>817</v>
      </c>
      <c r="E1587" s="85" t="s">
        <v>6330</v>
      </c>
      <c r="F1587" s="87">
        <v>1456</v>
      </c>
      <c r="G1587" s="37"/>
      <c r="H1587" s="37">
        <f>COUNTIF('(参考)現行システム機能階層一覧'!$E$3:$E$1048576,sheet1!B1587)</f>
        <v>0</v>
      </c>
      <c r="I1587" s="37"/>
      <c r="J1587" s="37"/>
      <c r="K1587" s="37"/>
      <c r="L1587" s="37"/>
    </row>
    <row r="1588" spans="1:12" ht="15.75" customHeight="1">
      <c r="A1588" s="87" t="s">
        <v>3935</v>
      </c>
      <c r="B1588" s="87" t="s">
        <v>1142</v>
      </c>
      <c r="C1588" s="87" t="s">
        <v>6373</v>
      </c>
      <c r="D1588" s="88">
        <v>939</v>
      </c>
      <c r="E1588" s="85" t="s">
        <v>6330</v>
      </c>
      <c r="F1588" s="87">
        <v>670</v>
      </c>
      <c r="G1588" s="37"/>
      <c r="H1588" s="37">
        <f>COUNTIF('(参考)現行システム機能階層一覧'!$E$3:$E$1048576,sheet1!B1588)</f>
        <v>1</v>
      </c>
      <c r="I1588" s="37"/>
      <c r="J1588" s="37"/>
      <c r="K1588" s="37"/>
      <c r="L1588" s="37"/>
    </row>
    <row r="1589" spans="1:12" ht="15.75" customHeight="1">
      <c r="A1589" s="87" t="s">
        <v>3853</v>
      </c>
      <c r="B1589" s="87" t="s">
        <v>6374</v>
      </c>
      <c r="C1589" s="87" t="s">
        <v>6375</v>
      </c>
      <c r="D1589" s="88">
        <v>106</v>
      </c>
      <c r="E1589" s="85" t="s">
        <v>6330</v>
      </c>
      <c r="F1589" s="87">
        <v>65</v>
      </c>
      <c r="G1589" s="37"/>
      <c r="H1589" s="37">
        <f>COUNTIF('(参考)現行システム機能階層一覧'!$E$3:$E$1048576,sheet1!B1589)</f>
        <v>0</v>
      </c>
      <c r="I1589" s="37"/>
      <c r="J1589" s="37"/>
      <c r="K1589" s="37"/>
      <c r="L1589" s="37"/>
    </row>
    <row r="1590" spans="1:12" ht="15.75" customHeight="1">
      <c r="A1590" s="87" t="s">
        <v>3935</v>
      </c>
      <c r="B1590" s="87" t="s">
        <v>1095</v>
      </c>
      <c r="C1590" s="87" t="s">
        <v>6376</v>
      </c>
      <c r="D1590" s="88">
        <v>1881</v>
      </c>
      <c r="E1590" s="85" t="s">
        <v>6330</v>
      </c>
      <c r="F1590" s="87">
        <v>564</v>
      </c>
      <c r="G1590" s="37"/>
      <c r="H1590" s="37">
        <f>COUNTIF('(参考)現行システム機能階層一覧'!$E$3:$E$1048576,sheet1!B1590)</f>
        <v>1</v>
      </c>
      <c r="I1590" s="37"/>
      <c r="J1590" s="37"/>
      <c r="K1590" s="37"/>
      <c r="L1590" s="37"/>
    </row>
    <row r="1591" spans="1:12" ht="15.75" customHeight="1">
      <c r="A1591" s="87" t="s">
        <v>3853</v>
      </c>
      <c r="B1591" s="87" t="s">
        <v>6377</v>
      </c>
      <c r="C1591" s="87" t="s">
        <v>6376</v>
      </c>
      <c r="D1591" s="88">
        <v>17</v>
      </c>
      <c r="E1591" s="85" t="s">
        <v>6330</v>
      </c>
      <c r="F1591" s="87">
        <v>93</v>
      </c>
      <c r="G1591" s="37"/>
      <c r="H1591" s="37">
        <f>COUNTIF('(参考)現行システム機能階層一覧'!$E$3:$E$1048576,sheet1!B1591)</f>
        <v>0</v>
      </c>
      <c r="I1591" s="37"/>
      <c r="J1591" s="37"/>
      <c r="K1591" s="37"/>
      <c r="L1591" s="37"/>
    </row>
    <row r="1592" spans="1:12" ht="15.75" customHeight="1">
      <c r="A1592" s="87" t="s">
        <v>3935</v>
      </c>
      <c r="B1592" s="87" t="s">
        <v>6378</v>
      </c>
      <c r="C1592" s="87" t="s">
        <v>6379</v>
      </c>
      <c r="D1592" s="88">
        <v>314</v>
      </c>
      <c r="E1592" s="85" t="s">
        <v>6330</v>
      </c>
      <c r="F1592" s="87">
        <v>786</v>
      </c>
      <c r="G1592" s="37"/>
      <c r="H1592" s="37">
        <f>COUNTIF('(参考)現行システム機能階層一覧'!$E$3:$E$1048576,sheet1!B1592)</f>
        <v>0</v>
      </c>
      <c r="I1592" s="37"/>
      <c r="J1592" s="37"/>
      <c r="K1592" s="37"/>
      <c r="L1592" s="37"/>
    </row>
    <row r="1593" spans="1:12" ht="15.75" customHeight="1">
      <c r="A1593" s="87" t="s">
        <v>3935</v>
      </c>
      <c r="B1593" s="87" t="s">
        <v>1116</v>
      </c>
      <c r="C1593" s="87" t="s">
        <v>6380</v>
      </c>
      <c r="D1593" s="88">
        <v>593</v>
      </c>
      <c r="E1593" s="85" t="s">
        <v>6330</v>
      </c>
      <c r="F1593" s="87">
        <v>872</v>
      </c>
      <c r="G1593" s="37"/>
      <c r="H1593" s="37">
        <f>COUNTIF('(参考)現行システム機能階層一覧'!$E$3:$E$1048576,sheet1!B1593)</f>
        <v>1</v>
      </c>
      <c r="I1593" s="37"/>
      <c r="J1593" s="37"/>
      <c r="K1593" s="37"/>
      <c r="L1593" s="37"/>
    </row>
    <row r="1594" spans="1:12" ht="15.75" customHeight="1">
      <c r="A1594" s="87" t="s">
        <v>3935</v>
      </c>
      <c r="B1594" s="87" t="s">
        <v>6381</v>
      </c>
      <c r="C1594" s="87" t="s">
        <v>6382</v>
      </c>
      <c r="D1594" s="88">
        <v>574</v>
      </c>
      <c r="E1594" s="85" t="s">
        <v>6330</v>
      </c>
      <c r="F1594" s="87">
        <v>3</v>
      </c>
      <c r="G1594" s="37"/>
      <c r="H1594" s="37">
        <f>COUNTIF('(参考)現行システム機能階層一覧'!$E$3:$E$1048576,sheet1!B1594)</f>
        <v>0</v>
      </c>
      <c r="I1594" s="37"/>
      <c r="J1594" s="37"/>
      <c r="K1594" s="37"/>
      <c r="L1594" s="37"/>
    </row>
    <row r="1595" spans="1:12" ht="15.75" customHeight="1">
      <c r="A1595" s="87" t="s">
        <v>3853</v>
      </c>
      <c r="B1595" s="87" t="s">
        <v>6383</v>
      </c>
      <c r="C1595" s="87" t="s">
        <v>6384</v>
      </c>
      <c r="D1595" s="88">
        <v>17</v>
      </c>
      <c r="E1595" s="85" t="s">
        <v>6330</v>
      </c>
      <c r="F1595" s="87">
        <v>3</v>
      </c>
      <c r="G1595" s="37"/>
      <c r="H1595" s="37">
        <f>COUNTIF('(参考)現行システム機能階層一覧'!$E$3:$E$1048576,sheet1!B1595)</f>
        <v>0</v>
      </c>
      <c r="I1595" s="37"/>
      <c r="J1595" s="37"/>
      <c r="K1595" s="37"/>
      <c r="L1595" s="37"/>
    </row>
    <row r="1596" spans="1:12" ht="15.75" customHeight="1">
      <c r="A1596" s="87" t="s">
        <v>3935</v>
      </c>
      <c r="B1596" s="87" t="s">
        <v>6385</v>
      </c>
      <c r="C1596" s="87" t="s">
        <v>1989</v>
      </c>
      <c r="D1596" s="88">
        <v>582</v>
      </c>
      <c r="E1596" s="85" t="s">
        <v>6330</v>
      </c>
      <c r="F1596" s="87">
        <v>59</v>
      </c>
      <c r="G1596" s="37"/>
      <c r="H1596" s="37">
        <f>COUNTIF('(参考)現行システム機能階層一覧'!$E$3:$E$1048576,sheet1!B1596)</f>
        <v>0</v>
      </c>
      <c r="I1596" s="37"/>
      <c r="J1596" s="37"/>
      <c r="K1596" s="37"/>
      <c r="L1596" s="37"/>
    </row>
    <row r="1597" spans="1:12" ht="15.75" customHeight="1">
      <c r="A1597" s="87" t="s">
        <v>3935</v>
      </c>
      <c r="B1597" s="87" t="s">
        <v>1157</v>
      </c>
      <c r="C1597" s="87" t="s">
        <v>6386</v>
      </c>
      <c r="D1597" s="88">
        <v>824</v>
      </c>
      <c r="E1597" s="85" t="s">
        <v>6330</v>
      </c>
      <c r="F1597" s="87">
        <v>75</v>
      </c>
      <c r="G1597" s="37"/>
      <c r="H1597" s="37">
        <f>COUNTIF('(参考)現行システム機能階層一覧'!$E$3:$E$1048576,sheet1!B1597)</f>
        <v>1</v>
      </c>
      <c r="I1597" s="37"/>
      <c r="J1597" s="37"/>
      <c r="K1597" s="37"/>
      <c r="L1597" s="37"/>
    </row>
    <row r="1598" spans="1:12" ht="15.75" customHeight="1">
      <c r="A1598" s="87" t="s">
        <v>3853</v>
      </c>
      <c r="B1598" s="87" t="s">
        <v>6387</v>
      </c>
      <c r="C1598" s="87" t="s">
        <v>6386</v>
      </c>
      <c r="D1598" s="88">
        <v>16</v>
      </c>
      <c r="E1598" s="85" t="s">
        <v>6330</v>
      </c>
      <c r="F1598" s="87">
        <v>13</v>
      </c>
      <c r="G1598" s="37"/>
      <c r="H1598" s="37">
        <f>COUNTIF('(参考)現行システム機能階層一覧'!$E$3:$E$1048576,sheet1!B1598)</f>
        <v>0</v>
      </c>
      <c r="I1598" s="37"/>
      <c r="J1598" s="37"/>
      <c r="K1598" s="37"/>
      <c r="L1598" s="37"/>
    </row>
    <row r="1599" spans="1:12" ht="15.75" customHeight="1">
      <c r="A1599" s="87" t="s">
        <v>3935</v>
      </c>
      <c r="B1599" s="87" t="s">
        <v>6388</v>
      </c>
      <c r="C1599" s="87" t="s">
        <v>6386</v>
      </c>
      <c r="D1599" s="88">
        <v>1492</v>
      </c>
      <c r="E1599" s="85" t="s">
        <v>6330</v>
      </c>
      <c r="F1599" s="87">
        <v>238</v>
      </c>
      <c r="G1599" s="37"/>
      <c r="H1599" s="37">
        <f>COUNTIF('(参考)現行システム機能階層一覧'!$E$3:$E$1048576,sheet1!B1599)</f>
        <v>0</v>
      </c>
      <c r="I1599" s="37"/>
      <c r="J1599" s="37"/>
      <c r="K1599" s="37"/>
      <c r="L1599" s="37"/>
    </row>
    <row r="1600" spans="1:12" ht="15.75" customHeight="1">
      <c r="A1600" s="87" t="s">
        <v>3853</v>
      </c>
      <c r="B1600" s="87" t="s">
        <v>6389</v>
      </c>
      <c r="C1600" s="87" t="s">
        <v>6386</v>
      </c>
      <c r="D1600" s="88">
        <v>38</v>
      </c>
      <c r="E1600" s="85" t="s">
        <v>6330</v>
      </c>
      <c r="F1600" s="87">
        <v>316</v>
      </c>
      <c r="G1600" s="37"/>
      <c r="H1600" s="37">
        <f>COUNTIF('(参考)現行システム機能階層一覧'!$E$3:$E$1048576,sheet1!B1600)</f>
        <v>0</v>
      </c>
      <c r="I1600" s="37"/>
      <c r="J1600" s="37"/>
      <c r="K1600" s="37"/>
      <c r="L1600" s="37"/>
    </row>
    <row r="1601" spans="1:12" ht="15.75" customHeight="1">
      <c r="A1601" s="87" t="s">
        <v>3935</v>
      </c>
      <c r="B1601" s="87" t="s">
        <v>6390</v>
      </c>
      <c r="C1601" s="87" t="s">
        <v>6391</v>
      </c>
      <c r="D1601" s="88">
        <v>105</v>
      </c>
      <c r="E1601" s="85" t="s">
        <v>6330</v>
      </c>
      <c r="F1601" s="87">
        <v>320</v>
      </c>
      <c r="G1601" s="37"/>
      <c r="H1601" s="37">
        <f>COUNTIF('(参考)現行システム機能階層一覧'!$E$3:$E$1048576,sheet1!B1601)</f>
        <v>0</v>
      </c>
      <c r="I1601" s="37"/>
      <c r="J1601" s="37"/>
      <c r="K1601" s="37"/>
      <c r="L1601" s="37"/>
    </row>
    <row r="1602" spans="1:12" ht="15.75" customHeight="1">
      <c r="A1602" s="87" t="s">
        <v>3935</v>
      </c>
      <c r="B1602" s="87" t="s">
        <v>6392</v>
      </c>
      <c r="C1602" s="87" t="s">
        <v>6393</v>
      </c>
      <c r="D1602" s="88">
        <v>18</v>
      </c>
      <c r="E1602" s="85" t="s">
        <v>6330</v>
      </c>
      <c r="F1602" s="87">
        <v>175</v>
      </c>
      <c r="G1602" s="37"/>
      <c r="H1602" s="37">
        <f>COUNTIF('(参考)現行システム機能階層一覧'!$E$3:$E$1048576,sheet1!B1602)</f>
        <v>0</v>
      </c>
      <c r="I1602" s="37"/>
      <c r="J1602" s="37"/>
      <c r="K1602" s="37"/>
      <c r="L1602" s="37"/>
    </row>
    <row r="1603" spans="1:12" ht="15.75" customHeight="1">
      <c r="A1603" s="87" t="s">
        <v>3935</v>
      </c>
      <c r="B1603" s="87" t="s">
        <v>1091</v>
      </c>
      <c r="C1603" s="87" t="s">
        <v>6394</v>
      </c>
      <c r="D1603" s="88">
        <v>1664</v>
      </c>
      <c r="E1603" s="85" t="s">
        <v>6330</v>
      </c>
      <c r="F1603" s="87">
        <v>562</v>
      </c>
      <c r="G1603" s="37"/>
      <c r="H1603" s="37">
        <f>COUNTIF('(参考)現行システム機能階層一覧'!$E$3:$E$1048576,sheet1!B1603)</f>
        <v>1</v>
      </c>
      <c r="I1603" s="37"/>
      <c r="J1603" s="37"/>
      <c r="K1603" s="37"/>
      <c r="L1603" s="37"/>
    </row>
    <row r="1604" spans="1:12" ht="15.75" customHeight="1">
      <c r="A1604" s="87" t="s">
        <v>3853</v>
      </c>
      <c r="B1604" s="87" t="s">
        <v>6395</v>
      </c>
      <c r="C1604" s="87" t="s">
        <v>6394</v>
      </c>
      <c r="D1604" s="88">
        <v>19</v>
      </c>
      <c r="E1604" s="85" t="s">
        <v>6330</v>
      </c>
      <c r="F1604" s="87">
        <v>123</v>
      </c>
      <c r="G1604" s="37"/>
      <c r="H1604" s="37">
        <f>COUNTIF('(参考)現行システム機能階層一覧'!$E$3:$E$1048576,sheet1!B1604)</f>
        <v>0</v>
      </c>
      <c r="I1604" s="37"/>
      <c r="J1604" s="37"/>
      <c r="K1604" s="37"/>
      <c r="L1604" s="37"/>
    </row>
    <row r="1605" spans="1:12" ht="15.75" customHeight="1">
      <c r="A1605" s="87" t="s">
        <v>3935</v>
      </c>
      <c r="B1605" s="87" t="s">
        <v>6396</v>
      </c>
      <c r="C1605" s="87" t="s">
        <v>6397</v>
      </c>
      <c r="D1605" s="88">
        <v>409</v>
      </c>
      <c r="E1605" s="85" t="s">
        <v>6330</v>
      </c>
      <c r="F1605" s="87">
        <v>798</v>
      </c>
      <c r="G1605" s="37"/>
      <c r="H1605" s="37">
        <f>COUNTIF('(参考)現行システム機能階層一覧'!$E$3:$E$1048576,sheet1!B1605)</f>
        <v>0</v>
      </c>
      <c r="I1605" s="37"/>
      <c r="J1605" s="37"/>
      <c r="K1605" s="37"/>
      <c r="L1605" s="37"/>
    </row>
    <row r="1606" spans="1:12" ht="15.75" customHeight="1">
      <c r="A1606" s="87" t="s">
        <v>3935</v>
      </c>
      <c r="B1606" s="87" t="s">
        <v>1104</v>
      </c>
      <c r="C1606" s="87" t="s">
        <v>6398</v>
      </c>
      <c r="D1606" s="88">
        <v>1018</v>
      </c>
      <c r="E1606" s="85" t="s">
        <v>6330</v>
      </c>
      <c r="F1606" s="87">
        <v>44</v>
      </c>
      <c r="G1606" s="37"/>
      <c r="H1606" s="37">
        <f>COUNTIF('(参考)現行システム機能階層一覧'!$E$3:$E$1048576,sheet1!B1606)</f>
        <v>1</v>
      </c>
      <c r="I1606" s="37"/>
      <c r="J1606" s="37"/>
      <c r="K1606" s="37"/>
      <c r="L1606" s="37"/>
    </row>
    <row r="1607" spans="1:12" ht="15.75" customHeight="1">
      <c r="A1607" s="87" t="s">
        <v>3853</v>
      </c>
      <c r="B1607" s="87" t="s">
        <v>6399</v>
      </c>
      <c r="C1607" s="87" t="s">
        <v>6398</v>
      </c>
      <c r="D1607" s="88">
        <v>17</v>
      </c>
      <c r="E1607" s="85" t="s">
        <v>6330</v>
      </c>
      <c r="F1607" s="87">
        <v>44</v>
      </c>
      <c r="G1607" s="37"/>
      <c r="H1607" s="37">
        <f>COUNTIF('(参考)現行システム機能階層一覧'!$E$3:$E$1048576,sheet1!B1607)</f>
        <v>0</v>
      </c>
      <c r="I1607" s="37"/>
      <c r="J1607" s="37"/>
      <c r="K1607" s="37"/>
      <c r="L1607" s="37"/>
    </row>
    <row r="1608" spans="1:12" ht="15.75" customHeight="1">
      <c r="A1608" s="87" t="s">
        <v>3935</v>
      </c>
      <c r="B1608" s="87" t="s">
        <v>6400</v>
      </c>
      <c r="C1608" s="87" t="s">
        <v>6401</v>
      </c>
      <c r="D1608" s="88">
        <v>363</v>
      </c>
      <c r="E1608" s="85" t="s">
        <v>6330</v>
      </c>
      <c r="F1608" s="87">
        <v>1277</v>
      </c>
      <c r="G1608" s="37"/>
      <c r="H1608" s="37">
        <f>COUNTIF('(参考)現行システム機能階層一覧'!$E$3:$E$1048576,sheet1!B1608)</f>
        <v>0</v>
      </c>
      <c r="I1608" s="37"/>
      <c r="J1608" s="37"/>
      <c r="K1608" s="37"/>
      <c r="L1608" s="37"/>
    </row>
    <row r="1609" spans="1:12" ht="15.75" customHeight="1">
      <c r="A1609" s="87" t="s">
        <v>3853</v>
      </c>
      <c r="B1609" s="87" t="s">
        <v>6402</v>
      </c>
      <c r="C1609" s="87" t="s">
        <v>6403</v>
      </c>
      <c r="D1609" s="88">
        <v>42</v>
      </c>
      <c r="E1609" s="85" t="s">
        <v>6330</v>
      </c>
      <c r="F1609" s="87">
        <v>1277</v>
      </c>
      <c r="G1609" s="37"/>
      <c r="H1609" s="37">
        <f>COUNTIF('(参考)現行システム機能階層一覧'!$E$3:$E$1048576,sheet1!B1609)</f>
        <v>0</v>
      </c>
      <c r="I1609" s="37"/>
      <c r="J1609" s="37"/>
      <c r="K1609" s="37"/>
      <c r="L1609" s="37"/>
    </row>
    <row r="1610" spans="1:12" ht="15.75" customHeight="1">
      <c r="A1610" s="87" t="s">
        <v>3935</v>
      </c>
      <c r="B1610" s="87" t="s">
        <v>6404</v>
      </c>
      <c r="C1610" s="87" t="s">
        <v>6405</v>
      </c>
      <c r="D1610" s="88">
        <v>223</v>
      </c>
      <c r="E1610" s="85" t="s">
        <v>6330</v>
      </c>
      <c r="F1610" s="87">
        <v>1277</v>
      </c>
      <c r="G1610" s="37"/>
      <c r="H1610" s="37">
        <f>COUNTIF('(参考)現行システム機能階層一覧'!$E$3:$E$1048576,sheet1!B1610)</f>
        <v>0</v>
      </c>
      <c r="I1610" s="37"/>
      <c r="J1610" s="37"/>
      <c r="K1610" s="37"/>
      <c r="L1610" s="37"/>
    </row>
    <row r="1611" spans="1:12" ht="15.75" customHeight="1">
      <c r="A1611" s="87" t="s">
        <v>3935</v>
      </c>
      <c r="B1611" s="87" t="s">
        <v>6406</v>
      </c>
      <c r="C1611" s="87" t="s">
        <v>6407</v>
      </c>
      <c r="D1611" s="88">
        <v>296</v>
      </c>
      <c r="E1611" s="85" t="s">
        <v>6330</v>
      </c>
      <c r="F1611" s="87">
        <v>798</v>
      </c>
      <c r="G1611" s="37"/>
      <c r="H1611" s="37">
        <f>COUNTIF('(参考)現行システム機能階層一覧'!$E$3:$E$1048576,sheet1!B1611)</f>
        <v>0</v>
      </c>
      <c r="I1611" s="37"/>
      <c r="J1611" s="37"/>
      <c r="K1611" s="37"/>
      <c r="L1611" s="37"/>
    </row>
    <row r="1612" spans="1:12" ht="15.75" customHeight="1">
      <c r="A1612" s="87" t="s">
        <v>3935</v>
      </c>
      <c r="B1612" s="87" t="s">
        <v>1110</v>
      </c>
      <c r="C1612" s="87" t="s">
        <v>6408</v>
      </c>
      <c r="D1612" s="88">
        <v>938</v>
      </c>
      <c r="E1612" s="85" t="s">
        <v>6330</v>
      </c>
      <c r="F1612" s="87">
        <v>1282</v>
      </c>
      <c r="G1612" s="37"/>
      <c r="H1612" s="37">
        <f>COUNTIF('(参考)現行システム機能階層一覧'!$E$3:$E$1048576,sheet1!B1612)</f>
        <v>1</v>
      </c>
      <c r="I1612" s="37"/>
      <c r="J1612" s="37"/>
      <c r="K1612" s="37"/>
      <c r="L1612" s="37"/>
    </row>
    <row r="1613" spans="1:12" ht="15.75" customHeight="1">
      <c r="A1613" s="87" t="s">
        <v>3935</v>
      </c>
      <c r="B1613" s="87" t="s">
        <v>1113</v>
      </c>
      <c r="C1613" s="87" t="s">
        <v>6409</v>
      </c>
      <c r="D1613" s="88">
        <v>713</v>
      </c>
      <c r="E1613" s="85" t="s">
        <v>6330</v>
      </c>
      <c r="F1613" s="87">
        <v>21</v>
      </c>
      <c r="G1613" s="37"/>
      <c r="H1613" s="37">
        <f>COUNTIF('(参考)現行システム機能階層一覧'!$E$3:$E$1048576,sheet1!B1613)</f>
        <v>1</v>
      </c>
      <c r="I1613" s="37"/>
      <c r="J1613" s="37"/>
      <c r="K1613" s="37"/>
      <c r="L1613" s="37"/>
    </row>
    <row r="1614" spans="1:12" ht="15.75" customHeight="1">
      <c r="A1614" s="87" t="s">
        <v>3935</v>
      </c>
      <c r="B1614" s="87" t="s">
        <v>1167</v>
      </c>
      <c r="C1614" s="87" t="s">
        <v>6410</v>
      </c>
      <c r="D1614" s="88">
        <v>198</v>
      </c>
      <c r="E1614" s="85" t="s">
        <v>6330</v>
      </c>
      <c r="F1614" s="87">
        <v>7</v>
      </c>
      <c r="G1614" s="37"/>
      <c r="H1614" s="37">
        <f>COUNTIF('(参考)現行システム機能階層一覧'!$E$3:$E$1048576,sheet1!B1614)</f>
        <v>1</v>
      </c>
      <c r="I1614" s="37"/>
      <c r="J1614" s="37"/>
      <c r="K1614" s="37"/>
      <c r="L1614" s="37"/>
    </row>
    <row r="1615" spans="1:12" ht="15.75" customHeight="1">
      <c r="A1615" s="87" t="s">
        <v>3935</v>
      </c>
      <c r="B1615" s="87" t="s">
        <v>1170</v>
      </c>
      <c r="C1615" s="87" t="s">
        <v>6411</v>
      </c>
      <c r="D1615" s="88">
        <v>479</v>
      </c>
      <c r="E1615" s="85" t="s">
        <v>6330</v>
      </c>
      <c r="F1615" s="87">
        <v>14</v>
      </c>
      <c r="G1615" s="37"/>
      <c r="H1615" s="37">
        <f>COUNTIF('(参考)現行システム機能階層一覧'!$E$3:$E$1048576,sheet1!B1615)</f>
        <v>1</v>
      </c>
      <c r="I1615" s="37"/>
      <c r="J1615" s="37"/>
      <c r="K1615" s="37"/>
      <c r="L1615" s="37"/>
    </row>
    <row r="1616" spans="1:12" ht="15.75" customHeight="1">
      <c r="A1616" s="87" t="s">
        <v>3935</v>
      </c>
      <c r="B1616" s="87" t="s">
        <v>1173</v>
      </c>
      <c r="C1616" s="87" t="s">
        <v>6412</v>
      </c>
      <c r="D1616" s="88">
        <v>340</v>
      </c>
      <c r="E1616" s="85" t="s">
        <v>6330</v>
      </c>
      <c r="F1616" s="87">
        <v>25</v>
      </c>
      <c r="G1616" s="37"/>
      <c r="H1616" s="37">
        <f>COUNTIF('(参考)現行システム機能階層一覧'!$E$3:$E$1048576,sheet1!B1616)</f>
        <v>1</v>
      </c>
      <c r="I1616" s="37"/>
      <c r="J1616" s="37"/>
      <c r="K1616" s="37"/>
      <c r="L1616" s="37"/>
    </row>
    <row r="1617" spans="1:12" ht="15.75" customHeight="1">
      <c r="A1617" s="87" t="s">
        <v>3935</v>
      </c>
      <c r="B1617" s="87" t="s">
        <v>1164</v>
      </c>
      <c r="C1617" s="87" t="s">
        <v>6413</v>
      </c>
      <c r="D1617" s="88">
        <v>434</v>
      </c>
      <c r="E1617" s="85" t="s">
        <v>6330</v>
      </c>
      <c r="F1617" s="87">
        <v>5</v>
      </c>
      <c r="G1617" s="37"/>
      <c r="H1617" s="37">
        <f>COUNTIF('(参考)現行システム機能階層一覧'!$E$3:$E$1048576,sheet1!B1617)</f>
        <v>1</v>
      </c>
      <c r="I1617" s="37"/>
      <c r="J1617" s="37"/>
      <c r="K1617" s="37"/>
      <c r="L1617" s="37"/>
    </row>
    <row r="1618" spans="1:12" ht="15.75" customHeight="1">
      <c r="A1618" s="87" t="s">
        <v>3935</v>
      </c>
      <c r="B1618" s="87" t="s">
        <v>1117</v>
      </c>
      <c r="C1618" s="87" t="s">
        <v>6414</v>
      </c>
      <c r="D1618" s="88">
        <v>311</v>
      </c>
      <c r="E1618" s="85" t="s">
        <v>6330</v>
      </c>
      <c r="F1618" s="87">
        <v>6</v>
      </c>
      <c r="G1618" s="37"/>
      <c r="H1618" s="37">
        <f>COUNTIF('(参考)現行システム機能階層一覧'!$E$3:$E$1048576,sheet1!B1618)</f>
        <v>1</v>
      </c>
      <c r="I1618" s="37"/>
      <c r="J1618" s="37"/>
      <c r="K1618" s="37"/>
      <c r="L1618" s="37"/>
    </row>
    <row r="1619" spans="1:12" ht="15.75" customHeight="1">
      <c r="A1619" s="87" t="s">
        <v>3935</v>
      </c>
      <c r="B1619" s="87" t="s">
        <v>1098</v>
      </c>
      <c r="C1619" s="87" t="s">
        <v>6415</v>
      </c>
      <c r="D1619" s="88">
        <v>757</v>
      </c>
      <c r="E1619" s="85" t="s">
        <v>6330</v>
      </c>
      <c r="F1619" s="87">
        <v>589</v>
      </c>
      <c r="G1619" s="37"/>
      <c r="H1619" s="37">
        <f>COUNTIF('(参考)現行システム機能階層一覧'!$E$3:$E$1048576,sheet1!B1619)</f>
        <v>1</v>
      </c>
      <c r="I1619" s="37"/>
      <c r="J1619" s="37"/>
      <c r="K1619" s="37"/>
      <c r="L1619" s="37"/>
    </row>
    <row r="1620" spans="1:12" ht="15.75" customHeight="1">
      <c r="A1620" s="87" t="s">
        <v>3853</v>
      </c>
      <c r="B1620" s="87" t="s">
        <v>6416</v>
      </c>
      <c r="C1620" s="87" t="s">
        <v>6417</v>
      </c>
      <c r="D1620" s="88">
        <v>17</v>
      </c>
      <c r="E1620" s="85" t="s">
        <v>6330</v>
      </c>
      <c r="F1620" s="87">
        <v>150</v>
      </c>
      <c r="G1620" s="37"/>
      <c r="H1620" s="37">
        <f>COUNTIF('(参考)現行システム機能階層一覧'!$E$3:$E$1048576,sheet1!B1620)</f>
        <v>0</v>
      </c>
      <c r="I1620" s="37"/>
      <c r="J1620" s="37"/>
      <c r="K1620" s="37"/>
      <c r="L1620" s="37"/>
    </row>
    <row r="1621" spans="1:12" ht="15.75" customHeight="1">
      <c r="A1621" s="87" t="s">
        <v>3935</v>
      </c>
      <c r="B1621" s="87" t="s">
        <v>6418</v>
      </c>
      <c r="C1621" s="87" t="s">
        <v>6419</v>
      </c>
      <c r="D1621" s="88">
        <v>258</v>
      </c>
      <c r="E1621" s="85" t="s">
        <v>6330</v>
      </c>
      <c r="F1621" s="87">
        <v>797</v>
      </c>
      <c r="G1621" s="37"/>
      <c r="H1621" s="37">
        <f>COUNTIF('(参考)現行システム機能階層一覧'!$E$3:$E$1048576,sheet1!B1621)</f>
        <v>0</v>
      </c>
      <c r="I1621" s="37"/>
      <c r="J1621" s="37"/>
      <c r="K1621" s="37"/>
      <c r="L1621" s="37"/>
    </row>
    <row r="1622" spans="1:12" ht="15.75" customHeight="1">
      <c r="A1622" s="87" t="s">
        <v>3935</v>
      </c>
      <c r="B1622" s="87" t="s">
        <v>1084</v>
      </c>
      <c r="C1622" s="87" t="s">
        <v>6420</v>
      </c>
      <c r="D1622" s="88">
        <v>298</v>
      </c>
      <c r="E1622" s="85" t="s">
        <v>6330</v>
      </c>
      <c r="F1622" s="87">
        <v>34</v>
      </c>
      <c r="G1622" s="37"/>
      <c r="H1622" s="37">
        <f>COUNTIF('(参考)現行システム機能階層一覧'!$E$3:$E$1048576,sheet1!B1622)</f>
        <v>1</v>
      </c>
      <c r="I1622" s="37"/>
      <c r="J1622" s="37"/>
      <c r="K1622" s="37"/>
      <c r="L1622" s="37"/>
    </row>
    <row r="1623" spans="1:12" ht="15.75" customHeight="1">
      <c r="A1623" s="87" t="s">
        <v>3935</v>
      </c>
      <c r="B1623" s="87" t="s">
        <v>1391</v>
      </c>
      <c r="C1623" s="87" t="s">
        <v>6421</v>
      </c>
      <c r="D1623" s="88">
        <v>288</v>
      </c>
      <c r="E1623" s="85" t="s">
        <v>6330</v>
      </c>
      <c r="F1623" s="87">
        <v>9</v>
      </c>
      <c r="G1623" s="37"/>
      <c r="H1623" s="37">
        <f>COUNTIF('(参考)現行システム機能階層一覧'!$E$3:$E$1048576,sheet1!B1623)</f>
        <v>1</v>
      </c>
      <c r="I1623" s="37"/>
      <c r="J1623" s="37"/>
      <c r="K1623" s="37"/>
      <c r="L1623" s="37"/>
    </row>
    <row r="1624" spans="1:12" ht="15.75" customHeight="1">
      <c r="A1624" s="87" t="s">
        <v>3935</v>
      </c>
      <c r="B1624" s="87" t="s">
        <v>1176</v>
      </c>
      <c r="C1624" s="87" t="s">
        <v>6422</v>
      </c>
      <c r="D1624" s="88">
        <v>487</v>
      </c>
      <c r="E1624" s="85" t="s">
        <v>6330</v>
      </c>
      <c r="F1624" s="87">
        <v>4</v>
      </c>
      <c r="G1624" s="37"/>
      <c r="H1624" s="37">
        <f>COUNTIF('(参考)現行システム機能階層一覧'!$E$3:$E$1048576,sheet1!B1624)</f>
        <v>1</v>
      </c>
      <c r="I1624" s="37"/>
      <c r="J1624" s="37"/>
      <c r="K1624" s="37"/>
      <c r="L1624" s="37"/>
    </row>
    <row r="1625" spans="1:12" ht="15.75" customHeight="1">
      <c r="A1625" s="87" t="s">
        <v>3935</v>
      </c>
      <c r="B1625" s="87" t="s">
        <v>6423</v>
      </c>
      <c r="C1625" s="87" t="s">
        <v>6424</v>
      </c>
      <c r="D1625" s="88">
        <v>544</v>
      </c>
      <c r="E1625" s="85" t="s">
        <v>6330</v>
      </c>
      <c r="F1625" s="87">
        <v>1</v>
      </c>
      <c r="G1625" s="37"/>
      <c r="H1625" s="37">
        <f>COUNTIF('(参考)現行システム機能階層一覧'!$E$3:$E$1048576,sheet1!B1625)</f>
        <v>0</v>
      </c>
      <c r="I1625" s="37"/>
      <c r="J1625" s="37"/>
      <c r="K1625" s="37"/>
      <c r="L1625" s="37"/>
    </row>
    <row r="1626" spans="1:12" ht="15.75" customHeight="1">
      <c r="A1626" s="87" t="s">
        <v>3853</v>
      </c>
      <c r="B1626" s="87" t="s">
        <v>6425</v>
      </c>
      <c r="C1626" s="87" t="s">
        <v>6426</v>
      </c>
      <c r="D1626" s="88">
        <v>53</v>
      </c>
      <c r="E1626" s="85" t="s">
        <v>6330</v>
      </c>
      <c r="F1626" s="87">
        <v>1</v>
      </c>
      <c r="G1626" s="37"/>
      <c r="H1626" s="37">
        <f>COUNTIF('(参考)現行システム機能階層一覧'!$E$3:$E$1048576,sheet1!B1626)</f>
        <v>0</v>
      </c>
      <c r="I1626" s="37"/>
      <c r="J1626" s="37"/>
      <c r="K1626" s="37"/>
      <c r="L1626" s="37"/>
    </row>
    <row r="1627" spans="1:12" ht="15.75" customHeight="1">
      <c r="A1627" s="87" t="s">
        <v>3853</v>
      </c>
      <c r="B1627" s="87" t="s">
        <v>6427</v>
      </c>
      <c r="C1627" s="87" t="s">
        <v>6428</v>
      </c>
      <c r="D1627" s="88">
        <v>16</v>
      </c>
      <c r="E1627" s="85" t="s">
        <v>6330</v>
      </c>
      <c r="F1627" s="87">
        <v>1</v>
      </c>
      <c r="G1627" s="37"/>
      <c r="H1627" s="37">
        <f>COUNTIF('(参考)現行システム機能階層一覧'!$E$3:$E$1048576,sheet1!B1627)</f>
        <v>0</v>
      </c>
      <c r="I1627" s="37"/>
      <c r="J1627" s="37"/>
      <c r="K1627" s="37"/>
      <c r="L1627" s="37"/>
    </row>
    <row r="1628" spans="1:12" ht="15.75" customHeight="1">
      <c r="A1628" s="87" t="s">
        <v>3935</v>
      </c>
      <c r="B1628" s="87" t="s">
        <v>6429</v>
      </c>
      <c r="C1628" s="87" t="s">
        <v>6430</v>
      </c>
      <c r="D1628" s="88">
        <v>248</v>
      </c>
      <c r="E1628" s="85" t="s">
        <v>6330</v>
      </c>
      <c r="F1628" s="87">
        <v>1</v>
      </c>
      <c r="G1628" s="37"/>
      <c r="H1628" s="37">
        <f>COUNTIF('(参考)現行システム機能階層一覧'!$E$3:$E$1048576,sheet1!B1628)</f>
        <v>0</v>
      </c>
      <c r="I1628" s="37"/>
      <c r="J1628" s="37"/>
      <c r="K1628" s="37"/>
      <c r="L1628" s="37"/>
    </row>
    <row r="1629" spans="1:12" ht="15.75" customHeight="1">
      <c r="A1629" s="87" t="s">
        <v>3935</v>
      </c>
      <c r="B1629" s="87" t="s">
        <v>6431</v>
      </c>
      <c r="C1629" s="87" t="s">
        <v>6432</v>
      </c>
      <c r="D1629" s="88">
        <v>240</v>
      </c>
      <c r="E1629" s="85" t="s">
        <v>6330</v>
      </c>
      <c r="F1629" s="87">
        <v>1</v>
      </c>
      <c r="G1629" s="37"/>
      <c r="H1629" s="37">
        <f>COUNTIF('(参考)現行システム機能階層一覧'!$E$3:$E$1048576,sheet1!B1629)</f>
        <v>0</v>
      </c>
      <c r="I1629" s="37"/>
      <c r="J1629" s="37"/>
      <c r="K1629" s="37"/>
      <c r="L1629" s="37"/>
    </row>
    <row r="1630" spans="1:12" ht="15.75" customHeight="1">
      <c r="A1630" s="87" t="s">
        <v>3935</v>
      </c>
      <c r="B1630" s="87" t="s">
        <v>6433</v>
      </c>
      <c r="C1630" s="87" t="s">
        <v>6434</v>
      </c>
      <c r="D1630" s="88">
        <v>683</v>
      </c>
      <c r="E1630" s="85" t="s">
        <v>6330</v>
      </c>
      <c r="F1630" s="87">
        <v>1</v>
      </c>
      <c r="G1630" s="37"/>
      <c r="H1630" s="37">
        <f>COUNTIF('(参考)現行システム機能階層一覧'!$E$3:$E$1048576,sheet1!B1630)</f>
        <v>0</v>
      </c>
      <c r="I1630" s="37"/>
      <c r="J1630" s="37"/>
      <c r="K1630" s="37"/>
      <c r="L1630" s="37"/>
    </row>
    <row r="1631" spans="1:12" ht="15.75" customHeight="1">
      <c r="A1631" s="87" t="s">
        <v>3853</v>
      </c>
      <c r="B1631" s="87" t="s">
        <v>6435</v>
      </c>
      <c r="C1631" s="87" t="s">
        <v>6436</v>
      </c>
      <c r="D1631" s="88">
        <v>24</v>
      </c>
      <c r="E1631" s="85" t="s">
        <v>6330</v>
      </c>
      <c r="F1631" s="87">
        <v>1</v>
      </c>
      <c r="G1631" s="37"/>
      <c r="H1631" s="37">
        <f>COUNTIF('(参考)現行システム機能階層一覧'!$E$3:$E$1048576,sheet1!B1631)</f>
        <v>0</v>
      </c>
      <c r="I1631" s="37"/>
      <c r="J1631" s="37"/>
      <c r="K1631" s="37"/>
      <c r="L1631" s="37"/>
    </row>
    <row r="1632" spans="1:12" ht="15.75" customHeight="1">
      <c r="A1632" s="87" t="s">
        <v>3935</v>
      </c>
      <c r="B1632" s="87" t="s">
        <v>6437</v>
      </c>
      <c r="C1632" s="87" t="s">
        <v>6438</v>
      </c>
      <c r="D1632" s="88">
        <v>379</v>
      </c>
      <c r="E1632" s="85" t="s">
        <v>6330</v>
      </c>
      <c r="F1632" s="87">
        <v>1</v>
      </c>
      <c r="G1632" s="37"/>
      <c r="H1632" s="37">
        <f>COUNTIF('(参考)現行システム機能階層一覧'!$E$3:$E$1048576,sheet1!B1632)</f>
        <v>0</v>
      </c>
      <c r="I1632" s="37"/>
      <c r="J1632" s="37"/>
      <c r="K1632" s="37"/>
      <c r="L1632" s="37"/>
    </row>
    <row r="1633" spans="1:12" ht="15.75" customHeight="1">
      <c r="A1633" s="87" t="s">
        <v>3935</v>
      </c>
      <c r="B1633" s="87" t="s">
        <v>6439</v>
      </c>
      <c r="C1633" s="87" t="s">
        <v>6440</v>
      </c>
      <c r="D1633" s="88">
        <v>242</v>
      </c>
      <c r="E1633" s="85" t="s">
        <v>6330</v>
      </c>
      <c r="F1633" s="87">
        <v>1</v>
      </c>
      <c r="G1633" s="37"/>
      <c r="H1633" s="37">
        <f>COUNTIF('(参考)現行システム機能階層一覧'!$E$3:$E$1048576,sheet1!B1633)</f>
        <v>0</v>
      </c>
      <c r="I1633" s="37"/>
      <c r="J1633" s="37"/>
      <c r="K1633" s="37"/>
      <c r="L1633" s="37"/>
    </row>
    <row r="1634" spans="1:12" ht="15.75" customHeight="1">
      <c r="A1634" s="87" t="s">
        <v>3935</v>
      </c>
      <c r="B1634" s="87" t="s">
        <v>6441</v>
      </c>
      <c r="C1634" s="87" t="s">
        <v>6442</v>
      </c>
      <c r="D1634" s="88">
        <v>293</v>
      </c>
      <c r="E1634" s="85" t="s">
        <v>6330</v>
      </c>
      <c r="F1634" s="87">
        <v>1</v>
      </c>
      <c r="G1634" s="37"/>
      <c r="H1634" s="37">
        <f>COUNTIF('(参考)現行システム機能階層一覧'!$E$3:$E$1048576,sheet1!B1634)</f>
        <v>0</v>
      </c>
      <c r="I1634" s="37"/>
      <c r="J1634" s="37"/>
      <c r="K1634" s="37"/>
      <c r="L1634" s="37"/>
    </row>
    <row r="1635" spans="1:12" ht="15.75" customHeight="1">
      <c r="A1635" s="87" t="s">
        <v>3935</v>
      </c>
      <c r="B1635" s="87" t="s">
        <v>6443</v>
      </c>
      <c r="C1635" s="87" t="s">
        <v>6444</v>
      </c>
      <c r="D1635" s="88">
        <v>321</v>
      </c>
      <c r="E1635" s="85" t="s">
        <v>6330</v>
      </c>
      <c r="F1635" s="87">
        <v>1</v>
      </c>
      <c r="G1635" s="37"/>
      <c r="H1635" s="37">
        <f>COUNTIF('(参考)現行システム機能階層一覧'!$E$3:$E$1048576,sheet1!B1635)</f>
        <v>0</v>
      </c>
      <c r="I1635" s="37"/>
      <c r="J1635" s="37"/>
      <c r="K1635" s="37"/>
      <c r="L1635" s="37"/>
    </row>
    <row r="1636" spans="1:12" ht="15.75" customHeight="1">
      <c r="A1636" s="87" t="s">
        <v>3853</v>
      </c>
      <c r="B1636" s="87" t="s">
        <v>6445</v>
      </c>
      <c r="C1636" s="87" t="s">
        <v>6444</v>
      </c>
      <c r="D1636" s="88">
        <v>20</v>
      </c>
      <c r="E1636" s="85" t="s">
        <v>6330</v>
      </c>
      <c r="F1636" s="87">
        <v>1</v>
      </c>
      <c r="G1636" s="37"/>
      <c r="H1636" s="37">
        <f>COUNTIF('(参考)現行システム機能階層一覧'!$E$3:$E$1048576,sheet1!B1636)</f>
        <v>0</v>
      </c>
      <c r="I1636" s="37"/>
      <c r="J1636" s="37"/>
      <c r="K1636" s="37"/>
      <c r="L1636" s="37"/>
    </row>
    <row r="1637" spans="1:12" ht="15.75" customHeight="1">
      <c r="A1637" s="87" t="s">
        <v>3935</v>
      </c>
      <c r="B1637" s="87" t="s">
        <v>1127</v>
      </c>
      <c r="C1637" s="87" t="s">
        <v>6446</v>
      </c>
      <c r="D1637" s="88">
        <v>529</v>
      </c>
      <c r="E1637" s="85" t="s">
        <v>6330</v>
      </c>
      <c r="F1637" s="87">
        <v>16</v>
      </c>
      <c r="G1637" s="37"/>
      <c r="H1637" s="37">
        <f>COUNTIF('(参考)現行システム機能階層一覧'!$E$3:$E$1048576,sheet1!B1637)</f>
        <v>1</v>
      </c>
      <c r="I1637" s="37"/>
      <c r="J1637" s="37"/>
      <c r="K1637" s="37"/>
      <c r="L1637" s="37"/>
    </row>
    <row r="1638" spans="1:12" ht="15.75" customHeight="1">
      <c r="A1638" s="87" t="s">
        <v>3935</v>
      </c>
      <c r="B1638" s="87" t="s">
        <v>3727</v>
      </c>
      <c r="C1638" s="87" t="s">
        <v>6447</v>
      </c>
      <c r="D1638" s="88">
        <v>408</v>
      </c>
      <c r="E1638" s="85" t="s">
        <v>6330</v>
      </c>
      <c r="F1638" s="87">
        <v>515</v>
      </c>
      <c r="G1638" s="37"/>
      <c r="H1638" s="37">
        <f>COUNTIF('(参考)現行システム機能階層一覧'!$E$3:$E$1048576,sheet1!B1638)</f>
        <v>1</v>
      </c>
      <c r="I1638" s="37"/>
      <c r="J1638" s="37"/>
      <c r="K1638" s="37"/>
      <c r="L1638" s="37"/>
    </row>
    <row r="1639" spans="1:12" ht="15.75" customHeight="1">
      <c r="A1639" s="87" t="s">
        <v>3935</v>
      </c>
      <c r="B1639" s="87" t="s">
        <v>6448</v>
      </c>
      <c r="C1639" s="87" t="s">
        <v>6449</v>
      </c>
      <c r="D1639" s="88">
        <v>218</v>
      </c>
      <c r="E1639" s="85" t="s">
        <v>6330</v>
      </c>
      <c r="F1639" s="87">
        <v>202</v>
      </c>
      <c r="G1639" s="37"/>
      <c r="H1639" s="37">
        <f>COUNTIF('(参考)現行システム機能階層一覧'!$E$3:$E$1048576,sheet1!B1639)</f>
        <v>0</v>
      </c>
      <c r="I1639" s="37"/>
      <c r="J1639" s="37"/>
      <c r="K1639" s="37"/>
      <c r="L1639" s="37"/>
    </row>
    <row r="1640" spans="1:12" ht="15.75" customHeight="1">
      <c r="A1640" s="87" t="s">
        <v>3853</v>
      </c>
      <c r="B1640" s="87" t="s">
        <v>6450</v>
      </c>
      <c r="C1640" s="87" t="s">
        <v>6451</v>
      </c>
      <c r="D1640" s="88">
        <v>18</v>
      </c>
      <c r="E1640" s="85" t="s">
        <v>6330</v>
      </c>
      <c r="F1640" s="87">
        <v>202</v>
      </c>
      <c r="G1640" s="37"/>
      <c r="H1640" s="37">
        <f>COUNTIF('(参考)現行システム機能階層一覧'!$E$3:$E$1048576,sheet1!B1640)</f>
        <v>0</v>
      </c>
      <c r="I1640" s="37"/>
      <c r="J1640" s="37"/>
      <c r="K1640" s="37"/>
      <c r="L1640" s="37"/>
    </row>
    <row r="1641" spans="1:12" ht="15.75" customHeight="1">
      <c r="A1641" s="87" t="s">
        <v>3935</v>
      </c>
      <c r="B1641" s="87" t="s">
        <v>6452</v>
      </c>
      <c r="C1641" s="87" t="s">
        <v>6453</v>
      </c>
      <c r="D1641" s="88">
        <v>123</v>
      </c>
      <c r="E1641" s="85" t="s">
        <v>6330</v>
      </c>
      <c r="F1641" s="87">
        <v>186</v>
      </c>
      <c r="G1641" s="37"/>
      <c r="H1641" s="37">
        <f>COUNTIF('(参考)現行システム機能階層一覧'!$E$3:$E$1048576,sheet1!B1641)</f>
        <v>0</v>
      </c>
      <c r="I1641" s="37"/>
      <c r="J1641" s="37"/>
      <c r="K1641" s="37"/>
      <c r="L1641" s="37"/>
    </row>
    <row r="1642" spans="1:12" ht="15.75" customHeight="1">
      <c r="A1642" s="87" t="s">
        <v>3935</v>
      </c>
      <c r="B1642" s="87" t="s">
        <v>1148</v>
      </c>
      <c r="C1642" s="87" t="s">
        <v>6454</v>
      </c>
      <c r="D1642" s="88">
        <v>484</v>
      </c>
      <c r="E1642" s="85" t="s">
        <v>6330</v>
      </c>
      <c r="F1642" s="87">
        <v>1337</v>
      </c>
      <c r="G1642" s="37"/>
      <c r="H1642" s="37">
        <f>COUNTIF('(参考)現行システム機能階層一覧'!$E$3:$E$1048576,sheet1!B1642)</f>
        <v>1</v>
      </c>
      <c r="I1642" s="37"/>
      <c r="J1642" s="37"/>
      <c r="K1642" s="37"/>
      <c r="L1642" s="37"/>
    </row>
    <row r="1643" spans="1:12" ht="15.75" customHeight="1">
      <c r="A1643" s="87" t="s">
        <v>3853</v>
      </c>
      <c r="B1643" s="87" t="s">
        <v>6455</v>
      </c>
      <c r="C1643" s="87" t="s">
        <v>6456</v>
      </c>
      <c r="D1643" s="88">
        <v>53</v>
      </c>
      <c r="E1643" s="85" t="s">
        <v>6330</v>
      </c>
      <c r="F1643" s="87">
        <v>1337</v>
      </c>
      <c r="G1643" s="37"/>
      <c r="H1643" s="37">
        <f>COUNTIF('(参考)現行システム機能階層一覧'!$E$3:$E$1048576,sheet1!B1643)</f>
        <v>0</v>
      </c>
      <c r="I1643" s="37"/>
      <c r="J1643" s="37"/>
      <c r="K1643" s="37"/>
      <c r="L1643" s="37"/>
    </row>
    <row r="1644" spans="1:12" ht="15.75" customHeight="1">
      <c r="A1644" s="87" t="s">
        <v>3935</v>
      </c>
      <c r="B1644" s="87" t="s">
        <v>6457</v>
      </c>
      <c r="C1644" s="87" t="s">
        <v>6458</v>
      </c>
      <c r="D1644" s="88">
        <v>717</v>
      </c>
      <c r="E1644" s="85" t="s">
        <v>6330</v>
      </c>
      <c r="F1644" s="87">
        <v>1070</v>
      </c>
      <c r="G1644" s="37"/>
      <c r="H1644" s="37">
        <f>COUNTIF('(参考)現行システム機能階層一覧'!$E$3:$E$1048576,sheet1!B1644)</f>
        <v>0</v>
      </c>
      <c r="I1644" s="37"/>
      <c r="J1644" s="37"/>
      <c r="K1644" s="37"/>
      <c r="L1644" s="37"/>
    </row>
    <row r="1645" spans="1:12" ht="15.75" customHeight="1">
      <c r="A1645" s="87" t="s">
        <v>3935</v>
      </c>
      <c r="B1645" s="87" t="s">
        <v>6459</v>
      </c>
      <c r="C1645" s="87" t="s">
        <v>6460</v>
      </c>
      <c r="D1645" s="88">
        <v>1431</v>
      </c>
      <c r="E1645" s="85" t="s">
        <v>6330</v>
      </c>
      <c r="F1645" s="87">
        <v>1341</v>
      </c>
      <c r="G1645" s="37"/>
      <c r="H1645" s="37">
        <f>COUNTIF('(参考)現行システム機能階層一覧'!$E$3:$E$1048576,sheet1!B1645)</f>
        <v>0</v>
      </c>
      <c r="I1645" s="37"/>
      <c r="J1645" s="37"/>
      <c r="K1645" s="37"/>
      <c r="L1645" s="37"/>
    </row>
    <row r="1646" spans="1:12" ht="15.75" customHeight="1">
      <c r="A1646" s="87" t="s">
        <v>3853</v>
      </c>
      <c r="B1646" s="87" t="s">
        <v>6461</v>
      </c>
      <c r="C1646" s="87" t="s">
        <v>6462</v>
      </c>
      <c r="D1646" s="88">
        <v>23</v>
      </c>
      <c r="E1646" s="85" t="s">
        <v>6330</v>
      </c>
      <c r="F1646" s="87">
        <v>1343</v>
      </c>
      <c r="G1646" s="37"/>
      <c r="H1646" s="37">
        <f>COUNTIF('(参考)現行システム機能階層一覧'!$E$3:$E$1048576,sheet1!B1646)</f>
        <v>0</v>
      </c>
      <c r="I1646" s="37"/>
      <c r="J1646" s="37"/>
      <c r="K1646" s="37"/>
      <c r="L1646" s="37"/>
    </row>
    <row r="1647" spans="1:12" ht="15.75" customHeight="1">
      <c r="A1647" s="87" t="s">
        <v>3935</v>
      </c>
      <c r="B1647" s="87" t="s">
        <v>6463</v>
      </c>
      <c r="C1647" s="87" t="s">
        <v>6464</v>
      </c>
      <c r="D1647" s="88">
        <v>78</v>
      </c>
      <c r="E1647" s="85" t="s">
        <v>6330</v>
      </c>
      <c r="F1647" s="87">
        <v>1328</v>
      </c>
      <c r="G1647" s="37"/>
      <c r="H1647" s="37">
        <f>COUNTIF('(参考)現行システム機能階層一覧'!$E$3:$E$1048576,sheet1!B1647)</f>
        <v>0</v>
      </c>
      <c r="I1647" s="37"/>
      <c r="J1647" s="37"/>
      <c r="K1647" s="37"/>
      <c r="L1647" s="37"/>
    </row>
    <row r="1648" spans="1:12" ht="15.75" customHeight="1">
      <c r="A1648" s="87" t="s">
        <v>3935</v>
      </c>
      <c r="B1648" s="87" t="s">
        <v>6465</v>
      </c>
      <c r="C1648" s="87" t="s">
        <v>6466</v>
      </c>
      <c r="D1648" s="88">
        <v>1986</v>
      </c>
      <c r="E1648" s="85" t="s">
        <v>6330</v>
      </c>
      <c r="F1648" s="87">
        <v>1307</v>
      </c>
      <c r="G1648" s="37"/>
      <c r="H1648" s="37">
        <f>COUNTIF('(参考)現行システム機能階層一覧'!$E$3:$E$1048576,sheet1!B1648)</f>
        <v>0</v>
      </c>
      <c r="I1648" s="37"/>
      <c r="J1648" s="37"/>
      <c r="K1648" s="37"/>
      <c r="L1648" s="37"/>
    </row>
    <row r="1649" spans="1:12" ht="15.75" customHeight="1">
      <c r="A1649" s="87" t="s">
        <v>3935</v>
      </c>
      <c r="B1649" s="87" t="s">
        <v>6467</v>
      </c>
      <c r="C1649" s="87" t="s">
        <v>6468</v>
      </c>
      <c r="D1649" s="88">
        <v>1265</v>
      </c>
      <c r="E1649" s="85" t="s">
        <v>6330</v>
      </c>
      <c r="F1649" s="87">
        <v>1279</v>
      </c>
      <c r="G1649" s="37"/>
      <c r="H1649" s="37">
        <f>COUNTIF('(参考)現行システム機能階層一覧'!$E$3:$E$1048576,sheet1!B1649)</f>
        <v>0</v>
      </c>
      <c r="I1649" s="37"/>
      <c r="J1649" s="37"/>
      <c r="K1649" s="37"/>
      <c r="L1649" s="37"/>
    </row>
    <row r="1650" spans="1:12" ht="15.75" customHeight="1">
      <c r="A1650" s="87" t="s">
        <v>3935</v>
      </c>
      <c r="B1650" s="87" t="s">
        <v>6469</v>
      </c>
      <c r="C1650" s="87" t="s">
        <v>6470</v>
      </c>
      <c r="D1650" s="88">
        <v>2555</v>
      </c>
      <c r="E1650" s="85" t="s">
        <v>6330</v>
      </c>
      <c r="F1650" s="87">
        <v>1272</v>
      </c>
      <c r="G1650" s="37"/>
      <c r="H1650" s="37">
        <f>COUNTIF('(参考)現行システム機能階層一覧'!$E$3:$E$1048576,sheet1!B1650)</f>
        <v>0</v>
      </c>
      <c r="I1650" s="37"/>
      <c r="J1650" s="37"/>
      <c r="K1650" s="37"/>
      <c r="L1650" s="37"/>
    </row>
    <row r="1651" spans="1:12" ht="15.75" customHeight="1">
      <c r="A1651" s="87" t="s">
        <v>3935</v>
      </c>
      <c r="B1651" s="87" t="s">
        <v>6471</v>
      </c>
      <c r="C1651" s="87" t="s">
        <v>6472</v>
      </c>
      <c r="D1651" s="88">
        <v>1590</v>
      </c>
      <c r="E1651" s="85" t="s">
        <v>6330</v>
      </c>
      <c r="F1651" s="87">
        <v>847</v>
      </c>
      <c r="G1651" s="37"/>
      <c r="H1651" s="37">
        <f>COUNTIF('(参考)現行システム機能階層一覧'!$E$3:$E$1048576,sheet1!B1651)</f>
        <v>0</v>
      </c>
      <c r="I1651" s="37"/>
      <c r="J1651" s="37"/>
      <c r="K1651" s="37"/>
      <c r="L1651" s="37"/>
    </row>
    <row r="1652" spans="1:12" ht="15.75" customHeight="1">
      <c r="A1652" s="87" t="s">
        <v>3935</v>
      </c>
      <c r="B1652" s="87" t="s">
        <v>6473</v>
      </c>
      <c r="C1652" s="87" t="s">
        <v>6474</v>
      </c>
      <c r="D1652" s="88">
        <v>3360</v>
      </c>
      <c r="E1652" s="85" t="s">
        <v>6330</v>
      </c>
      <c r="F1652" s="87">
        <v>1232</v>
      </c>
      <c r="G1652" s="37"/>
      <c r="H1652" s="37">
        <f>COUNTIF('(参考)現行システム機能階層一覧'!$E$3:$E$1048576,sheet1!B1652)</f>
        <v>0</v>
      </c>
      <c r="I1652" s="37"/>
      <c r="J1652" s="37"/>
      <c r="K1652" s="37"/>
      <c r="L1652" s="37"/>
    </row>
    <row r="1653" spans="1:12" ht="15.75" customHeight="1">
      <c r="A1653" s="87" t="s">
        <v>3935</v>
      </c>
      <c r="B1653" s="87" t="s">
        <v>6475</v>
      </c>
      <c r="C1653" s="87" t="s">
        <v>6476</v>
      </c>
      <c r="D1653" s="88">
        <v>674</v>
      </c>
      <c r="E1653" s="85" t="s">
        <v>6330</v>
      </c>
      <c r="F1653" s="87">
        <v>1332</v>
      </c>
      <c r="G1653" s="37"/>
      <c r="H1653" s="37">
        <f>COUNTIF('(参考)現行システム機能階層一覧'!$E$3:$E$1048576,sheet1!B1653)</f>
        <v>0</v>
      </c>
      <c r="I1653" s="37"/>
      <c r="J1653" s="37"/>
      <c r="K1653" s="37"/>
      <c r="L1653" s="37"/>
    </row>
    <row r="1654" spans="1:12" ht="15.75" customHeight="1">
      <c r="A1654" s="87" t="s">
        <v>3935</v>
      </c>
      <c r="B1654" s="87" t="s">
        <v>1151</v>
      </c>
      <c r="C1654" s="87" t="s">
        <v>6477</v>
      </c>
      <c r="D1654" s="88">
        <v>1563</v>
      </c>
      <c r="E1654" s="85" t="s">
        <v>6330</v>
      </c>
      <c r="F1654" s="87">
        <v>1259</v>
      </c>
      <c r="G1654" s="37"/>
      <c r="H1654" s="37">
        <f>COUNTIF('(参考)現行システム機能階層一覧'!$E$3:$E$1048576,sheet1!B1654)</f>
        <v>1</v>
      </c>
      <c r="I1654" s="37"/>
      <c r="J1654" s="37"/>
      <c r="K1654" s="37"/>
      <c r="L1654" s="37"/>
    </row>
    <row r="1655" spans="1:12" ht="15.75" customHeight="1">
      <c r="A1655" s="87" t="s">
        <v>3853</v>
      </c>
      <c r="B1655" s="87" t="s">
        <v>6478</v>
      </c>
      <c r="C1655" s="87" t="s">
        <v>6479</v>
      </c>
      <c r="D1655" s="88">
        <v>58</v>
      </c>
      <c r="E1655" s="85" t="s">
        <v>6330</v>
      </c>
      <c r="F1655" s="87">
        <v>1260</v>
      </c>
      <c r="G1655" s="37"/>
      <c r="H1655" s="37">
        <f>COUNTIF('(参考)現行システム機能階層一覧'!$E$3:$E$1048576,sheet1!B1655)</f>
        <v>0</v>
      </c>
      <c r="I1655" s="37"/>
      <c r="J1655" s="37"/>
      <c r="K1655" s="37"/>
      <c r="L1655" s="37"/>
    </row>
    <row r="1656" spans="1:12" ht="15.75" customHeight="1">
      <c r="A1656" s="87" t="s">
        <v>3935</v>
      </c>
      <c r="B1656" s="87" t="s">
        <v>6480</v>
      </c>
      <c r="C1656" s="87" t="s">
        <v>6481</v>
      </c>
      <c r="D1656" s="88">
        <v>1868</v>
      </c>
      <c r="E1656" s="85" t="s">
        <v>6330</v>
      </c>
      <c r="F1656" s="87">
        <v>84</v>
      </c>
      <c r="G1656" s="37"/>
      <c r="H1656" s="37">
        <f>COUNTIF('(参考)現行システム機能階層一覧'!$E$3:$E$1048576,sheet1!B1656)</f>
        <v>0</v>
      </c>
      <c r="I1656" s="37"/>
      <c r="J1656" s="37"/>
      <c r="K1656" s="37"/>
      <c r="L1656" s="37"/>
    </row>
    <row r="1657" spans="1:12" ht="15.75" customHeight="1">
      <c r="A1657" s="87" t="s">
        <v>3853</v>
      </c>
      <c r="B1657" s="87" t="s">
        <v>6482</v>
      </c>
      <c r="C1657" s="87" t="s">
        <v>6483</v>
      </c>
      <c r="D1657" s="88">
        <v>17</v>
      </c>
      <c r="E1657" s="85" t="s">
        <v>6330</v>
      </c>
      <c r="F1657" s="87">
        <v>1255</v>
      </c>
      <c r="G1657" s="37"/>
      <c r="H1657" s="37">
        <f>COUNTIF('(参考)現行システム機能階層一覧'!$E$3:$E$1048576,sheet1!B1657)</f>
        <v>0</v>
      </c>
      <c r="I1657" s="37"/>
      <c r="J1657" s="37"/>
      <c r="K1657" s="37"/>
      <c r="L1657" s="37"/>
    </row>
    <row r="1658" spans="1:12" ht="15.75" customHeight="1">
      <c r="A1658" s="87" t="s">
        <v>3935</v>
      </c>
      <c r="B1658" s="87" t="s">
        <v>1154</v>
      </c>
      <c r="C1658" s="87" t="s">
        <v>6484</v>
      </c>
      <c r="D1658" s="88">
        <v>1516</v>
      </c>
      <c r="E1658" s="85" t="s">
        <v>6330</v>
      </c>
      <c r="F1658" s="87">
        <v>654</v>
      </c>
      <c r="G1658" s="37"/>
      <c r="H1658" s="37">
        <f>COUNTIF('(参考)現行システム機能階層一覧'!$E$3:$E$1048576,sheet1!B1658)</f>
        <v>1</v>
      </c>
      <c r="I1658" s="37"/>
      <c r="J1658" s="37"/>
      <c r="K1658" s="37"/>
      <c r="L1658" s="37"/>
    </row>
    <row r="1659" spans="1:12" ht="15.75" customHeight="1">
      <c r="A1659" s="87" t="s">
        <v>3853</v>
      </c>
      <c r="B1659" s="87" t="s">
        <v>6485</v>
      </c>
      <c r="C1659" s="87" t="s">
        <v>6486</v>
      </c>
      <c r="D1659" s="88">
        <v>14</v>
      </c>
      <c r="E1659" s="85" t="s">
        <v>6330</v>
      </c>
      <c r="F1659" s="87">
        <v>1316</v>
      </c>
      <c r="G1659" s="37"/>
      <c r="H1659" s="37">
        <f>COUNTIF('(参考)現行システム機能階層一覧'!$E$3:$E$1048576,sheet1!B1659)</f>
        <v>0</v>
      </c>
      <c r="I1659" s="37"/>
      <c r="J1659" s="37"/>
      <c r="K1659" s="37"/>
      <c r="L1659" s="37"/>
    </row>
    <row r="1660" spans="1:12" ht="15.75" customHeight="1">
      <c r="A1660" s="87" t="s">
        <v>3935</v>
      </c>
      <c r="B1660" s="87" t="s">
        <v>6487</v>
      </c>
      <c r="C1660" s="87" t="s">
        <v>6488</v>
      </c>
      <c r="D1660" s="88">
        <v>184</v>
      </c>
      <c r="E1660" s="85" t="s">
        <v>6330</v>
      </c>
      <c r="F1660" s="87">
        <v>1380</v>
      </c>
      <c r="G1660" s="37"/>
      <c r="H1660" s="37">
        <f>COUNTIF('(参考)現行システム機能階層一覧'!$E$3:$E$1048576,sheet1!B1660)</f>
        <v>0</v>
      </c>
      <c r="I1660" s="37"/>
      <c r="J1660" s="37"/>
      <c r="K1660" s="37"/>
      <c r="L1660" s="37"/>
    </row>
    <row r="1661" spans="1:12" ht="15.75" customHeight="1">
      <c r="A1661" s="87" t="s">
        <v>3935</v>
      </c>
      <c r="B1661" s="87" t="s">
        <v>6489</v>
      </c>
      <c r="C1661" s="87" t="s">
        <v>6490</v>
      </c>
      <c r="D1661" s="88">
        <v>69</v>
      </c>
      <c r="E1661" s="85" t="s">
        <v>6330</v>
      </c>
      <c r="F1661" s="87">
        <v>1350</v>
      </c>
      <c r="G1661" s="37"/>
      <c r="H1661" s="37">
        <f>COUNTIF('(参考)現行システム機能階層一覧'!$E$3:$E$1048576,sheet1!B1661)</f>
        <v>0</v>
      </c>
      <c r="I1661" s="37"/>
      <c r="J1661" s="37"/>
      <c r="K1661" s="37"/>
      <c r="L1661" s="37"/>
    </row>
    <row r="1662" spans="1:12" ht="15.75" customHeight="1">
      <c r="A1662" s="87" t="s">
        <v>3853</v>
      </c>
      <c r="B1662" s="87" t="s">
        <v>6491</v>
      </c>
      <c r="C1662" s="87" t="s">
        <v>6492</v>
      </c>
      <c r="D1662" s="88">
        <v>64</v>
      </c>
      <c r="E1662" s="85" t="s">
        <v>6330</v>
      </c>
      <c r="F1662" s="87">
        <v>1315</v>
      </c>
      <c r="G1662" s="37"/>
      <c r="H1662" s="37">
        <f>COUNTIF('(参考)現行システム機能階層一覧'!$E$3:$E$1048576,sheet1!B1662)</f>
        <v>0</v>
      </c>
      <c r="I1662" s="37"/>
      <c r="J1662" s="37"/>
      <c r="K1662" s="37"/>
      <c r="L1662" s="37"/>
    </row>
    <row r="1663" spans="1:12" ht="15.75" customHeight="1">
      <c r="A1663" s="87" t="s">
        <v>3935</v>
      </c>
      <c r="B1663" s="87" t="s">
        <v>6493</v>
      </c>
      <c r="C1663" s="87" t="s">
        <v>6494</v>
      </c>
      <c r="D1663" s="88">
        <v>1960</v>
      </c>
      <c r="E1663" s="85" t="s">
        <v>6330</v>
      </c>
      <c r="F1663" s="87">
        <v>1004</v>
      </c>
      <c r="G1663" s="37"/>
      <c r="H1663" s="37">
        <f>COUNTIF('(参考)現行システム機能階層一覧'!$E$3:$E$1048576,sheet1!B1663)</f>
        <v>0</v>
      </c>
      <c r="I1663" s="37"/>
      <c r="J1663" s="37"/>
      <c r="K1663" s="37"/>
      <c r="L1663" s="37"/>
    </row>
    <row r="1664" spans="1:12" ht="15.75" customHeight="1">
      <c r="A1664" s="87" t="s">
        <v>3853</v>
      </c>
      <c r="B1664" s="87" t="s">
        <v>6495</v>
      </c>
      <c r="C1664" s="87" t="s">
        <v>6494</v>
      </c>
      <c r="D1664" s="88">
        <v>16</v>
      </c>
      <c r="E1664" s="85" t="s">
        <v>6330</v>
      </c>
      <c r="F1664" s="87">
        <v>1018</v>
      </c>
      <c r="G1664" s="37"/>
      <c r="H1664" s="37">
        <f>COUNTIF('(参考)現行システム機能階層一覧'!$E$3:$E$1048576,sheet1!B1664)</f>
        <v>0</v>
      </c>
      <c r="I1664" s="37"/>
      <c r="J1664" s="37"/>
      <c r="K1664" s="37"/>
      <c r="L1664" s="37"/>
    </row>
    <row r="1665" spans="1:12" ht="15.75" customHeight="1">
      <c r="A1665" s="87" t="s">
        <v>3935</v>
      </c>
      <c r="B1665" s="87" t="s">
        <v>6496</v>
      </c>
      <c r="C1665" s="87" t="s">
        <v>6497</v>
      </c>
      <c r="D1665" s="88">
        <v>363</v>
      </c>
      <c r="E1665" s="85" t="s">
        <v>6330</v>
      </c>
      <c r="F1665" s="87">
        <v>315</v>
      </c>
      <c r="G1665" s="37"/>
      <c r="H1665" s="37">
        <f>COUNTIF('(参考)現行システム機能階層一覧'!$E$3:$E$1048576,sheet1!B1665)</f>
        <v>0</v>
      </c>
      <c r="I1665" s="37"/>
      <c r="J1665" s="37"/>
      <c r="K1665" s="37"/>
      <c r="L1665" s="37"/>
    </row>
    <row r="1666" spans="1:12" ht="15.75" customHeight="1">
      <c r="A1666" s="87" t="s">
        <v>3935</v>
      </c>
      <c r="B1666" s="87" t="s">
        <v>3309</v>
      </c>
      <c r="C1666" s="87" t="s">
        <v>6498</v>
      </c>
      <c r="D1666" s="88">
        <v>449</v>
      </c>
      <c r="E1666" s="85" t="s">
        <v>6330</v>
      </c>
      <c r="F1666" s="87">
        <v>98</v>
      </c>
      <c r="G1666" s="37"/>
      <c r="H1666" s="37">
        <f>COUNTIF('(参考)現行システム機能階層一覧'!$E$3:$E$1048576,sheet1!B1666)</f>
        <v>1</v>
      </c>
      <c r="I1666" s="37"/>
      <c r="J1666" s="37"/>
      <c r="K1666" s="37"/>
      <c r="L1666" s="37"/>
    </row>
    <row r="1667" spans="1:12" ht="15.75" customHeight="1">
      <c r="A1667" s="87" t="s">
        <v>3935</v>
      </c>
      <c r="B1667" s="87" t="s">
        <v>6499</v>
      </c>
      <c r="C1667" s="87" t="s">
        <v>6500</v>
      </c>
      <c r="D1667" s="88">
        <v>328</v>
      </c>
      <c r="E1667" s="85" t="s">
        <v>6330</v>
      </c>
      <c r="F1667" s="87">
        <v>20</v>
      </c>
      <c r="G1667" s="37"/>
      <c r="H1667" s="37">
        <f>COUNTIF('(参考)現行システム機能階層一覧'!$E$3:$E$1048576,sheet1!B1667)</f>
        <v>0</v>
      </c>
      <c r="I1667" s="37"/>
      <c r="J1667" s="37"/>
      <c r="K1667" s="37"/>
      <c r="L1667" s="37"/>
    </row>
    <row r="1668" spans="1:12" ht="15.75" customHeight="1">
      <c r="A1668" s="87" t="s">
        <v>3935</v>
      </c>
      <c r="B1668" s="87" t="s">
        <v>6501</v>
      </c>
      <c r="C1668" s="87" t="s">
        <v>6502</v>
      </c>
      <c r="D1668" s="88">
        <v>350</v>
      </c>
      <c r="E1668" s="85" t="s">
        <v>6330</v>
      </c>
      <c r="F1668" s="87">
        <v>2</v>
      </c>
      <c r="G1668" s="37"/>
      <c r="H1668" s="37">
        <f>COUNTIF('(参考)現行システム機能階層一覧'!$E$3:$E$1048576,sheet1!B1668)</f>
        <v>0</v>
      </c>
      <c r="I1668" s="37"/>
      <c r="J1668" s="37"/>
      <c r="K1668" s="37"/>
      <c r="L1668" s="37"/>
    </row>
    <row r="1669" spans="1:12" ht="15.75" customHeight="1">
      <c r="A1669" s="87" t="s">
        <v>3935</v>
      </c>
      <c r="B1669" s="87" t="s">
        <v>1197</v>
      </c>
      <c r="C1669" s="87" t="s">
        <v>6503</v>
      </c>
      <c r="D1669" s="88">
        <v>516</v>
      </c>
      <c r="E1669" s="85" t="s">
        <v>6330</v>
      </c>
      <c r="F1669" s="87">
        <v>611</v>
      </c>
      <c r="G1669" s="37"/>
      <c r="H1669" s="37">
        <f>COUNTIF('(参考)現行システム機能階層一覧'!$E$3:$E$1048576,sheet1!B1669)</f>
        <v>2</v>
      </c>
      <c r="I1669" s="37"/>
      <c r="J1669" s="37"/>
      <c r="K1669" s="37"/>
      <c r="L1669" s="37"/>
    </row>
    <row r="1670" spans="1:12" ht="15.75" customHeight="1">
      <c r="A1670" s="87" t="s">
        <v>3935</v>
      </c>
      <c r="B1670" s="87" t="s">
        <v>1201</v>
      </c>
      <c r="C1670" s="87" t="s">
        <v>6504</v>
      </c>
      <c r="D1670" s="88">
        <v>723</v>
      </c>
      <c r="E1670" s="85" t="s">
        <v>6330</v>
      </c>
      <c r="F1670" s="87">
        <v>1409</v>
      </c>
      <c r="G1670" s="37"/>
      <c r="H1670" s="37">
        <f>COUNTIF('(参考)現行システム機能階層一覧'!$E$3:$E$1048576,sheet1!B1670)</f>
        <v>2</v>
      </c>
      <c r="I1670" s="37"/>
      <c r="J1670" s="37"/>
      <c r="K1670" s="37"/>
      <c r="L1670" s="37"/>
    </row>
    <row r="1671" spans="1:12" ht="15.75" customHeight="1">
      <c r="A1671" s="87" t="s">
        <v>3935</v>
      </c>
      <c r="B1671" s="87" t="s">
        <v>2388</v>
      </c>
      <c r="C1671" s="87" t="s">
        <v>6504</v>
      </c>
      <c r="D1671" s="88">
        <v>723</v>
      </c>
      <c r="E1671" s="85" t="s">
        <v>6330</v>
      </c>
      <c r="F1671" s="87">
        <v>13</v>
      </c>
      <c r="G1671" s="37"/>
      <c r="H1671" s="37">
        <f>COUNTIF('(参考)現行システム機能階層一覧'!$E$3:$E$1048576,sheet1!B1671)</f>
        <v>0</v>
      </c>
      <c r="I1671" s="37"/>
      <c r="J1671" s="37"/>
      <c r="K1671" s="37"/>
      <c r="L1671" s="37"/>
    </row>
    <row r="1672" spans="1:12" ht="15.75" customHeight="1">
      <c r="A1672" s="87" t="s">
        <v>3853</v>
      </c>
      <c r="B1672" s="87" t="s">
        <v>6505</v>
      </c>
      <c r="C1672" s="87" t="s">
        <v>6506</v>
      </c>
      <c r="D1672" s="88">
        <v>16</v>
      </c>
      <c r="E1672" s="85" t="s">
        <v>6330</v>
      </c>
      <c r="F1672" s="87">
        <v>1409</v>
      </c>
      <c r="G1672" s="37"/>
      <c r="H1672" s="37">
        <f>COUNTIF('(参考)現行システム機能階層一覧'!$E$3:$E$1048576,sheet1!B1672)</f>
        <v>0</v>
      </c>
      <c r="I1672" s="37"/>
      <c r="J1672" s="37"/>
      <c r="K1672" s="37"/>
      <c r="L1672" s="37"/>
    </row>
    <row r="1673" spans="1:12" ht="15.75" customHeight="1">
      <c r="A1673" s="87" t="s">
        <v>3853</v>
      </c>
      <c r="B1673" s="87" t="s">
        <v>6507</v>
      </c>
      <c r="C1673" s="87" t="s">
        <v>6506</v>
      </c>
      <c r="D1673" s="88">
        <v>16</v>
      </c>
      <c r="E1673" s="85" t="s">
        <v>6330</v>
      </c>
      <c r="F1673" s="87">
        <v>13</v>
      </c>
      <c r="G1673" s="37"/>
      <c r="H1673" s="37">
        <f>COUNTIF('(参考)現行システム機能階層一覧'!$E$3:$E$1048576,sheet1!B1673)</f>
        <v>0</v>
      </c>
      <c r="I1673" s="37"/>
      <c r="J1673" s="37"/>
      <c r="K1673" s="37"/>
      <c r="L1673" s="37"/>
    </row>
    <row r="1674" spans="1:12" ht="15.75" customHeight="1">
      <c r="A1674" s="87" t="s">
        <v>3853</v>
      </c>
      <c r="B1674" s="87" t="s">
        <v>6508</v>
      </c>
      <c r="C1674" s="87" t="s">
        <v>6509</v>
      </c>
      <c r="D1674" s="88">
        <v>178</v>
      </c>
      <c r="E1674" s="85" t="s">
        <v>6330</v>
      </c>
      <c r="F1674" s="87">
        <v>2</v>
      </c>
      <c r="G1674" s="37"/>
      <c r="H1674" s="37">
        <f>COUNTIF('(参考)現行システム機能階層一覧'!$E$3:$E$1048576,sheet1!B1674)</f>
        <v>0</v>
      </c>
      <c r="I1674" s="37"/>
      <c r="J1674" s="37"/>
      <c r="K1674" s="37"/>
      <c r="L1674" s="37"/>
    </row>
    <row r="1675" spans="1:12" ht="15.75" customHeight="1">
      <c r="A1675" s="87" t="s">
        <v>3853</v>
      </c>
      <c r="B1675" s="87" t="s">
        <v>6510</v>
      </c>
      <c r="C1675" s="87" t="s">
        <v>6511</v>
      </c>
      <c r="D1675" s="88">
        <v>183</v>
      </c>
      <c r="E1675" s="85" t="s">
        <v>6330</v>
      </c>
      <c r="F1675" s="87">
        <v>608</v>
      </c>
      <c r="G1675" s="37"/>
      <c r="H1675" s="37">
        <f>COUNTIF('(参考)現行システム機能階層一覧'!$E$3:$E$1048576,sheet1!B1675)</f>
        <v>0</v>
      </c>
      <c r="I1675" s="37"/>
      <c r="J1675" s="37"/>
      <c r="K1675" s="37"/>
      <c r="L1675" s="37"/>
    </row>
    <row r="1676" spans="1:12" ht="15.75" customHeight="1">
      <c r="A1676" s="87" t="s">
        <v>3853</v>
      </c>
      <c r="B1676" s="87" t="s">
        <v>6512</v>
      </c>
      <c r="C1676" s="87" t="s">
        <v>6511</v>
      </c>
      <c r="D1676" s="88">
        <v>139</v>
      </c>
      <c r="E1676" s="85" t="s">
        <v>6330</v>
      </c>
      <c r="F1676" s="87">
        <v>4</v>
      </c>
      <c r="G1676" s="37"/>
      <c r="H1676" s="37">
        <f>COUNTIF('(参考)現行システム機能階層一覧'!$E$3:$E$1048576,sheet1!B1676)</f>
        <v>0</v>
      </c>
      <c r="I1676" s="37"/>
      <c r="J1676" s="37"/>
      <c r="K1676" s="37"/>
      <c r="L1676" s="37"/>
    </row>
    <row r="1677" spans="1:12" ht="15.75" customHeight="1">
      <c r="A1677" s="87" t="s">
        <v>3935</v>
      </c>
      <c r="B1677" s="87" t="s">
        <v>6513</v>
      </c>
      <c r="C1677" s="87" t="s">
        <v>6514</v>
      </c>
      <c r="D1677" s="88">
        <v>1055</v>
      </c>
      <c r="E1677" s="85" t="s">
        <v>6330</v>
      </c>
      <c r="F1677" s="87">
        <v>1396</v>
      </c>
      <c r="G1677" s="37"/>
      <c r="H1677" s="37">
        <f>COUNTIF('(参考)現行システム機能階層一覧'!$E$3:$E$1048576,sheet1!B1677)</f>
        <v>0</v>
      </c>
      <c r="I1677" s="37"/>
      <c r="J1677" s="37"/>
      <c r="K1677" s="37"/>
      <c r="L1677" s="37"/>
    </row>
    <row r="1678" spans="1:12" ht="15.75" customHeight="1">
      <c r="A1678" s="87" t="s">
        <v>3935</v>
      </c>
      <c r="B1678" s="87" t="s">
        <v>6515</v>
      </c>
      <c r="C1678" s="87" t="s">
        <v>6514</v>
      </c>
      <c r="D1678" s="88">
        <v>1014</v>
      </c>
      <c r="E1678" s="85" t="s">
        <v>6330</v>
      </c>
      <c r="F1678" s="87">
        <v>4</v>
      </c>
      <c r="G1678" s="37"/>
      <c r="H1678" s="37">
        <f>COUNTIF('(参考)現行システム機能階層一覧'!$E$3:$E$1048576,sheet1!B1678)</f>
        <v>0</v>
      </c>
      <c r="I1678" s="37"/>
      <c r="J1678" s="37"/>
      <c r="K1678" s="37"/>
      <c r="L1678" s="37"/>
    </row>
    <row r="1679" spans="1:12" ht="15.75" customHeight="1">
      <c r="A1679" s="87" t="s">
        <v>3935</v>
      </c>
      <c r="B1679" s="87" t="s">
        <v>6516</v>
      </c>
      <c r="C1679" s="87" t="s">
        <v>6517</v>
      </c>
      <c r="D1679" s="88">
        <v>1064</v>
      </c>
      <c r="E1679" s="85" t="s">
        <v>6330</v>
      </c>
      <c r="F1679" s="87">
        <v>2</v>
      </c>
      <c r="G1679" s="37"/>
      <c r="H1679" s="37">
        <f>COUNTIF('(参考)現行システム機能階層一覧'!$E$3:$E$1048576,sheet1!B1679)</f>
        <v>0</v>
      </c>
      <c r="I1679" s="37"/>
      <c r="J1679" s="37"/>
      <c r="K1679" s="37"/>
      <c r="L1679" s="37"/>
    </row>
    <row r="1680" spans="1:12" ht="15.75" customHeight="1">
      <c r="A1680" s="87" t="s">
        <v>3935</v>
      </c>
      <c r="B1680" s="87" t="s">
        <v>6518</v>
      </c>
      <c r="C1680" s="87" t="s">
        <v>6519</v>
      </c>
      <c r="D1680" s="88">
        <v>724</v>
      </c>
      <c r="E1680" s="85" t="s">
        <v>6330</v>
      </c>
      <c r="F1680" s="87">
        <v>25</v>
      </c>
      <c r="G1680" s="37"/>
      <c r="H1680" s="37">
        <f>COUNTIF('(参考)現行システム機能階層一覧'!$E$3:$E$1048576,sheet1!B1680)</f>
        <v>0</v>
      </c>
      <c r="I1680" s="37"/>
      <c r="J1680" s="37"/>
      <c r="K1680" s="37"/>
      <c r="L1680" s="37"/>
    </row>
    <row r="1681" spans="1:12" ht="15.75" customHeight="1">
      <c r="A1681" s="87" t="s">
        <v>3853</v>
      </c>
      <c r="B1681" s="87" t="s">
        <v>6520</v>
      </c>
      <c r="C1681" s="87" t="s">
        <v>6521</v>
      </c>
      <c r="D1681" s="88">
        <v>19</v>
      </c>
      <c r="E1681" s="85" t="s">
        <v>6330</v>
      </c>
      <c r="F1681" s="87">
        <v>25</v>
      </c>
      <c r="G1681" s="37"/>
      <c r="H1681" s="37">
        <f>COUNTIF('(参考)現行システム機能階層一覧'!$E$3:$E$1048576,sheet1!B1681)</f>
        <v>0</v>
      </c>
      <c r="I1681" s="37"/>
      <c r="J1681" s="37"/>
      <c r="K1681" s="37"/>
      <c r="L1681" s="37"/>
    </row>
    <row r="1682" spans="1:12" ht="15.75" customHeight="1">
      <c r="A1682" s="87" t="s">
        <v>3935</v>
      </c>
      <c r="B1682" s="87" t="s">
        <v>6522</v>
      </c>
      <c r="C1682" s="87" t="s">
        <v>6523</v>
      </c>
      <c r="D1682" s="88">
        <v>333</v>
      </c>
      <c r="E1682" s="85" t="s">
        <v>6330</v>
      </c>
      <c r="F1682" s="87">
        <v>113</v>
      </c>
      <c r="G1682" s="37"/>
      <c r="H1682" s="37">
        <f>COUNTIF('(参考)現行システム機能階層一覧'!$E$3:$E$1048576,sheet1!B1682)</f>
        <v>0</v>
      </c>
      <c r="I1682" s="37"/>
      <c r="J1682" s="37"/>
      <c r="K1682" s="37"/>
      <c r="L1682" s="37"/>
    </row>
    <row r="1683" spans="1:12" ht="15.75" customHeight="1">
      <c r="A1683" s="87" t="s">
        <v>3935</v>
      </c>
      <c r="B1683" s="87" t="s">
        <v>6524</v>
      </c>
      <c r="C1683" s="87" t="s">
        <v>6525</v>
      </c>
      <c r="D1683" s="88">
        <v>301</v>
      </c>
      <c r="E1683" s="85" t="s">
        <v>6330</v>
      </c>
      <c r="F1683" s="87">
        <v>3</v>
      </c>
      <c r="G1683" s="37"/>
      <c r="H1683" s="37">
        <f>COUNTIF('(参考)現行システム機能階層一覧'!$E$3:$E$1048576,sheet1!B1683)</f>
        <v>0</v>
      </c>
      <c r="I1683" s="37"/>
      <c r="J1683" s="37"/>
      <c r="K1683" s="37"/>
      <c r="L1683" s="37"/>
    </row>
    <row r="1684" spans="1:12" ht="15.75" customHeight="1">
      <c r="A1684" s="87" t="s">
        <v>3935</v>
      </c>
      <c r="B1684" s="87" t="s">
        <v>6526</v>
      </c>
      <c r="C1684" s="87" t="s">
        <v>6527</v>
      </c>
      <c r="D1684" s="88">
        <v>305</v>
      </c>
      <c r="E1684" s="85" t="s">
        <v>6330</v>
      </c>
      <c r="F1684" s="87">
        <v>14</v>
      </c>
      <c r="G1684" s="37"/>
      <c r="H1684" s="37">
        <f>COUNTIF('(参考)現行システム機能階層一覧'!$E$3:$E$1048576,sheet1!B1684)</f>
        <v>0</v>
      </c>
      <c r="I1684" s="37"/>
      <c r="J1684" s="37"/>
      <c r="K1684" s="37"/>
      <c r="L1684" s="37"/>
    </row>
    <row r="1685" spans="1:12" ht="15.75" customHeight="1">
      <c r="A1685" s="87" t="s">
        <v>3935</v>
      </c>
      <c r="B1685" s="87" t="s">
        <v>6528</v>
      </c>
      <c r="C1685" s="87" t="s">
        <v>6529</v>
      </c>
      <c r="D1685" s="88">
        <v>422</v>
      </c>
      <c r="E1685" s="85" t="s">
        <v>6330</v>
      </c>
      <c r="F1685" s="87">
        <v>5</v>
      </c>
      <c r="G1685" s="37"/>
      <c r="H1685" s="37">
        <f>COUNTIF('(参考)現行システム機能階層一覧'!$E$3:$E$1048576,sheet1!B1685)</f>
        <v>0</v>
      </c>
      <c r="I1685" s="37"/>
      <c r="J1685" s="37"/>
      <c r="K1685" s="37"/>
      <c r="L1685" s="37"/>
    </row>
    <row r="1686" spans="1:12" ht="15.75" customHeight="1">
      <c r="A1686" s="87" t="s">
        <v>3935</v>
      </c>
      <c r="B1686" s="87" t="s">
        <v>1246</v>
      </c>
      <c r="C1686" s="87" t="s">
        <v>6530</v>
      </c>
      <c r="D1686" s="88">
        <v>746</v>
      </c>
      <c r="E1686" s="85" t="s">
        <v>6330</v>
      </c>
      <c r="F1686" s="87">
        <v>376</v>
      </c>
      <c r="G1686" s="37"/>
      <c r="H1686" s="37">
        <f>COUNTIF('(参考)現行システム機能階層一覧'!$E$3:$E$1048576,sheet1!B1686)</f>
        <v>1</v>
      </c>
      <c r="I1686" s="37"/>
      <c r="J1686" s="37"/>
      <c r="K1686" s="37"/>
      <c r="L1686" s="37"/>
    </row>
    <row r="1687" spans="1:12" ht="15.75" customHeight="1">
      <c r="A1687" s="87" t="s">
        <v>3935</v>
      </c>
      <c r="B1687" s="87" t="s">
        <v>6531</v>
      </c>
      <c r="C1687" s="87" t="s">
        <v>6532</v>
      </c>
      <c r="D1687" s="88">
        <v>215</v>
      </c>
      <c r="E1687" s="85" t="s">
        <v>6330</v>
      </c>
      <c r="F1687" s="87">
        <v>266</v>
      </c>
      <c r="G1687" s="37"/>
      <c r="H1687" s="37">
        <f>COUNTIF('(参考)現行システム機能階層一覧'!$E$3:$E$1048576,sheet1!B1687)</f>
        <v>0</v>
      </c>
      <c r="I1687" s="37"/>
      <c r="J1687" s="37"/>
      <c r="K1687" s="37"/>
      <c r="L1687" s="37"/>
    </row>
    <row r="1688" spans="1:12" ht="15.75" customHeight="1">
      <c r="A1688" s="87" t="s">
        <v>3935</v>
      </c>
      <c r="B1688" s="87" t="s">
        <v>1189</v>
      </c>
      <c r="C1688" s="87" t="s">
        <v>6533</v>
      </c>
      <c r="D1688" s="88">
        <v>160</v>
      </c>
      <c r="E1688" s="85" t="s">
        <v>6330</v>
      </c>
      <c r="F1688" s="87">
        <v>54</v>
      </c>
      <c r="G1688" s="37"/>
      <c r="H1688" s="37">
        <f>COUNTIF('(参考)現行システム機能階層一覧'!$E$3:$E$1048576,sheet1!B1688)</f>
        <v>1</v>
      </c>
      <c r="I1688" s="37"/>
      <c r="J1688" s="37"/>
      <c r="K1688" s="37"/>
      <c r="L1688" s="37"/>
    </row>
    <row r="1689" spans="1:12" ht="15.75" customHeight="1">
      <c r="A1689" s="87" t="s">
        <v>3853</v>
      </c>
      <c r="B1689" s="87" t="s">
        <v>6534</v>
      </c>
      <c r="C1689" s="87" t="s">
        <v>6535</v>
      </c>
      <c r="D1689" s="88">
        <v>31</v>
      </c>
      <c r="E1689" s="85" t="s">
        <v>6330</v>
      </c>
      <c r="F1689" s="87">
        <v>460</v>
      </c>
      <c r="G1689" s="37"/>
      <c r="H1689" s="37">
        <f>COUNTIF('(参考)現行システム機能階層一覧'!$E$3:$E$1048576,sheet1!B1689)</f>
        <v>0</v>
      </c>
      <c r="I1689" s="37"/>
      <c r="J1689" s="37"/>
      <c r="K1689" s="37"/>
      <c r="L1689" s="37"/>
    </row>
    <row r="1690" spans="1:12" ht="15.75" customHeight="1">
      <c r="A1690" s="87" t="s">
        <v>3935</v>
      </c>
      <c r="B1690" s="87" t="s">
        <v>1266</v>
      </c>
      <c r="C1690" s="87" t="s">
        <v>6536</v>
      </c>
      <c r="D1690" s="88">
        <v>246</v>
      </c>
      <c r="E1690" s="85" t="s">
        <v>6330</v>
      </c>
      <c r="F1690" s="87">
        <v>9</v>
      </c>
      <c r="G1690" s="37"/>
      <c r="H1690" s="37">
        <f>COUNTIF('(参考)現行システム機能階層一覧'!$E$3:$E$1048576,sheet1!B1690)</f>
        <v>1</v>
      </c>
      <c r="I1690" s="37"/>
      <c r="J1690" s="37"/>
      <c r="K1690" s="37"/>
      <c r="L1690" s="37"/>
    </row>
    <row r="1691" spans="1:12" ht="15.75" customHeight="1">
      <c r="A1691" s="87" t="s">
        <v>3853</v>
      </c>
      <c r="B1691" s="87" t="s">
        <v>6537</v>
      </c>
      <c r="C1691" s="87" t="s">
        <v>6538</v>
      </c>
      <c r="D1691" s="88">
        <v>17</v>
      </c>
      <c r="E1691" s="85" t="s">
        <v>6330</v>
      </c>
      <c r="F1691" s="87">
        <v>45</v>
      </c>
      <c r="G1691" s="37"/>
      <c r="H1691" s="37">
        <f>COUNTIF('(参考)現行システム機能階層一覧'!$E$3:$E$1048576,sheet1!B1691)</f>
        <v>0</v>
      </c>
      <c r="I1691" s="37"/>
      <c r="J1691" s="37"/>
      <c r="K1691" s="37"/>
      <c r="L1691" s="37"/>
    </row>
    <row r="1692" spans="1:12" ht="15.75" customHeight="1">
      <c r="A1692" s="87" t="s">
        <v>3935</v>
      </c>
      <c r="B1692" s="87" t="s">
        <v>1205</v>
      </c>
      <c r="C1692" s="87" t="s">
        <v>6539</v>
      </c>
      <c r="D1692" s="88">
        <v>401</v>
      </c>
      <c r="E1692" s="85" t="s">
        <v>6330</v>
      </c>
      <c r="F1692" s="87">
        <v>177</v>
      </c>
      <c r="G1692" s="37"/>
      <c r="H1692" s="37">
        <f>COUNTIF('(参考)現行システム機能階層一覧'!$E$3:$E$1048576,sheet1!B1692)</f>
        <v>1</v>
      </c>
      <c r="I1692" s="37"/>
      <c r="J1692" s="37"/>
      <c r="K1692" s="37"/>
      <c r="L1692" s="37"/>
    </row>
    <row r="1693" spans="1:12" ht="15.75" customHeight="1">
      <c r="A1693" s="87" t="s">
        <v>3935</v>
      </c>
      <c r="B1693" s="87" t="s">
        <v>1258</v>
      </c>
      <c r="C1693" s="87" t="s">
        <v>6540</v>
      </c>
      <c r="D1693" s="88">
        <v>384</v>
      </c>
      <c r="E1693" s="85" t="s">
        <v>6330</v>
      </c>
      <c r="F1693" s="87">
        <v>164</v>
      </c>
      <c r="G1693" s="37"/>
      <c r="H1693" s="37">
        <f>COUNTIF('(参考)現行システム機能階層一覧'!$E$3:$E$1048576,sheet1!B1693)</f>
        <v>1</v>
      </c>
      <c r="I1693" s="37"/>
      <c r="J1693" s="37"/>
      <c r="K1693" s="37"/>
      <c r="L1693" s="37"/>
    </row>
    <row r="1694" spans="1:12" ht="15.75" customHeight="1">
      <c r="A1694" s="87" t="s">
        <v>3935</v>
      </c>
      <c r="B1694" s="87" t="s">
        <v>1262</v>
      </c>
      <c r="C1694" s="87" t="s">
        <v>6541</v>
      </c>
      <c r="D1694" s="88">
        <v>546</v>
      </c>
      <c r="E1694" s="85" t="s">
        <v>6330</v>
      </c>
      <c r="F1694" s="87">
        <v>13</v>
      </c>
      <c r="G1694" s="37"/>
      <c r="H1694" s="37">
        <f>COUNTIF('(参考)現行システム機能階層一覧'!$E$3:$E$1048576,sheet1!B1694)</f>
        <v>1</v>
      </c>
      <c r="I1694" s="37"/>
      <c r="J1694" s="37"/>
      <c r="K1694" s="37"/>
      <c r="L1694" s="37"/>
    </row>
    <row r="1695" spans="1:12" ht="15.75" customHeight="1">
      <c r="A1695" s="87" t="s">
        <v>3935</v>
      </c>
      <c r="B1695" s="87" t="s">
        <v>1209</v>
      </c>
      <c r="C1695" s="87" t="s">
        <v>6542</v>
      </c>
      <c r="D1695" s="88">
        <v>817</v>
      </c>
      <c r="E1695" s="85" t="s">
        <v>6330</v>
      </c>
      <c r="F1695" s="87">
        <v>623</v>
      </c>
      <c r="G1695" s="37"/>
      <c r="H1695" s="37">
        <f>COUNTIF('(参考)現行システム機能階層一覧'!$E$3:$E$1048576,sheet1!B1695)</f>
        <v>1</v>
      </c>
      <c r="I1695" s="37"/>
      <c r="J1695" s="37"/>
      <c r="K1695" s="37"/>
      <c r="L1695" s="37"/>
    </row>
    <row r="1696" spans="1:12" ht="15.75" customHeight="1">
      <c r="A1696" s="87" t="s">
        <v>3935</v>
      </c>
      <c r="B1696" s="87" t="s">
        <v>1270</v>
      </c>
      <c r="C1696" s="87" t="s">
        <v>6543</v>
      </c>
      <c r="D1696" s="88">
        <v>270</v>
      </c>
      <c r="E1696" s="85" t="s">
        <v>6330</v>
      </c>
      <c r="F1696" s="87">
        <v>5</v>
      </c>
      <c r="G1696" s="37"/>
      <c r="H1696" s="37">
        <f>COUNTIF('(参考)現行システム機能階層一覧'!$E$3:$E$1048576,sheet1!B1696)</f>
        <v>1</v>
      </c>
      <c r="I1696" s="37"/>
      <c r="J1696" s="37"/>
      <c r="K1696" s="37"/>
      <c r="L1696" s="37"/>
    </row>
    <row r="1697" spans="1:12" ht="15.75" customHeight="1">
      <c r="A1697" s="87" t="s">
        <v>3935</v>
      </c>
      <c r="B1697" s="87" t="s">
        <v>1221</v>
      </c>
      <c r="C1697" s="87" t="s">
        <v>6544</v>
      </c>
      <c r="D1697" s="88">
        <v>639</v>
      </c>
      <c r="E1697" s="85" t="s">
        <v>6330</v>
      </c>
      <c r="F1697" s="87">
        <v>142</v>
      </c>
      <c r="G1697" s="37"/>
      <c r="H1697" s="37">
        <f>COUNTIF('(参考)現行システム機能階層一覧'!$E$3:$E$1048576,sheet1!B1697)</f>
        <v>0</v>
      </c>
      <c r="I1697" s="37"/>
      <c r="J1697" s="37"/>
      <c r="K1697" s="37"/>
      <c r="L1697" s="37"/>
    </row>
    <row r="1698" spans="1:12" ht="15.75" customHeight="1">
      <c r="A1698" s="87" t="s">
        <v>3853</v>
      </c>
      <c r="B1698" s="87" t="s">
        <v>1218</v>
      </c>
      <c r="C1698" s="87" t="s">
        <v>6545</v>
      </c>
      <c r="D1698" s="88">
        <v>58</v>
      </c>
      <c r="E1698" s="85" t="s">
        <v>6330</v>
      </c>
      <c r="F1698" s="87">
        <v>142</v>
      </c>
      <c r="G1698" s="37"/>
      <c r="H1698" s="37">
        <f>COUNTIF('(参考)現行システム機能階層一覧'!$E$3:$E$1048576,sheet1!B1698)</f>
        <v>1</v>
      </c>
      <c r="I1698" s="37"/>
      <c r="J1698" s="37"/>
      <c r="K1698" s="37"/>
      <c r="L1698" s="37"/>
    </row>
    <row r="1699" spans="1:12" ht="15.75" customHeight="1">
      <c r="A1699" s="87" t="s">
        <v>3935</v>
      </c>
      <c r="B1699" s="87" t="s">
        <v>6546</v>
      </c>
      <c r="C1699" s="87" t="s">
        <v>6544</v>
      </c>
      <c r="D1699" s="88">
        <v>185</v>
      </c>
      <c r="E1699" s="85" t="s">
        <v>6330</v>
      </c>
      <c r="F1699" s="87">
        <v>9</v>
      </c>
      <c r="G1699" s="37"/>
      <c r="H1699" s="37">
        <f>COUNTIF('(参考)現行システム機能階層一覧'!$E$3:$E$1048576,sheet1!B1699)</f>
        <v>0</v>
      </c>
      <c r="I1699" s="37"/>
      <c r="J1699" s="37"/>
      <c r="K1699" s="37"/>
      <c r="L1699" s="37"/>
    </row>
    <row r="1700" spans="1:12" ht="15.75" customHeight="1">
      <c r="A1700" s="87" t="s">
        <v>3935</v>
      </c>
      <c r="B1700" s="87" t="s">
        <v>1222</v>
      </c>
      <c r="C1700" s="87" t="s">
        <v>6547</v>
      </c>
      <c r="D1700" s="88">
        <v>561</v>
      </c>
      <c r="E1700" s="85" t="s">
        <v>6330</v>
      </c>
      <c r="F1700" s="87">
        <v>94</v>
      </c>
      <c r="G1700" s="37"/>
      <c r="H1700" s="37">
        <f>COUNTIF('(参考)現行システム機能階層一覧'!$E$3:$E$1048576,sheet1!B1700)</f>
        <v>1</v>
      </c>
      <c r="I1700" s="37"/>
      <c r="J1700" s="37"/>
      <c r="K1700" s="37"/>
      <c r="L1700" s="37"/>
    </row>
    <row r="1701" spans="1:12" ht="15.75" customHeight="1">
      <c r="A1701" s="87" t="s">
        <v>3935</v>
      </c>
      <c r="B1701" s="87" t="s">
        <v>1229</v>
      </c>
      <c r="C1701" s="87" t="s">
        <v>6548</v>
      </c>
      <c r="D1701" s="88">
        <v>417</v>
      </c>
      <c r="E1701" s="85" t="s">
        <v>6330</v>
      </c>
      <c r="F1701" s="87">
        <v>34</v>
      </c>
      <c r="G1701" s="37"/>
      <c r="H1701" s="37">
        <f>COUNTIF('(参考)現行システム機能階層一覧'!$E$3:$E$1048576,sheet1!B1701)</f>
        <v>0</v>
      </c>
      <c r="I1701" s="37"/>
      <c r="J1701" s="37"/>
      <c r="K1701" s="37"/>
      <c r="L1701" s="37"/>
    </row>
    <row r="1702" spans="1:12" ht="15.75" customHeight="1">
      <c r="A1702" s="87" t="s">
        <v>3853</v>
      </c>
      <c r="B1702" s="87" t="s">
        <v>1225</v>
      </c>
      <c r="C1702" s="87" t="s">
        <v>6549</v>
      </c>
      <c r="D1702" s="88">
        <v>34</v>
      </c>
      <c r="E1702" s="85" t="s">
        <v>6330</v>
      </c>
      <c r="F1702" s="87">
        <v>34</v>
      </c>
      <c r="G1702" s="37"/>
      <c r="H1702" s="37">
        <f>COUNTIF('(参考)現行システム機能階層一覧'!$E$3:$E$1048576,sheet1!B1702)</f>
        <v>1</v>
      </c>
      <c r="I1702" s="37"/>
      <c r="J1702" s="37"/>
      <c r="K1702" s="37"/>
      <c r="L1702" s="37"/>
    </row>
    <row r="1703" spans="1:12" ht="15.75" customHeight="1">
      <c r="A1703" s="87" t="s">
        <v>3935</v>
      </c>
      <c r="B1703" s="87" t="s">
        <v>6550</v>
      </c>
      <c r="C1703" s="87" t="s">
        <v>6548</v>
      </c>
      <c r="D1703" s="88">
        <v>184</v>
      </c>
      <c r="E1703" s="85" t="s">
        <v>6330</v>
      </c>
      <c r="F1703" s="87">
        <v>4</v>
      </c>
      <c r="G1703" s="37"/>
      <c r="H1703" s="37">
        <f>COUNTIF('(参考)現行システム機能階層一覧'!$E$3:$E$1048576,sheet1!B1703)</f>
        <v>0</v>
      </c>
      <c r="I1703" s="37"/>
      <c r="J1703" s="37"/>
      <c r="K1703" s="37"/>
      <c r="L1703" s="37"/>
    </row>
    <row r="1704" spans="1:12" ht="15.75" customHeight="1">
      <c r="A1704" s="87" t="s">
        <v>3935</v>
      </c>
      <c r="B1704" s="87" t="s">
        <v>1230</v>
      </c>
      <c r="C1704" s="87" t="s">
        <v>6551</v>
      </c>
      <c r="D1704" s="88">
        <v>643</v>
      </c>
      <c r="E1704" s="85" t="s">
        <v>6330</v>
      </c>
      <c r="F1704" s="87">
        <v>169</v>
      </c>
      <c r="G1704" s="37"/>
      <c r="H1704" s="37">
        <f>COUNTIF('(参考)現行システム機能階層一覧'!$E$3:$E$1048576,sheet1!B1704)</f>
        <v>1</v>
      </c>
      <c r="I1704" s="37"/>
      <c r="J1704" s="37"/>
      <c r="K1704" s="37"/>
      <c r="L1704" s="37"/>
    </row>
    <row r="1705" spans="1:12" ht="15.75" customHeight="1">
      <c r="A1705" s="87" t="s">
        <v>3935</v>
      </c>
      <c r="B1705" s="87" t="s">
        <v>1234</v>
      </c>
      <c r="C1705" s="87" t="s">
        <v>6552</v>
      </c>
      <c r="D1705" s="88">
        <v>443</v>
      </c>
      <c r="E1705" s="85" t="s">
        <v>6330</v>
      </c>
      <c r="F1705" s="87">
        <v>107</v>
      </c>
      <c r="G1705" s="37"/>
      <c r="H1705" s="37">
        <f>COUNTIF('(参考)現行システム機能階層一覧'!$E$3:$E$1048576,sheet1!B1705)</f>
        <v>1</v>
      </c>
      <c r="I1705" s="37"/>
      <c r="J1705" s="37"/>
      <c r="K1705" s="37"/>
      <c r="L1705" s="37"/>
    </row>
    <row r="1706" spans="1:12" ht="15.75" customHeight="1">
      <c r="A1706" s="87" t="s">
        <v>3935</v>
      </c>
      <c r="B1706" s="87" t="s">
        <v>1239</v>
      </c>
      <c r="C1706" s="87" t="s">
        <v>6553</v>
      </c>
      <c r="D1706" s="88">
        <v>377</v>
      </c>
      <c r="E1706" s="85" t="s">
        <v>6330</v>
      </c>
      <c r="F1706" s="87">
        <v>15</v>
      </c>
      <c r="G1706" s="37"/>
      <c r="H1706" s="37">
        <f>COUNTIF('(参考)現行システム機能階層一覧'!$E$3:$E$1048576,sheet1!B1706)</f>
        <v>1</v>
      </c>
      <c r="I1706" s="37"/>
      <c r="J1706" s="37"/>
      <c r="K1706" s="37"/>
      <c r="L1706" s="37"/>
    </row>
    <row r="1707" spans="1:12" ht="15.75" customHeight="1">
      <c r="A1707" s="87" t="s">
        <v>3935</v>
      </c>
      <c r="B1707" s="87" t="s">
        <v>1244</v>
      </c>
      <c r="C1707" s="87" t="s">
        <v>6554</v>
      </c>
      <c r="D1707" s="88">
        <v>703</v>
      </c>
      <c r="E1707" s="85" t="s">
        <v>6330</v>
      </c>
      <c r="F1707" s="87">
        <v>191</v>
      </c>
      <c r="G1707" s="37"/>
      <c r="H1707" s="37">
        <f>COUNTIF('(参考)現行システム機能階層一覧'!$E$3:$E$1048576,sheet1!B1707)</f>
        <v>0</v>
      </c>
      <c r="I1707" s="37"/>
      <c r="J1707" s="37"/>
      <c r="K1707" s="37"/>
      <c r="L1707" s="37"/>
    </row>
    <row r="1708" spans="1:12" ht="15.75" customHeight="1">
      <c r="A1708" s="87" t="s">
        <v>3853</v>
      </c>
      <c r="B1708" s="87" t="s">
        <v>1242</v>
      </c>
      <c r="C1708" s="87" t="s">
        <v>6555</v>
      </c>
      <c r="D1708" s="88">
        <v>44</v>
      </c>
      <c r="E1708" s="85" t="s">
        <v>6330</v>
      </c>
      <c r="F1708" s="87">
        <v>191</v>
      </c>
      <c r="G1708" s="37"/>
      <c r="H1708" s="37">
        <f>COUNTIF('(参考)現行システム機能階層一覧'!$E$3:$E$1048576,sheet1!B1708)</f>
        <v>1</v>
      </c>
      <c r="I1708" s="37"/>
      <c r="J1708" s="37"/>
      <c r="K1708" s="37"/>
      <c r="L1708" s="37"/>
    </row>
    <row r="1709" spans="1:12" ht="15.75" customHeight="1">
      <c r="A1709" s="87" t="s">
        <v>3935</v>
      </c>
      <c r="B1709" s="87" t="s">
        <v>6556</v>
      </c>
      <c r="C1709" s="87" t="s">
        <v>6554</v>
      </c>
      <c r="D1709" s="88">
        <v>56</v>
      </c>
      <c r="E1709" s="85" t="s">
        <v>6330</v>
      </c>
      <c r="F1709" s="87">
        <v>46</v>
      </c>
      <c r="G1709" s="37"/>
      <c r="H1709" s="37">
        <f>COUNTIF('(参考)現行システム機能階層一覧'!$E$3:$E$1048576,sheet1!B1709)</f>
        <v>0</v>
      </c>
      <c r="I1709" s="37"/>
      <c r="J1709" s="37"/>
      <c r="K1709" s="37"/>
      <c r="L1709" s="37"/>
    </row>
    <row r="1710" spans="1:12" ht="15.75" customHeight="1">
      <c r="A1710" s="87" t="s">
        <v>3853</v>
      </c>
      <c r="B1710" s="87" t="s">
        <v>6557</v>
      </c>
      <c r="C1710" s="87" t="s">
        <v>6555</v>
      </c>
      <c r="D1710" s="88">
        <v>31</v>
      </c>
      <c r="E1710" s="85" t="s">
        <v>6330</v>
      </c>
      <c r="F1710" s="87">
        <v>46</v>
      </c>
      <c r="G1710" s="37"/>
      <c r="H1710" s="37">
        <f>COUNTIF('(参考)現行システム機能階層一覧'!$E$3:$E$1048576,sheet1!B1710)</f>
        <v>0</v>
      </c>
      <c r="I1710" s="37"/>
      <c r="J1710" s="37"/>
      <c r="K1710" s="37"/>
      <c r="L1710" s="37"/>
    </row>
    <row r="1711" spans="1:12" ht="15.75" customHeight="1">
      <c r="A1711" s="87" t="s">
        <v>3853</v>
      </c>
      <c r="B1711" s="87" t="s">
        <v>6558</v>
      </c>
      <c r="C1711" s="87" t="s">
        <v>6555</v>
      </c>
      <c r="D1711" s="88">
        <v>70</v>
      </c>
      <c r="E1711" s="85" t="s">
        <v>6330</v>
      </c>
      <c r="F1711" s="87">
        <v>46</v>
      </c>
      <c r="G1711" s="37"/>
      <c r="H1711" s="37">
        <f>COUNTIF('(参考)現行システム機能階層一覧'!$E$3:$E$1048576,sheet1!B1711)</f>
        <v>0</v>
      </c>
      <c r="I1711" s="37"/>
      <c r="J1711" s="37"/>
      <c r="K1711" s="37"/>
      <c r="L1711" s="37"/>
    </row>
    <row r="1712" spans="1:12" ht="15.75" customHeight="1">
      <c r="A1712" s="87" t="s">
        <v>3935</v>
      </c>
      <c r="B1712" s="87" t="s">
        <v>1413</v>
      </c>
      <c r="C1712" s="87" t="s">
        <v>6559</v>
      </c>
      <c r="D1712" s="88">
        <v>366</v>
      </c>
      <c r="E1712" s="85" t="s">
        <v>6330</v>
      </c>
      <c r="F1712" s="87">
        <v>5</v>
      </c>
      <c r="G1712" s="37"/>
      <c r="H1712" s="37">
        <f>COUNTIF('(参考)現行システム機能階層一覧'!$E$3:$E$1048576,sheet1!B1712)</f>
        <v>1</v>
      </c>
      <c r="I1712" s="37"/>
      <c r="J1712" s="37"/>
      <c r="K1712" s="37"/>
      <c r="L1712" s="37"/>
    </row>
    <row r="1713" spans="1:12" ht="15.75" customHeight="1">
      <c r="A1713" s="87" t="s">
        <v>3853</v>
      </c>
      <c r="B1713" s="87" t="s">
        <v>6560</v>
      </c>
      <c r="C1713" s="87" t="s">
        <v>6561</v>
      </c>
      <c r="D1713" s="88">
        <v>32</v>
      </c>
      <c r="E1713" s="85" t="s">
        <v>6330</v>
      </c>
      <c r="F1713" s="87">
        <v>1</v>
      </c>
      <c r="G1713" s="37"/>
      <c r="H1713" s="37">
        <f>COUNTIF('(参考)現行システム機能階層一覧'!$E$3:$E$1048576,sheet1!B1713)</f>
        <v>0</v>
      </c>
      <c r="I1713" s="37"/>
      <c r="J1713" s="37"/>
      <c r="K1713" s="37"/>
      <c r="L1713" s="37"/>
    </row>
    <row r="1714" spans="1:12" ht="15.75" customHeight="1">
      <c r="A1714" s="87" t="s">
        <v>3935</v>
      </c>
      <c r="B1714" s="87" t="s">
        <v>6562</v>
      </c>
      <c r="C1714" s="87" t="s">
        <v>6563</v>
      </c>
      <c r="D1714" s="88">
        <v>328</v>
      </c>
      <c r="E1714" s="85" t="s">
        <v>6330</v>
      </c>
      <c r="F1714" s="87">
        <v>2</v>
      </c>
      <c r="G1714" s="37"/>
      <c r="H1714" s="37">
        <f>COUNTIF('(参考)現行システム機能階層一覧'!$E$3:$E$1048576,sheet1!B1714)</f>
        <v>0</v>
      </c>
      <c r="I1714" s="37"/>
      <c r="J1714" s="37"/>
      <c r="K1714" s="37"/>
      <c r="L1714" s="37"/>
    </row>
    <row r="1715" spans="1:12" ht="15.75" customHeight="1">
      <c r="A1715" s="87" t="s">
        <v>3853</v>
      </c>
      <c r="B1715" s="87" t="s">
        <v>6564</v>
      </c>
      <c r="C1715" s="87" t="s">
        <v>6565</v>
      </c>
      <c r="D1715" s="88">
        <v>56</v>
      </c>
      <c r="E1715" s="85" t="s">
        <v>6330</v>
      </c>
      <c r="F1715" s="87">
        <v>2</v>
      </c>
      <c r="G1715" s="37"/>
      <c r="H1715" s="37">
        <f>COUNTIF('(参考)現行システム機能階層一覧'!$E$3:$E$1048576,sheet1!B1715)</f>
        <v>0</v>
      </c>
      <c r="I1715" s="37"/>
      <c r="J1715" s="37"/>
      <c r="K1715" s="37"/>
      <c r="L1715" s="37"/>
    </row>
    <row r="1716" spans="1:12" ht="15.75" customHeight="1">
      <c r="A1716" s="87" t="s">
        <v>3935</v>
      </c>
      <c r="B1716" s="87" t="s">
        <v>6566</v>
      </c>
      <c r="C1716" s="87" t="s">
        <v>6567</v>
      </c>
      <c r="D1716" s="88">
        <v>65</v>
      </c>
      <c r="E1716" s="85" t="s">
        <v>6330</v>
      </c>
      <c r="F1716" s="87">
        <v>1</v>
      </c>
      <c r="G1716" s="37"/>
      <c r="H1716" s="37">
        <f>COUNTIF('(参考)現行システム機能階層一覧'!$E$3:$E$1048576,sheet1!B1716)</f>
        <v>0</v>
      </c>
      <c r="I1716" s="37"/>
      <c r="J1716" s="37"/>
      <c r="K1716" s="37"/>
      <c r="L1716" s="37"/>
    </row>
    <row r="1717" spans="1:12" ht="15.75" customHeight="1">
      <c r="A1717" s="87" t="s">
        <v>3935</v>
      </c>
      <c r="B1717" s="87" t="s">
        <v>1568</v>
      </c>
      <c r="C1717" s="87" t="s">
        <v>6568</v>
      </c>
      <c r="D1717" s="88">
        <v>301</v>
      </c>
      <c r="E1717" s="85" t="s">
        <v>6330</v>
      </c>
      <c r="F1717" s="87">
        <v>14</v>
      </c>
      <c r="G1717" s="37"/>
      <c r="H1717" s="37">
        <f>COUNTIF('(参考)現行システム機能階層一覧'!$E$3:$E$1048576,sheet1!B1717)</f>
        <v>1</v>
      </c>
      <c r="I1717" s="37"/>
      <c r="J1717" s="37"/>
      <c r="K1717" s="37"/>
      <c r="L1717" s="37"/>
    </row>
    <row r="1718" spans="1:12" ht="15.75" customHeight="1">
      <c r="A1718" s="87" t="s">
        <v>3935</v>
      </c>
      <c r="B1718" s="87" t="s">
        <v>6569</v>
      </c>
      <c r="C1718" s="87" t="s">
        <v>6570</v>
      </c>
      <c r="D1718" s="88">
        <v>930</v>
      </c>
      <c r="E1718" s="85" t="s">
        <v>6330</v>
      </c>
      <c r="F1718" s="87">
        <v>4</v>
      </c>
      <c r="G1718" s="37"/>
      <c r="H1718" s="37">
        <f>COUNTIF('(参考)現行システム機能階層一覧'!$E$3:$E$1048576,sheet1!B1718)</f>
        <v>0</v>
      </c>
      <c r="I1718" s="37"/>
      <c r="J1718" s="37"/>
      <c r="K1718" s="37"/>
      <c r="L1718" s="37"/>
    </row>
    <row r="1719" spans="1:12" ht="15.75" customHeight="1">
      <c r="A1719" s="87" t="s">
        <v>3935</v>
      </c>
      <c r="B1719" s="87" t="s">
        <v>6571</v>
      </c>
      <c r="C1719" s="87" t="s">
        <v>6572</v>
      </c>
      <c r="D1719" s="88">
        <v>406</v>
      </c>
      <c r="E1719" s="85" t="s">
        <v>6330</v>
      </c>
      <c r="F1719" s="87">
        <v>1322</v>
      </c>
      <c r="G1719" s="37"/>
      <c r="H1719" s="37">
        <f>COUNTIF('(参考)現行システム機能階層一覧'!$E$3:$E$1048576,sheet1!B1719)</f>
        <v>0</v>
      </c>
      <c r="I1719" s="37"/>
      <c r="J1719" s="37"/>
      <c r="K1719" s="37"/>
      <c r="L1719" s="37"/>
    </row>
    <row r="1720" spans="1:12" ht="15.75" customHeight="1">
      <c r="A1720" s="87" t="s">
        <v>3935</v>
      </c>
      <c r="B1720" s="87" t="s">
        <v>6573</v>
      </c>
      <c r="C1720" s="87" t="s">
        <v>6574</v>
      </c>
      <c r="D1720" s="88">
        <v>91</v>
      </c>
      <c r="E1720" s="85" t="s">
        <v>6330</v>
      </c>
      <c r="F1720" s="87">
        <v>1</v>
      </c>
      <c r="G1720" s="37"/>
      <c r="H1720" s="37">
        <f>COUNTIF('(参考)現行システム機能階層一覧'!$E$3:$E$1048576,sheet1!B1720)</f>
        <v>0</v>
      </c>
      <c r="I1720" s="37"/>
      <c r="J1720" s="37"/>
      <c r="K1720" s="37"/>
      <c r="L1720" s="37"/>
    </row>
    <row r="1721" spans="1:12" ht="15.75" customHeight="1">
      <c r="A1721" s="87" t="s">
        <v>3853</v>
      </c>
      <c r="B1721" s="87" t="s">
        <v>6575</v>
      </c>
      <c r="C1721" s="87" t="s">
        <v>6576</v>
      </c>
      <c r="D1721" s="88">
        <v>23</v>
      </c>
      <c r="E1721" s="85" t="s">
        <v>6330</v>
      </c>
      <c r="F1721" s="87">
        <v>1</v>
      </c>
      <c r="G1721" s="37"/>
      <c r="H1721" s="37">
        <f>COUNTIF('(参考)現行システム機能階層一覧'!$E$3:$E$1048576,sheet1!B1721)</f>
        <v>0</v>
      </c>
      <c r="I1721" s="37"/>
      <c r="J1721" s="37"/>
      <c r="K1721" s="37"/>
      <c r="L1721" s="37"/>
    </row>
    <row r="1722" spans="1:12" ht="15.75" customHeight="1">
      <c r="A1722" s="87" t="s">
        <v>3935</v>
      </c>
      <c r="B1722" s="87" t="s">
        <v>6577</v>
      </c>
      <c r="C1722" s="87" t="s">
        <v>6578</v>
      </c>
      <c r="D1722" s="88">
        <v>36</v>
      </c>
      <c r="E1722" s="85" t="s">
        <v>6330</v>
      </c>
      <c r="F1722" s="87">
        <v>173</v>
      </c>
      <c r="G1722" s="37"/>
      <c r="H1722" s="37">
        <f>COUNTIF('(参考)現行システム機能階層一覧'!$E$3:$E$1048576,sheet1!B1722)</f>
        <v>0</v>
      </c>
      <c r="I1722" s="37"/>
      <c r="J1722" s="37"/>
      <c r="K1722" s="37"/>
      <c r="L1722" s="37"/>
    </row>
    <row r="1723" spans="1:12" ht="15.75" customHeight="1">
      <c r="A1723" s="87" t="s">
        <v>3935</v>
      </c>
      <c r="B1723" s="87" t="s">
        <v>1217</v>
      </c>
      <c r="C1723" s="87" t="s">
        <v>6579</v>
      </c>
      <c r="D1723" s="88">
        <v>611</v>
      </c>
      <c r="E1723" s="85" t="s">
        <v>6330</v>
      </c>
      <c r="F1723" s="87">
        <v>52</v>
      </c>
      <c r="G1723" s="37"/>
      <c r="H1723" s="37">
        <f>COUNTIF('(参考)現行システム機能階層一覧'!$E$3:$E$1048576,sheet1!B1723)</f>
        <v>0</v>
      </c>
      <c r="I1723" s="37"/>
      <c r="J1723" s="37"/>
      <c r="K1723" s="37"/>
      <c r="L1723" s="37"/>
    </row>
    <row r="1724" spans="1:12" ht="15.75" customHeight="1">
      <c r="A1724" s="87" t="s">
        <v>3853</v>
      </c>
      <c r="B1724" s="87" t="s">
        <v>1212</v>
      </c>
      <c r="C1724" s="87" t="s">
        <v>6580</v>
      </c>
      <c r="D1724" s="88">
        <v>26</v>
      </c>
      <c r="E1724" s="85" t="s">
        <v>6330</v>
      </c>
      <c r="F1724" s="87">
        <v>52</v>
      </c>
      <c r="G1724" s="37"/>
      <c r="H1724" s="37">
        <f>COUNTIF('(参考)現行システム機能階層一覧'!$E$3:$E$1048576,sheet1!B1724)</f>
        <v>1</v>
      </c>
      <c r="I1724" s="37"/>
      <c r="J1724" s="37"/>
      <c r="K1724" s="37"/>
      <c r="L1724" s="37"/>
    </row>
    <row r="1725" spans="1:12" ht="15.75" customHeight="1">
      <c r="A1725" s="87" t="s">
        <v>3935</v>
      </c>
      <c r="B1725" s="87" t="s">
        <v>1286</v>
      </c>
      <c r="C1725" s="87" t="s">
        <v>6581</v>
      </c>
      <c r="D1725" s="88">
        <v>784</v>
      </c>
      <c r="E1725" s="85" t="s">
        <v>6330</v>
      </c>
      <c r="F1725" s="87">
        <v>1677</v>
      </c>
      <c r="G1725" s="37"/>
      <c r="H1725" s="37">
        <f>COUNTIF('(参考)現行システム機能階層一覧'!$E$3:$E$1048576,sheet1!B1725)</f>
        <v>2</v>
      </c>
      <c r="I1725" s="37"/>
      <c r="J1725" s="37"/>
      <c r="K1725" s="37"/>
      <c r="L1725" s="37"/>
    </row>
    <row r="1726" spans="1:12" ht="15.75" customHeight="1">
      <c r="A1726" s="87" t="s">
        <v>3935</v>
      </c>
      <c r="B1726" s="87" t="s">
        <v>6582</v>
      </c>
      <c r="C1726" s="87" t="s">
        <v>6583</v>
      </c>
      <c r="D1726" s="88">
        <v>205</v>
      </c>
      <c r="E1726" s="85" t="s">
        <v>6330</v>
      </c>
      <c r="F1726" s="87">
        <v>1</v>
      </c>
      <c r="G1726" s="37"/>
      <c r="H1726" s="37">
        <f>COUNTIF('(参考)現行システム機能階層一覧'!$E$3:$E$1048576,sheet1!B1726)</f>
        <v>0</v>
      </c>
      <c r="I1726" s="37"/>
      <c r="J1726" s="37"/>
      <c r="K1726" s="37"/>
      <c r="L1726" s="37"/>
    </row>
    <row r="1727" spans="1:12" ht="15.75" customHeight="1">
      <c r="A1727" s="87" t="s">
        <v>3935</v>
      </c>
      <c r="B1727" s="87" t="s">
        <v>1372</v>
      </c>
      <c r="C1727" s="87" t="s">
        <v>6584</v>
      </c>
      <c r="D1727" s="88">
        <v>198</v>
      </c>
      <c r="E1727" s="85" t="s">
        <v>6330</v>
      </c>
      <c r="F1727" s="87">
        <v>34</v>
      </c>
      <c r="G1727" s="37"/>
      <c r="H1727" s="37">
        <f>COUNTIF('(参考)現行システム機能階層一覧'!$E$3:$E$1048576,sheet1!B1727)</f>
        <v>1</v>
      </c>
      <c r="I1727" s="37"/>
      <c r="J1727" s="37"/>
      <c r="K1727" s="37"/>
      <c r="L1727" s="37"/>
    </row>
    <row r="1728" spans="1:12" ht="15.75" customHeight="1">
      <c r="A1728" s="87" t="s">
        <v>3935</v>
      </c>
      <c r="B1728" s="87" t="s">
        <v>1183</v>
      </c>
      <c r="C1728" s="87" t="s">
        <v>6585</v>
      </c>
      <c r="D1728" s="88">
        <v>212</v>
      </c>
      <c r="E1728" s="85" t="s">
        <v>6330</v>
      </c>
      <c r="F1728" s="87">
        <v>27</v>
      </c>
      <c r="G1728" s="37"/>
      <c r="H1728" s="37">
        <f>COUNTIF('(参考)現行システム機能階層一覧'!$E$3:$E$1048576,sheet1!B1728)</f>
        <v>1</v>
      </c>
      <c r="I1728" s="37"/>
      <c r="J1728" s="37"/>
      <c r="K1728" s="37"/>
      <c r="L1728" s="37"/>
    </row>
    <row r="1729" spans="1:12" ht="15.75" customHeight="1">
      <c r="A1729" s="87" t="s">
        <v>3935</v>
      </c>
      <c r="B1729" s="87" t="s">
        <v>6586</v>
      </c>
      <c r="C1729" s="87" t="s">
        <v>6587</v>
      </c>
      <c r="D1729" s="88">
        <v>600</v>
      </c>
      <c r="E1729" s="85" t="s">
        <v>6330</v>
      </c>
      <c r="F1729" s="87">
        <v>1782</v>
      </c>
      <c r="G1729" s="37"/>
      <c r="H1729" s="37">
        <f>COUNTIF('(参考)現行システム機能階層一覧'!$E$3:$E$1048576,sheet1!B1729)</f>
        <v>0</v>
      </c>
      <c r="I1729" s="37"/>
      <c r="J1729" s="37"/>
      <c r="K1729" s="37"/>
      <c r="L1729" s="37"/>
    </row>
    <row r="1730" spans="1:12" ht="15.75" customHeight="1">
      <c r="A1730" s="87" t="s">
        <v>3935</v>
      </c>
      <c r="B1730" s="87" t="s">
        <v>6588</v>
      </c>
      <c r="C1730" s="87" t="s">
        <v>6589</v>
      </c>
      <c r="D1730" s="88">
        <v>553</v>
      </c>
      <c r="E1730" s="85" t="s">
        <v>6330</v>
      </c>
      <c r="F1730" s="87">
        <v>402</v>
      </c>
      <c r="G1730" s="37"/>
      <c r="H1730" s="37">
        <f>COUNTIF('(参考)現行システム機能階層一覧'!$E$3:$E$1048576,sheet1!B1730)</f>
        <v>0</v>
      </c>
      <c r="I1730" s="37"/>
      <c r="J1730" s="37"/>
      <c r="K1730" s="37"/>
      <c r="L1730" s="37"/>
    </row>
    <row r="1731" spans="1:12" ht="15.75" customHeight="1">
      <c r="A1731" s="87" t="s">
        <v>3935</v>
      </c>
      <c r="B1731" s="87" t="s">
        <v>1291</v>
      </c>
      <c r="C1731" s="87" t="s">
        <v>6590</v>
      </c>
      <c r="D1731" s="88">
        <v>465</v>
      </c>
      <c r="E1731" s="85" t="s">
        <v>6330</v>
      </c>
      <c r="F1731" s="87">
        <v>1559</v>
      </c>
      <c r="G1731" s="37"/>
      <c r="H1731" s="37">
        <f>COUNTIF('(参考)現行システム機能階層一覧'!$E$3:$E$1048576,sheet1!B1731)</f>
        <v>2</v>
      </c>
      <c r="I1731" s="37"/>
      <c r="J1731" s="37"/>
      <c r="K1731" s="37"/>
      <c r="L1731" s="37"/>
    </row>
    <row r="1732" spans="1:12" ht="15.75" customHeight="1">
      <c r="A1732" s="87" t="s">
        <v>3935</v>
      </c>
      <c r="B1732" s="87" t="s">
        <v>6591</v>
      </c>
      <c r="C1732" s="87" t="s">
        <v>6592</v>
      </c>
      <c r="D1732" s="88">
        <v>479</v>
      </c>
      <c r="E1732" s="85" t="s">
        <v>6330</v>
      </c>
      <c r="F1732" s="87">
        <v>47</v>
      </c>
      <c r="G1732" s="37"/>
      <c r="H1732" s="37">
        <f>COUNTIF('(参考)現行システム機能階層一覧'!$E$3:$E$1048576,sheet1!B1732)</f>
        <v>0</v>
      </c>
      <c r="I1732" s="37"/>
      <c r="J1732" s="37"/>
      <c r="K1732" s="37"/>
      <c r="L1732" s="37"/>
    </row>
    <row r="1733" spans="1:12" ht="15.75" customHeight="1">
      <c r="A1733" s="87" t="s">
        <v>3935</v>
      </c>
      <c r="B1733" s="87" t="s">
        <v>1296</v>
      </c>
      <c r="C1733" s="87" t="s">
        <v>6593</v>
      </c>
      <c r="D1733" s="88">
        <v>405</v>
      </c>
      <c r="E1733" s="85" t="s">
        <v>6330</v>
      </c>
      <c r="F1733" s="87">
        <v>1860</v>
      </c>
      <c r="G1733" s="37"/>
      <c r="H1733" s="37">
        <f>COUNTIF('(参考)現行システム機能階層一覧'!$E$3:$E$1048576,sheet1!B1733)</f>
        <v>1</v>
      </c>
      <c r="I1733" s="37"/>
      <c r="J1733" s="37"/>
      <c r="K1733" s="37"/>
      <c r="L1733" s="37"/>
    </row>
    <row r="1734" spans="1:12" ht="15.75" customHeight="1">
      <c r="A1734" s="87" t="s">
        <v>3853</v>
      </c>
      <c r="B1734" s="87" t="s">
        <v>6594</v>
      </c>
      <c r="C1734" s="87" t="s">
        <v>3781</v>
      </c>
      <c r="D1734" s="88">
        <v>51</v>
      </c>
      <c r="E1734" s="85" t="s">
        <v>6330</v>
      </c>
      <c r="F1734" s="87">
        <v>1456</v>
      </c>
      <c r="G1734" s="37"/>
      <c r="H1734" s="37">
        <f>COUNTIF('(参考)現行システム機能階層一覧'!$E$3:$E$1048576,sheet1!B1734)</f>
        <v>0</v>
      </c>
      <c r="I1734" s="37"/>
      <c r="J1734" s="37"/>
      <c r="K1734" s="37"/>
      <c r="L1734" s="37"/>
    </row>
    <row r="1735" spans="1:12" ht="15.75" customHeight="1">
      <c r="A1735" s="87" t="s">
        <v>3935</v>
      </c>
      <c r="B1735" s="87" t="s">
        <v>6595</v>
      </c>
      <c r="C1735" s="87" t="s">
        <v>6596</v>
      </c>
      <c r="D1735" s="88">
        <v>423</v>
      </c>
      <c r="E1735" s="85" t="s">
        <v>6330</v>
      </c>
      <c r="F1735" s="87">
        <v>1784</v>
      </c>
      <c r="G1735" s="37"/>
      <c r="H1735" s="37">
        <f>COUNTIF('(参考)現行システム機能階層一覧'!$E$3:$E$1048576,sheet1!B1735)</f>
        <v>0</v>
      </c>
      <c r="I1735" s="37"/>
      <c r="J1735" s="37"/>
      <c r="K1735" s="37"/>
      <c r="L1735" s="37"/>
    </row>
    <row r="1736" spans="1:12" ht="15.75" customHeight="1">
      <c r="A1736" s="87" t="s">
        <v>3935</v>
      </c>
      <c r="B1736" s="87" t="s">
        <v>6597</v>
      </c>
      <c r="C1736" s="87" t="s">
        <v>6598</v>
      </c>
      <c r="D1736" s="88">
        <v>524</v>
      </c>
      <c r="E1736" s="85" t="s">
        <v>6330</v>
      </c>
      <c r="F1736" s="87">
        <v>1590</v>
      </c>
      <c r="G1736" s="37"/>
      <c r="H1736" s="37">
        <f>COUNTIF('(参考)現行システム機能階層一覧'!$E$3:$E$1048576,sheet1!B1736)</f>
        <v>0</v>
      </c>
      <c r="I1736" s="37"/>
      <c r="J1736" s="37"/>
      <c r="K1736" s="37"/>
      <c r="L1736" s="37"/>
    </row>
    <row r="1737" spans="1:12" ht="15.75" customHeight="1">
      <c r="A1737" s="87" t="s">
        <v>3935</v>
      </c>
      <c r="B1737" s="87" t="s">
        <v>6599</v>
      </c>
      <c r="C1737" s="87" t="s">
        <v>6600</v>
      </c>
      <c r="D1737" s="88">
        <v>450</v>
      </c>
      <c r="E1737" s="85" t="s">
        <v>6330</v>
      </c>
      <c r="F1737" s="87">
        <v>1703</v>
      </c>
      <c r="G1737" s="37"/>
      <c r="H1737" s="37">
        <f>COUNTIF('(参考)現行システム機能階層一覧'!$E$3:$E$1048576,sheet1!B1737)</f>
        <v>0</v>
      </c>
      <c r="I1737" s="37"/>
      <c r="J1737" s="37"/>
      <c r="K1737" s="37"/>
      <c r="L1737" s="37"/>
    </row>
    <row r="1738" spans="1:12" ht="15.75" customHeight="1">
      <c r="A1738" s="87" t="s">
        <v>3935</v>
      </c>
      <c r="B1738" s="87" t="s">
        <v>1297</v>
      </c>
      <c r="C1738" s="87" t="s">
        <v>6601</v>
      </c>
      <c r="D1738" s="88">
        <v>497</v>
      </c>
      <c r="E1738" s="85" t="s">
        <v>6330</v>
      </c>
      <c r="F1738" s="87">
        <v>1183</v>
      </c>
      <c r="G1738" s="37"/>
      <c r="H1738" s="37">
        <f>COUNTIF('(参考)現行システム機能階層一覧'!$E$3:$E$1048576,sheet1!B1738)</f>
        <v>1</v>
      </c>
      <c r="I1738" s="37"/>
      <c r="J1738" s="37"/>
      <c r="K1738" s="37"/>
      <c r="L1738" s="37"/>
    </row>
    <row r="1739" spans="1:12" ht="15.75" customHeight="1">
      <c r="A1739" s="87" t="s">
        <v>3935</v>
      </c>
      <c r="B1739" s="87" t="s">
        <v>6602</v>
      </c>
      <c r="C1739" s="87" t="s">
        <v>6601</v>
      </c>
      <c r="D1739" s="88">
        <v>208</v>
      </c>
      <c r="E1739" s="85" t="s">
        <v>6330</v>
      </c>
      <c r="F1739" s="87">
        <v>2</v>
      </c>
      <c r="G1739" s="37"/>
      <c r="H1739" s="37">
        <f>COUNTIF('(参考)現行システム機能階層一覧'!$E$3:$E$1048576,sheet1!B1739)</f>
        <v>0</v>
      </c>
      <c r="I1739" s="37"/>
      <c r="J1739" s="37"/>
      <c r="K1739" s="37"/>
      <c r="L1739" s="37"/>
    </row>
    <row r="1740" spans="1:12" ht="15.75" customHeight="1">
      <c r="A1740" s="87" t="s">
        <v>3935</v>
      </c>
      <c r="B1740" s="87" t="s">
        <v>1302</v>
      </c>
      <c r="C1740" s="87" t="s">
        <v>6603</v>
      </c>
      <c r="D1740" s="88">
        <v>735</v>
      </c>
      <c r="E1740" s="85" t="s">
        <v>6330</v>
      </c>
      <c r="F1740" s="87">
        <v>1258</v>
      </c>
      <c r="G1740" s="37"/>
      <c r="H1740" s="37">
        <f>COUNTIF('(参考)現行システム機能階層一覧'!$E$3:$E$1048576,sheet1!B1740)</f>
        <v>1</v>
      </c>
      <c r="I1740" s="37"/>
      <c r="J1740" s="37"/>
      <c r="K1740" s="37"/>
      <c r="L1740" s="37"/>
    </row>
    <row r="1741" spans="1:12" ht="15.75" customHeight="1">
      <c r="A1741" s="87" t="s">
        <v>3935</v>
      </c>
      <c r="B1741" s="87" t="s">
        <v>6604</v>
      </c>
      <c r="C1741" s="87" t="s">
        <v>6605</v>
      </c>
      <c r="D1741" s="88">
        <v>170</v>
      </c>
      <c r="E1741" s="85" t="s">
        <v>6330</v>
      </c>
      <c r="F1741" s="87">
        <v>1197</v>
      </c>
      <c r="G1741" s="37"/>
      <c r="H1741" s="37">
        <f>COUNTIF('(参考)現行システム機能階層一覧'!$E$3:$E$1048576,sheet1!B1741)</f>
        <v>0</v>
      </c>
      <c r="I1741" s="37"/>
      <c r="J1741" s="37"/>
      <c r="K1741" s="37"/>
      <c r="L1741" s="37"/>
    </row>
    <row r="1742" spans="1:12" ht="15.75" customHeight="1">
      <c r="A1742" s="87" t="s">
        <v>3935</v>
      </c>
      <c r="B1742" s="87" t="s">
        <v>6606</v>
      </c>
      <c r="C1742" s="87" t="s">
        <v>6607</v>
      </c>
      <c r="D1742" s="88">
        <v>294</v>
      </c>
      <c r="E1742" s="85" t="s">
        <v>6330</v>
      </c>
      <c r="F1742" s="87">
        <v>783</v>
      </c>
      <c r="G1742" s="37"/>
      <c r="H1742" s="37">
        <f>COUNTIF('(参考)現行システム機能階層一覧'!$E$3:$E$1048576,sheet1!B1742)</f>
        <v>0</v>
      </c>
      <c r="I1742" s="37"/>
      <c r="J1742" s="37"/>
      <c r="K1742" s="37"/>
      <c r="L1742" s="37"/>
    </row>
    <row r="1743" spans="1:12" ht="15.75" customHeight="1">
      <c r="A1743" s="87" t="s">
        <v>3935</v>
      </c>
      <c r="B1743" s="87" t="s">
        <v>1317</v>
      </c>
      <c r="C1743" s="87" t="s">
        <v>6608</v>
      </c>
      <c r="D1743" s="88">
        <v>594</v>
      </c>
      <c r="E1743" s="85" t="s">
        <v>6330</v>
      </c>
      <c r="F1743" s="87">
        <v>137</v>
      </c>
      <c r="G1743" s="37"/>
      <c r="H1743" s="37">
        <f>COUNTIF('(参考)現行システム機能階層一覧'!$E$3:$E$1048576,sheet1!B1743)</f>
        <v>0</v>
      </c>
      <c r="I1743" s="37"/>
      <c r="J1743" s="37"/>
      <c r="K1743" s="37"/>
      <c r="L1743" s="37"/>
    </row>
    <row r="1744" spans="1:12" ht="15.75" customHeight="1">
      <c r="A1744" s="87" t="s">
        <v>3935</v>
      </c>
      <c r="B1744" s="87" t="s">
        <v>6609</v>
      </c>
      <c r="C1744" s="87" t="s">
        <v>6610</v>
      </c>
      <c r="D1744" s="88">
        <v>255</v>
      </c>
      <c r="E1744" s="85" t="s">
        <v>6330</v>
      </c>
      <c r="F1744" s="87">
        <v>1080</v>
      </c>
      <c r="G1744" s="37"/>
      <c r="H1744" s="37">
        <f>COUNTIF('(参考)現行システム機能階層一覧'!$E$3:$E$1048576,sheet1!B1744)</f>
        <v>0</v>
      </c>
      <c r="I1744" s="37"/>
      <c r="J1744" s="37"/>
      <c r="K1744" s="37"/>
      <c r="L1744" s="37"/>
    </row>
    <row r="1745" spans="1:12" ht="15.75" customHeight="1">
      <c r="A1745" s="87" t="s">
        <v>3935</v>
      </c>
      <c r="B1745" s="87" t="s">
        <v>1312</v>
      </c>
      <c r="C1745" s="87" t="s">
        <v>6611</v>
      </c>
      <c r="D1745" s="88">
        <v>266</v>
      </c>
      <c r="E1745" s="85" t="s">
        <v>6330</v>
      </c>
      <c r="F1745" s="87">
        <v>767</v>
      </c>
      <c r="G1745" s="37"/>
      <c r="H1745" s="37">
        <f>COUNTIF('(参考)現行システム機能階層一覧'!$E$3:$E$1048576,sheet1!B1745)</f>
        <v>1</v>
      </c>
      <c r="I1745" s="37"/>
      <c r="J1745" s="37"/>
      <c r="K1745" s="37"/>
      <c r="L1745" s="37"/>
    </row>
    <row r="1746" spans="1:12" ht="15.75" customHeight="1">
      <c r="A1746" s="87" t="s">
        <v>3935</v>
      </c>
      <c r="B1746" s="87" t="s">
        <v>1307</v>
      </c>
      <c r="C1746" s="87" t="s">
        <v>6612</v>
      </c>
      <c r="D1746" s="88">
        <v>345</v>
      </c>
      <c r="E1746" s="85" t="s">
        <v>6330</v>
      </c>
      <c r="F1746" s="87">
        <v>107</v>
      </c>
      <c r="G1746" s="37"/>
      <c r="H1746" s="37">
        <f>COUNTIF('(参考)現行システム機能階層一覧'!$E$3:$E$1048576,sheet1!B1746)</f>
        <v>2</v>
      </c>
      <c r="I1746" s="37"/>
      <c r="J1746" s="37"/>
      <c r="K1746" s="37"/>
      <c r="L1746" s="37"/>
    </row>
    <row r="1747" spans="1:12" ht="15.75" customHeight="1">
      <c r="A1747" s="87" t="s">
        <v>3935</v>
      </c>
      <c r="B1747" s="87" t="s">
        <v>434</v>
      </c>
      <c r="C1747" s="87" t="s">
        <v>6613</v>
      </c>
      <c r="D1747" s="88">
        <v>895</v>
      </c>
      <c r="E1747" s="85" t="s">
        <v>6330</v>
      </c>
      <c r="F1747" s="87">
        <v>1515</v>
      </c>
      <c r="G1747" s="37"/>
      <c r="H1747" s="37">
        <f>COUNTIF('(参考)現行システム機能階層一覧'!$E$3:$E$1048576,sheet1!B1747)</f>
        <v>2</v>
      </c>
      <c r="I1747" s="37"/>
      <c r="J1747" s="37"/>
      <c r="K1747" s="37"/>
      <c r="L1747" s="37"/>
    </row>
    <row r="1748" spans="1:12" ht="15.75" customHeight="1">
      <c r="A1748" s="87" t="s">
        <v>3935</v>
      </c>
      <c r="B1748" s="87" t="s">
        <v>6614</v>
      </c>
      <c r="C1748" s="87" t="s">
        <v>6615</v>
      </c>
      <c r="D1748" s="88">
        <v>855</v>
      </c>
      <c r="E1748" s="85" t="s">
        <v>6330</v>
      </c>
      <c r="F1748" s="87">
        <v>1523</v>
      </c>
      <c r="G1748" s="37"/>
      <c r="H1748" s="37">
        <f>COUNTIF('(参考)現行システム機能階層一覧'!$E$3:$E$1048576,sheet1!B1748)</f>
        <v>0</v>
      </c>
      <c r="I1748" s="37"/>
      <c r="J1748" s="37"/>
      <c r="K1748" s="37"/>
      <c r="L1748" s="37"/>
    </row>
    <row r="1749" spans="1:12" ht="15.75" customHeight="1">
      <c r="A1749" s="87" t="s">
        <v>3853</v>
      </c>
      <c r="B1749" s="87" t="s">
        <v>6616</v>
      </c>
      <c r="C1749" s="87" t="s">
        <v>6617</v>
      </c>
      <c r="D1749" s="88">
        <v>12</v>
      </c>
      <c r="E1749" s="85" t="s">
        <v>6330</v>
      </c>
      <c r="F1749" s="87">
        <v>5</v>
      </c>
      <c r="G1749" s="37"/>
      <c r="H1749" s="37">
        <f>COUNTIF('(参考)現行システム機能階層一覧'!$E$3:$E$1048576,sheet1!B1749)</f>
        <v>0</v>
      </c>
      <c r="I1749" s="37"/>
      <c r="J1749" s="37"/>
      <c r="K1749" s="37"/>
      <c r="L1749" s="37"/>
    </row>
    <row r="1750" spans="1:12" ht="15.75" customHeight="1">
      <c r="A1750" s="87" t="s">
        <v>3853</v>
      </c>
      <c r="B1750" s="87" t="s">
        <v>6618</v>
      </c>
      <c r="C1750" s="87" t="s">
        <v>6617</v>
      </c>
      <c r="D1750" s="88">
        <v>12</v>
      </c>
      <c r="E1750" s="85" t="s">
        <v>6330</v>
      </c>
      <c r="F1750" s="87">
        <v>1</v>
      </c>
      <c r="G1750" s="37"/>
      <c r="H1750" s="37">
        <f>COUNTIF('(参考)現行システム機能階層一覧'!$E$3:$E$1048576,sheet1!B1750)</f>
        <v>0</v>
      </c>
      <c r="I1750" s="37"/>
      <c r="J1750" s="37"/>
      <c r="K1750" s="37"/>
      <c r="L1750" s="37"/>
    </row>
    <row r="1751" spans="1:12" ht="15.75" customHeight="1">
      <c r="A1751" s="87" t="s">
        <v>3935</v>
      </c>
      <c r="B1751" s="87" t="s">
        <v>1342</v>
      </c>
      <c r="C1751" s="87" t="s">
        <v>6619</v>
      </c>
      <c r="D1751" s="88">
        <v>683</v>
      </c>
      <c r="E1751" s="85" t="s">
        <v>6330</v>
      </c>
      <c r="F1751" s="87">
        <v>41</v>
      </c>
      <c r="G1751" s="37"/>
      <c r="H1751" s="37">
        <f>COUNTIF('(参考)現行システム機能階層一覧'!$E$3:$E$1048576,sheet1!B1751)</f>
        <v>1</v>
      </c>
      <c r="I1751" s="37"/>
      <c r="J1751" s="37"/>
      <c r="K1751" s="37"/>
      <c r="L1751" s="37"/>
    </row>
    <row r="1752" spans="1:12" ht="15.75" customHeight="1">
      <c r="A1752" s="87" t="s">
        <v>3935</v>
      </c>
      <c r="B1752" s="87" t="s">
        <v>429</v>
      </c>
      <c r="C1752" s="87" t="s">
        <v>6620</v>
      </c>
      <c r="D1752" s="88">
        <v>662</v>
      </c>
      <c r="E1752" s="85" t="s">
        <v>6330</v>
      </c>
      <c r="F1752" s="87">
        <v>1376</v>
      </c>
      <c r="G1752" s="37"/>
      <c r="H1752" s="37">
        <f>COUNTIF('(参考)現行システム機能階層一覧'!$E$3:$E$1048576,sheet1!B1752)</f>
        <v>1</v>
      </c>
      <c r="I1752" s="37"/>
      <c r="J1752" s="37"/>
      <c r="K1752" s="37"/>
      <c r="L1752" s="37"/>
    </row>
    <row r="1753" spans="1:12" ht="15.75" customHeight="1">
      <c r="A1753" s="87" t="s">
        <v>3935</v>
      </c>
      <c r="B1753" s="87" t="s">
        <v>1375</v>
      </c>
      <c r="C1753" s="87" t="s">
        <v>6621</v>
      </c>
      <c r="D1753" s="88">
        <v>605</v>
      </c>
      <c r="E1753" s="85" t="s">
        <v>6330</v>
      </c>
      <c r="F1753" s="87">
        <v>1163</v>
      </c>
      <c r="G1753" s="37"/>
      <c r="H1753" s="37">
        <f>COUNTIF('(参考)現行システム機能階層一覧'!$E$3:$E$1048576,sheet1!B1753)</f>
        <v>1</v>
      </c>
      <c r="I1753" s="37"/>
      <c r="J1753" s="37"/>
      <c r="K1753" s="37"/>
      <c r="L1753" s="37"/>
    </row>
    <row r="1754" spans="1:12" ht="15.75" customHeight="1">
      <c r="A1754" s="87" t="s">
        <v>3935</v>
      </c>
      <c r="B1754" s="87" t="s">
        <v>1347</v>
      </c>
      <c r="C1754" s="87" t="s">
        <v>6622</v>
      </c>
      <c r="D1754" s="88">
        <v>469</v>
      </c>
      <c r="E1754" s="85" t="s">
        <v>6330</v>
      </c>
      <c r="F1754" s="87">
        <v>1390</v>
      </c>
      <c r="G1754" s="37"/>
      <c r="H1754" s="37">
        <f>COUNTIF('(参考)現行システム機能階層一覧'!$E$3:$E$1048576,sheet1!B1754)</f>
        <v>1</v>
      </c>
      <c r="I1754" s="37"/>
      <c r="J1754" s="37"/>
      <c r="K1754" s="37"/>
      <c r="L1754" s="37"/>
    </row>
    <row r="1755" spans="1:12" ht="15.75" customHeight="1">
      <c r="A1755" s="87" t="s">
        <v>3935</v>
      </c>
      <c r="B1755" s="87" t="s">
        <v>6623</v>
      </c>
      <c r="C1755" s="87" t="s">
        <v>6624</v>
      </c>
      <c r="D1755" s="88">
        <v>268</v>
      </c>
      <c r="E1755" s="85" t="s">
        <v>6330</v>
      </c>
      <c r="F1755" s="87">
        <v>1289</v>
      </c>
      <c r="G1755" s="37"/>
      <c r="H1755" s="37">
        <f>COUNTIF('(参考)現行システム機能階層一覧'!$E$3:$E$1048576,sheet1!B1755)</f>
        <v>0</v>
      </c>
      <c r="I1755" s="37"/>
      <c r="J1755" s="37"/>
      <c r="K1755" s="37"/>
      <c r="L1755" s="37"/>
    </row>
    <row r="1756" spans="1:12" ht="15.75" customHeight="1">
      <c r="A1756" s="87" t="s">
        <v>3935</v>
      </c>
      <c r="B1756" s="87" t="s">
        <v>1351</v>
      </c>
      <c r="C1756" s="87" t="s">
        <v>6625</v>
      </c>
      <c r="D1756" s="88">
        <v>664</v>
      </c>
      <c r="E1756" s="85" t="s">
        <v>6330</v>
      </c>
      <c r="F1756" s="87">
        <v>1497</v>
      </c>
      <c r="G1756" s="37"/>
      <c r="H1756" s="37">
        <f>COUNTIF('(参考)現行システム機能階層一覧'!$E$3:$E$1048576,sheet1!B1756)</f>
        <v>1</v>
      </c>
      <c r="I1756" s="37"/>
      <c r="J1756" s="37"/>
      <c r="K1756" s="37"/>
      <c r="L1756" s="37"/>
    </row>
    <row r="1757" spans="1:12" ht="15.75" customHeight="1">
      <c r="A1757" s="87" t="s">
        <v>3935</v>
      </c>
      <c r="B1757" s="87" t="s">
        <v>1355</v>
      </c>
      <c r="C1757" s="87" t="s">
        <v>6626</v>
      </c>
      <c r="D1757" s="88">
        <v>647</v>
      </c>
      <c r="E1757" s="85" t="s">
        <v>6330</v>
      </c>
      <c r="F1757" s="87">
        <v>1318</v>
      </c>
      <c r="G1757" s="37"/>
      <c r="H1757" s="37">
        <f>COUNTIF('(参考)現行システム機能階層一覧'!$E$3:$E$1048576,sheet1!B1757)</f>
        <v>1</v>
      </c>
      <c r="I1757" s="37"/>
      <c r="J1757" s="37"/>
      <c r="K1757" s="37"/>
      <c r="L1757" s="37"/>
    </row>
    <row r="1758" spans="1:12" ht="15.75" customHeight="1">
      <c r="A1758" s="87" t="s">
        <v>3935</v>
      </c>
      <c r="B1758" s="87" t="s">
        <v>6627</v>
      </c>
      <c r="C1758" s="87" t="s">
        <v>6628</v>
      </c>
      <c r="D1758" s="88">
        <v>432</v>
      </c>
      <c r="E1758" s="85" t="s">
        <v>6330</v>
      </c>
      <c r="F1758" s="87">
        <v>1395</v>
      </c>
      <c r="G1758" s="37"/>
      <c r="H1758" s="37">
        <f>COUNTIF('(参考)現行システム機能階層一覧'!$E$3:$E$1048576,sheet1!B1758)</f>
        <v>0</v>
      </c>
      <c r="I1758" s="37"/>
      <c r="J1758" s="37"/>
      <c r="K1758" s="37"/>
      <c r="L1758" s="37"/>
    </row>
    <row r="1759" spans="1:12" ht="15.75" customHeight="1">
      <c r="A1759" s="87" t="s">
        <v>3935</v>
      </c>
      <c r="B1759" s="87" t="s">
        <v>1359</v>
      </c>
      <c r="C1759" s="87" t="s">
        <v>6629</v>
      </c>
      <c r="D1759" s="88">
        <v>645</v>
      </c>
      <c r="E1759" s="85" t="s">
        <v>6330</v>
      </c>
      <c r="F1759" s="87">
        <v>1028</v>
      </c>
      <c r="G1759" s="37"/>
      <c r="H1759" s="37">
        <f>COUNTIF('(参考)現行システム機能階層一覧'!$E$3:$E$1048576,sheet1!B1759)</f>
        <v>1</v>
      </c>
      <c r="I1759" s="37"/>
      <c r="J1759" s="37"/>
      <c r="K1759" s="37"/>
      <c r="L1759" s="37"/>
    </row>
    <row r="1760" spans="1:12" ht="15.75" customHeight="1">
      <c r="A1760" s="87" t="s">
        <v>3935</v>
      </c>
      <c r="B1760" s="87" t="s">
        <v>1322</v>
      </c>
      <c r="C1760" s="87" t="s">
        <v>6630</v>
      </c>
      <c r="D1760" s="88">
        <v>545</v>
      </c>
      <c r="E1760" s="85" t="s">
        <v>6330</v>
      </c>
      <c r="F1760" s="87">
        <v>680</v>
      </c>
      <c r="G1760" s="37"/>
      <c r="H1760" s="37">
        <f>COUNTIF('(参考)現行システム機能階層一覧'!$E$3:$E$1048576,sheet1!B1760)</f>
        <v>0</v>
      </c>
      <c r="I1760" s="37"/>
      <c r="J1760" s="37"/>
      <c r="K1760" s="37"/>
      <c r="L1760" s="37"/>
    </row>
    <row r="1761" spans="1:12" ht="15.75" customHeight="1">
      <c r="A1761" s="87" t="s">
        <v>3935</v>
      </c>
      <c r="B1761" s="87" t="s">
        <v>1323</v>
      </c>
      <c r="C1761" s="87" t="s">
        <v>6631</v>
      </c>
      <c r="D1761" s="88">
        <v>352</v>
      </c>
      <c r="E1761" s="85" t="s">
        <v>6330</v>
      </c>
      <c r="F1761" s="87">
        <v>67</v>
      </c>
      <c r="G1761" s="37"/>
      <c r="H1761" s="37">
        <f>COUNTIF('(参考)現行システム機能階層一覧'!$E$3:$E$1048576,sheet1!B1761)</f>
        <v>2</v>
      </c>
      <c r="I1761" s="37"/>
      <c r="J1761" s="37"/>
      <c r="K1761" s="37"/>
      <c r="L1761" s="37"/>
    </row>
    <row r="1762" spans="1:12" ht="15.75" customHeight="1">
      <c r="A1762" s="87" t="s">
        <v>3935</v>
      </c>
      <c r="B1762" s="87" t="s">
        <v>6632</v>
      </c>
      <c r="C1762" s="87" t="s">
        <v>6633</v>
      </c>
      <c r="D1762" s="88">
        <v>254</v>
      </c>
      <c r="E1762" s="85" t="s">
        <v>6330</v>
      </c>
      <c r="F1762" s="87">
        <v>11</v>
      </c>
      <c r="G1762" s="37"/>
      <c r="H1762" s="37">
        <f>COUNTIF('(参考)現行システム機能階層一覧'!$E$3:$E$1048576,sheet1!B1762)</f>
        <v>0</v>
      </c>
      <c r="I1762" s="37"/>
      <c r="J1762" s="37"/>
      <c r="K1762" s="37"/>
      <c r="L1762" s="37"/>
    </row>
    <row r="1763" spans="1:12" ht="15.75" customHeight="1">
      <c r="A1763" s="87" t="s">
        <v>3935</v>
      </c>
      <c r="B1763" s="87" t="s">
        <v>1364</v>
      </c>
      <c r="C1763" s="87" t="s">
        <v>6634</v>
      </c>
      <c r="D1763" s="88">
        <v>397</v>
      </c>
      <c r="E1763" s="85" t="s">
        <v>6330</v>
      </c>
      <c r="F1763" s="87">
        <v>420</v>
      </c>
      <c r="G1763" s="37"/>
      <c r="H1763" s="37">
        <f>COUNTIF('(参考)現行システム機能階層一覧'!$E$3:$E$1048576,sheet1!B1763)</f>
        <v>1</v>
      </c>
      <c r="I1763" s="37"/>
      <c r="J1763" s="37"/>
      <c r="K1763" s="37"/>
      <c r="L1763" s="37"/>
    </row>
    <row r="1764" spans="1:12" ht="15.75" customHeight="1">
      <c r="A1764" s="87" t="s">
        <v>3935</v>
      </c>
      <c r="B1764" s="87" t="s">
        <v>6635</v>
      </c>
      <c r="C1764" s="87" t="s">
        <v>6636</v>
      </c>
      <c r="D1764" s="88">
        <v>186</v>
      </c>
      <c r="E1764" s="85" t="s">
        <v>6330</v>
      </c>
      <c r="F1764" s="87">
        <v>35</v>
      </c>
      <c r="G1764" s="37"/>
      <c r="H1764" s="37">
        <f>COUNTIF('(参考)現行システム機能階層一覧'!$E$3:$E$1048576,sheet1!B1764)</f>
        <v>0</v>
      </c>
      <c r="I1764" s="37"/>
      <c r="J1764" s="37"/>
      <c r="K1764" s="37"/>
      <c r="L1764" s="37"/>
    </row>
    <row r="1765" spans="1:12" ht="15.75" customHeight="1">
      <c r="A1765" s="87" t="s">
        <v>3935</v>
      </c>
      <c r="B1765" s="87" t="s">
        <v>6637</v>
      </c>
      <c r="C1765" s="87" t="s">
        <v>6638</v>
      </c>
      <c r="D1765" s="88">
        <v>186</v>
      </c>
      <c r="E1765" s="85" t="s">
        <v>6330</v>
      </c>
      <c r="F1765" s="87">
        <v>48</v>
      </c>
      <c r="G1765" s="37"/>
      <c r="H1765" s="37">
        <f>COUNTIF('(参考)現行システム機能階層一覧'!$E$3:$E$1048576,sheet1!B1765)</f>
        <v>0</v>
      </c>
      <c r="I1765" s="37"/>
      <c r="J1765" s="37"/>
      <c r="K1765" s="37"/>
      <c r="L1765" s="37"/>
    </row>
    <row r="1766" spans="1:12" ht="15.75" customHeight="1">
      <c r="A1766" s="87" t="s">
        <v>3935</v>
      </c>
      <c r="B1766" s="87" t="s">
        <v>6639</v>
      </c>
      <c r="C1766" s="87" t="s">
        <v>6640</v>
      </c>
      <c r="D1766" s="88">
        <v>190</v>
      </c>
      <c r="E1766" s="85" t="s">
        <v>6330</v>
      </c>
      <c r="F1766" s="87">
        <v>1</v>
      </c>
      <c r="G1766" s="37"/>
      <c r="H1766" s="37">
        <f>COUNTIF('(参考)現行システム機能階層一覧'!$E$3:$E$1048576,sheet1!B1766)</f>
        <v>0</v>
      </c>
      <c r="I1766" s="37"/>
      <c r="J1766" s="37"/>
      <c r="K1766" s="37"/>
      <c r="L1766" s="37"/>
    </row>
    <row r="1767" spans="1:12" ht="15.75" customHeight="1">
      <c r="A1767" s="87" t="s">
        <v>3935</v>
      </c>
      <c r="B1767" s="87" t="s">
        <v>6641</v>
      </c>
      <c r="C1767" s="87" t="s">
        <v>6642</v>
      </c>
      <c r="D1767" s="88">
        <v>190</v>
      </c>
      <c r="E1767" s="85" t="s">
        <v>6330</v>
      </c>
      <c r="F1767" s="87">
        <v>1</v>
      </c>
      <c r="G1767" s="37"/>
      <c r="H1767" s="37">
        <f>COUNTIF('(参考)現行システム機能階層一覧'!$E$3:$E$1048576,sheet1!B1767)</f>
        <v>0</v>
      </c>
      <c r="I1767" s="37"/>
      <c r="J1767" s="37"/>
      <c r="K1767" s="37"/>
      <c r="L1767" s="37"/>
    </row>
    <row r="1768" spans="1:12" ht="15.75" customHeight="1">
      <c r="A1768" s="87" t="s">
        <v>3935</v>
      </c>
      <c r="B1768" s="87" t="s">
        <v>1328</v>
      </c>
      <c r="C1768" s="87" t="s">
        <v>6643</v>
      </c>
      <c r="D1768" s="88">
        <v>401</v>
      </c>
      <c r="E1768" s="85" t="s">
        <v>6330</v>
      </c>
      <c r="F1768" s="87">
        <v>12</v>
      </c>
      <c r="G1768" s="37"/>
      <c r="H1768" s="37">
        <f>COUNTIF('(参考)現行システム機能階層一覧'!$E$3:$E$1048576,sheet1!B1768)</f>
        <v>2</v>
      </c>
      <c r="I1768" s="37"/>
      <c r="J1768" s="37"/>
      <c r="K1768" s="37"/>
      <c r="L1768" s="37"/>
    </row>
    <row r="1769" spans="1:12" ht="15.75" customHeight="1">
      <c r="A1769" s="87" t="s">
        <v>3935</v>
      </c>
      <c r="B1769" s="87" t="s">
        <v>6644</v>
      </c>
      <c r="C1769" s="87" t="s">
        <v>6645</v>
      </c>
      <c r="D1769" s="88">
        <v>419</v>
      </c>
      <c r="E1769" s="85" t="s">
        <v>6330</v>
      </c>
      <c r="F1769" s="87">
        <v>121</v>
      </c>
      <c r="G1769" s="37"/>
      <c r="H1769" s="37">
        <f>COUNTIF('(参考)現行システム機能階層一覧'!$E$3:$E$1048576,sheet1!B1769)</f>
        <v>0</v>
      </c>
      <c r="I1769" s="37"/>
      <c r="J1769" s="37"/>
      <c r="K1769" s="37"/>
      <c r="L1769" s="37"/>
    </row>
    <row r="1770" spans="1:12" ht="15.75" customHeight="1">
      <c r="A1770" s="87" t="s">
        <v>3935</v>
      </c>
      <c r="B1770" s="87" t="s">
        <v>6646</v>
      </c>
      <c r="C1770" s="87" t="s">
        <v>6647</v>
      </c>
      <c r="D1770" s="88">
        <v>419</v>
      </c>
      <c r="E1770" s="85" t="s">
        <v>6330</v>
      </c>
      <c r="F1770" s="87">
        <v>148</v>
      </c>
      <c r="G1770" s="37"/>
      <c r="H1770" s="37">
        <f>COUNTIF('(参考)現行システム機能階層一覧'!$E$3:$E$1048576,sheet1!B1770)</f>
        <v>0</v>
      </c>
      <c r="I1770" s="37"/>
      <c r="J1770" s="37"/>
      <c r="K1770" s="37"/>
      <c r="L1770" s="37"/>
    </row>
    <row r="1771" spans="1:12" ht="15.75" customHeight="1">
      <c r="A1771" s="87" t="s">
        <v>3935</v>
      </c>
      <c r="B1771" s="87" t="s">
        <v>3722</v>
      </c>
      <c r="C1771" s="87" t="s">
        <v>6648</v>
      </c>
      <c r="D1771" s="88">
        <v>204</v>
      </c>
      <c r="E1771" s="85" t="s">
        <v>6330</v>
      </c>
      <c r="F1771" s="87">
        <v>107</v>
      </c>
      <c r="G1771" s="37"/>
      <c r="H1771" s="37">
        <f>COUNTIF('(参考)現行システム機能階層一覧'!$E$3:$E$1048576,sheet1!B1771)</f>
        <v>1</v>
      </c>
      <c r="I1771" s="37"/>
      <c r="J1771" s="37"/>
      <c r="K1771" s="37"/>
      <c r="L1771" s="37"/>
    </row>
    <row r="1772" spans="1:12" ht="15.75" customHeight="1">
      <c r="A1772" s="87" t="s">
        <v>3935</v>
      </c>
      <c r="B1772" s="87" t="s">
        <v>6649</v>
      </c>
      <c r="C1772" s="87" t="s">
        <v>6650</v>
      </c>
      <c r="D1772" s="88">
        <v>231</v>
      </c>
      <c r="E1772" s="85" t="s">
        <v>6330</v>
      </c>
      <c r="F1772" s="87">
        <v>8</v>
      </c>
      <c r="G1772" s="37"/>
      <c r="H1772" s="37">
        <f>COUNTIF('(参考)現行システム機能階層一覧'!$E$3:$E$1048576,sheet1!B1772)</f>
        <v>0</v>
      </c>
      <c r="I1772" s="37"/>
      <c r="J1772" s="37"/>
      <c r="K1772" s="37"/>
      <c r="L1772" s="37"/>
    </row>
    <row r="1773" spans="1:12" ht="15.75" customHeight="1">
      <c r="A1773" s="87" t="s">
        <v>3853</v>
      </c>
      <c r="B1773" s="87" t="s">
        <v>6651</v>
      </c>
      <c r="C1773" s="87" t="s">
        <v>6652</v>
      </c>
      <c r="D1773" s="88">
        <v>58</v>
      </c>
      <c r="E1773" s="85" t="s">
        <v>6330</v>
      </c>
      <c r="F1773" s="87">
        <v>2</v>
      </c>
      <c r="G1773" s="37"/>
      <c r="H1773" s="37">
        <f>COUNTIF('(参考)現行システム機能階層一覧'!$E$3:$E$1048576,sheet1!B1773)</f>
        <v>0</v>
      </c>
      <c r="I1773" s="37"/>
      <c r="J1773" s="37"/>
      <c r="K1773" s="37"/>
      <c r="L1773" s="37"/>
    </row>
    <row r="1774" spans="1:12" ht="15.75" customHeight="1">
      <c r="A1774" s="87" t="s">
        <v>3935</v>
      </c>
      <c r="B1774" s="87" t="s">
        <v>6653</v>
      </c>
      <c r="C1774" s="87" t="s">
        <v>6654</v>
      </c>
      <c r="D1774" s="88">
        <v>385</v>
      </c>
      <c r="E1774" s="85" t="s">
        <v>6330</v>
      </c>
      <c r="F1774" s="87">
        <v>312</v>
      </c>
      <c r="G1774" s="37"/>
      <c r="H1774" s="37">
        <f>COUNTIF('(参考)現行システム機能階層一覧'!$E$3:$E$1048576,sheet1!B1774)</f>
        <v>0</v>
      </c>
      <c r="I1774" s="37"/>
      <c r="J1774" s="37"/>
      <c r="K1774" s="37"/>
      <c r="L1774" s="37"/>
    </row>
    <row r="1775" spans="1:12" ht="15.75" customHeight="1">
      <c r="A1775" s="87" t="s">
        <v>3935</v>
      </c>
      <c r="B1775" s="87" t="s">
        <v>6655</v>
      </c>
      <c r="C1775" s="87" t="s">
        <v>6656</v>
      </c>
      <c r="D1775" s="88">
        <v>378</v>
      </c>
      <c r="E1775" s="85" t="s">
        <v>6330</v>
      </c>
      <c r="F1775" s="87">
        <v>112</v>
      </c>
      <c r="G1775" s="37"/>
      <c r="H1775" s="37">
        <f>COUNTIF('(参考)現行システム機能階層一覧'!$E$3:$E$1048576,sheet1!B1775)</f>
        <v>0</v>
      </c>
      <c r="I1775" s="37"/>
      <c r="J1775" s="37"/>
      <c r="K1775" s="37"/>
      <c r="L1775" s="37"/>
    </row>
    <row r="1776" spans="1:12" ht="15.75" customHeight="1">
      <c r="A1776" s="87" t="s">
        <v>3853</v>
      </c>
      <c r="B1776" s="87" t="s">
        <v>6657</v>
      </c>
      <c r="C1776" s="87" t="s">
        <v>6617</v>
      </c>
      <c r="D1776" s="88">
        <v>12</v>
      </c>
      <c r="E1776" s="85" t="s">
        <v>6330</v>
      </c>
      <c r="F1776" s="87">
        <v>1</v>
      </c>
      <c r="G1776" s="37"/>
      <c r="H1776" s="37">
        <f>COUNTIF('(参考)現行システム機能階層一覧'!$E$3:$E$1048576,sheet1!B1776)</f>
        <v>0</v>
      </c>
      <c r="I1776" s="37"/>
      <c r="J1776" s="37"/>
      <c r="K1776" s="37"/>
      <c r="L1776" s="37"/>
    </row>
    <row r="1777" spans="1:12" ht="15.75" customHeight="1">
      <c r="A1777" s="87" t="s">
        <v>3935</v>
      </c>
      <c r="B1777" s="87" t="s">
        <v>3784</v>
      </c>
      <c r="C1777" s="87" t="s">
        <v>3785</v>
      </c>
      <c r="D1777" s="88">
        <v>102</v>
      </c>
      <c r="E1777" s="85" t="s">
        <v>6330</v>
      </c>
      <c r="F1777" s="87">
        <v>15</v>
      </c>
      <c r="G1777" s="37"/>
      <c r="H1777" s="37">
        <f>COUNTIF('(参考)現行システム機能階層一覧'!$E$3:$E$1048576,sheet1!B1777)</f>
        <v>1</v>
      </c>
      <c r="I1777" s="37"/>
      <c r="J1777" s="37"/>
      <c r="K1777" s="37"/>
      <c r="L1777" s="37"/>
    </row>
    <row r="1778" spans="1:12" ht="15.75" customHeight="1">
      <c r="A1778" s="87" t="s">
        <v>3853</v>
      </c>
      <c r="B1778" s="87" t="s">
        <v>6658</v>
      </c>
      <c r="C1778" s="87" t="s">
        <v>3785</v>
      </c>
      <c r="D1778" s="88">
        <v>12</v>
      </c>
      <c r="E1778" s="85" t="s">
        <v>6330</v>
      </c>
      <c r="F1778" s="87">
        <v>14</v>
      </c>
      <c r="G1778" s="37"/>
      <c r="H1778" s="37">
        <f>COUNTIF('(参考)現行システム機能階層一覧'!$E$3:$E$1048576,sheet1!B1778)</f>
        <v>0</v>
      </c>
      <c r="I1778" s="37"/>
      <c r="J1778" s="37"/>
      <c r="K1778" s="37"/>
      <c r="L1778" s="37"/>
    </row>
    <row r="1779" spans="1:12" ht="15.75" customHeight="1">
      <c r="A1779" s="87" t="s">
        <v>3935</v>
      </c>
      <c r="B1779" s="87" t="s">
        <v>3786</v>
      </c>
      <c r="C1779" s="87" t="s">
        <v>6659</v>
      </c>
      <c r="D1779" s="88">
        <v>223</v>
      </c>
      <c r="E1779" s="85" t="s">
        <v>6330</v>
      </c>
      <c r="F1779" s="87">
        <v>19</v>
      </c>
      <c r="G1779" s="37"/>
      <c r="H1779" s="37">
        <f>COUNTIF('(参考)現行システム機能階層一覧'!$E$3:$E$1048576,sheet1!B1779)</f>
        <v>1</v>
      </c>
      <c r="I1779" s="37"/>
      <c r="J1779" s="37"/>
      <c r="K1779" s="37"/>
      <c r="L1779" s="37"/>
    </row>
    <row r="1780" spans="1:12" ht="15.75" customHeight="1">
      <c r="A1780" s="87" t="s">
        <v>3853</v>
      </c>
      <c r="B1780" s="87" t="s">
        <v>6660</v>
      </c>
      <c r="C1780" s="87" t="s">
        <v>6661</v>
      </c>
      <c r="D1780" s="88">
        <v>12</v>
      </c>
      <c r="E1780" s="85" t="s">
        <v>6330</v>
      </c>
      <c r="F1780" s="87">
        <v>19</v>
      </c>
      <c r="G1780" s="37"/>
      <c r="H1780" s="37">
        <f>COUNTIF('(参考)現行システム機能階層一覧'!$E$3:$E$1048576,sheet1!B1780)</f>
        <v>0</v>
      </c>
      <c r="I1780" s="37"/>
      <c r="J1780" s="37"/>
      <c r="K1780" s="37"/>
      <c r="L1780" s="37"/>
    </row>
    <row r="1781" spans="1:12" ht="15.75" customHeight="1">
      <c r="A1781" s="87" t="s">
        <v>3935</v>
      </c>
      <c r="B1781" s="87" t="s">
        <v>1386</v>
      </c>
      <c r="C1781" s="87" t="s">
        <v>30</v>
      </c>
      <c r="D1781" s="88">
        <v>2746</v>
      </c>
      <c r="E1781" s="85" t="s">
        <v>6330</v>
      </c>
      <c r="F1781" s="87">
        <v>1289</v>
      </c>
      <c r="G1781" s="37"/>
      <c r="H1781" s="37">
        <f>COUNTIF('(参考)現行システム機能階層一覧'!$E$3:$E$1048576,sheet1!B1781)</f>
        <v>1</v>
      </c>
      <c r="I1781" s="37"/>
      <c r="J1781" s="37"/>
      <c r="K1781" s="37"/>
      <c r="L1781" s="37"/>
    </row>
    <row r="1782" spans="1:12" ht="15.75" customHeight="1">
      <c r="A1782" s="87" t="s">
        <v>3935</v>
      </c>
      <c r="B1782" s="87" t="s">
        <v>6662</v>
      </c>
      <c r="C1782" s="87" t="s">
        <v>6663</v>
      </c>
      <c r="D1782" s="88">
        <v>986</v>
      </c>
      <c r="E1782" s="85" t="s">
        <v>6330</v>
      </c>
      <c r="F1782" s="87">
        <v>913</v>
      </c>
      <c r="G1782" s="37"/>
      <c r="H1782" s="37">
        <f>COUNTIF('(参考)現行システム機能階層一覧'!$E$3:$E$1048576,sheet1!B1782)</f>
        <v>0</v>
      </c>
      <c r="I1782" s="37"/>
      <c r="J1782" s="37"/>
      <c r="K1782" s="37"/>
      <c r="L1782" s="37"/>
    </row>
    <row r="1783" spans="1:12" ht="15.75" customHeight="1">
      <c r="A1783" s="87" t="s">
        <v>3935</v>
      </c>
      <c r="B1783" s="87" t="s">
        <v>6664</v>
      </c>
      <c r="C1783" s="87" t="s">
        <v>6665</v>
      </c>
      <c r="D1783" s="88">
        <v>1430</v>
      </c>
      <c r="E1783" s="85" t="s">
        <v>6330</v>
      </c>
      <c r="F1783" s="87">
        <v>1240</v>
      </c>
      <c r="G1783" s="37"/>
      <c r="H1783" s="37">
        <f>COUNTIF('(参考)現行システム機能階層一覧'!$E$3:$E$1048576,sheet1!B1783)</f>
        <v>0</v>
      </c>
      <c r="I1783" s="37"/>
      <c r="J1783" s="37"/>
      <c r="K1783" s="37"/>
      <c r="L1783" s="37"/>
    </row>
    <row r="1784" spans="1:12" ht="15.75" customHeight="1">
      <c r="A1784" s="87" t="s">
        <v>3853</v>
      </c>
      <c r="B1784" s="87" t="s">
        <v>6666</v>
      </c>
      <c r="C1784" s="87" t="s">
        <v>6667</v>
      </c>
      <c r="D1784" s="88">
        <v>18</v>
      </c>
      <c r="E1784" s="85" t="s">
        <v>6330</v>
      </c>
      <c r="F1784" s="87">
        <v>1239</v>
      </c>
      <c r="G1784" s="37"/>
      <c r="H1784" s="37">
        <f>COUNTIF('(参考)現行システム機能階層一覧'!$E$3:$E$1048576,sheet1!B1784)</f>
        <v>0</v>
      </c>
      <c r="I1784" s="37"/>
      <c r="J1784" s="37"/>
      <c r="K1784" s="37"/>
      <c r="L1784" s="37"/>
    </row>
    <row r="1785" spans="1:12" ht="15.75" customHeight="1">
      <c r="A1785" s="87" t="s">
        <v>3853</v>
      </c>
      <c r="B1785" s="87" t="s">
        <v>6668</v>
      </c>
      <c r="C1785" s="87" t="s">
        <v>6669</v>
      </c>
      <c r="D1785" s="88">
        <v>29</v>
      </c>
      <c r="E1785" s="85" t="s">
        <v>6330</v>
      </c>
      <c r="F1785" s="87">
        <v>1238</v>
      </c>
      <c r="G1785" s="37"/>
      <c r="H1785" s="37">
        <f>COUNTIF('(参考)現行システム機能階層一覧'!$E$3:$E$1048576,sheet1!B1785)</f>
        <v>0</v>
      </c>
      <c r="I1785" s="37"/>
      <c r="J1785" s="37"/>
      <c r="K1785" s="37"/>
      <c r="L1785" s="37"/>
    </row>
    <row r="1786" spans="1:12" ht="15.75" customHeight="1">
      <c r="A1786" s="87" t="s">
        <v>3935</v>
      </c>
      <c r="B1786" s="87" t="s">
        <v>6670</v>
      </c>
      <c r="C1786" s="87" t="s">
        <v>6671</v>
      </c>
      <c r="D1786" s="88">
        <v>239</v>
      </c>
      <c r="E1786" s="85" t="s">
        <v>6330</v>
      </c>
      <c r="F1786" s="87">
        <v>1238</v>
      </c>
      <c r="G1786" s="37"/>
      <c r="H1786" s="37">
        <f>COUNTIF('(参考)現行システム機能階層一覧'!$E$3:$E$1048576,sheet1!B1786)</f>
        <v>0</v>
      </c>
      <c r="I1786" s="37"/>
      <c r="J1786" s="37"/>
      <c r="K1786" s="37"/>
      <c r="L1786" s="37"/>
    </row>
    <row r="1787" spans="1:12" ht="15.75" customHeight="1">
      <c r="A1787" s="87" t="s">
        <v>3935</v>
      </c>
      <c r="B1787" s="87" t="s">
        <v>6672</v>
      </c>
      <c r="C1787" s="87" t="s">
        <v>6673</v>
      </c>
      <c r="D1787" s="88">
        <v>1422</v>
      </c>
      <c r="E1787" s="85" t="s">
        <v>6330</v>
      </c>
      <c r="F1787" s="87">
        <v>329</v>
      </c>
      <c r="G1787" s="37"/>
      <c r="H1787" s="37">
        <f>COUNTIF('(参考)現行システム機能階層一覧'!$E$3:$E$1048576,sheet1!B1787)</f>
        <v>0</v>
      </c>
      <c r="I1787" s="37"/>
      <c r="J1787" s="37"/>
      <c r="K1787" s="37"/>
      <c r="L1787" s="37"/>
    </row>
    <row r="1788" spans="1:12" ht="15.75" customHeight="1">
      <c r="A1788" s="87" t="s">
        <v>3853</v>
      </c>
      <c r="B1788" s="87" t="s">
        <v>6674</v>
      </c>
      <c r="C1788" s="87" t="s">
        <v>6675</v>
      </c>
      <c r="D1788" s="88">
        <v>17</v>
      </c>
      <c r="E1788" s="85" t="s">
        <v>6330</v>
      </c>
      <c r="F1788" s="87">
        <v>330</v>
      </c>
      <c r="G1788" s="37"/>
      <c r="H1788" s="37">
        <f>COUNTIF('(参考)現行システム機能階層一覧'!$E$3:$E$1048576,sheet1!B1788)</f>
        <v>0</v>
      </c>
      <c r="I1788" s="37"/>
      <c r="J1788" s="37"/>
      <c r="K1788" s="37"/>
      <c r="L1788" s="37"/>
    </row>
    <row r="1789" spans="1:12" ht="15.75" customHeight="1">
      <c r="A1789" s="87" t="s">
        <v>3853</v>
      </c>
      <c r="B1789" s="87" t="s">
        <v>6676</v>
      </c>
      <c r="C1789" s="87" t="s">
        <v>6677</v>
      </c>
      <c r="D1789" s="88">
        <v>12</v>
      </c>
      <c r="E1789" s="85" t="s">
        <v>6330</v>
      </c>
      <c r="F1789" s="87">
        <v>329</v>
      </c>
      <c r="G1789" s="37"/>
      <c r="H1789" s="37">
        <f>COUNTIF('(参考)現行システム機能階層一覧'!$E$3:$E$1048576,sheet1!B1789)</f>
        <v>0</v>
      </c>
      <c r="I1789" s="37"/>
      <c r="J1789" s="37"/>
      <c r="K1789" s="37"/>
      <c r="L1789" s="37"/>
    </row>
    <row r="1790" spans="1:12" ht="15.75" customHeight="1">
      <c r="A1790" s="87" t="s">
        <v>3935</v>
      </c>
      <c r="B1790" s="87" t="s">
        <v>6678</v>
      </c>
      <c r="C1790" s="87" t="s">
        <v>6679</v>
      </c>
      <c r="D1790" s="88">
        <v>122</v>
      </c>
      <c r="E1790" s="85" t="s">
        <v>6330</v>
      </c>
      <c r="F1790" s="87">
        <v>1238</v>
      </c>
      <c r="G1790" s="37"/>
      <c r="H1790" s="37">
        <f>COUNTIF('(参考)現行システム機能階層一覧'!$E$3:$E$1048576,sheet1!B1790)</f>
        <v>0</v>
      </c>
      <c r="I1790" s="37"/>
      <c r="J1790" s="37"/>
      <c r="K1790" s="37"/>
      <c r="L1790" s="37"/>
    </row>
    <row r="1791" spans="1:12" ht="15.75" customHeight="1">
      <c r="A1791" s="87" t="s">
        <v>3935</v>
      </c>
      <c r="B1791" s="87" t="s">
        <v>6680</v>
      </c>
      <c r="C1791" s="87" t="s">
        <v>6681</v>
      </c>
      <c r="D1791" s="88">
        <v>425</v>
      </c>
      <c r="E1791" s="85" t="s">
        <v>6330</v>
      </c>
      <c r="F1791" s="87">
        <v>1247</v>
      </c>
      <c r="G1791" s="37"/>
      <c r="H1791" s="37">
        <f>COUNTIF('(参考)現行システム機能階層一覧'!$E$3:$E$1048576,sheet1!B1791)</f>
        <v>0</v>
      </c>
      <c r="I1791" s="37"/>
      <c r="J1791" s="37"/>
      <c r="K1791" s="37"/>
      <c r="L1791" s="37"/>
    </row>
    <row r="1792" spans="1:12" ht="15.75" customHeight="1">
      <c r="A1792" s="87" t="s">
        <v>3935</v>
      </c>
      <c r="B1792" s="87" t="s">
        <v>6682</v>
      </c>
      <c r="C1792" s="87" t="s">
        <v>6683</v>
      </c>
      <c r="D1792" s="88">
        <v>306</v>
      </c>
      <c r="E1792" s="85" t="s">
        <v>6330</v>
      </c>
      <c r="F1792" s="87">
        <v>276</v>
      </c>
      <c r="G1792" s="37"/>
      <c r="H1792" s="37">
        <f>COUNTIF('(参考)現行システム機能階層一覧'!$E$3:$E$1048576,sheet1!B1792)</f>
        <v>0</v>
      </c>
      <c r="I1792" s="37"/>
      <c r="J1792" s="37"/>
      <c r="K1792" s="37"/>
      <c r="L1792" s="37"/>
    </row>
    <row r="1793" spans="1:12" ht="15.75" customHeight="1">
      <c r="A1793" s="87" t="s">
        <v>3935</v>
      </c>
      <c r="B1793" s="87" t="s">
        <v>6684</v>
      </c>
      <c r="C1793" s="87" t="s">
        <v>6685</v>
      </c>
      <c r="D1793" s="88">
        <v>469</v>
      </c>
      <c r="E1793" s="85" t="s">
        <v>6330</v>
      </c>
      <c r="F1793" s="87">
        <v>1211</v>
      </c>
      <c r="G1793" s="37"/>
      <c r="H1793" s="37">
        <f>COUNTIF('(参考)現行システム機能階層一覧'!$E$3:$E$1048576,sheet1!B1793)</f>
        <v>0</v>
      </c>
      <c r="I1793" s="37"/>
      <c r="J1793" s="37"/>
      <c r="K1793" s="37"/>
      <c r="L1793" s="37"/>
    </row>
    <row r="1794" spans="1:12" ht="15.75" customHeight="1">
      <c r="A1794" s="87" t="s">
        <v>3935</v>
      </c>
      <c r="B1794" s="87" t="s">
        <v>6686</v>
      </c>
      <c r="C1794" s="87" t="s">
        <v>6687</v>
      </c>
      <c r="D1794" s="88">
        <v>467</v>
      </c>
      <c r="E1794" s="85" t="s">
        <v>6330</v>
      </c>
      <c r="F1794" s="87">
        <v>825</v>
      </c>
      <c r="G1794" s="37"/>
      <c r="H1794" s="37">
        <f>COUNTIF('(参考)現行システム機能階層一覧'!$E$3:$E$1048576,sheet1!B1794)</f>
        <v>0</v>
      </c>
      <c r="I1794" s="37"/>
      <c r="J1794" s="37"/>
      <c r="K1794" s="37"/>
      <c r="L1794" s="37"/>
    </row>
    <row r="1795" spans="1:12" ht="15.75" customHeight="1">
      <c r="A1795" s="87" t="s">
        <v>3935</v>
      </c>
      <c r="B1795" s="87" t="s">
        <v>6688</v>
      </c>
      <c r="C1795" s="87" t="s">
        <v>6689</v>
      </c>
      <c r="D1795" s="88">
        <v>409</v>
      </c>
      <c r="E1795" s="85" t="s">
        <v>6330</v>
      </c>
      <c r="F1795" s="87">
        <v>1265</v>
      </c>
      <c r="G1795" s="37"/>
      <c r="H1795" s="37">
        <f>COUNTIF('(参考)現行システム機能階層一覧'!$E$3:$E$1048576,sheet1!B1795)</f>
        <v>0</v>
      </c>
      <c r="I1795" s="37"/>
      <c r="J1795" s="37"/>
      <c r="K1795" s="37"/>
      <c r="L1795" s="37"/>
    </row>
    <row r="1796" spans="1:12" ht="15.75" customHeight="1">
      <c r="A1796" s="87" t="s">
        <v>3935</v>
      </c>
      <c r="B1796" s="87" t="s">
        <v>6690</v>
      </c>
      <c r="C1796" s="87" t="s">
        <v>6691</v>
      </c>
      <c r="D1796" s="88">
        <v>971</v>
      </c>
      <c r="E1796" s="85" t="s">
        <v>6330</v>
      </c>
      <c r="F1796" s="87">
        <v>1</v>
      </c>
      <c r="G1796" s="37"/>
      <c r="H1796" s="37">
        <f>COUNTIF('(参考)現行システム機能階層一覧'!$E$3:$E$1048576,sheet1!B1796)</f>
        <v>0</v>
      </c>
      <c r="I1796" s="37"/>
      <c r="J1796" s="37"/>
      <c r="K1796" s="37"/>
      <c r="L1796" s="37"/>
    </row>
    <row r="1797" spans="1:12" ht="15.75" customHeight="1">
      <c r="A1797" s="87" t="s">
        <v>3935</v>
      </c>
      <c r="B1797" s="87" t="s">
        <v>6692</v>
      </c>
      <c r="C1797" s="87" t="s">
        <v>6693</v>
      </c>
      <c r="D1797" s="88">
        <v>1158</v>
      </c>
      <c r="E1797" s="85" t="s">
        <v>6330</v>
      </c>
      <c r="F1797" s="87">
        <v>1209</v>
      </c>
      <c r="G1797" s="37"/>
      <c r="H1797" s="37">
        <f>COUNTIF('(参考)現行システム機能階層一覧'!$E$3:$E$1048576,sheet1!B1797)</f>
        <v>0</v>
      </c>
      <c r="I1797" s="37"/>
      <c r="J1797" s="37"/>
      <c r="K1797" s="37"/>
      <c r="L1797" s="37"/>
    </row>
    <row r="1798" spans="1:12" ht="15.75" customHeight="1">
      <c r="A1798" s="87" t="s">
        <v>3935</v>
      </c>
      <c r="B1798" s="87" t="s">
        <v>1388</v>
      </c>
      <c r="C1798" s="87" t="s">
        <v>6694</v>
      </c>
      <c r="D1798" s="88">
        <v>2741</v>
      </c>
      <c r="E1798" s="85" t="s">
        <v>6330</v>
      </c>
      <c r="F1798" s="87">
        <v>1300</v>
      </c>
      <c r="G1798" s="37"/>
      <c r="H1798" s="37">
        <f>COUNTIF('(参考)現行システム機能階層一覧'!$E$3:$E$1048576,sheet1!B1798)</f>
        <v>1</v>
      </c>
      <c r="I1798" s="37"/>
      <c r="J1798" s="37"/>
      <c r="K1798" s="37"/>
      <c r="L1798" s="37"/>
    </row>
    <row r="1799" spans="1:12" ht="15.75" customHeight="1">
      <c r="A1799" s="87" t="s">
        <v>3935</v>
      </c>
      <c r="B1799" s="87" t="s">
        <v>1407</v>
      </c>
      <c r="C1799" s="87" t="s">
        <v>1408</v>
      </c>
      <c r="D1799" s="88">
        <v>329</v>
      </c>
      <c r="E1799" s="85" t="s">
        <v>6330</v>
      </c>
      <c r="F1799" s="87">
        <v>100</v>
      </c>
      <c r="G1799" s="37"/>
      <c r="H1799" s="37">
        <f>COUNTIF('(参考)現行システム機能階層一覧'!$E$3:$E$1048576,sheet1!B1799)</f>
        <v>1</v>
      </c>
      <c r="I1799" s="37"/>
      <c r="J1799" s="37"/>
      <c r="K1799" s="37"/>
      <c r="L1799" s="37"/>
    </row>
    <row r="1800" spans="1:12" ht="15.75" customHeight="1">
      <c r="A1800" s="87" t="s">
        <v>3935</v>
      </c>
      <c r="B1800" s="87" t="s">
        <v>1410</v>
      </c>
      <c r="C1800" s="87" t="s">
        <v>6695</v>
      </c>
      <c r="D1800" s="88">
        <v>319</v>
      </c>
      <c r="E1800" s="85" t="s">
        <v>6330</v>
      </c>
      <c r="F1800" s="87">
        <v>304</v>
      </c>
      <c r="G1800" s="37"/>
      <c r="H1800" s="37">
        <f>COUNTIF('(参考)現行システム機能階層一覧'!$E$3:$E$1048576,sheet1!B1800)</f>
        <v>1</v>
      </c>
      <c r="I1800" s="37"/>
      <c r="J1800" s="37"/>
      <c r="K1800" s="37"/>
      <c r="L1800" s="37"/>
    </row>
    <row r="1801" spans="1:12" ht="15.75" customHeight="1">
      <c r="A1801" s="87" t="s">
        <v>3853</v>
      </c>
      <c r="B1801" s="87" t="s">
        <v>6696</v>
      </c>
      <c r="C1801" s="87" t="s">
        <v>6695</v>
      </c>
      <c r="D1801" s="88">
        <v>61</v>
      </c>
      <c r="E1801" s="85" t="s">
        <v>6330</v>
      </c>
      <c r="F1801" s="87">
        <v>304</v>
      </c>
      <c r="G1801" s="37"/>
      <c r="H1801" s="37">
        <f>COUNTIF('(参考)現行システム機能階層一覧'!$E$3:$E$1048576,sheet1!B1801)</f>
        <v>0</v>
      </c>
      <c r="I1801" s="37"/>
      <c r="J1801" s="37"/>
      <c r="K1801" s="37"/>
      <c r="L1801" s="37"/>
    </row>
    <row r="1802" spans="1:12" ht="15.75" customHeight="1">
      <c r="A1802" s="87" t="s">
        <v>3935</v>
      </c>
      <c r="B1802" s="87" t="s">
        <v>1396</v>
      </c>
      <c r="C1802" s="87" t="s">
        <v>6697</v>
      </c>
      <c r="D1802" s="88">
        <v>670</v>
      </c>
      <c r="E1802" s="85" t="s">
        <v>6330</v>
      </c>
      <c r="F1802" s="87">
        <v>1324</v>
      </c>
      <c r="G1802" s="37"/>
      <c r="H1802" s="37">
        <f>COUNTIF('(参考)現行システム機能階層一覧'!$E$3:$E$1048576,sheet1!B1802)</f>
        <v>1</v>
      </c>
      <c r="I1802" s="37"/>
      <c r="J1802" s="37"/>
      <c r="K1802" s="37"/>
      <c r="L1802" s="37"/>
    </row>
    <row r="1803" spans="1:12" ht="15.75" customHeight="1">
      <c r="A1803" s="87" t="s">
        <v>3935</v>
      </c>
      <c r="B1803" s="87" t="s">
        <v>6698</v>
      </c>
      <c r="C1803" s="87" t="s">
        <v>6699</v>
      </c>
      <c r="D1803" s="88">
        <v>40</v>
      </c>
      <c r="E1803" s="85" t="s">
        <v>6330</v>
      </c>
      <c r="F1803" s="87">
        <v>627</v>
      </c>
      <c r="G1803" s="37"/>
      <c r="H1803" s="37">
        <f>COUNTIF('(参考)現行システム機能階層一覧'!$E$3:$E$1048576,sheet1!B1803)</f>
        <v>0</v>
      </c>
      <c r="I1803" s="37"/>
      <c r="J1803" s="37"/>
      <c r="K1803" s="37"/>
      <c r="L1803" s="37"/>
    </row>
    <row r="1804" spans="1:12" ht="15.75" customHeight="1">
      <c r="A1804" s="87" t="s">
        <v>3935</v>
      </c>
      <c r="B1804" s="87" t="s">
        <v>6700</v>
      </c>
      <c r="C1804" s="87" t="s">
        <v>6701</v>
      </c>
      <c r="D1804" s="88">
        <v>146</v>
      </c>
      <c r="E1804" s="85" t="s">
        <v>6330</v>
      </c>
      <c r="F1804" s="87">
        <v>1250</v>
      </c>
      <c r="G1804" s="37"/>
      <c r="H1804" s="37">
        <f>COUNTIF('(参考)現行システム機能階層一覧'!$E$3:$E$1048576,sheet1!B1804)</f>
        <v>0</v>
      </c>
      <c r="I1804" s="37"/>
      <c r="J1804" s="37"/>
      <c r="K1804" s="37"/>
      <c r="L1804" s="37"/>
    </row>
    <row r="1805" spans="1:12" ht="15.75" customHeight="1">
      <c r="A1805" s="87" t="s">
        <v>3935</v>
      </c>
      <c r="B1805" s="87" t="s">
        <v>6702</v>
      </c>
      <c r="C1805" s="87" t="s">
        <v>6703</v>
      </c>
      <c r="D1805" s="88">
        <v>113</v>
      </c>
      <c r="E1805" s="85" t="s">
        <v>6330</v>
      </c>
      <c r="F1805" s="87">
        <v>1228</v>
      </c>
      <c r="G1805" s="37"/>
      <c r="H1805" s="37">
        <f>COUNTIF('(参考)現行システム機能階層一覧'!$E$3:$E$1048576,sheet1!B1805)</f>
        <v>0</v>
      </c>
      <c r="I1805" s="37"/>
      <c r="J1805" s="37"/>
      <c r="K1805" s="37"/>
      <c r="L1805" s="37"/>
    </row>
    <row r="1806" spans="1:12" ht="15.75" customHeight="1">
      <c r="A1806" s="87" t="s">
        <v>3935</v>
      </c>
      <c r="B1806" s="87" t="s">
        <v>1399</v>
      </c>
      <c r="C1806" s="87" t="s">
        <v>6704</v>
      </c>
      <c r="D1806" s="88">
        <v>299</v>
      </c>
      <c r="E1806" s="85" t="s">
        <v>6330</v>
      </c>
      <c r="F1806" s="87">
        <v>1195</v>
      </c>
      <c r="G1806" s="37"/>
      <c r="H1806" s="37">
        <f>COUNTIF('(参考)現行システム機能階層一覧'!$E$3:$E$1048576,sheet1!B1806)</f>
        <v>1</v>
      </c>
      <c r="I1806" s="37"/>
      <c r="J1806" s="37"/>
      <c r="K1806" s="37"/>
      <c r="L1806" s="37"/>
    </row>
    <row r="1807" spans="1:12" ht="15.75" customHeight="1">
      <c r="A1807" s="87" t="s">
        <v>3935</v>
      </c>
      <c r="B1807" s="87" t="s">
        <v>6705</v>
      </c>
      <c r="C1807" s="87" t="s">
        <v>6706</v>
      </c>
      <c r="D1807" s="88">
        <v>197</v>
      </c>
      <c r="E1807" s="85" t="s">
        <v>6330</v>
      </c>
      <c r="F1807" s="87">
        <v>627</v>
      </c>
      <c r="G1807" s="37"/>
      <c r="H1807" s="37">
        <f>COUNTIF('(参考)現行システム機能階層一覧'!$E$3:$E$1048576,sheet1!B1807)</f>
        <v>0</v>
      </c>
      <c r="I1807" s="37"/>
      <c r="J1807" s="37"/>
      <c r="K1807" s="37"/>
      <c r="L1807" s="37"/>
    </row>
    <row r="1808" spans="1:12" ht="15.75" customHeight="1">
      <c r="A1808" s="87" t="s">
        <v>3935</v>
      </c>
      <c r="B1808" s="87" t="s">
        <v>6707</v>
      </c>
      <c r="C1808" s="87" t="s">
        <v>6708</v>
      </c>
      <c r="D1808" s="88">
        <v>800</v>
      </c>
      <c r="E1808" s="85" t="s">
        <v>6330</v>
      </c>
      <c r="F1808" s="87">
        <v>496</v>
      </c>
      <c r="G1808" s="37"/>
      <c r="H1808" s="37">
        <f>COUNTIF('(参考)現行システム機能階層一覧'!$E$3:$E$1048576,sheet1!B1808)</f>
        <v>0</v>
      </c>
      <c r="I1808" s="37"/>
      <c r="J1808" s="37"/>
      <c r="K1808" s="37"/>
      <c r="L1808" s="37"/>
    </row>
    <row r="1809" spans="1:12" ht="15.75" customHeight="1">
      <c r="A1809" s="87" t="s">
        <v>3853</v>
      </c>
      <c r="B1809" s="87" t="s">
        <v>6709</v>
      </c>
      <c r="C1809" s="87" t="s">
        <v>6710</v>
      </c>
      <c r="D1809" s="88">
        <v>55</v>
      </c>
      <c r="E1809" s="85" t="s">
        <v>6330</v>
      </c>
      <c r="F1809" s="87">
        <v>496</v>
      </c>
      <c r="G1809" s="37"/>
      <c r="H1809" s="37">
        <f>COUNTIF('(参考)現行システム機能階層一覧'!$E$3:$E$1048576,sheet1!B1809)</f>
        <v>0</v>
      </c>
      <c r="I1809" s="37"/>
      <c r="J1809" s="37"/>
      <c r="K1809" s="37"/>
      <c r="L1809" s="37"/>
    </row>
    <row r="1810" spans="1:12" ht="15.75" customHeight="1">
      <c r="A1810" s="87" t="s">
        <v>3935</v>
      </c>
      <c r="B1810" s="87" t="s">
        <v>6711</v>
      </c>
      <c r="C1810" s="87" t="s">
        <v>6712</v>
      </c>
      <c r="D1810" s="88">
        <v>103</v>
      </c>
      <c r="E1810" s="85" t="s">
        <v>6330</v>
      </c>
      <c r="F1810" s="87">
        <v>1250</v>
      </c>
      <c r="G1810" s="37"/>
      <c r="H1810" s="37">
        <f>COUNTIF('(参考)現行システム機能階層一覧'!$E$3:$E$1048576,sheet1!B1810)</f>
        <v>0</v>
      </c>
      <c r="I1810" s="37"/>
      <c r="J1810" s="37"/>
      <c r="K1810" s="37"/>
      <c r="L1810" s="37"/>
    </row>
    <row r="1811" spans="1:12" ht="15.75" customHeight="1">
      <c r="A1811" s="87" t="s">
        <v>3935</v>
      </c>
      <c r="B1811" s="87" t="s">
        <v>6713</v>
      </c>
      <c r="C1811" s="87" t="s">
        <v>6714</v>
      </c>
      <c r="D1811" s="88">
        <v>107</v>
      </c>
      <c r="E1811" s="85" t="s">
        <v>6330</v>
      </c>
      <c r="F1811" s="87">
        <v>97</v>
      </c>
      <c r="G1811" s="37"/>
      <c r="H1811" s="37">
        <f>COUNTIF('(参考)現行システム機能階層一覧'!$E$3:$E$1048576,sheet1!B1811)</f>
        <v>0</v>
      </c>
      <c r="I1811" s="37"/>
      <c r="J1811" s="37"/>
      <c r="K1811" s="37"/>
      <c r="L1811" s="37"/>
    </row>
    <row r="1812" spans="1:12" ht="15.75" customHeight="1">
      <c r="A1812" s="87" t="s">
        <v>3935</v>
      </c>
      <c r="B1812" s="87" t="s">
        <v>6715</v>
      </c>
      <c r="C1812" s="87" t="s">
        <v>6716</v>
      </c>
      <c r="D1812" s="88">
        <v>282</v>
      </c>
      <c r="E1812" s="85" t="s">
        <v>6330</v>
      </c>
      <c r="F1812" s="87">
        <v>1287</v>
      </c>
      <c r="G1812" s="37"/>
      <c r="H1812" s="37">
        <f>COUNTIF('(参考)現行システム機能階層一覧'!$E$3:$E$1048576,sheet1!B1812)</f>
        <v>0</v>
      </c>
      <c r="I1812" s="37"/>
      <c r="J1812" s="37"/>
      <c r="K1812" s="37"/>
      <c r="L1812" s="37"/>
    </row>
    <row r="1813" spans="1:12" ht="15.75" customHeight="1">
      <c r="A1813" s="87" t="s">
        <v>3935</v>
      </c>
      <c r="B1813" s="87" t="s">
        <v>1404</v>
      </c>
      <c r="C1813" s="87" t="s">
        <v>6717</v>
      </c>
      <c r="D1813" s="88">
        <v>394</v>
      </c>
      <c r="E1813" s="85" t="s">
        <v>6330</v>
      </c>
      <c r="F1813" s="87">
        <v>38</v>
      </c>
      <c r="G1813" s="37"/>
      <c r="H1813" s="37">
        <f>COUNTIF('(参考)現行システム機能階層一覧'!$E$3:$E$1048576,sheet1!B1813)</f>
        <v>1</v>
      </c>
      <c r="I1813" s="37"/>
      <c r="J1813" s="37"/>
      <c r="K1813" s="37"/>
      <c r="L1813" s="37"/>
    </row>
    <row r="1814" spans="1:12" ht="15.75" customHeight="1">
      <c r="A1814" s="87" t="s">
        <v>3935</v>
      </c>
      <c r="B1814" s="87" t="s">
        <v>1380</v>
      </c>
      <c r="C1814" s="87" t="s">
        <v>1381</v>
      </c>
      <c r="D1814" s="88">
        <v>441</v>
      </c>
      <c r="E1814" s="85" t="s">
        <v>6330</v>
      </c>
      <c r="F1814" s="87">
        <v>99</v>
      </c>
      <c r="G1814" s="37"/>
      <c r="H1814" s="37">
        <f>COUNTIF('(参考)現行システム機能階層一覧'!$E$3:$E$1048576,sheet1!B1814)</f>
        <v>1</v>
      </c>
      <c r="I1814" s="37"/>
      <c r="J1814" s="37"/>
      <c r="K1814" s="37"/>
      <c r="L1814" s="37"/>
    </row>
    <row r="1815" spans="1:12" ht="15.75" customHeight="1">
      <c r="A1815" s="87" t="s">
        <v>3935</v>
      </c>
      <c r="B1815" s="87" t="s">
        <v>1383</v>
      </c>
      <c r="C1815" s="87" t="s">
        <v>1394</v>
      </c>
      <c r="D1815" s="88">
        <v>224</v>
      </c>
      <c r="E1815" s="85" t="s">
        <v>6330</v>
      </c>
      <c r="F1815" s="87">
        <v>25</v>
      </c>
      <c r="G1815" s="37"/>
      <c r="H1815" s="37">
        <f>COUNTIF('(参考)現行システム機能階層一覧'!$E$3:$E$1048576,sheet1!B1815)</f>
        <v>2</v>
      </c>
      <c r="I1815" s="37"/>
      <c r="J1815" s="37"/>
      <c r="K1815" s="37"/>
      <c r="L1815" s="37"/>
    </row>
    <row r="1816" spans="1:12" ht="15.75" customHeight="1">
      <c r="A1816" s="87" t="s">
        <v>3935</v>
      </c>
      <c r="B1816" s="87" t="s">
        <v>6718</v>
      </c>
      <c r="C1816" s="87" t="s">
        <v>6719</v>
      </c>
      <c r="D1816" s="88">
        <v>80</v>
      </c>
      <c r="E1816" s="85" t="s">
        <v>6330</v>
      </c>
      <c r="F1816" s="87">
        <v>1</v>
      </c>
      <c r="G1816" s="37"/>
      <c r="H1816" s="37">
        <f>COUNTIF('(参考)現行システム機能階層一覧'!$E$3:$E$1048576,sheet1!B1816)</f>
        <v>0</v>
      </c>
      <c r="I1816" s="37"/>
      <c r="J1816" s="37"/>
      <c r="K1816" s="37"/>
      <c r="L1816" s="37"/>
    </row>
    <row r="1817" spans="1:12" ht="15.75" customHeight="1">
      <c r="A1817" s="87" t="s">
        <v>3935</v>
      </c>
      <c r="B1817" s="87" t="s">
        <v>6720</v>
      </c>
      <c r="C1817" s="87" t="s">
        <v>6721</v>
      </c>
      <c r="D1817" s="88">
        <v>86</v>
      </c>
      <c r="E1817" s="85" t="s">
        <v>6330</v>
      </c>
      <c r="F1817" s="87">
        <v>1</v>
      </c>
      <c r="G1817" s="37"/>
      <c r="H1817" s="37">
        <f>COUNTIF('(参考)現行システム機能階層一覧'!$E$3:$E$1048576,sheet1!B1817)</f>
        <v>0</v>
      </c>
      <c r="I1817" s="37"/>
      <c r="J1817" s="37"/>
      <c r="K1817" s="37"/>
      <c r="L1817" s="37"/>
    </row>
    <row r="1818" spans="1:12" ht="15.75" customHeight="1">
      <c r="A1818" s="87" t="s">
        <v>3935</v>
      </c>
      <c r="B1818" s="87" t="s">
        <v>6722</v>
      </c>
      <c r="C1818" s="87" t="s">
        <v>6723</v>
      </c>
      <c r="D1818" s="88">
        <v>221</v>
      </c>
      <c r="E1818" s="85" t="s">
        <v>6330</v>
      </c>
      <c r="F1818" s="87">
        <v>1</v>
      </c>
      <c r="G1818" s="37"/>
      <c r="H1818" s="37">
        <f>COUNTIF('(参考)現行システム機能階層一覧'!$E$3:$E$1048576,sheet1!B1818)</f>
        <v>0</v>
      </c>
      <c r="I1818" s="37"/>
      <c r="J1818" s="37"/>
      <c r="K1818" s="37"/>
      <c r="L1818" s="37"/>
    </row>
    <row r="1819" spans="1:12" ht="15.75" customHeight="1">
      <c r="A1819" s="87" t="s">
        <v>3935</v>
      </c>
      <c r="B1819" s="87" t="s">
        <v>6724</v>
      </c>
      <c r="C1819" s="87" t="s">
        <v>6725</v>
      </c>
      <c r="D1819" s="88">
        <v>76</v>
      </c>
      <c r="E1819" s="85" t="s">
        <v>6330</v>
      </c>
      <c r="F1819" s="87">
        <v>1</v>
      </c>
      <c r="G1819" s="37"/>
      <c r="H1819" s="37">
        <f>COUNTIF('(参考)現行システム機能階層一覧'!$E$3:$E$1048576,sheet1!B1819)</f>
        <v>0</v>
      </c>
      <c r="I1819" s="37"/>
      <c r="J1819" s="37"/>
      <c r="K1819" s="37"/>
      <c r="L1819" s="37"/>
    </row>
    <row r="1820" spans="1:12" ht="15.75" customHeight="1">
      <c r="A1820" s="87" t="s">
        <v>3935</v>
      </c>
      <c r="B1820" s="87" t="s">
        <v>6726</v>
      </c>
      <c r="C1820" s="87" t="s">
        <v>6727</v>
      </c>
      <c r="D1820" s="88">
        <v>232</v>
      </c>
      <c r="E1820" s="85" t="s">
        <v>6330</v>
      </c>
      <c r="F1820" s="87">
        <v>1</v>
      </c>
      <c r="G1820" s="37"/>
      <c r="H1820" s="37">
        <f>COUNTIF('(参考)現行システム機能階層一覧'!$E$3:$E$1048576,sheet1!B1820)</f>
        <v>0</v>
      </c>
      <c r="I1820" s="37"/>
      <c r="J1820" s="37"/>
      <c r="K1820" s="37"/>
      <c r="L1820" s="37"/>
    </row>
    <row r="1821" spans="1:12" ht="15.75" customHeight="1">
      <c r="A1821" s="87" t="s">
        <v>3935</v>
      </c>
      <c r="B1821" s="87" t="s">
        <v>6728</v>
      </c>
      <c r="C1821" s="87" t="s">
        <v>6729</v>
      </c>
      <c r="D1821" s="88">
        <v>152</v>
      </c>
      <c r="E1821" s="85" t="s">
        <v>6330</v>
      </c>
      <c r="F1821" s="87">
        <v>1</v>
      </c>
      <c r="G1821" s="37"/>
      <c r="H1821" s="37">
        <f>COUNTIF('(参考)現行システム機能階層一覧'!$E$3:$E$1048576,sheet1!B1821)</f>
        <v>0</v>
      </c>
      <c r="I1821" s="37"/>
      <c r="J1821" s="37"/>
      <c r="K1821" s="37"/>
      <c r="L1821" s="37"/>
    </row>
    <row r="1822" spans="1:12" ht="15.75" customHeight="1">
      <c r="A1822" s="87" t="s">
        <v>3935</v>
      </c>
      <c r="B1822" s="87" t="s">
        <v>6730</v>
      </c>
      <c r="C1822" s="87" t="s">
        <v>6731</v>
      </c>
      <c r="D1822" s="88">
        <v>168</v>
      </c>
      <c r="E1822" s="85" t="s">
        <v>6330</v>
      </c>
      <c r="F1822" s="87">
        <v>1</v>
      </c>
      <c r="G1822" s="37"/>
      <c r="H1822" s="37">
        <f>COUNTIF('(参考)現行システム機能階層一覧'!$E$3:$E$1048576,sheet1!B1822)</f>
        <v>0</v>
      </c>
      <c r="I1822" s="37"/>
      <c r="J1822" s="37"/>
      <c r="K1822" s="37"/>
      <c r="L1822" s="37"/>
    </row>
    <row r="1823" spans="1:12" ht="15.75" customHeight="1">
      <c r="A1823" s="87" t="s">
        <v>3935</v>
      </c>
      <c r="B1823" s="87" t="s">
        <v>6732</v>
      </c>
      <c r="C1823" s="87" t="s">
        <v>6733</v>
      </c>
      <c r="D1823" s="88">
        <v>242</v>
      </c>
      <c r="E1823" s="85" t="s">
        <v>6330</v>
      </c>
      <c r="F1823" s="87">
        <v>1886</v>
      </c>
      <c r="G1823" s="37"/>
      <c r="H1823" s="37">
        <f>COUNTIF('(参考)現行システム機能階層一覧'!$E$3:$E$1048576,sheet1!B1823)</f>
        <v>0</v>
      </c>
      <c r="I1823" s="37"/>
      <c r="J1823" s="37"/>
      <c r="K1823" s="37"/>
      <c r="L1823" s="37"/>
    </row>
    <row r="1824" spans="1:12" ht="15.75" customHeight="1">
      <c r="A1824" s="87" t="s">
        <v>3935</v>
      </c>
      <c r="B1824" s="87" t="s">
        <v>6734</v>
      </c>
      <c r="C1824" s="87" t="s">
        <v>6735</v>
      </c>
      <c r="D1824" s="88">
        <v>193</v>
      </c>
      <c r="E1824" s="85" t="s">
        <v>6330</v>
      </c>
      <c r="F1824" s="87">
        <v>1</v>
      </c>
      <c r="G1824" s="37"/>
      <c r="H1824" s="37">
        <f>COUNTIF('(参考)現行システム機能階層一覧'!$E$3:$E$1048576,sheet1!B1824)</f>
        <v>0</v>
      </c>
      <c r="I1824" s="37"/>
      <c r="J1824" s="37"/>
      <c r="K1824" s="37"/>
      <c r="L1824" s="37"/>
    </row>
    <row r="1825" spans="1:12" ht="15.75" customHeight="1">
      <c r="A1825" s="87" t="s">
        <v>3935</v>
      </c>
      <c r="B1825" s="87" t="s">
        <v>6736</v>
      </c>
      <c r="C1825" s="87" t="s">
        <v>6737</v>
      </c>
      <c r="D1825" s="88">
        <v>626</v>
      </c>
      <c r="E1825" s="85" t="s">
        <v>6330</v>
      </c>
      <c r="F1825" s="87">
        <v>1886</v>
      </c>
      <c r="G1825" s="37"/>
      <c r="H1825" s="37">
        <f>COUNTIF('(参考)現行システム機能階層一覧'!$E$3:$E$1048576,sheet1!B1825)</f>
        <v>0</v>
      </c>
      <c r="I1825" s="37"/>
      <c r="J1825" s="37"/>
      <c r="K1825" s="37"/>
      <c r="L1825" s="37"/>
    </row>
    <row r="1826" spans="1:12" ht="15.75" customHeight="1">
      <c r="A1826" s="87" t="s">
        <v>3935</v>
      </c>
      <c r="B1826" s="87" t="s">
        <v>6738</v>
      </c>
      <c r="C1826" s="87" t="s">
        <v>6739</v>
      </c>
      <c r="D1826" s="88">
        <v>430</v>
      </c>
      <c r="E1826" s="85" t="s">
        <v>6330</v>
      </c>
      <c r="F1826" s="87">
        <v>1886</v>
      </c>
      <c r="G1826" s="37"/>
      <c r="H1826" s="37">
        <f>COUNTIF('(参考)現行システム機能階層一覧'!$E$3:$E$1048576,sheet1!B1826)</f>
        <v>0</v>
      </c>
      <c r="I1826" s="37"/>
      <c r="J1826" s="37"/>
      <c r="K1826" s="37"/>
      <c r="L1826" s="37"/>
    </row>
    <row r="1827" spans="1:12" ht="15.75" customHeight="1">
      <c r="A1827" s="87" t="s">
        <v>3935</v>
      </c>
      <c r="B1827" s="87" t="s">
        <v>6740</v>
      </c>
      <c r="C1827" s="87" t="s">
        <v>6741</v>
      </c>
      <c r="D1827" s="88">
        <v>156</v>
      </c>
      <c r="E1827" s="85" t="s">
        <v>6330</v>
      </c>
      <c r="F1827" s="87">
        <v>1</v>
      </c>
      <c r="G1827" s="37"/>
      <c r="H1827" s="37">
        <f>COUNTIF('(参考)現行システム機能階層一覧'!$E$3:$E$1048576,sheet1!B1827)</f>
        <v>0</v>
      </c>
      <c r="I1827" s="37"/>
      <c r="J1827" s="37"/>
      <c r="K1827" s="37"/>
      <c r="L1827" s="37"/>
    </row>
    <row r="1828" spans="1:12" ht="15.75" customHeight="1">
      <c r="A1828" s="87" t="s">
        <v>3935</v>
      </c>
      <c r="B1828" s="87" t="s">
        <v>6742</v>
      </c>
      <c r="C1828" s="87" t="s">
        <v>6743</v>
      </c>
      <c r="D1828" s="88">
        <v>56</v>
      </c>
      <c r="E1828" s="85" t="s">
        <v>6330</v>
      </c>
      <c r="F1828" s="87">
        <v>1</v>
      </c>
      <c r="G1828" s="37"/>
      <c r="H1828" s="37">
        <f>COUNTIF('(参考)現行システム機能階層一覧'!$E$3:$E$1048576,sheet1!B1828)</f>
        <v>0</v>
      </c>
      <c r="I1828" s="37"/>
      <c r="J1828" s="37"/>
      <c r="K1828" s="37"/>
      <c r="L1828" s="37"/>
    </row>
    <row r="1829" spans="1:12" ht="15.75" customHeight="1">
      <c r="A1829" s="87" t="s">
        <v>3935</v>
      </c>
      <c r="B1829" s="87" t="s">
        <v>6744</v>
      </c>
      <c r="C1829" s="87" t="s">
        <v>6745</v>
      </c>
      <c r="D1829" s="88">
        <v>308</v>
      </c>
      <c r="E1829" s="85" t="s">
        <v>6330</v>
      </c>
      <c r="F1829" s="87">
        <v>1886</v>
      </c>
      <c r="G1829" s="37"/>
      <c r="H1829" s="37">
        <f>COUNTIF('(参考)現行システム機能階層一覧'!$E$3:$E$1048576,sheet1!B1829)</f>
        <v>0</v>
      </c>
      <c r="I1829" s="37"/>
      <c r="J1829" s="37"/>
      <c r="K1829" s="37"/>
      <c r="L1829" s="37"/>
    </row>
    <row r="1830" spans="1:12" ht="15.75" customHeight="1">
      <c r="A1830" s="87" t="s">
        <v>3935</v>
      </c>
      <c r="B1830" s="87" t="s">
        <v>6746</v>
      </c>
      <c r="C1830" s="87" t="s">
        <v>6747</v>
      </c>
      <c r="D1830" s="88">
        <v>61</v>
      </c>
      <c r="E1830" s="85" t="s">
        <v>6330</v>
      </c>
      <c r="F1830" s="87">
        <v>1886</v>
      </c>
      <c r="G1830" s="37"/>
      <c r="H1830" s="37">
        <f>COUNTIF('(参考)現行システム機能階層一覧'!$E$3:$E$1048576,sheet1!B1830)</f>
        <v>0</v>
      </c>
      <c r="I1830" s="37"/>
      <c r="J1830" s="37"/>
      <c r="K1830" s="37"/>
      <c r="L1830" s="37"/>
    </row>
    <row r="1831" spans="1:12" ht="15.75" customHeight="1">
      <c r="A1831" s="87" t="s">
        <v>3935</v>
      </c>
      <c r="B1831" s="87" t="s">
        <v>6748</v>
      </c>
      <c r="C1831" s="87" t="s">
        <v>6749</v>
      </c>
      <c r="D1831" s="88">
        <v>117</v>
      </c>
      <c r="E1831" s="85" t="s">
        <v>6330</v>
      </c>
      <c r="F1831" s="87">
        <v>1886</v>
      </c>
      <c r="G1831" s="37"/>
      <c r="H1831" s="37">
        <f>COUNTIF('(参考)現行システム機能階層一覧'!$E$3:$E$1048576,sheet1!B1831)</f>
        <v>0</v>
      </c>
      <c r="I1831" s="37"/>
      <c r="J1831" s="37"/>
      <c r="K1831" s="37"/>
      <c r="L1831" s="37"/>
    </row>
    <row r="1832" spans="1:12" ht="15.75" customHeight="1">
      <c r="A1832" s="87" t="s">
        <v>3935</v>
      </c>
      <c r="B1832" s="87" t="s">
        <v>6750</v>
      </c>
      <c r="C1832" s="87" t="s">
        <v>6751</v>
      </c>
      <c r="D1832" s="88">
        <v>74</v>
      </c>
      <c r="E1832" s="85" t="s">
        <v>6330</v>
      </c>
      <c r="F1832" s="87">
        <v>1886</v>
      </c>
      <c r="G1832" s="37"/>
      <c r="H1832" s="37">
        <f>COUNTIF('(参考)現行システム機能階層一覧'!$E$3:$E$1048576,sheet1!B1832)</f>
        <v>0</v>
      </c>
      <c r="I1832" s="37"/>
      <c r="J1832" s="37"/>
      <c r="K1832" s="37"/>
      <c r="L1832" s="37"/>
    </row>
    <row r="1833" spans="1:12" ht="15.75" customHeight="1">
      <c r="A1833" s="87" t="s">
        <v>3935</v>
      </c>
      <c r="B1833" s="87" t="s">
        <v>6752</v>
      </c>
      <c r="C1833" s="87" t="s">
        <v>6753</v>
      </c>
      <c r="D1833" s="88">
        <v>96</v>
      </c>
      <c r="E1833" s="85" t="s">
        <v>6330</v>
      </c>
      <c r="F1833" s="87">
        <v>1886</v>
      </c>
      <c r="G1833" s="37"/>
      <c r="H1833" s="37">
        <f>COUNTIF('(参考)現行システム機能階層一覧'!$E$3:$E$1048576,sheet1!B1833)</f>
        <v>0</v>
      </c>
      <c r="I1833" s="37"/>
      <c r="J1833" s="37"/>
      <c r="K1833" s="37"/>
      <c r="L1833" s="37"/>
    </row>
    <row r="1834" spans="1:12" ht="15.75" customHeight="1">
      <c r="A1834" s="87" t="s">
        <v>3935</v>
      </c>
      <c r="B1834" s="87" t="s">
        <v>6754</v>
      </c>
      <c r="C1834" s="87" t="s">
        <v>6755</v>
      </c>
      <c r="D1834" s="88">
        <v>138</v>
      </c>
      <c r="E1834" s="85" t="s">
        <v>6330</v>
      </c>
      <c r="F1834" s="87">
        <v>1</v>
      </c>
      <c r="G1834" s="37"/>
      <c r="H1834" s="37">
        <f>COUNTIF('(参考)現行システム機能階層一覧'!$E$3:$E$1048576,sheet1!B1834)</f>
        <v>0</v>
      </c>
      <c r="I1834" s="37"/>
      <c r="J1834" s="37"/>
      <c r="K1834" s="37"/>
      <c r="L1834" s="37"/>
    </row>
    <row r="1835" spans="1:12" ht="15.75" customHeight="1">
      <c r="A1835" s="87" t="s">
        <v>3935</v>
      </c>
      <c r="B1835" s="87" t="s">
        <v>6756</v>
      </c>
      <c r="C1835" s="87" t="s">
        <v>6757</v>
      </c>
      <c r="D1835" s="88">
        <v>211</v>
      </c>
      <c r="E1835" s="85" t="s">
        <v>6330</v>
      </c>
      <c r="F1835" s="87">
        <v>1886</v>
      </c>
      <c r="G1835" s="37"/>
      <c r="H1835" s="37">
        <f>COUNTIF('(参考)現行システム機能階層一覧'!$E$3:$E$1048576,sheet1!B1835)</f>
        <v>0</v>
      </c>
      <c r="I1835" s="37"/>
      <c r="J1835" s="37"/>
      <c r="K1835" s="37"/>
      <c r="L1835" s="37"/>
    </row>
    <row r="1836" spans="1:12" ht="15.75" customHeight="1">
      <c r="A1836" s="87" t="s">
        <v>3935</v>
      </c>
      <c r="B1836" s="87" t="s">
        <v>6758</v>
      </c>
      <c r="C1836" s="87" t="s">
        <v>6759</v>
      </c>
      <c r="D1836" s="88">
        <v>151</v>
      </c>
      <c r="E1836" s="85" t="s">
        <v>6330</v>
      </c>
      <c r="F1836" s="87">
        <v>1</v>
      </c>
      <c r="G1836" s="37"/>
      <c r="H1836" s="37">
        <f>COUNTIF('(参考)現行システム機能階層一覧'!$E$3:$E$1048576,sheet1!B1836)</f>
        <v>0</v>
      </c>
      <c r="I1836" s="37"/>
      <c r="J1836" s="37"/>
      <c r="K1836" s="37"/>
      <c r="L1836" s="37"/>
    </row>
    <row r="1837" spans="1:12" ht="15.75" customHeight="1">
      <c r="A1837" s="87" t="s">
        <v>3935</v>
      </c>
      <c r="B1837" s="87" t="s">
        <v>6760</v>
      </c>
      <c r="C1837" s="87" t="s">
        <v>6761</v>
      </c>
      <c r="D1837" s="88">
        <v>88</v>
      </c>
      <c r="E1837" s="85" t="s">
        <v>6330</v>
      </c>
      <c r="F1837" s="87">
        <v>1886</v>
      </c>
      <c r="G1837" s="37"/>
      <c r="H1837" s="37">
        <f>COUNTIF('(参考)現行システム機能階層一覧'!$E$3:$E$1048576,sheet1!B1837)</f>
        <v>0</v>
      </c>
      <c r="I1837" s="37"/>
      <c r="J1837" s="37"/>
      <c r="K1837" s="37"/>
      <c r="L1837" s="37"/>
    </row>
    <row r="1838" spans="1:12" ht="15.75" customHeight="1">
      <c r="A1838" s="87" t="s">
        <v>3935</v>
      </c>
      <c r="B1838" s="87" t="s">
        <v>6762</v>
      </c>
      <c r="C1838" s="87" t="s">
        <v>6763</v>
      </c>
      <c r="D1838" s="88">
        <v>1973</v>
      </c>
      <c r="E1838" s="85" t="s">
        <v>6330</v>
      </c>
      <c r="F1838" s="87">
        <v>1683</v>
      </c>
      <c r="G1838" s="37"/>
      <c r="H1838" s="37">
        <f>COUNTIF('(参考)現行システム機能階層一覧'!$E$3:$E$1048576,sheet1!B1838)</f>
        <v>0</v>
      </c>
      <c r="I1838" s="37"/>
      <c r="J1838" s="37"/>
      <c r="K1838" s="37"/>
      <c r="L1838" s="37"/>
    </row>
    <row r="1839" spans="1:12" ht="15.75" customHeight="1">
      <c r="A1839" s="87" t="s">
        <v>3853</v>
      </c>
      <c r="B1839" s="87" t="s">
        <v>6764</v>
      </c>
      <c r="C1839" s="87" t="s">
        <v>6765</v>
      </c>
      <c r="D1839" s="88">
        <v>29</v>
      </c>
      <c r="E1839" s="85" t="s">
        <v>6330</v>
      </c>
      <c r="F1839" s="87">
        <v>1683</v>
      </c>
      <c r="G1839" s="37"/>
      <c r="H1839" s="37">
        <f>COUNTIF('(参考)現行システム機能階層一覧'!$E$3:$E$1048576,sheet1!B1839)</f>
        <v>0</v>
      </c>
      <c r="I1839" s="37"/>
      <c r="J1839" s="37"/>
      <c r="K1839" s="37"/>
      <c r="L1839" s="37"/>
    </row>
    <row r="1840" spans="1:12" ht="15.75" customHeight="1">
      <c r="A1840" s="87" t="s">
        <v>3935</v>
      </c>
      <c r="B1840" s="87" t="s">
        <v>6766</v>
      </c>
      <c r="C1840" s="87" t="s">
        <v>6767</v>
      </c>
      <c r="D1840" s="88">
        <v>522</v>
      </c>
      <c r="E1840" s="85" t="s">
        <v>6330</v>
      </c>
      <c r="F1840" s="87">
        <v>1886</v>
      </c>
      <c r="G1840" s="37"/>
      <c r="H1840" s="37">
        <f>COUNTIF('(参考)現行システム機能階層一覧'!$E$3:$E$1048576,sheet1!B1840)</f>
        <v>0</v>
      </c>
      <c r="I1840" s="37"/>
      <c r="J1840" s="37"/>
      <c r="K1840" s="37"/>
      <c r="L1840" s="37"/>
    </row>
    <row r="1841" spans="1:12" ht="15.75" customHeight="1">
      <c r="A1841" s="87" t="s">
        <v>3935</v>
      </c>
      <c r="B1841" s="87" t="s">
        <v>6768</v>
      </c>
      <c r="C1841" s="87" t="s">
        <v>6769</v>
      </c>
      <c r="D1841" s="88">
        <v>566</v>
      </c>
      <c r="E1841" s="85" t="s">
        <v>6330</v>
      </c>
      <c r="F1841" s="87">
        <v>1886</v>
      </c>
      <c r="G1841" s="37"/>
      <c r="H1841" s="37">
        <f>COUNTIF('(参考)現行システム機能階層一覧'!$E$3:$E$1048576,sheet1!B1841)</f>
        <v>0</v>
      </c>
      <c r="I1841" s="37"/>
      <c r="J1841" s="37"/>
      <c r="K1841" s="37"/>
      <c r="L1841" s="37"/>
    </row>
    <row r="1842" spans="1:12" ht="15.75" customHeight="1">
      <c r="A1842" s="87" t="s">
        <v>3935</v>
      </c>
      <c r="B1842" s="87" t="s">
        <v>6770</v>
      </c>
      <c r="C1842" s="87" t="s">
        <v>6771</v>
      </c>
      <c r="D1842" s="88">
        <v>2366</v>
      </c>
      <c r="E1842" s="85" t="s">
        <v>6330</v>
      </c>
      <c r="F1842" s="87">
        <v>1886</v>
      </c>
      <c r="G1842" s="37"/>
      <c r="H1842" s="37">
        <f>COUNTIF('(参考)現行システム機能階層一覧'!$E$3:$E$1048576,sheet1!B1842)</f>
        <v>0</v>
      </c>
      <c r="I1842" s="37"/>
      <c r="J1842" s="37"/>
      <c r="K1842" s="37"/>
      <c r="L1842" s="37"/>
    </row>
    <row r="1843" spans="1:12" ht="15.75" customHeight="1">
      <c r="A1843" s="87" t="s">
        <v>3853</v>
      </c>
      <c r="B1843" s="87" t="s">
        <v>6772</v>
      </c>
      <c r="C1843" s="87" t="s">
        <v>6773</v>
      </c>
      <c r="D1843" s="88">
        <v>20</v>
      </c>
      <c r="E1843" s="85" t="s">
        <v>6330</v>
      </c>
      <c r="F1843" s="87">
        <v>1886</v>
      </c>
      <c r="G1843" s="37"/>
      <c r="H1843" s="37">
        <f>COUNTIF('(参考)現行システム機能階層一覧'!$E$3:$E$1048576,sheet1!B1843)</f>
        <v>0</v>
      </c>
      <c r="I1843" s="37"/>
      <c r="J1843" s="37"/>
      <c r="K1843" s="37"/>
      <c r="L1843" s="37"/>
    </row>
    <row r="1844" spans="1:12" ht="15.75" customHeight="1">
      <c r="A1844" s="87" t="s">
        <v>3935</v>
      </c>
      <c r="B1844" s="87" t="s">
        <v>6774</v>
      </c>
      <c r="C1844" s="87" t="s">
        <v>6775</v>
      </c>
      <c r="D1844" s="88">
        <v>486</v>
      </c>
      <c r="E1844" s="85" t="s">
        <v>6330</v>
      </c>
      <c r="F1844" s="87">
        <v>1</v>
      </c>
      <c r="G1844" s="37"/>
      <c r="H1844" s="37">
        <f>COUNTIF('(参考)現行システム機能階層一覧'!$E$3:$E$1048576,sheet1!B1844)</f>
        <v>0</v>
      </c>
      <c r="I1844" s="37"/>
      <c r="J1844" s="37"/>
      <c r="K1844" s="37"/>
      <c r="L1844" s="37"/>
    </row>
    <row r="1845" spans="1:12" ht="15.75" customHeight="1">
      <c r="A1845" s="87" t="s">
        <v>3935</v>
      </c>
      <c r="B1845" s="87" t="s">
        <v>6776</v>
      </c>
      <c r="C1845" s="87" t="s">
        <v>6777</v>
      </c>
      <c r="D1845" s="88">
        <v>971</v>
      </c>
      <c r="E1845" s="85" t="s">
        <v>6330</v>
      </c>
      <c r="F1845" s="87">
        <v>1</v>
      </c>
      <c r="G1845" s="37"/>
      <c r="H1845" s="37">
        <f>COUNTIF('(参考)現行システム機能階層一覧'!$E$3:$E$1048576,sheet1!B1845)</f>
        <v>0</v>
      </c>
      <c r="I1845" s="37"/>
      <c r="J1845" s="37"/>
      <c r="K1845" s="37"/>
      <c r="L1845" s="37"/>
    </row>
    <row r="1846" spans="1:12" ht="15.75" customHeight="1">
      <c r="A1846" s="87" t="s">
        <v>3935</v>
      </c>
      <c r="B1846" s="87" t="s">
        <v>6778</v>
      </c>
      <c r="C1846" s="87" t="s">
        <v>6779</v>
      </c>
      <c r="D1846" s="88">
        <v>1777</v>
      </c>
      <c r="E1846" s="85" t="s">
        <v>6330</v>
      </c>
      <c r="F1846" s="87">
        <v>1</v>
      </c>
      <c r="G1846" s="37"/>
      <c r="H1846" s="37">
        <f>COUNTIF('(参考)現行システム機能階層一覧'!$E$3:$E$1048576,sheet1!B1846)</f>
        <v>0</v>
      </c>
      <c r="I1846" s="37"/>
      <c r="J1846" s="37"/>
      <c r="K1846" s="37"/>
      <c r="L1846" s="37"/>
    </row>
    <row r="1847" spans="1:12" ht="15.75" customHeight="1">
      <c r="A1847" s="87" t="s">
        <v>3935</v>
      </c>
      <c r="B1847" s="87" t="s">
        <v>6780</v>
      </c>
      <c r="C1847" s="87" t="s">
        <v>6781</v>
      </c>
      <c r="D1847" s="88">
        <v>639</v>
      </c>
      <c r="E1847" s="85" t="s">
        <v>6330</v>
      </c>
      <c r="F1847" s="87">
        <v>1886</v>
      </c>
      <c r="G1847" s="37"/>
      <c r="H1847" s="37">
        <f>COUNTIF('(参考)現行システム機能階層一覧'!$E$3:$E$1048576,sheet1!B1847)</f>
        <v>0</v>
      </c>
      <c r="I1847" s="37"/>
      <c r="J1847" s="37"/>
      <c r="K1847" s="37"/>
      <c r="L1847" s="37"/>
    </row>
    <row r="1848" spans="1:12" ht="15.75" customHeight="1">
      <c r="A1848" s="87" t="s">
        <v>3935</v>
      </c>
      <c r="B1848" s="87" t="s">
        <v>6782</v>
      </c>
      <c r="C1848" s="87" t="s">
        <v>6783</v>
      </c>
      <c r="D1848" s="88">
        <v>158</v>
      </c>
      <c r="E1848" s="85" t="s">
        <v>6330</v>
      </c>
      <c r="F1848" s="87">
        <v>1886</v>
      </c>
      <c r="G1848" s="37"/>
      <c r="H1848" s="37">
        <f>COUNTIF('(参考)現行システム機能階層一覧'!$E$3:$E$1048576,sheet1!B1848)</f>
        <v>0</v>
      </c>
      <c r="I1848" s="37"/>
      <c r="J1848" s="37"/>
      <c r="K1848" s="37"/>
      <c r="L1848" s="37"/>
    </row>
    <row r="1849" spans="1:12" ht="15.75" customHeight="1">
      <c r="A1849" s="87" t="s">
        <v>3935</v>
      </c>
      <c r="B1849" s="87" t="s">
        <v>6784</v>
      </c>
      <c r="C1849" s="87" t="s">
        <v>6785</v>
      </c>
      <c r="D1849" s="88">
        <v>650</v>
      </c>
      <c r="E1849" s="85" t="s">
        <v>6330</v>
      </c>
      <c r="F1849" s="87">
        <v>1886</v>
      </c>
      <c r="G1849" s="37"/>
      <c r="H1849" s="37">
        <f>COUNTIF('(参考)現行システム機能階層一覧'!$E$3:$E$1048576,sheet1!B1849)</f>
        <v>0</v>
      </c>
      <c r="I1849" s="37"/>
      <c r="J1849" s="37"/>
      <c r="K1849" s="37"/>
      <c r="L1849" s="37"/>
    </row>
    <row r="1850" spans="1:12" ht="15.75" customHeight="1">
      <c r="A1850" s="87" t="s">
        <v>3935</v>
      </c>
      <c r="B1850" s="87" t="s">
        <v>6786</v>
      </c>
      <c r="C1850" s="87" t="s">
        <v>6787</v>
      </c>
      <c r="D1850" s="88">
        <v>310</v>
      </c>
      <c r="E1850" s="85" t="s">
        <v>6330</v>
      </c>
      <c r="F1850" s="87">
        <v>1886</v>
      </c>
      <c r="G1850" s="37"/>
      <c r="H1850" s="37">
        <f>COUNTIF('(参考)現行システム機能階層一覧'!$E$3:$E$1048576,sheet1!B1850)</f>
        <v>0</v>
      </c>
      <c r="I1850" s="37"/>
      <c r="J1850" s="37"/>
      <c r="K1850" s="37"/>
      <c r="L1850" s="37"/>
    </row>
    <row r="1851" spans="1:12" ht="15.75" customHeight="1">
      <c r="A1851" s="87" t="s">
        <v>3935</v>
      </c>
      <c r="B1851" s="87" t="s">
        <v>6788</v>
      </c>
      <c r="C1851" s="87" t="s">
        <v>6789</v>
      </c>
      <c r="D1851" s="88">
        <v>296</v>
      </c>
      <c r="E1851" s="85" t="s">
        <v>6330</v>
      </c>
      <c r="F1851" s="87">
        <v>1886</v>
      </c>
      <c r="G1851" s="37"/>
      <c r="H1851" s="37">
        <f>COUNTIF('(参考)現行システム機能階層一覧'!$E$3:$E$1048576,sheet1!B1851)</f>
        <v>0</v>
      </c>
      <c r="I1851" s="37"/>
      <c r="J1851" s="37"/>
      <c r="K1851" s="37"/>
      <c r="L1851" s="37"/>
    </row>
    <row r="1852" spans="1:12" ht="15.75" customHeight="1">
      <c r="A1852" s="87" t="s">
        <v>3935</v>
      </c>
      <c r="B1852" s="87" t="s">
        <v>6790</v>
      </c>
      <c r="C1852" s="87" t="s">
        <v>6791</v>
      </c>
      <c r="D1852" s="88">
        <v>298</v>
      </c>
      <c r="E1852" s="85" t="s">
        <v>6330</v>
      </c>
      <c r="F1852" s="87">
        <v>1886</v>
      </c>
      <c r="G1852" s="37"/>
      <c r="H1852" s="37">
        <f>COUNTIF('(参考)現行システム機能階層一覧'!$E$3:$E$1048576,sheet1!B1852)</f>
        <v>0</v>
      </c>
      <c r="I1852" s="37"/>
      <c r="J1852" s="37"/>
      <c r="K1852" s="37"/>
      <c r="L1852" s="37"/>
    </row>
    <row r="1853" spans="1:12" ht="15.75" customHeight="1">
      <c r="A1853" s="87" t="s">
        <v>3935</v>
      </c>
      <c r="B1853" s="87" t="s">
        <v>6792</v>
      </c>
      <c r="C1853" s="87" t="s">
        <v>6793</v>
      </c>
      <c r="D1853" s="88">
        <v>138</v>
      </c>
      <c r="E1853" s="85" t="s">
        <v>6330</v>
      </c>
      <c r="F1853" s="87">
        <v>1897</v>
      </c>
      <c r="G1853" s="37"/>
      <c r="H1853" s="37">
        <f>COUNTIF('(参考)現行システム機能階層一覧'!$E$3:$E$1048576,sheet1!B1853)</f>
        <v>0</v>
      </c>
      <c r="I1853" s="37"/>
      <c r="J1853" s="37"/>
      <c r="K1853" s="37"/>
      <c r="L1853" s="37"/>
    </row>
    <row r="1854" spans="1:12" ht="15.75" customHeight="1">
      <c r="A1854" s="87" t="s">
        <v>3935</v>
      </c>
      <c r="B1854" s="87" t="s">
        <v>6794</v>
      </c>
      <c r="C1854" s="87" t="s">
        <v>6795</v>
      </c>
      <c r="D1854" s="88">
        <v>240</v>
      </c>
      <c r="E1854" s="85" t="s">
        <v>6330</v>
      </c>
      <c r="F1854" s="87">
        <v>1886</v>
      </c>
      <c r="G1854" s="37"/>
      <c r="H1854" s="37">
        <f>COUNTIF('(参考)現行システム機能階層一覧'!$E$3:$E$1048576,sheet1!B1854)</f>
        <v>0</v>
      </c>
      <c r="I1854" s="37"/>
      <c r="J1854" s="37"/>
      <c r="K1854" s="37"/>
      <c r="L1854" s="37"/>
    </row>
    <row r="1855" spans="1:12" ht="15.75" customHeight="1">
      <c r="A1855" s="87" t="s">
        <v>3935</v>
      </c>
      <c r="B1855" s="87" t="s">
        <v>6796</v>
      </c>
      <c r="C1855" s="87" t="s">
        <v>6797</v>
      </c>
      <c r="D1855" s="88">
        <v>49</v>
      </c>
      <c r="E1855" s="85" t="s">
        <v>6330</v>
      </c>
      <c r="F1855" s="87">
        <v>1886</v>
      </c>
      <c r="G1855" s="37"/>
      <c r="H1855" s="37">
        <f>COUNTIF('(参考)現行システム機能階層一覧'!$E$3:$E$1048576,sheet1!B1855)</f>
        <v>0</v>
      </c>
      <c r="I1855" s="37"/>
      <c r="J1855" s="37"/>
      <c r="K1855" s="37"/>
      <c r="L1855" s="37"/>
    </row>
    <row r="1856" spans="1:12" ht="15.75" customHeight="1">
      <c r="A1856" s="87" t="s">
        <v>3935</v>
      </c>
      <c r="B1856" s="87" t="s">
        <v>6798</v>
      </c>
      <c r="C1856" s="87" t="s">
        <v>6799</v>
      </c>
      <c r="D1856" s="88">
        <v>186</v>
      </c>
      <c r="E1856" s="85" t="s">
        <v>6330</v>
      </c>
      <c r="F1856" s="87">
        <v>1121</v>
      </c>
      <c r="G1856" s="37"/>
      <c r="H1856" s="37">
        <f>COUNTIF('(参考)現行システム機能階層一覧'!$E$3:$E$1048576,sheet1!B1856)</f>
        <v>0</v>
      </c>
      <c r="I1856" s="37"/>
      <c r="J1856" s="37"/>
      <c r="K1856" s="37"/>
      <c r="L1856" s="37"/>
    </row>
    <row r="1857" spans="1:12" ht="15.75" customHeight="1">
      <c r="A1857" s="87" t="s">
        <v>3935</v>
      </c>
      <c r="B1857" s="87" t="s">
        <v>6800</v>
      </c>
      <c r="C1857" s="87" t="s">
        <v>6801</v>
      </c>
      <c r="D1857" s="88">
        <v>461</v>
      </c>
      <c r="E1857" s="85" t="s">
        <v>6330</v>
      </c>
      <c r="F1857" s="87">
        <v>1121</v>
      </c>
      <c r="G1857" s="37"/>
      <c r="H1857" s="37">
        <f>COUNTIF('(参考)現行システム機能階層一覧'!$E$3:$E$1048576,sheet1!B1857)</f>
        <v>0</v>
      </c>
      <c r="I1857" s="37"/>
      <c r="J1857" s="37"/>
      <c r="K1857" s="37"/>
      <c r="L1857" s="37"/>
    </row>
    <row r="1858" spans="1:12" ht="15.75" customHeight="1">
      <c r="A1858" s="87" t="s">
        <v>3935</v>
      </c>
      <c r="B1858" s="87" t="s">
        <v>6802</v>
      </c>
      <c r="C1858" s="87" t="s">
        <v>6803</v>
      </c>
      <c r="D1858" s="88">
        <v>50</v>
      </c>
      <c r="E1858" s="85" t="s">
        <v>6330</v>
      </c>
      <c r="F1858" s="87">
        <v>1886</v>
      </c>
      <c r="G1858" s="37"/>
      <c r="H1858" s="37">
        <f>COUNTIF('(参考)現行システム機能階層一覧'!$E$3:$E$1048576,sheet1!B1858)</f>
        <v>0</v>
      </c>
      <c r="I1858" s="37"/>
      <c r="J1858" s="37"/>
      <c r="K1858" s="37"/>
      <c r="L1858" s="37"/>
    </row>
    <row r="1859" spans="1:12" ht="15.75" customHeight="1">
      <c r="A1859" s="87" t="s">
        <v>3935</v>
      </c>
      <c r="B1859" s="87" t="s">
        <v>1423</v>
      </c>
      <c r="C1859" s="87" t="s">
        <v>6804</v>
      </c>
      <c r="D1859" s="88">
        <v>220</v>
      </c>
      <c r="E1859" s="85" t="s">
        <v>6330</v>
      </c>
      <c r="F1859" s="87">
        <v>1316</v>
      </c>
      <c r="G1859" s="37"/>
      <c r="H1859" s="37">
        <f>COUNTIF('(参考)現行システム機能階層一覧'!$E$3:$E$1048576,sheet1!B1859)</f>
        <v>1</v>
      </c>
      <c r="I1859" s="37"/>
      <c r="J1859" s="37"/>
      <c r="K1859" s="37"/>
      <c r="L1859" s="37"/>
    </row>
    <row r="1860" spans="1:12" ht="15.75" customHeight="1">
      <c r="A1860" s="87" t="s">
        <v>3935</v>
      </c>
      <c r="B1860" s="87" t="s">
        <v>6805</v>
      </c>
      <c r="C1860" s="87" t="s">
        <v>6806</v>
      </c>
      <c r="D1860" s="88">
        <v>476</v>
      </c>
      <c r="E1860" s="85" t="s">
        <v>6330</v>
      </c>
      <c r="F1860" s="87">
        <v>1158</v>
      </c>
      <c r="G1860" s="37"/>
      <c r="H1860" s="37">
        <f>COUNTIF('(参考)現行システム機能階層一覧'!$E$3:$E$1048576,sheet1!B1860)</f>
        <v>0</v>
      </c>
      <c r="I1860" s="37"/>
      <c r="J1860" s="37"/>
      <c r="K1860" s="37"/>
      <c r="L1860" s="37"/>
    </row>
    <row r="1861" spans="1:12" ht="15.75" customHeight="1">
      <c r="A1861" s="87" t="s">
        <v>3935</v>
      </c>
      <c r="B1861" s="87" t="s">
        <v>6807</v>
      </c>
      <c r="C1861" s="87" t="s">
        <v>6808</v>
      </c>
      <c r="D1861" s="88">
        <v>481</v>
      </c>
      <c r="E1861" s="85" t="s">
        <v>6330</v>
      </c>
      <c r="F1861" s="87">
        <v>1296</v>
      </c>
      <c r="G1861" s="37"/>
      <c r="H1861" s="37">
        <f>COUNTIF('(参考)現行システム機能階層一覧'!$E$3:$E$1048576,sheet1!B1861)</f>
        <v>0</v>
      </c>
      <c r="I1861" s="37"/>
      <c r="J1861" s="37"/>
      <c r="K1861" s="37"/>
      <c r="L1861" s="37"/>
    </row>
    <row r="1862" spans="1:12" ht="15.75" customHeight="1">
      <c r="A1862" s="87" t="s">
        <v>3935</v>
      </c>
      <c r="B1862" s="87" t="s">
        <v>6809</v>
      </c>
      <c r="C1862" s="87" t="s">
        <v>6810</v>
      </c>
      <c r="D1862" s="88">
        <v>475</v>
      </c>
      <c r="E1862" s="85" t="s">
        <v>6330</v>
      </c>
      <c r="F1862" s="87">
        <v>669</v>
      </c>
      <c r="G1862" s="37"/>
      <c r="H1862" s="37">
        <f>COUNTIF('(参考)現行システム機能階層一覧'!$E$3:$E$1048576,sheet1!B1862)</f>
        <v>0</v>
      </c>
      <c r="I1862" s="37"/>
      <c r="J1862" s="37"/>
      <c r="K1862" s="37"/>
      <c r="L1862" s="37"/>
    </row>
    <row r="1863" spans="1:12" ht="15.75" customHeight="1">
      <c r="A1863" s="87" t="s">
        <v>3935</v>
      </c>
      <c r="B1863" s="87" t="s">
        <v>1427</v>
      </c>
      <c r="C1863" s="87" t="s">
        <v>6811</v>
      </c>
      <c r="D1863" s="88">
        <v>160</v>
      </c>
      <c r="E1863" s="85" t="s">
        <v>6330</v>
      </c>
      <c r="F1863" s="87">
        <v>571</v>
      </c>
      <c r="G1863" s="37"/>
      <c r="H1863" s="37">
        <f>COUNTIF('(参考)現行システム機能階層一覧'!$E$3:$E$1048576,sheet1!B1863)</f>
        <v>1</v>
      </c>
      <c r="I1863" s="37"/>
      <c r="J1863" s="37"/>
      <c r="K1863" s="37"/>
      <c r="L1863" s="37"/>
    </row>
    <row r="1864" spans="1:12" ht="15.75" customHeight="1">
      <c r="A1864" s="87" t="s">
        <v>3935</v>
      </c>
      <c r="B1864" s="87" t="s">
        <v>6812</v>
      </c>
      <c r="C1864" s="87" t="s">
        <v>6813</v>
      </c>
      <c r="D1864" s="88">
        <v>193</v>
      </c>
      <c r="E1864" s="85" t="s">
        <v>6330</v>
      </c>
      <c r="F1864" s="87">
        <v>3</v>
      </c>
      <c r="G1864" s="37"/>
      <c r="H1864" s="37">
        <f>COUNTIF('(参考)現行システム機能階層一覧'!$E$3:$E$1048576,sheet1!B1864)</f>
        <v>0</v>
      </c>
      <c r="I1864" s="37"/>
      <c r="J1864" s="37"/>
      <c r="K1864" s="37"/>
      <c r="L1864" s="37"/>
    </row>
    <row r="1865" spans="1:12" ht="15.75" customHeight="1">
      <c r="A1865" s="87" t="s">
        <v>3935</v>
      </c>
      <c r="B1865" s="87" t="s">
        <v>1432</v>
      </c>
      <c r="C1865" s="87" t="s">
        <v>6814</v>
      </c>
      <c r="D1865" s="88">
        <v>1804</v>
      </c>
      <c r="E1865" s="85" t="s">
        <v>6330</v>
      </c>
      <c r="F1865" s="87">
        <v>3</v>
      </c>
      <c r="G1865" s="37"/>
      <c r="H1865" s="37">
        <f>COUNTIF('(参考)現行システム機能階層一覧'!$E$3:$E$1048576,sheet1!B1865)</f>
        <v>1</v>
      </c>
      <c r="I1865" s="37"/>
      <c r="J1865" s="37"/>
      <c r="K1865" s="37"/>
      <c r="L1865" s="37"/>
    </row>
    <row r="1866" spans="1:12" ht="15.75" customHeight="1">
      <c r="A1866" s="87" t="s">
        <v>3935</v>
      </c>
      <c r="B1866" s="87" t="s">
        <v>6815</v>
      </c>
      <c r="C1866" s="87" t="s">
        <v>6816</v>
      </c>
      <c r="D1866" s="88">
        <v>1478</v>
      </c>
      <c r="E1866" s="85" t="s">
        <v>6330</v>
      </c>
      <c r="F1866" s="87">
        <v>494</v>
      </c>
      <c r="G1866" s="37"/>
      <c r="H1866" s="37">
        <f>COUNTIF('(参考)現行システム機能階層一覧'!$E$3:$E$1048576,sheet1!B1866)</f>
        <v>0</v>
      </c>
      <c r="I1866" s="37"/>
      <c r="J1866" s="37"/>
      <c r="K1866" s="37"/>
      <c r="L1866" s="37"/>
    </row>
    <row r="1867" spans="1:12" ht="15.75" customHeight="1">
      <c r="A1867" s="87" t="s">
        <v>3935</v>
      </c>
      <c r="B1867" s="87" t="s">
        <v>6817</v>
      </c>
      <c r="C1867" s="87" t="s">
        <v>6818</v>
      </c>
      <c r="D1867" s="88">
        <v>100</v>
      </c>
      <c r="E1867" s="85" t="s">
        <v>6330</v>
      </c>
      <c r="F1867" s="87">
        <v>1292</v>
      </c>
      <c r="G1867" s="37"/>
      <c r="H1867" s="37">
        <f>COUNTIF('(参考)現行システム機能階層一覧'!$E$3:$E$1048576,sheet1!B1867)</f>
        <v>0</v>
      </c>
      <c r="I1867" s="37"/>
      <c r="J1867" s="37"/>
      <c r="K1867" s="37"/>
      <c r="L1867" s="37"/>
    </row>
    <row r="1868" spans="1:12" ht="15.75" customHeight="1">
      <c r="A1868" s="87" t="s">
        <v>3935</v>
      </c>
      <c r="B1868" s="87" t="s">
        <v>6819</v>
      </c>
      <c r="C1868" s="87" t="s">
        <v>6820</v>
      </c>
      <c r="D1868" s="88">
        <v>105</v>
      </c>
      <c r="E1868" s="85" t="s">
        <v>6330</v>
      </c>
      <c r="F1868" s="87">
        <v>187</v>
      </c>
      <c r="G1868" s="37"/>
      <c r="H1868" s="37">
        <f>COUNTIF('(参考)現行システム機能階層一覧'!$E$3:$E$1048576,sheet1!B1868)</f>
        <v>0</v>
      </c>
      <c r="I1868" s="37"/>
      <c r="J1868" s="37"/>
      <c r="K1868" s="37"/>
      <c r="L1868" s="37"/>
    </row>
    <row r="1869" spans="1:12" ht="15.75" customHeight="1">
      <c r="A1869" s="87" t="s">
        <v>3935</v>
      </c>
      <c r="B1869" s="87" t="s">
        <v>6821</v>
      </c>
      <c r="C1869" s="87" t="s">
        <v>6822</v>
      </c>
      <c r="D1869" s="88">
        <v>1446</v>
      </c>
      <c r="E1869" s="85" t="s">
        <v>6330</v>
      </c>
      <c r="F1869" s="87">
        <v>143</v>
      </c>
      <c r="G1869" s="37"/>
      <c r="H1869" s="37">
        <f>COUNTIF('(参考)現行システム機能階層一覧'!$E$3:$E$1048576,sheet1!B1869)</f>
        <v>0</v>
      </c>
      <c r="I1869" s="37"/>
      <c r="J1869" s="37"/>
      <c r="K1869" s="37"/>
      <c r="L1869" s="37"/>
    </row>
    <row r="1870" spans="1:12" ht="15.75" customHeight="1">
      <c r="A1870" s="87" t="s">
        <v>3935</v>
      </c>
      <c r="B1870" s="87" t="s">
        <v>1436</v>
      </c>
      <c r="C1870" s="87" t="s">
        <v>6823</v>
      </c>
      <c r="D1870" s="88">
        <v>1331</v>
      </c>
      <c r="E1870" s="85" t="s">
        <v>6330</v>
      </c>
      <c r="F1870" s="87">
        <v>1480</v>
      </c>
      <c r="G1870" s="37"/>
      <c r="H1870" s="37">
        <f>COUNTIF('(参考)現行システム機能階層一覧'!$E$3:$E$1048576,sheet1!B1870)</f>
        <v>1</v>
      </c>
      <c r="I1870" s="37"/>
      <c r="J1870" s="37"/>
      <c r="K1870" s="37"/>
      <c r="L1870" s="37"/>
    </row>
    <row r="1871" spans="1:12" ht="15.75" customHeight="1">
      <c r="A1871" s="87" t="s">
        <v>3853</v>
      </c>
      <c r="B1871" s="87" t="s">
        <v>6824</v>
      </c>
      <c r="C1871" s="87" t="s">
        <v>6823</v>
      </c>
      <c r="D1871" s="88">
        <v>11</v>
      </c>
      <c r="E1871" s="85" t="s">
        <v>6330</v>
      </c>
      <c r="F1871" s="87">
        <v>1480</v>
      </c>
      <c r="G1871" s="37"/>
      <c r="H1871" s="37">
        <f>COUNTIF('(参考)現行システム機能階層一覧'!$E$3:$E$1048576,sheet1!B1871)</f>
        <v>0</v>
      </c>
      <c r="I1871" s="37"/>
      <c r="J1871" s="37"/>
      <c r="K1871" s="37"/>
      <c r="L1871" s="37"/>
    </row>
    <row r="1872" spans="1:12" ht="15.75" customHeight="1">
      <c r="A1872" s="87" t="s">
        <v>3935</v>
      </c>
      <c r="B1872" s="87" t="s">
        <v>1458</v>
      </c>
      <c r="C1872" s="87" t="s">
        <v>6825</v>
      </c>
      <c r="D1872" s="88">
        <v>805</v>
      </c>
      <c r="E1872" s="85" t="s">
        <v>6330</v>
      </c>
      <c r="F1872" s="87">
        <v>1004</v>
      </c>
      <c r="G1872" s="37"/>
      <c r="H1872" s="37">
        <f>COUNTIF('(参考)現行システム機能階層一覧'!$E$3:$E$1048576,sheet1!B1872)</f>
        <v>1</v>
      </c>
      <c r="I1872" s="37"/>
      <c r="J1872" s="37"/>
      <c r="K1872" s="37"/>
      <c r="L1872" s="37"/>
    </row>
    <row r="1873" spans="1:12" ht="15.75" customHeight="1">
      <c r="A1873" s="87" t="s">
        <v>3935</v>
      </c>
      <c r="B1873" s="87" t="s">
        <v>1441</v>
      </c>
      <c r="C1873" s="87" t="s">
        <v>6826</v>
      </c>
      <c r="D1873" s="88">
        <v>2702</v>
      </c>
      <c r="E1873" s="85" t="s">
        <v>6330</v>
      </c>
      <c r="F1873" s="87">
        <v>1499</v>
      </c>
      <c r="G1873" s="37"/>
      <c r="H1873" s="37">
        <f>COUNTIF('(参考)現行システム機能階層一覧'!$E$3:$E$1048576,sheet1!B1873)</f>
        <v>1</v>
      </c>
      <c r="I1873" s="37"/>
      <c r="J1873" s="37"/>
      <c r="K1873" s="37"/>
      <c r="L1873" s="37"/>
    </row>
    <row r="1874" spans="1:12" ht="15.75" customHeight="1">
      <c r="A1874" s="87" t="s">
        <v>3853</v>
      </c>
      <c r="B1874" s="87" t="s">
        <v>6827</v>
      </c>
      <c r="C1874" s="87" t="s">
        <v>6826</v>
      </c>
      <c r="D1874" s="88">
        <v>11</v>
      </c>
      <c r="E1874" s="85" t="s">
        <v>6330</v>
      </c>
      <c r="F1874" s="87">
        <v>1499</v>
      </c>
      <c r="G1874" s="37"/>
      <c r="H1874" s="37">
        <f>COUNTIF('(参考)現行システム機能階層一覧'!$E$3:$E$1048576,sheet1!B1874)</f>
        <v>0</v>
      </c>
      <c r="I1874" s="37"/>
      <c r="J1874" s="37"/>
      <c r="K1874" s="37"/>
      <c r="L1874" s="37"/>
    </row>
    <row r="1875" spans="1:12" ht="15.75" customHeight="1">
      <c r="A1875" s="87" t="s">
        <v>3935</v>
      </c>
      <c r="B1875" s="87" t="s">
        <v>6828</v>
      </c>
      <c r="C1875" s="87" t="s">
        <v>6829</v>
      </c>
      <c r="D1875" s="88">
        <v>161</v>
      </c>
      <c r="E1875" s="85" t="s">
        <v>6330</v>
      </c>
      <c r="F1875" s="87">
        <v>1467</v>
      </c>
      <c r="G1875" s="37"/>
      <c r="H1875" s="37">
        <f>COUNTIF('(参考)現行システム機能階層一覧'!$E$3:$E$1048576,sheet1!B1875)</f>
        <v>0</v>
      </c>
      <c r="I1875" s="37"/>
      <c r="J1875" s="37"/>
      <c r="K1875" s="37"/>
      <c r="L1875" s="37"/>
    </row>
    <row r="1876" spans="1:12" ht="15.75" customHeight="1">
      <c r="A1876" s="87" t="s">
        <v>3935</v>
      </c>
      <c r="B1876" s="87" t="s">
        <v>1445</v>
      </c>
      <c r="C1876" s="87" t="s">
        <v>6830</v>
      </c>
      <c r="D1876" s="88">
        <v>2845</v>
      </c>
      <c r="E1876" s="85" t="s">
        <v>6330</v>
      </c>
      <c r="F1876" s="87">
        <v>131</v>
      </c>
      <c r="G1876" s="37"/>
      <c r="H1876" s="37">
        <f>COUNTIF('(参考)現行システム機能階層一覧'!$E$3:$E$1048576,sheet1!B1876)</f>
        <v>1</v>
      </c>
      <c r="I1876" s="37"/>
      <c r="J1876" s="37"/>
      <c r="K1876" s="37"/>
      <c r="L1876" s="37"/>
    </row>
    <row r="1877" spans="1:12" ht="15.75" customHeight="1">
      <c r="A1877" s="87" t="s">
        <v>3853</v>
      </c>
      <c r="B1877" s="87" t="s">
        <v>6831</v>
      </c>
      <c r="C1877" s="87" t="s">
        <v>6832</v>
      </c>
      <c r="D1877" s="88">
        <v>11</v>
      </c>
      <c r="E1877" s="85" t="s">
        <v>6330</v>
      </c>
      <c r="F1877" s="87">
        <v>1160</v>
      </c>
      <c r="G1877" s="37"/>
      <c r="H1877" s="37">
        <f>COUNTIF('(参考)現行システム機能階層一覧'!$E$3:$E$1048576,sheet1!B1877)</f>
        <v>0</v>
      </c>
      <c r="I1877" s="37"/>
      <c r="J1877" s="37"/>
      <c r="K1877" s="37"/>
      <c r="L1877" s="37"/>
    </row>
    <row r="1878" spans="1:12" ht="15.75" customHeight="1">
      <c r="A1878" s="87" t="s">
        <v>3935</v>
      </c>
      <c r="B1878" s="87" t="s">
        <v>1449</v>
      </c>
      <c r="C1878" s="87" t="s">
        <v>6833</v>
      </c>
      <c r="D1878" s="88">
        <v>2499</v>
      </c>
      <c r="E1878" s="85" t="s">
        <v>6330</v>
      </c>
      <c r="F1878" s="87">
        <v>744</v>
      </c>
      <c r="G1878" s="37"/>
      <c r="H1878" s="37">
        <f>COUNTIF('(参考)現行システム機能階層一覧'!$E$3:$E$1048576,sheet1!B1878)</f>
        <v>1</v>
      </c>
      <c r="I1878" s="37"/>
      <c r="J1878" s="37"/>
      <c r="K1878" s="37"/>
      <c r="L1878" s="37"/>
    </row>
    <row r="1879" spans="1:12" ht="15.75" customHeight="1">
      <c r="A1879" s="87" t="s">
        <v>3853</v>
      </c>
      <c r="B1879" s="87" t="s">
        <v>6834</v>
      </c>
      <c r="C1879" s="87" t="s">
        <v>6835</v>
      </c>
      <c r="D1879" s="88">
        <v>11</v>
      </c>
      <c r="E1879" s="85" t="s">
        <v>6330</v>
      </c>
      <c r="F1879" s="87">
        <v>744</v>
      </c>
      <c r="G1879" s="37"/>
      <c r="H1879" s="37">
        <f>COUNTIF('(参考)現行システム機能階層一覧'!$E$3:$E$1048576,sheet1!B1879)</f>
        <v>0</v>
      </c>
      <c r="I1879" s="37"/>
      <c r="J1879" s="37"/>
      <c r="K1879" s="37"/>
      <c r="L1879" s="37"/>
    </row>
    <row r="1880" spans="1:12" ht="15.75" customHeight="1">
      <c r="A1880" s="87" t="s">
        <v>3935</v>
      </c>
      <c r="B1880" s="87" t="s">
        <v>6836</v>
      </c>
      <c r="C1880" s="87" t="s">
        <v>6837</v>
      </c>
      <c r="D1880" s="88">
        <v>697</v>
      </c>
      <c r="E1880" s="85" t="s">
        <v>6330</v>
      </c>
      <c r="F1880" s="87">
        <v>1335</v>
      </c>
      <c r="G1880" s="37"/>
      <c r="H1880" s="37">
        <f>COUNTIF('(参考)現行システム機能階層一覧'!$E$3:$E$1048576,sheet1!B1880)</f>
        <v>0</v>
      </c>
      <c r="I1880" s="37"/>
      <c r="J1880" s="37"/>
      <c r="K1880" s="37"/>
      <c r="L1880" s="37"/>
    </row>
    <row r="1881" spans="1:12" ht="15.75" customHeight="1">
      <c r="A1881" s="87" t="s">
        <v>3935</v>
      </c>
      <c r="B1881" s="87" t="s">
        <v>6838</v>
      </c>
      <c r="C1881" s="87" t="s">
        <v>6839</v>
      </c>
      <c r="D1881" s="88">
        <v>419</v>
      </c>
      <c r="E1881" s="85" t="s">
        <v>6330</v>
      </c>
      <c r="F1881" s="87">
        <v>1881</v>
      </c>
      <c r="G1881" s="37"/>
      <c r="H1881" s="37">
        <f>COUNTIF('(参考)現行システム機能階層一覧'!$E$3:$E$1048576,sheet1!B1881)</f>
        <v>0</v>
      </c>
      <c r="I1881" s="37"/>
      <c r="J1881" s="37"/>
      <c r="K1881" s="37"/>
      <c r="L1881" s="37"/>
    </row>
    <row r="1882" spans="1:12" ht="15.75" customHeight="1">
      <c r="A1882" s="87" t="s">
        <v>3935</v>
      </c>
      <c r="B1882" s="87" t="s">
        <v>6840</v>
      </c>
      <c r="C1882" s="87" t="s">
        <v>6841</v>
      </c>
      <c r="D1882" s="88">
        <v>377</v>
      </c>
      <c r="E1882" s="85" t="s">
        <v>6330</v>
      </c>
      <c r="F1882" s="87">
        <v>1265</v>
      </c>
      <c r="G1882" s="37"/>
      <c r="H1882" s="37">
        <f>COUNTIF('(参考)現行システム機能階層一覧'!$E$3:$E$1048576,sheet1!B1882)</f>
        <v>0</v>
      </c>
      <c r="I1882" s="37"/>
      <c r="J1882" s="37"/>
      <c r="K1882" s="37"/>
      <c r="L1882" s="37"/>
    </row>
    <row r="1883" spans="1:12" ht="15.75" customHeight="1">
      <c r="A1883" s="87" t="s">
        <v>3935</v>
      </c>
      <c r="B1883" s="87" t="s">
        <v>1453</v>
      </c>
      <c r="C1883" s="87" t="s">
        <v>6842</v>
      </c>
      <c r="D1883" s="88">
        <v>2712</v>
      </c>
      <c r="E1883" s="85" t="s">
        <v>6330</v>
      </c>
      <c r="F1883" s="87">
        <v>1372</v>
      </c>
      <c r="G1883" s="37"/>
      <c r="H1883" s="37">
        <f>COUNTIF('(参考)現行システム機能階層一覧'!$E$3:$E$1048576,sheet1!B1883)</f>
        <v>1</v>
      </c>
      <c r="I1883" s="37"/>
      <c r="J1883" s="37"/>
      <c r="K1883" s="37"/>
      <c r="L1883" s="37"/>
    </row>
    <row r="1884" spans="1:12" ht="15.75" customHeight="1">
      <c r="A1884" s="87" t="s">
        <v>3935</v>
      </c>
      <c r="B1884" s="87" t="s">
        <v>1463</v>
      </c>
      <c r="C1884" s="87" t="s">
        <v>70</v>
      </c>
      <c r="D1884" s="88">
        <v>500</v>
      </c>
      <c r="E1884" s="85" t="s">
        <v>6330</v>
      </c>
      <c r="F1884" s="87">
        <v>3</v>
      </c>
      <c r="G1884" s="37"/>
      <c r="H1884" s="37">
        <f>COUNTIF('(参考)現行システム機能階層一覧'!$E$3:$E$1048576,sheet1!B1884)</f>
        <v>1</v>
      </c>
      <c r="I1884" s="37"/>
      <c r="J1884" s="37"/>
      <c r="K1884" s="37"/>
      <c r="L1884" s="37"/>
    </row>
    <row r="1885" spans="1:12" ht="15.75" customHeight="1">
      <c r="A1885" s="87" t="s">
        <v>3853</v>
      </c>
      <c r="B1885" s="87" t="s">
        <v>6843</v>
      </c>
      <c r="C1885" s="87" t="s">
        <v>70</v>
      </c>
      <c r="D1885" s="88">
        <v>36</v>
      </c>
      <c r="E1885" s="85" t="s">
        <v>6330</v>
      </c>
      <c r="F1885" s="87">
        <v>1423</v>
      </c>
      <c r="G1885" s="37"/>
      <c r="H1885" s="37">
        <f>COUNTIF('(参考)現行システム機能階層一覧'!$E$3:$E$1048576,sheet1!B1885)</f>
        <v>0</v>
      </c>
      <c r="I1885" s="37"/>
      <c r="J1885" s="37"/>
      <c r="K1885" s="37"/>
      <c r="L1885" s="37"/>
    </row>
    <row r="1886" spans="1:12" ht="15.75" customHeight="1">
      <c r="A1886" s="87" t="s">
        <v>3935</v>
      </c>
      <c r="B1886" s="87" t="s">
        <v>1468</v>
      </c>
      <c r="C1886" s="87" t="s">
        <v>6844</v>
      </c>
      <c r="D1886" s="88">
        <v>435</v>
      </c>
      <c r="E1886" s="85" t="s">
        <v>6330</v>
      </c>
      <c r="F1886" s="87">
        <v>3</v>
      </c>
      <c r="G1886" s="37"/>
      <c r="H1886" s="37">
        <f>COUNTIF('(参考)現行システム機能階層一覧'!$E$3:$E$1048576,sheet1!B1886)</f>
        <v>1</v>
      </c>
      <c r="I1886" s="37"/>
      <c r="J1886" s="37"/>
      <c r="K1886" s="37"/>
      <c r="L1886" s="37"/>
    </row>
    <row r="1887" spans="1:12" ht="15.75" customHeight="1">
      <c r="A1887" s="87" t="s">
        <v>3935</v>
      </c>
      <c r="B1887" s="87" t="s">
        <v>1497</v>
      </c>
      <c r="C1887" s="87" t="s">
        <v>6845</v>
      </c>
      <c r="D1887" s="88">
        <v>246</v>
      </c>
      <c r="E1887" s="85" t="s">
        <v>6330</v>
      </c>
      <c r="F1887" s="87">
        <v>122</v>
      </c>
      <c r="G1887" s="37"/>
      <c r="H1887" s="37">
        <f>COUNTIF('(参考)現行システム機能階層一覧'!$E$3:$E$1048576,sheet1!B1887)</f>
        <v>1</v>
      </c>
      <c r="I1887" s="37"/>
      <c r="J1887" s="37"/>
      <c r="K1887" s="37"/>
      <c r="L1887" s="37"/>
    </row>
    <row r="1888" spans="1:12" ht="15.75" customHeight="1">
      <c r="A1888" s="87" t="s">
        <v>3935</v>
      </c>
      <c r="B1888" s="87" t="s">
        <v>6846</v>
      </c>
      <c r="C1888" s="87" t="s">
        <v>1464</v>
      </c>
      <c r="D1888" s="88">
        <v>1341</v>
      </c>
      <c r="E1888" s="85" t="s">
        <v>6330</v>
      </c>
      <c r="F1888" s="87">
        <v>89</v>
      </c>
      <c r="G1888" s="37"/>
      <c r="H1888" s="37">
        <f>COUNTIF('(参考)現行システム機能階層一覧'!$E$3:$E$1048576,sheet1!B1888)</f>
        <v>0</v>
      </c>
      <c r="I1888" s="37"/>
      <c r="J1888" s="37"/>
      <c r="K1888" s="37"/>
      <c r="L1888" s="37"/>
    </row>
    <row r="1889" spans="1:12" ht="15.75" customHeight="1">
      <c r="A1889" s="87" t="s">
        <v>3853</v>
      </c>
      <c r="B1889" s="87" t="s">
        <v>6847</v>
      </c>
      <c r="C1889" s="87" t="s">
        <v>1464</v>
      </c>
      <c r="D1889" s="88">
        <v>28</v>
      </c>
      <c r="E1889" s="85" t="s">
        <v>6330</v>
      </c>
      <c r="F1889" s="87">
        <v>1436</v>
      </c>
      <c r="G1889" s="37"/>
      <c r="H1889" s="37">
        <f>COUNTIF('(参考)現行システム機能階層一覧'!$E$3:$E$1048576,sheet1!B1889)</f>
        <v>0</v>
      </c>
      <c r="I1889" s="37"/>
      <c r="J1889" s="37"/>
      <c r="K1889" s="37"/>
      <c r="L1889" s="37"/>
    </row>
    <row r="1890" spans="1:12" ht="15.75" customHeight="1">
      <c r="A1890" s="87" t="s">
        <v>3935</v>
      </c>
      <c r="B1890" s="87" t="s">
        <v>6848</v>
      </c>
      <c r="C1890" s="87" t="s">
        <v>1464</v>
      </c>
      <c r="D1890" s="88">
        <v>1317</v>
      </c>
      <c r="E1890" s="85" t="s">
        <v>6330</v>
      </c>
      <c r="F1890" s="87">
        <v>329</v>
      </c>
      <c r="G1890" s="37"/>
      <c r="H1890" s="37">
        <f>COUNTIF('(参考)現行システム機能階層一覧'!$E$3:$E$1048576,sheet1!B1890)</f>
        <v>0</v>
      </c>
      <c r="I1890" s="37"/>
      <c r="J1890" s="37"/>
      <c r="K1890" s="37"/>
      <c r="L1890" s="37"/>
    </row>
    <row r="1891" spans="1:12" ht="15.75" customHeight="1">
      <c r="A1891" s="87" t="s">
        <v>3935</v>
      </c>
      <c r="B1891" s="87" t="s">
        <v>6849</v>
      </c>
      <c r="C1891" s="87" t="s">
        <v>6850</v>
      </c>
      <c r="D1891" s="88">
        <v>61</v>
      </c>
      <c r="E1891" s="85" t="s">
        <v>6330</v>
      </c>
      <c r="F1891" s="87">
        <v>995</v>
      </c>
      <c r="G1891" s="37"/>
      <c r="H1891" s="37">
        <f>COUNTIF('(参考)現行システム機能階層一覧'!$E$3:$E$1048576,sheet1!B1891)</f>
        <v>0</v>
      </c>
      <c r="I1891" s="37"/>
      <c r="J1891" s="37"/>
      <c r="K1891" s="37"/>
      <c r="L1891" s="37"/>
    </row>
    <row r="1892" spans="1:12" ht="15.75" customHeight="1">
      <c r="A1892" s="87" t="s">
        <v>3935</v>
      </c>
      <c r="B1892" s="87" t="s">
        <v>1500</v>
      </c>
      <c r="C1892" s="87" t="s">
        <v>6851</v>
      </c>
      <c r="D1892" s="88">
        <v>624</v>
      </c>
      <c r="E1892" s="85" t="s">
        <v>6330</v>
      </c>
      <c r="F1892" s="87">
        <v>142</v>
      </c>
      <c r="G1892" s="37"/>
      <c r="H1892" s="37">
        <f>COUNTIF('(参考)現行システム機能階層一覧'!$E$3:$E$1048576,sheet1!B1892)</f>
        <v>1</v>
      </c>
      <c r="I1892" s="37"/>
      <c r="J1892" s="37"/>
      <c r="K1892" s="37"/>
      <c r="L1892" s="37"/>
    </row>
    <row r="1893" spans="1:12" ht="15.75" customHeight="1">
      <c r="A1893" s="87" t="s">
        <v>3935</v>
      </c>
      <c r="B1893" s="87" t="s">
        <v>6852</v>
      </c>
      <c r="C1893" s="87" t="s">
        <v>743</v>
      </c>
      <c r="D1893" s="88">
        <v>1101</v>
      </c>
      <c r="E1893" s="85" t="s">
        <v>6330</v>
      </c>
      <c r="F1893" s="87">
        <v>1444</v>
      </c>
      <c r="G1893" s="37"/>
      <c r="H1893" s="37">
        <f>COUNTIF('(参考)現行システム機能階層一覧'!$E$3:$E$1048576,sheet1!B1893)</f>
        <v>0</v>
      </c>
      <c r="I1893" s="37"/>
      <c r="J1893" s="37"/>
      <c r="K1893" s="37"/>
      <c r="L1893" s="37"/>
    </row>
    <row r="1894" spans="1:12" ht="15.75" customHeight="1">
      <c r="A1894" s="87" t="s">
        <v>3853</v>
      </c>
      <c r="B1894" s="87" t="s">
        <v>6853</v>
      </c>
      <c r="C1894" s="87" t="s">
        <v>743</v>
      </c>
      <c r="D1894" s="88">
        <v>54</v>
      </c>
      <c r="E1894" s="85" t="s">
        <v>6330</v>
      </c>
      <c r="F1894" s="87">
        <v>1444</v>
      </c>
      <c r="G1894" s="37"/>
      <c r="H1894" s="37">
        <f>COUNTIF('(参考)現行システム機能階層一覧'!$E$3:$E$1048576,sheet1!B1894)</f>
        <v>0</v>
      </c>
      <c r="I1894" s="37"/>
      <c r="J1894" s="37"/>
      <c r="K1894" s="37"/>
      <c r="L1894" s="37"/>
    </row>
    <row r="1895" spans="1:12" ht="15.75" customHeight="1">
      <c r="A1895" s="87" t="s">
        <v>3935</v>
      </c>
      <c r="B1895" s="87" t="s">
        <v>6854</v>
      </c>
      <c r="C1895" s="87" t="s">
        <v>6855</v>
      </c>
      <c r="D1895" s="88">
        <v>1036</v>
      </c>
      <c r="E1895" s="85" t="s">
        <v>6330</v>
      </c>
      <c r="F1895" s="87">
        <v>97</v>
      </c>
      <c r="G1895" s="37"/>
      <c r="H1895" s="37">
        <f>COUNTIF('(参考)現行システム機能階層一覧'!$E$3:$E$1048576,sheet1!B1895)</f>
        <v>0</v>
      </c>
      <c r="I1895" s="37"/>
      <c r="J1895" s="37"/>
      <c r="K1895" s="37"/>
      <c r="L1895" s="37"/>
    </row>
    <row r="1896" spans="1:12" ht="15.75" customHeight="1">
      <c r="A1896" s="87" t="s">
        <v>3853</v>
      </c>
      <c r="B1896" s="87" t="s">
        <v>6856</v>
      </c>
      <c r="C1896" s="87" t="s">
        <v>6855</v>
      </c>
      <c r="D1896" s="88">
        <v>53</v>
      </c>
      <c r="E1896" s="85" t="s">
        <v>6330</v>
      </c>
      <c r="F1896" s="87">
        <v>97</v>
      </c>
      <c r="G1896" s="37"/>
      <c r="H1896" s="37">
        <f>COUNTIF('(参考)現行システム機能階層一覧'!$E$3:$E$1048576,sheet1!B1896)</f>
        <v>0</v>
      </c>
      <c r="I1896" s="37"/>
      <c r="J1896" s="37"/>
      <c r="K1896" s="37"/>
      <c r="L1896" s="37"/>
    </row>
    <row r="1897" spans="1:12" ht="15.75" customHeight="1">
      <c r="A1897" s="87" t="s">
        <v>3935</v>
      </c>
      <c r="B1897" s="87" t="s">
        <v>6857</v>
      </c>
      <c r="C1897" s="87" t="s">
        <v>743</v>
      </c>
      <c r="D1897" s="88">
        <v>1055</v>
      </c>
      <c r="E1897" s="85" t="s">
        <v>6330</v>
      </c>
      <c r="F1897" s="87">
        <v>2</v>
      </c>
      <c r="G1897" s="37"/>
      <c r="H1897" s="37">
        <f>COUNTIF('(参考)現行システム機能階層一覧'!$E$3:$E$1048576,sheet1!B1897)</f>
        <v>0</v>
      </c>
      <c r="I1897" s="37"/>
      <c r="J1897" s="37"/>
      <c r="K1897" s="37"/>
      <c r="L1897" s="37"/>
    </row>
    <row r="1898" spans="1:12" ht="15.75" customHeight="1">
      <c r="A1898" s="87" t="s">
        <v>3853</v>
      </c>
      <c r="B1898" s="87" t="s">
        <v>6858</v>
      </c>
      <c r="C1898" s="87" t="s">
        <v>743</v>
      </c>
      <c r="D1898" s="88">
        <v>68</v>
      </c>
      <c r="E1898" s="85" t="s">
        <v>6330</v>
      </c>
      <c r="F1898" s="87">
        <v>2</v>
      </c>
      <c r="G1898" s="37"/>
      <c r="H1898" s="37">
        <f>COUNTIF('(参考)現行システム機能階層一覧'!$E$3:$E$1048576,sheet1!B1898)</f>
        <v>0</v>
      </c>
      <c r="I1898" s="37"/>
      <c r="J1898" s="37"/>
      <c r="K1898" s="37"/>
      <c r="L1898" s="37"/>
    </row>
    <row r="1899" spans="1:12" ht="15.75" customHeight="1">
      <c r="A1899" s="87" t="s">
        <v>3935</v>
      </c>
      <c r="B1899" s="87" t="s">
        <v>1478</v>
      </c>
      <c r="C1899" s="87" t="s">
        <v>6859</v>
      </c>
      <c r="D1899" s="88">
        <v>442</v>
      </c>
      <c r="E1899" s="85" t="s">
        <v>6330</v>
      </c>
      <c r="F1899" s="87">
        <v>1258</v>
      </c>
      <c r="G1899" s="37"/>
      <c r="H1899" s="37">
        <f>COUNTIF('(参考)現行システム機能階層一覧'!$E$3:$E$1048576,sheet1!B1899)</f>
        <v>1</v>
      </c>
      <c r="I1899" s="37"/>
      <c r="J1899" s="37"/>
      <c r="K1899" s="37"/>
      <c r="L1899" s="37"/>
    </row>
    <row r="1900" spans="1:12" ht="15.75" customHeight="1">
      <c r="A1900" s="87" t="s">
        <v>3853</v>
      </c>
      <c r="B1900" s="87" t="s">
        <v>6860</v>
      </c>
      <c r="C1900" s="87" t="s">
        <v>6859</v>
      </c>
      <c r="D1900" s="88">
        <v>10</v>
      </c>
      <c r="E1900" s="85" t="s">
        <v>6330</v>
      </c>
      <c r="F1900" s="87">
        <v>1258</v>
      </c>
      <c r="G1900" s="37"/>
      <c r="H1900" s="37">
        <f>COUNTIF('(参考)現行システム機能階層一覧'!$E$3:$E$1048576,sheet1!B1900)</f>
        <v>0</v>
      </c>
      <c r="I1900" s="37"/>
      <c r="J1900" s="37"/>
      <c r="K1900" s="37"/>
      <c r="L1900" s="37"/>
    </row>
    <row r="1901" spans="1:12" ht="15.75" customHeight="1">
      <c r="A1901" s="87" t="s">
        <v>3935</v>
      </c>
      <c r="B1901" s="87" t="s">
        <v>1483</v>
      </c>
      <c r="C1901" s="87" t="s">
        <v>6861</v>
      </c>
      <c r="D1901" s="88">
        <v>169</v>
      </c>
      <c r="E1901" s="85" t="s">
        <v>6330</v>
      </c>
      <c r="F1901" s="87">
        <v>803</v>
      </c>
      <c r="G1901" s="37"/>
      <c r="H1901" s="37">
        <f>COUNTIF('(参考)現行システム機能階層一覧'!$E$3:$E$1048576,sheet1!B1901)</f>
        <v>1</v>
      </c>
      <c r="I1901" s="37"/>
      <c r="J1901" s="37"/>
      <c r="K1901" s="37"/>
      <c r="L1901" s="37"/>
    </row>
    <row r="1902" spans="1:12" ht="15.75" customHeight="1">
      <c r="A1902" s="87" t="s">
        <v>3935</v>
      </c>
      <c r="B1902" s="87" t="s">
        <v>6862</v>
      </c>
      <c r="C1902" s="87" t="s">
        <v>1479</v>
      </c>
      <c r="D1902" s="88">
        <v>950</v>
      </c>
      <c r="E1902" s="85" t="s">
        <v>6330</v>
      </c>
      <c r="F1902" s="87">
        <v>1252</v>
      </c>
      <c r="G1902" s="37"/>
      <c r="H1902" s="37">
        <f>COUNTIF('(参考)現行システム機能階層一覧'!$E$3:$E$1048576,sheet1!B1902)</f>
        <v>0</v>
      </c>
      <c r="I1902" s="37"/>
      <c r="J1902" s="37"/>
      <c r="K1902" s="37"/>
      <c r="L1902" s="37"/>
    </row>
    <row r="1903" spans="1:12" ht="15.75" customHeight="1">
      <c r="A1903" s="87" t="s">
        <v>3853</v>
      </c>
      <c r="B1903" s="87" t="s">
        <v>6863</v>
      </c>
      <c r="C1903" s="87" t="s">
        <v>1479</v>
      </c>
      <c r="D1903" s="88">
        <v>25</v>
      </c>
      <c r="E1903" s="85" t="s">
        <v>6330</v>
      </c>
      <c r="F1903" s="87">
        <v>1252</v>
      </c>
      <c r="G1903" s="37"/>
      <c r="H1903" s="37">
        <f>COUNTIF('(参考)現行システム機能階層一覧'!$E$3:$E$1048576,sheet1!B1903)</f>
        <v>0</v>
      </c>
      <c r="I1903" s="37"/>
      <c r="J1903" s="37"/>
      <c r="K1903" s="37"/>
      <c r="L1903" s="37"/>
    </row>
    <row r="1904" spans="1:12" ht="15.75" customHeight="1">
      <c r="A1904" s="87" t="s">
        <v>3935</v>
      </c>
      <c r="B1904" s="87" t="s">
        <v>6864</v>
      </c>
      <c r="C1904" s="87" t="s">
        <v>6865</v>
      </c>
      <c r="D1904" s="88">
        <v>278</v>
      </c>
      <c r="E1904" s="85" t="s">
        <v>6330</v>
      </c>
      <c r="F1904" s="87">
        <v>1268</v>
      </c>
      <c r="G1904" s="37"/>
      <c r="H1904" s="37">
        <f>COUNTIF('(参考)現行システム機能階層一覧'!$E$3:$E$1048576,sheet1!B1904)</f>
        <v>0</v>
      </c>
      <c r="I1904" s="37"/>
      <c r="J1904" s="37"/>
      <c r="K1904" s="37"/>
      <c r="L1904" s="37"/>
    </row>
    <row r="1905" spans="1:12" ht="15.75" customHeight="1">
      <c r="A1905" s="87" t="s">
        <v>3935</v>
      </c>
      <c r="B1905" s="87" t="s">
        <v>1488</v>
      </c>
      <c r="C1905" s="87" t="s">
        <v>1489</v>
      </c>
      <c r="D1905" s="88">
        <v>1709</v>
      </c>
      <c r="E1905" s="85" t="s">
        <v>6330</v>
      </c>
      <c r="F1905" s="87">
        <v>1227</v>
      </c>
      <c r="G1905" s="37"/>
      <c r="H1905" s="37">
        <f>COUNTIF('(参考)現行システム機能階層一覧'!$E$3:$E$1048576,sheet1!B1905)</f>
        <v>1</v>
      </c>
      <c r="I1905" s="37"/>
      <c r="J1905" s="37"/>
      <c r="K1905" s="37"/>
      <c r="L1905" s="37"/>
    </row>
    <row r="1906" spans="1:12" ht="15.75" customHeight="1">
      <c r="A1906" s="87" t="s">
        <v>3853</v>
      </c>
      <c r="B1906" s="87" t="s">
        <v>6866</v>
      </c>
      <c r="C1906" s="87" t="s">
        <v>1489</v>
      </c>
      <c r="D1906" s="88">
        <v>13</v>
      </c>
      <c r="E1906" s="85" t="s">
        <v>6330</v>
      </c>
      <c r="F1906" s="87">
        <v>1227</v>
      </c>
      <c r="G1906" s="37"/>
      <c r="H1906" s="37">
        <f>COUNTIF('(参考)現行システム機能階層一覧'!$E$3:$E$1048576,sheet1!B1906)</f>
        <v>0</v>
      </c>
      <c r="I1906" s="37"/>
      <c r="J1906" s="37"/>
      <c r="K1906" s="37"/>
      <c r="L1906" s="37"/>
    </row>
    <row r="1907" spans="1:12" ht="15.75" customHeight="1">
      <c r="A1907" s="87" t="s">
        <v>3935</v>
      </c>
      <c r="B1907" s="87" t="s">
        <v>1504</v>
      </c>
      <c r="C1907" s="87" t="s">
        <v>6867</v>
      </c>
      <c r="D1907" s="88">
        <v>657</v>
      </c>
      <c r="E1907" s="85" t="s">
        <v>6330</v>
      </c>
      <c r="F1907" s="87">
        <v>1436</v>
      </c>
      <c r="G1907" s="37"/>
      <c r="H1907" s="37">
        <f>COUNTIF('(参考)現行システム機能階層一覧'!$E$3:$E$1048576,sheet1!B1907)</f>
        <v>1</v>
      </c>
      <c r="I1907" s="37"/>
      <c r="J1907" s="37"/>
      <c r="K1907" s="37"/>
      <c r="L1907" s="37"/>
    </row>
    <row r="1908" spans="1:12" ht="15.75" customHeight="1">
      <c r="A1908" s="87" t="s">
        <v>3935</v>
      </c>
      <c r="B1908" s="87" t="s">
        <v>1508</v>
      </c>
      <c r="C1908" s="87" t="s">
        <v>6868</v>
      </c>
      <c r="D1908" s="88">
        <v>622</v>
      </c>
      <c r="E1908" s="85" t="s">
        <v>6330</v>
      </c>
      <c r="F1908" s="87">
        <v>1141</v>
      </c>
      <c r="G1908" s="37"/>
      <c r="H1908" s="37">
        <f>COUNTIF('(参考)現行システム機能階層一覧'!$E$3:$E$1048576,sheet1!B1908)</f>
        <v>1</v>
      </c>
      <c r="I1908" s="37"/>
      <c r="J1908" s="37"/>
      <c r="K1908" s="37"/>
      <c r="L1908" s="37"/>
    </row>
    <row r="1909" spans="1:12" ht="15.75" customHeight="1">
      <c r="A1909" s="87" t="s">
        <v>3935</v>
      </c>
      <c r="B1909" s="87" t="s">
        <v>1512</v>
      </c>
      <c r="C1909" s="87" t="s">
        <v>6869</v>
      </c>
      <c r="D1909" s="88">
        <v>556</v>
      </c>
      <c r="E1909" s="85" t="s">
        <v>6330</v>
      </c>
      <c r="F1909" s="87">
        <v>1674</v>
      </c>
      <c r="G1909" s="37"/>
      <c r="H1909" s="37">
        <f>COUNTIF('(参考)現行システム機能階層一覧'!$E$3:$E$1048576,sheet1!B1909)</f>
        <v>1</v>
      </c>
      <c r="I1909" s="37"/>
      <c r="J1909" s="37"/>
      <c r="K1909" s="37"/>
      <c r="L1909" s="37"/>
    </row>
    <row r="1910" spans="1:12" ht="15.75" customHeight="1">
      <c r="A1910" s="87" t="s">
        <v>3935</v>
      </c>
      <c r="B1910" s="87" t="s">
        <v>1516</v>
      </c>
      <c r="C1910" s="87" t="s">
        <v>6870</v>
      </c>
      <c r="D1910" s="88">
        <v>660</v>
      </c>
      <c r="E1910" s="85" t="s">
        <v>6330</v>
      </c>
      <c r="F1910" s="87">
        <v>1254</v>
      </c>
      <c r="G1910" s="37"/>
      <c r="H1910" s="37">
        <f>COUNTIF('(参考)現行システム機能階層一覧'!$E$3:$E$1048576,sheet1!B1910)</f>
        <v>1</v>
      </c>
      <c r="I1910" s="37"/>
      <c r="J1910" s="37"/>
      <c r="K1910" s="37"/>
      <c r="L1910" s="37"/>
    </row>
    <row r="1911" spans="1:12" ht="15.75" customHeight="1">
      <c r="A1911" s="87" t="s">
        <v>3935</v>
      </c>
      <c r="B1911" s="87" t="s">
        <v>1520</v>
      </c>
      <c r="C1911" s="87" t="s">
        <v>6871</v>
      </c>
      <c r="D1911" s="88">
        <v>577</v>
      </c>
      <c r="E1911" s="85" t="s">
        <v>6330</v>
      </c>
      <c r="F1911" s="87">
        <v>457</v>
      </c>
      <c r="G1911" s="37"/>
      <c r="H1911" s="37">
        <f>COUNTIF('(参考)現行システム機能階層一覧'!$E$3:$E$1048576,sheet1!B1911)</f>
        <v>1</v>
      </c>
      <c r="I1911" s="37"/>
      <c r="J1911" s="37"/>
      <c r="K1911" s="37"/>
      <c r="L1911" s="37"/>
    </row>
    <row r="1912" spans="1:12" ht="15.75" customHeight="1">
      <c r="A1912" s="87" t="s">
        <v>3935</v>
      </c>
      <c r="B1912" s="87" t="s">
        <v>6872</v>
      </c>
      <c r="C1912" s="87" t="s">
        <v>6873</v>
      </c>
      <c r="D1912" s="88">
        <v>447</v>
      </c>
      <c r="E1912" s="85" t="s">
        <v>6330</v>
      </c>
      <c r="F1912" s="87">
        <v>1496</v>
      </c>
      <c r="G1912" s="37"/>
      <c r="H1912" s="37">
        <f>COUNTIF('(参考)現行システム機能階層一覧'!$E$3:$E$1048576,sheet1!B1912)</f>
        <v>0</v>
      </c>
      <c r="I1912" s="37"/>
      <c r="J1912" s="37"/>
      <c r="K1912" s="37"/>
      <c r="L1912" s="37"/>
    </row>
    <row r="1913" spans="1:12" ht="15.75" customHeight="1">
      <c r="A1913" s="87" t="s">
        <v>3935</v>
      </c>
      <c r="B1913" s="87" t="s">
        <v>1543</v>
      </c>
      <c r="C1913" s="87" t="s">
        <v>6874</v>
      </c>
      <c r="D1913" s="88">
        <v>714</v>
      </c>
      <c r="E1913" s="85" t="s">
        <v>6330</v>
      </c>
      <c r="F1913" s="87">
        <v>822</v>
      </c>
      <c r="G1913" s="37"/>
      <c r="H1913" s="37">
        <f>COUNTIF('(参考)現行システム機能階層一覧'!$E$3:$E$1048576,sheet1!B1913)</f>
        <v>1</v>
      </c>
      <c r="I1913" s="37"/>
      <c r="J1913" s="37"/>
      <c r="K1913" s="37"/>
      <c r="L1913" s="37"/>
    </row>
    <row r="1914" spans="1:12" ht="15.75" customHeight="1">
      <c r="A1914" s="87" t="s">
        <v>3935</v>
      </c>
      <c r="B1914" s="87" t="s">
        <v>6875</v>
      </c>
      <c r="C1914" s="87" t="s">
        <v>6874</v>
      </c>
      <c r="D1914" s="88">
        <v>684</v>
      </c>
      <c r="E1914" s="85" t="s">
        <v>6330</v>
      </c>
      <c r="F1914" s="87">
        <v>410</v>
      </c>
      <c r="G1914" s="37"/>
      <c r="H1914" s="37">
        <f>COUNTIF('(参考)現行システム機能階層一覧'!$E$3:$E$1048576,sheet1!B1914)</f>
        <v>0</v>
      </c>
      <c r="I1914" s="37"/>
      <c r="J1914" s="37"/>
      <c r="K1914" s="37"/>
      <c r="L1914" s="37"/>
    </row>
    <row r="1915" spans="1:12" ht="15.75" customHeight="1">
      <c r="A1915" s="87" t="s">
        <v>3935</v>
      </c>
      <c r="B1915" s="87" t="s">
        <v>1686</v>
      </c>
      <c r="C1915" s="87" t="s">
        <v>1687</v>
      </c>
      <c r="D1915" s="88">
        <v>968</v>
      </c>
      <c r="E1915" s="85" t="s">
        <v>6330</v>
      </c>
      <c r="F1915" s="87">
        <v>435</v>
      </c>
      <c r="G1915" s="37"/>
      <c r="H1915" s="37">
        <f>COUNTIF('(参考)現行システム機能階層一覧'!$E$3:$E$1048576,sheet1!B1915)</f>
        <v>2</v>
      </c>
      <c r="I1915" s="37"/>
      <c r="J1915" s="37"/>
      <c r="K1915" s="37"/>
      <c r="L1915" s="37"/>
    </row>
    <row r="1916" spans="1:12" ht="15.75" customHeight="1">
      <c r="A1916" s="87" t="s">
        <v>3853</v>
      </c>
      <c r="B1916" s="87" t="s">
        <v>6876</v>
      </c>
      <c r="C1916" s="87" t="s">
        <v>1687</v>
      </c>
      <c r="D1916" s="88">
        <v>85</v>
      </c>
      <c r="E1916" s="85" t="s">
        <v>6330</v>
      </c>
      <c r="F1916" s="87">
        <v>435</v>
      </c>
      <c r="G1916" s="37"/>
      <c r="H1916" s="37">
        <f>COUNTIF('(参考)現行システム機能階層一覧'!$E$3:$E$1048576,sheet1!B1916)</f>
        <v>0</v>
      </c>
      <c r="I1916" s="37"/>
      <c r="J1916" s="37"/>
      <c r="K1916" s="37"/>
      <c r="L1916" s="37"/>
    </row>
    <row r="1917" spans="1:12" ht="15.75" customHeight="1">
      <c r="A1917" s="87" t="s">
        <v>3935</v>
      </c>
      <c r="B1917" s="87" t="s">
        <v>6877</v>
      </c>
      <c r="C1917" s="87" t="s">
        <v>6878</v>
      </c>
      <c r="D1917" s="88">
        <v>79</v>
      </c>
      <c r="E1917" s="85" t="s">
        <v>6330</v>
      </c>
      <c r="F1917" s="87">
        <v>1</v>
      </c>
      <c r="G1917" s="37"/>
      <c r="H1917" s="37">
        <f>COUNTIF('(参考)現行システム機能階層一覧'!$E$3:$E$1048576,sheet1!B1917)</f>
        <v>0</v>
      </c>
      <c r="I1917" s="37"/>
      <c r="J1917" s="37"/>
      <c r="K1917" s="37"/>
      <c r="L1917" s="37"/>
    </row>
    <row r="1918" spans="1:12" ht="15.75" customHeight="1">
      <c r="A1918" s="87" t="s">
        <v>3853</v>
      </c>
      <c r="B1918" s="87" t="s">
        <v>6879</v>
      </c>
      <c r="C1918" s="87" t="s">
        <v>1687</v>
      </c>
      <c r="D1918" s="88">
        <v>20</v>
      </c>
      <c r="E1918" s="85" t="s">
        <v>6330</v>
      </c>
      <c r="F1918" s="87">
        <v>1</v>
      </c>
      <c r="G1918" s="37"/>
      <c r="H1918" s="37">
        <f>COUNTIF('(参考)現行システム機能階層一覧'!$E$3:$E$1048576,sheet1!B1918)</f>
        <v>0</v>
      </c>
      <c r="I1918" s="37"/>
      <c r="J1918" s="37"/>
      <c r="K1918" s="37"/>
      <c r="L1918" s="37"/>
    </row>
    <row r="1919" spans="1:12" ht="15.75" customHeight="1">
      <c r="A1919" s="87" t="s">
        <v>3935</v>
      </c>
      <c r="B1919" s="87" t="s">
        <v>1547</v>
      </c>
      <c r="C1919" s="87" t="s">
        <v>6880</v>
      </c>
      <c r="D1919" s="88">
        <v>510</v>
      </c>
      <c r="E1919" s="85" t="s">
        <v>6330</v>
      </c>
      <c r="F1919" s="87">
        <v>589</v>
      </c>
      <c r="G1919" s="37"/>
      <c r="H1919" s="37">
        <f>COUNTIF('(参考)現行システム機能階層一覧'!$E$3:$E$1048576,sheet1!B1919)</f>
        <v>1</v>
      </c>
      <c r="I1919" s="37"/>
      <c r="J1919" s="37"/>
      <c r="K1919" s="37"/>
      <c r="L1919" s="37"/>
    </row>
    <row r="1920" spans="1:12" ht="15.75" customHeight="1">
      <c r="A1920" s="87" t="s">
        <v>3935</v>
      </c>
      <c r="B1920" s="87" t="s">
        <v>1551</v>
      </c>
      <c r="C1920" s="87" t="s">
        <v>6881</v>
      </c>
      <c r="D1920" s="88">
        <v>713</v>
      </c>
      <c r="E1920" s="85" t="s">
        <v>6330</v>
      </c>
      <c r="F1920" s="87">
        <v>331</v>
      </c>
      <c r="G1920" s="37"/>
      <c r="H1920" s="37">
        <f>COUNTIF('(参考)現行システム機能階層一覧'!$E$3:$E$1048576,sheet1!B1920)</f>
        <v>1</v>
      </c>
      <c r="I1920" s="37"/>
      <c r="J1920" s="37"/>
      <c r="K1920" s="37"/>
      <c r="L1920" s="37"/>
    </row>
    <row r="1921" spans="1:12" ht="15.75" customHeight="1">
      <c r="A1921" s="87" t="s">
        <v>3935</v>
      </c>
      <c r="B1921" s="87" t="s">
        <v>1524</v>
      </c>
      <c r="C1921" s="87" t="s">
        <v>6882</v>
      </c>
      <c r="D1921" s="88">
        <v>482</v>
      </c>
      <c r="E1921" s="85" t="s">
        <v>6330</v>
      </c>
      <c r="F1921" s="87">
        <v>666</v>
      </c>
      <c r="G1921" s="37"/>
      <c r="H1921" s="37">
        <f>COUNTIF('(参考)現行システム機能階層一覧'!$E$3:$E$1048576,sheet1!B1921)</f>
        <v>1</v>
      </c>
      <c r="I1921" s="37"/>
      <c r="J1921" s="37"/>
      <c r="K1921" s="37"/>
      <c r="L1921" s="37"/>
    </row>
    <row r="1922" spans="1:12" ht="15.75" customHeight="1">
      <c r="A1922" s="87" t="s">
        <v>3935</v>
      </c>
      <c r="B1922" s="87" t="s">
        <v>1529</v>
      </c>
      <c r="C1922" s="87" t="s">
        <v>1530</v>
      </c>
      <c r="D1922" s="88">
        <v>818</v>
      </c>
      <c r="E1922" s="85" t="s">
        <v>6330</v>
      </c>
      <c r="F1922" s="87">
        <v>107</v>
      </c>
      <c r="G1922" s="37"/>
      <c r="H1922" s="37">
        <f>COUNTIF('(参考)現行システム機能階層一覧'!$E$3:$E$1048576,sheet1!B1922)</f>
        <v>1</v>
      </c>
      <c r="I1922" s="37"/>
      <c r="J1922" s="37"/>
      <c r="K1922" s="37"/>
      <c r="L1922" s="37"/>
    </row>
    <row r="1923" spans="1:12" ht="15.75" customHeight="1">
      <c r="A1923" s="87" t="s">
        <v>3935</v>
      </c>
      <c r="B1923" s="87" t="s">
        <v>1555</v>
      </c>
      <c r="C1923" s="87" t="s">
        <v>6883</v>
      </c>
      <c r="D1923" s="88">
        <v>216</v>
      </c>
      <c r="E1923" s="85" t="s">
        <v>6330</v>
      </c>
      <c r="F1923" s="87">
        <v>108</v>
      </c>
      <c r="G1923" s="37"/>
      <c r="H1923" s="37">
        <f>COUNTIF('(参考)現行システム機能階層一覧'!$E$3:$E$1048576,sheet1!B1923)</f>
        <v>1</v>
      </c>
      <c r="I1923" s="37"/>
      <c r="J1923" s="37"/>
      <c r="K1923" s="37"/>
      <c r="L1923" s="37"/>
    </row>
    <row r="1924" spans="1:12" ht="15.75" customHeight="1">
      <c r="A1924" s="87" t="s">
        <v>3935</v>
      </c>
      <c r="B1924" s="87" t="s">
        <v>6884</v>
      </c>
      <c r="C1924" s="87" t="s">
        <v>6885</v>
      </c>
      <c r="D1924" s="88">
        <v>382</v>
      </c>
      <c r="E1924" s="85" t="s">
        <v>6330</v>
      </c>
      <c r="F1924" s="87">
        <v>19</v>
      </c>
      <c r="G1924" s="37"/>
      <c r="H1924" s="37">
        <f>COUNTIF('(参考)現行システム機能階層一覧'!$E$3:$E$1048576,sheet1!B1924)</f>
        <v>0</v>
      </c>
      <c r="I1924" s="37"/>
      <c r="J1924" s="37"/>
      <c r="K1924" s="37"/>
      <c r="L1924" s="37"/>
    </row>
    <row r="1925" spans="1:12" ht="15.75" customHeight="1">
      <c r="A1925" s="87" t="s">
        <v>3853</v>
      </c>
      <c r="B1925" s="87" t="s">
        <v>6886</v>
      </c>
      <c r="C1925" s="87" t="s">
        <v>6887</v>
      </c>
      <c r="D1925" s="88">
        <v>28</v>
      </c>
      <c r="E1925" s="85" t="s">
        <v>6330</v>
      </c>
      <c r="F1925" s="87">
        <v>19</v>
      </c>
      <c r="G1925" s="37"/>
      <c r="H1925" s="37">
        <f>COUNTIF('(参考)現行システム機能階層一覧'!$E$3:$E$1048576,sheet1!B1925)</f>
        <v>0</v>
      </c>
      <c r="I1925" s="37"/>
      <c r="J1925" s="37"/>
      <c r="K1925" s="37"/>
      <c r="L1925" s="37"/>
    </row>
    <row r="1926" spans="1:12" ht="15.75" customHeight="1">
      <c r="A1926" s="87" t="s">
        <v>3935</v>
      </c>
      <c r="B1926" s="87" t="s">
        <v>1534</v>
      </c>
      <c r="C1926" s="87" t="s">
        <v>6888</v>
      </c>
      <c r="D1926" s="88">
        <v>360</v>
      </c>
      <c r="E1926" s="85" t="s">
        <v>6330</v>
      </c>
      <c r="F1926" s="87">
        <v>1306</v>
      </c>
      <c r="G1926" s="37"/>
      <c r="H1926" s="37">
        <f>COUNTIF('(参考)現行システム機能階層一覧'!$E$3:$E$1048576,sheet1!B1926)</f>
        <v>1</v>
      </c>
      <c r="I1926" s="37"/>
      <c r="J1926" s="37"/>
      <c r="K1926" s="37"/>
      <c r="L1926" s="37"/>
    </row>
    <row r="1927" spans="1:12" ht="15.75" customHeight="1">
      <c r="A1927" s="87" t="s">
        <v>3935</v>
      </c>
      <c r="B1927" s="87" t="s">
        <v>6889</v>
      </c>
      <c r="C1927" s="87" t="s">
        <v>6890</v>
      </c>
      <c r="D1927" s="88">
        <v>423</v>
      </c>
      <c r="E1927" s="85" t="s">
        <v>6330</v>
      </c>
      <c r="F1927" s="87">
        <v>1159</v>
      </c>
      <c r="G1927" s="37"/>
      <c r="H1927" s="37">
        <f>COUNTIF('(参考)現行システム機能階層一覧'!$E$3:$E$1048576,sheet1!B1927)</f>
        <v>0</v>
      </c>
      <c r="I1927" s="37"/>
      <c r="J1927" s="37"/>
      <c r="K1927" s="37"/>
      <c r="L1927" s="37"/>
    </row>
    <row r="1928" spans="1:12" ht="15.75" customHeight="1">
      <c r="A1928" s="87" t="s">
        <v>3935</v>
      </c>
      <c r="B1928" s="87" t="s">
        <v>6891</v>
      </c>
      <c r="C1928" s="87" t="s">
        <v>6892</v>
      </c>
      <c r="D1928" s="88">
        <v>227</v>
      </c>
      <c r="E1928" s="85" t="s">
        <v>6330</v>
      </c>
      <c r="F1928" s="87">
        <v>698</v>
      </c>
      <c r="G1928" s="37"/>
      <c r="H1928" s="37">
        <f>COUNTIF('(参考)現行システム機能階層一覧'!$E$3:$E$1048576,sheet1!B1928)</f>
        <v>0</v>
      </c>
      <c r="I1928" s="37"/>
      <c r="J1928" s="37"/>
      <c r="K1928" s="37"/>
      <c r="L1928" s="37"/>
    </row>
    <row r="1929" spans="1:12" ht="15.75" customHeight="1">
      <c r="A1929" s="87" t="s">
        <v>3935</v>
      </c>
      <c r="B1929" s="87" t="s">
        <v>6893</v>
      </c>
      <c r="C1929" s="87" t="s">
        <v>6894</v>
      </c>
      <c r="D1929" s="88">
        <v>239</v>
      </c>
      <c r="E1929" s="85" t="s">
        <v>6330</v>
      </c>
      <c r="F1929" s="87">
        <v>1281</v>
      </c>
      <c r="G1929" s="37"/>
      <c r="H1929" s="37">
        <f>COUNTIF('(参考)現行システム機能階層一覧'!$E$3:$E$1048576,sheet1!B1929)</f>
        <v>0</v>
      </c>
      <c r="I1929" s="37"/>
      <c r="J1929" s="37"/>
      <c r="K1929" s="37"/>
      <c r="L1929" s="37"/>
    </row>
    <row r="1930" spans="1:12" ht="15.75" customHeight="1">
      <c r="A1930" s="87" t="s">
        <v>3935</v>
      </c>
      <c r="B1930" s="87" t="s">
        <v>1559</v>
      </c>
      <c r="C1930" s="87" t="s">
        <v>6895</v>
      </c>
      <c r="D1930" s="88">
        <v>842</v>
      </c>
      <c r="E1930" s="85" t="s">
        <v>6330</v>
      </c>
      <c r="F1930" s="87">
        <v>1213</v>
      </c>
      <c r="G1930" s="37"/>
      <c r="H1930" s="37">
        <f>COUNTIF('(参考)現行システム機能階層一覧'!$E$3:$E$1048576,sheet1!B1930)</f>
        <v>1</v>
      </c>
      <c r="I1930" s="37"/>
      <c r="J1930" s="37"/>
      <c r="K1930" s="37"/>
      <c r="L1930" s="37"/>
    </row>
    <row r="1931" spans="1:12" ht="15.75" customHeight="1">
      <c r="A1931" s="87" t="s">
        <v>3853</v>
      </c>
      <c r="B1931" s="87" t="s">
        <v>6896</v>
      </c>
      <c r="C1931" s="87" t="s">
        <v>6897</v>
      </c>
      <c r="D1931" s="88">
        <v>30</v>
      </c>
      <c r="E1931" s="85" t="s">
        <v>6330</v>
      </c>
      <c r="F1931" s="87">
        <v>1213</v>
      </c>
      <c r="G1931" s="37"/>
      <c r="H1931" s="37">
        <f>COUNTIF('(参考)現行システム機能階層一覧'!$E$3:$E$1048576,sheet1!B1931)</f>
        <v>0</v>
      </c>
      <c r="I1931" s="37"/>
      <c r="J1931" s="37"/>
      <c r="K1931" s="37"/>
      <c r="L1931" s="37"/>
    </row>
    <row r="1932" spans="1:12" ht="15.75" customHeight="1">
      <c r="A1932" s="87" t="s">
        <v>3935</v>
      </c>
      <c r="B1932" s="87" t="s">
        <v>6898</v>
      </c>
      <c r="C1932" s="87" t="s">
        <v>6899</v>
      </c>
      <c r="D1932" s="88">
        <v>303</v>
      </c>
      <c r="E1932" s="85" t="s">
        <v>6330</v>
      </c>
      <c r="F1932" s="87">
        <v>1505</v>
      </c>
      <c r="G1932" s="37"/>
      <c r="H1932" s="37">
        <f>COUNTIF('(参考)現行システム機能階層一覧'!$E$3:$E$1048576,sheet1!B1932)</f>
        <v>0</v>
      </c>
      <c r="I1932" s="37"/>
      <c r="J1932" s="37"/>
      <c r="K1932" s="37"/>
      <c r="L1932" s="37"/>
    </row>
    <row r="1933" spans="1:12" ht="15.75" customHeight="1">
      <c r="A1933" s="87" t="s">
        <v>3935</v>
      </c>
      <c r="B1933" s="87" t="s">
        <v>1565</v>
      </c>
      <c r="C1933" s="87" t="s">
        <v>6900</v>
      </c>
      <c r="D1933" s="88">
        <v>733</v>
      </c>
      <c r="E1933" s="85" t="s">
        <v>6330</v>
      </c>
      <c r="F1933" s="87">
        <v>8</v>
      </c>
      <c r="G1933" s="37"/>
      <c r="H1933" s="37">
        <f>COUNTIF('(参考)現行システム機能階層一覧'!$E$3:$E$1048576,sheet1!B1933)</f>
        <v>1</v>
      </c>
      <c r="I1933" s="37"/>
      <c r="J1933" s="37"/>
      <c r="K1933" s="37"/>
      <c r="L1933" s="37"/>
    </row>
    <row r="1934" spans="1:12" ht="15.75" customHeight="1">
      <c r="A1934" s="87" t="s">
        <v>3935</v>
      </c>
      <c r="B1934" s="87" t="s">
        <v>2546</v>
      </c>
      <c r="C1934" s="87" t="s">
        <v>6901</v>
      </c>
      <c r="D1934" s="88">
        <v>1375</v>
      </c>
      <c r="E1934" s="85" t="s">
        <v>6330</v>
      </c>
      <c r="F1934" s="87">
        <v>7</v>
      </c>
      <c r="G1934" s="37"/>
      <c r="H1934" s="37">
        <f>COUNTIF('(参考)現行システム機能階層一覧'!$E$3:$E$1048576,sheet1!B1934)</f>
        <v>1</v>
      </c>
      <c r="I1934" s="37"/>
      <c r="J1934" s="37"/>
      <c r="K1934" s="37"/>
      <c r="L1934" s="37"/>
    </row>
    <row r="1935" spans="1:12" ht="15.75" customHeight="1">
      <c r="A1935" s="87" t="s">
        <v>3853</v>
      </c>
      <c r="B1935" s="87" t="s">
        <v>6902</v>
      </c>
      <c r="C1935" s="87" t="s">
        <v>2589</v>
      </c>
      <c r="D1935" s="88">
        <v>29</v>
      </c>
      <c r="E1935" s="85" t="s">
        <v>6330</v>
      </c>
      <c r="F1935" s="87">
        <v>7</v>
      </c>
      <c r="G1935" s="37"/>
      <c r="H1935" s="37">
        <f>COUNTIF('(参考)現行システム機能階層一覧'!$E$3:$E$1048576,sheet1!B1935)</f>
        <v>0</v>
      </c>
      <c r="I1935" s="37"/>
      <c r="J1935" s="37"/>
      <c r="K1935" s="37"/>
      <c r="L1935" s="37"/>
    </row>
    <row r="1936" spans="1:12" ht="15.75" customHeight="1">
      <c r="A1936" s="87" t="s">
        <v>3935</v>
      </c>
      <c r="B1936" s="87" t="s">
        <v>1794</v>
      </c>
      <c r="C1936" s="87" t="s">
        <v>6903</v>
      </c>
      <c r="D1936" s="88">
        <v>424</v>
      </c>
      <c r="E1936" s="85" t="s">
        <v>6330</v>
      </c>
      <c r="F1936" s="87">
        <v>22</v>
      </c>
      <c r="G1936" s="37"/>
      <c r="H1936" s="37">
        <f>COUNTIF('(参考)現行システム機能階層一覧'!$E$3:$E$1048576,sheet1!B1936)</f>
        <v>2</v>
      </c>
      <c r="I1936" s="37"/>
      <c r="J1936" s="37"/>
      <c r="K1936" s="37"/>
      <c r="L1936" s="37"/>
    </row>
    <row r="1937" spans="1:12" ht="15.75" customHeight="1">
      <c r="A1937" s="87" t="s">
        <v>3935</v>
      </c>
      <c r="B1937" s="87" t="s">
        <v>6904</v>
      </c>
      <c r="C1937" s="87" t="s">
        <v>6905</v>
      </c>
      <c r="D1937" s="88">
        <v>98</v>
      </c>
      <c r="E1937" s="85" t="s">
        <v>6330</v>
      </c>
      <c r="F1937" s="87">
        <v>2</v>
      </c>
      <c r="G1937" s="37"/>
      <c r="H1937" s="37">
        <f>COUNTIF('(参考)現行システム機能階層一覧'!$E$3:$E$1048576,sheet1!B1937)</f>
        <v>0</v>
      </c>
      <c r="I1937" s="37"/>
      <c r="J1937" s="37"/>
      <c r="K1937" s="37"/>
      <c r="L1937" s="37"/>
    </row>
    <row r="1938" spans="1:12" ht="15.75" customHeight="1">
      <c r="A1938" s="87" t="s">
        <v>3853</v>
      </c>
      <c r="B1938" s="87" t="s">
        <v>6906</v>
      </c>
      <c r="C1938" s="87" t="s">
        <v>6907</v>
      </c>
      <c r="D1938" s="88">
        <v>33</v>
      </c>
      <c r="E1938" s="85" t="s">
        <v>6330</v>
      </c>
      <c r="F1938" s="87">
        <v>2</v>
      </c>
      <c r="G1938" s="37"/>
      <c r="H1938" s="37">
        <f>COUNTIF('(参考)現行システム機能階層一覧'!$E$3:$E$1048576,sheet1!B1938)</f>
        <v>0</v>
      </c>
      <c r="I1938" s="37"/>
      <c r="J1938" s="37"/>
      <c r="K1938" s="37"/>
      <c r="L1938" s="37"/>
    </row>
    <row r="1939" spans="1:12" ht="15.75" customHeight="1">
      <c r="A1939" s="87" t="s">
        <v>3935</v>
      </c>
      <c r="B1939" s="87" t="s">
        <v>6908</v>
      </c>
      <c r="C1939" s="87" t="s">
        <v>6909</v>
      </c>
      <c r="D1939" s="88">
        <v>242</v>
      </c>
      <c r="E1939" s="85" t="s">
        <v>6330</v>
      </c>
      <c r="F1939" s="87">
        <v>1</v>
      </c>
      <c r="G1939" s="37"/>
      <c r="H1939" s="37">
        <f>COUNTIF('(参考)現行システム機能階層一覧'!$E$3:$E$1048576,sheet1!B1939)</f>
        <v>0</v>
      </c>
      <c r="I1939" s="37"/>
      <c r="J1939" s="37"/>
      <c r="K1939" s="37"/>
      <c r="L1939" s="37"/>
    </row>
    <row r="1940" spans="1:12" ht="15.75" customHeight="1">
      <c r="A1940" s="87" t="s">
        <v>3935</v>
      </c>
      <c r="B1940" s="87" t="s">
        <v>6910</v>
      </c>
      <c r="C1940" s="87" t="s">
        <v>6911</v>
      </c>
      <c r="D1940" s="88">
        <v>359</v>
      </c>
      <c r="E1940" s="85" t="s">
        <v>6330</v>
      </c>
      <c r="F1940" s="87">
        <v>1</v>
      </c>
      <c r="G1940" s="37"/>
      <c r="H1940" s="37">
        <f>COUNTIF('(参考)現行システム機能階層一覧'!$E$3:$E$1048576,sheet1!B1940)</f>
        <v>0</v>
      </c>
      <c r="I1940" s="37"/>
      <c r="J1940" s="37"/>
      <c r="K1940" s="37"/>
      <c r="L1940" s="37"/>
    </row>
    <row r="1941" spans="1:12" ht="15.75" customHeight="1">
      <c r="A1941" s="87" t="s">
        <v>3935</v>
      </c>
      <c r="B1941" s="87" t="s">
        <v>6912</v>
      </c>
      <c r="C1941" s="87" t="s">
        <v>6913</v>
      </c>
      <c r="D1941" s="88">
        <v>357</v>
      </c>
      <c r="E1941" s="85" t="s">
        <v>6330</v>
      </c>
      <c r="F1941" s="87">
        <v>1</v>
      </c>
      <c r="G1941" s="37"/>
      <c r="H1941" s="37">
        <f>COUNTIF('(参考)現行システム機能階層一覧'!$E$3:$E$1048576,sheet1!B1941)</f>
        <v>0</v>
      </c>
      <c r="I1941" s="37"/>
      <c r="J1941" s="37"/>
      <c r="K1941" s="37"/>
      <c r="L1941" s="37"/>
    </row>
    <row r="1942" spans="1:12" ht="15.75" customHeight="1">
      <c r="A1942" s="87" t="s">
        <v>3935</v>
      </c>
      <c r="B1942" s="87" t="s">
        <v>1572</v>
      </c>
      <c r="C1942" s="87" t="s">
        <v>6914</v>
      </c>
      <c r="D1942" s="88">
        <v>364</v>
      </c>
      <c r="E1942" s="85" t="s">
        <v>6330</v>
      </c>
      <c r="F1942" s="87">
        <v>1223</v>
      </c>
      <c r="G1942" s="37"/>
      <c r="H1942" s="37">
        <f>COUNTIF('(参考)現行システム機能階層一覧'!$E$3:$E$1048576,sheet1!B1942)</f>
        <v>1</v>
      </c>
      <c r="I1942" s="37"/>
      <c r="J1942" s="37"/>
      <c r="K1942" s="37"/>
      <c r="L1942" s="37"/>
    </row>
    <row r="1943" spans="1:12" ht="15.75" customHeight="1">
      <c r="A1943" s="87" t="s">
        <v>3853</v>
      </c>
      <c r="B1943" s="87" t="s">
        <v>6915</v>
      </c>
      <c r="C1943" s="87" t="s">
        <v>6916</v>
      </c>
      <c r="D1943" s="88">
        <v>23</v>
      </c>
      <c r="E1943" s="85" t="s">
        <v>6330</v>
      </c>
      <c r="F1943" s="87">
        <v>1223</v>
      </c>
      <c r="G1943" s="37"/>
      <c r="H1943" s="37">
        <f>COUNTIF('(参考)現行システム機能階層一覧'!$E$3:$E$1048576,sheet1!B1943)</f>
        <v>0</v>
      </c>
      <c r="I1943" s="37"/>
      <c r="J1943" s="37"/>
      <c r="K1943" s="37"/>
      <c r="L1943" s="37"/>
    </row>
    <row r="1944" spans="1:12" ht="15.75" customHeight="1">
      <c r="A1944" s="87" t="s">
        <v>3935</v>
      </c>
      <c r="B1944" s="87" t="s">
        <v>1576</v>
      </c>
      <c r="C1944" s="87" t="s">
        <v>6917</v>
      </c>
      <c r="D1944" s="88">
        <v>371</v>
      </c>
      <c r="E1944" s="85" t="s">
        <v>6330</v>
      </c>
      <c r="F1944" s="87">
        <v>185</v>
      </c>
      <c r="G1944" s="37"/>
      <c r="H1944" s="37">
        <f>COUNTIF('(参考)現行システム機能階層一覧'!$E$3:$E$1048576,sheet1!B1944)</f>
        <v>1</v>
      </c>
      <c r="I1944" s="37"/>
      <c r="J1944" s="37"/>
      <c r="K1944" s="37"/>
      <c r="L1944" s="37"/>
    </row>
    <row r="1945" spans="1:12" ht="15.75" customHeight="1">
      <c r="A1945" s="87" t="s">
        <v>3853</v>
      </c>
      <c r="B1945" s="87" t="s">
        <v>6918</v>
      </c>
      <c r="C1945" s="87" t="s">
        <v>6919</v>
      </c>
      <c r="D1945" s="88">
        <v>24</v>
      </c>
      <c r="E1945" s="85" t="s">
        <v>6330</v>
      </c>
      <c r="F1945" s="87">
        <v>189</v>
      </c>
      <c r="G1945" s="37"/>
      <c r="H1945" s="37">
        <f>COUNTIF('(参考)現行システム機能階層一覧'!$E$3:$E$1048576,sheet1!B1945)</f>
        <v>0</v>
      </c>
      <c r="I1945" s="37"/>
      <c r="J1945" s="37"/>
      <c r="K1945" s="37"/>
      <c r="L1945" s="37"/>
    </row>
    <row r="1946" spans="1:12" ht="15.75" customHeight="1">
      <c r="A1946" s="87" t="s">
        <v>3935</v>
      </c>
      <c r="B1946" s="87" t="s">
        <v>1579</v>
      </c>
      <c r="C1946" s="87" t="s">
        <v>6920</v>
      </c>
      <c r="D1946" s="88">
        <v>463</v>
      </c>
      <c r="E1946" s="85" t="s">
        <v>6330</v>
      </c>
      <c r="F1946" s="87">
        <v>1440</v>
      </c>
      <c r="G1946" s="37"/>
      <c r="H1946" s="37">
        <f>COUNTIF('(参考)現行システム機能階層一覧'!$E$3:$E$1048576,sheet1!B1946)</f>
        <v>1</v>
      </c>
      <c r="I1946" s="37"/>
      <c r="J1946" s="37"/>
      <c r="K1946" s="37"/>
      <c r="L1946" s="37"/>
    </row>
    <row r="1947" spans="1:12" ht="15.75" customHeight="1">
      <c r="A1947" s="87" t="s">
        <v>3853</v>
      </c>
      <c r="B1947" s="87" t="s">
        <v>6921</v>
      </c>
      <c r="C1947" s="87" t="s">
        <v>6922</v>
      </c>
      <c r="D1947" s="88">
        <v>23</v>
      </c>
      <c r="E1947" s="85" t="s">
        <v>6330</v>
      </c>
      <c r="F1947" s="87">
        <v>1440</v>
      </c>
      <c r="G1947" s="37"/>
      <c r="H1947" s="37">
        <f>COUNTIF('(参考)現行システム機能階層一覧'!$E$3:$E$1048576,sheet1!B1947)</f>
        <v>0</v>
      </c>
      <c r="I1947" s="37"/>
      <c r="J1947" s="37"/>
      <c r="K1947" s="37"/>
      <c r="L1947" s="37"/>
    </row>
    <row r="1948" spans="1:12" ht="15.75" customHeight="1">
      <c r="A1948" s="87" t="s">
        <v>3935</v>
      </c>
      <c r="B1948" s="87" t="s">
        <v>6923</v>
      </c>
      <c r="C1948" s="87" t="s">
        <v>6924</v>
      </c>
      <c r="D1948" s="88">
        <v>1515</v>
      </c>
      <c r="E1948" s="85" t="s">
        <v>6330</v>
      </c>
      <c r="F1948" s="87">
        <v>2</v>
      </c>
      <c r="G1948" s="37"/>
      <c r="H1948" s="37">
        <f>COUNTIF('(参考)現行システム機能階層一覧'!$E$3:$E$1048576,sheet1!B1948)</f>
        <v>0</v>
      </c>
      <c r="I1948" s="37"/>
      <c r="J1948" s="37"/>
      <c r="K1948" s="37"/>
      <c r="L1948" s="37"/>
    </row>
    <row r="1949" spans="1:12" ht="15.75" customHeight="1">
      <c r="A1949" s="87" t="s">
        <v>3935</v>
      </c>
      <c r="B1949" s="87" t="s">
        <v>6925</v>
      </c>
      <c r="C1949" s="87" t="s">
        <v>6924</v>
      </c>
      <c r="D1949" s="88">
        <v>1412</v>
      </c>
      <c r="E1949" s="85" t="s">
        <v>6330</v>
      </c>
      <c r="F1949" s="87">
        <v>1</v>
      </c>
      <c r="G1949" s="37"/>
      <c r="H1949" s="37">
        <f>COUNTIF('(参考)現行システム機能階層一覧'!$E$3:$E$1048576,sheet1!B1949)</f>
        <v>0</v>
      </c>
      <c r="I1949" s="37"/>
      <c r="J1949" s="37"/>
      <c r="K1949" s="37"/>
      <c r="L1949" s="37"/>
    </row>
    <row r="1950" spans="1:12" ht="15.75" customHeight="1">
      <c r="A1950" s="87" t="s">
        <v>3935</v>
      </c>
      <c r="B1950" s="87" t="s">
        <v>6926</v>
      </c>
      <c r="C1950" s="87" t="s">
        <v>6927</v>
      </c>
      <c r="D1950" s="88">
        <v>1365</v>
      </c>
      <c r="E1950" s="85" t="s">
        <v>6330</v>
      </c>
      <c r="F1950" s="87">
        <v>1434</v>
      </c>
      <c r="G1950" s="37"/>
      <c r="H1950" s="37">
        <f>COUNTIF('(参考)現行システム機能階層一覧'!$E$3:$E$1048576,sheet1!B1950)</f>
        <v>0</v>
      </c>
      <c r="I1950" s="37"/>
      <c r="J1950" s="37"/>
      <c r="K1950" s="37"/>
      <c r="L1950" s="37"/>
    </row>
    <row r="1951" spans="1:12" ht="15.75" customHeight="1">
      <c r="A1951" s="87" t="s">
        <v>3935</v>
      </c>
      <c r="B1951" s="87" t="s">
        <v>6928</v>
      </c>
      <c r="C1951" s="87" t="s">
        <v>6929</v>
      </c>
      <c r="D1951" s="88">
        <v>40</v>
      </c>
      <c r="E1951" s="85" t="s">
        <v>6330</v>
      </c>
      <c r="F1951" s="87">
        <v>1</v>
      </c>
      <c r="G1951" s="37"/>
      <c r="H1951" s="37">
        <f>COUNTIF('(参考)現行システム機能階層一覧'!$E$3:$E$1048576,sheet1!B1951)</f>
        <v>0</v>
      </c>
      <c r="I1951" s="37"/>
      <c r="J1951" s="37"/>
      <c r="K1951" s="37"/>
      <c r="L1951" s="37"/>
    </row>
    <row r="1952" spans="1:12" ht="15.75" customHeight="1">
      <c r="A1952" s="87" t="s">
        <v>3935</v>
      </c>
      <c r="B1952" s="87" t="s">
        <v>6930</v>
      </c>
      <c r="C1952" s="87" t="s">
        <v>6931</v>
      </c>
      <c r="D1952" s="88">
        <v>1270</v>
      </c>
      <c r="E1952" s="85" t="s">
        <v>6330</v>
      </c>
      <c r="F1952" s="87">
        <v>1430</v>
      </c>
      <c r="G1952" s="37"/>
      <c r="H1952" s="37">
        <f>COUNTIF('(参考)現行システム機能階層一覧'!$E$3:$E$1048576,sheet1!B1952)</f>
        <v>0</v>
      </c>
      <c r="I1952" s="37"/>
      <c r="J1952" s="37"/>
      <c r="K1952" s="37"/>
      <c r="L1952" s="37"/>
    </row>
    <row r="1953" spans="1:12" ht="15.75" customHeight="1">
      <c r="A1953" s="87" t="s">
        <v>3935</v>
      </c>
      <c r="B1953" s="87" t="s">
        <v>6932</v>
      </c>
      <c r="C1953" s="87" t="s">
        <v>6931</v>
      </c>
      <c r="D1953" s="88">
        <v>1278</v>
      </c>
      <c r="E1953" s="85" t="s">
        <v>6330</v>
      </c>
      <c r="F1953" s="87">
        <v>1</v>
      </c>
      <c r="G1953" s="37"/>
      <c r="H1953" s="37">
        <f>COUNTIF('(参考)現行システム機能階層一覧'!$E$3:$E$1048576,sheet1!B1953)</f>
        <v>0</v>
      </c>
      <c r="I1953" s="37"/>
      <c r="J1953" s="37"/>
      <c r="K1953" s="37"/>
      <c r="L1953" s="37"/>
    </row>
    <row r="1954" spans="1:12" ht="15.75" customHeight="1">
      <c r="A1954" s="87" t="s">
        <v>3935</v>
      </c>
      <c r="B1954" s="87" t="s">
        <v>6933</v>
      </c>
      <c r="C1954" s="87" t="s">
        <v>6934</v>
      </c>
      <c r="D1954" s="88">
        <v>1326</v>
      </c>
      <c r="E1954" s="85" t="s">
        <v>6330</v>
      </c>
      <c r="F1954" s="87">
        <v>1262</v>
      </c>
      <c r="G1954" s="37"/>
      <c r="H1954" s="37">
        <f>COUNTIF('(参考)現行システム機能階層一覧'!$E$3:$E$1048576,sheet1!B1954)</f>
        <v>0</v>
      </c>
      <c r="I1954" s="37"/>
      <c r="J1954" s="37"/>
      <c r="K1954" s="37"/>
      <c r="L1954" s="37"/>
    </row>
    <row r="1955" spans="1:12" ht="15.75" customHeight="1">
      <c r="A1955" s="87" t="s">
        <v>3853</v>
      </c>
      <c r="B1955" s="87" t="s">
        <v>6935</v>
      </c>
      <c r="C1955" s="87" t="s">
        <v>6934</v>
      </c>
      <c r="D1955" s="88">
        <v>44</v>
      </c>
      <c r="E1955" s="85" t="s">
        <v>6330</v>
      </c>
      <c r="F1955" s="87">
        <v>1262</v>
      </c>
      <c r="G1955" s="37"/>
      <c r="H1955" s="37">
        <f>COUNTIF('(参考)現行システム機能階層一覧'!$E$3:$E$1048576,sheet1!B1955)</f>
        <v>0</v>
      </c>
      <c r="I1955" s="37"/>
      <c r="J1955" s="37"/>
      <c r="K1955" s="37"/>
      <c r="L1955" s="37"/>
    </row>
    <row r="1956" spans="1:12" ht="15.75" customHeight="1">
      <c r="A1956" s="87" t="s">
        <v>3935</v>
      </c>
      <c r="B1956" s="87" t="s">
        <v>6936</v>
      </c>
      <c r="C1956" s="87" t="s">
        <v>6937</v>
      </c>
      <c r="D1956" s="88">
        <v>1193</v>
      </c>
      <c r="E1956" s="85" t="s">
        <v>6330</v>
      </c>
      <c r="F1956" s="87">
        <v>1262</v>
      </c>
      <c r="G1956" s="37"/>
      <c r="H1956" s="37">
        <f>COUNTIF('(参考)現行システム機能階層一覧'!$E$3:$E$1048576,sheet1!B1956)</f>
        <v>0</v>
      </c>
      <c r="I1956" s="37"/>
      <c r="J1956" s="37"/>
      <c r="K1956" s="37"/>
      <c r="L1956" s="37"/>
    </row>
    <row r="1957" spans="1:12" ht="15.75" customHeight="1">
      <c r="A1957" s="87" t="s">
        <v>3935</v>
      </c>
      <c r="B1957" s="87" t="s">
        <v>6938</v>
      </c>
      <c r="C1957" s="87" t="s">
        <v>6939</v>
      </c>
      <c r="D1957" s="88">
        <v>429</v>
      </c>
      <c r="E1957" s="85" t="s">
        <v>6330</v>
      </c>
      <c r="F1957" s="87">
        <v>1446</v>
      </c>
      <c r="G1957" s="37"/>
      <c r="H1957" s="37">
        <f>COUNTIF('(参考)現行システム機能階層一覧'!$E$3:$E$1048576,sheet1!B1957)</f>
        <v>0</v>
      </c>
      <c r="I1957" s="37"/>
      <c r="J1957" s="37"/>
      <c r="K1957" s="37"/>
      <c r="L1957" s="37"/>
    </row>
    <row r="1958" spans="1:12" ht="15.75" customHeight="1">
      <c r="A1958" s="87" t="s">
        <v>3935</v>
      </c>
      <c r="B1958" s="87" t="s">
        <v>6940</v>
      </c>
      <c r="C1958" s="87" t="s">
        <v>6941</v>
      </c>
      <c r="D1958" s="88">
        <v>64</v>
      </c>
      <c r="E1958" s="85" t="s">
        <v>6330</v>
      </c>
      <c r="F1958" s="87">
        <v>743</v>
      </c>
      <c r="G1958" s="37"/>
      <c r="H1958" s="37">
        <f>COUNTIF('(参考)現行システム機能階層一覧'!$E$3:$E$1048576,sheet1!B1958)</f>
        <v>0</v>
      </c>
      <c r="I1958" s="37"/>
      <c r="J1958" s="37"/>
      <c r="K1958" s="37"/>
      <c r="L1958" s="37"/>
    </row>
    <row r="1959" spans="1:12" ht="15.75" customHeight="1">
      <c r="A1959" s="87" t="s">
        <v>3935</v>
      </c>
      <c r="B1959" s="87" t="s">
        <v>6942</v>
      </c>
      <c r="C1959" s="87" t="s">
        <v>6943</v>
      </c>
      <c r="D1959" s="88">
        <v>932</v>
      </c>
      <c r="E1959" s="85" t="s">
        <v>6330</v>
      </c>
      <c r="F1959" s="87">
        <v>1217</v>
      </c>
      <c r="G1959" s="37"/>
      <c r="H1959" s="37">
        <f>COUNTIF('(参考)現行システム機能階層一覧'!$E$3:$E$1048576,sheet1!B1959)</f>
        <v>0</v>
      </c>
      <c r="I1959" s="37"/>
      <c r="J1959" s="37"/>
      <c r="K1959" s="37"/>
      <c r="L1959" s="37"/>
    </row>
    <row r="1960" spans="1:12" ht="15.75" customHeight="1">
      <c r="A1960" s="87" t="s">
        <v>3935</v>
      </c>
      <c r="B1960" s="87" t="s">
        <v>6944</v>
      </c>
      <c r="C1960" s="87" t="s">
        <v>6945</v>
      </c>
      <c r="D1960" s="88">
        <v>77</v>
      </c>
      <c r="E1960" s="85" t="s">
        <v>6330</v>
      </c>
      <c r="F1960" s="87">
        <v>1430</v>
      </c>
      <c r="G1960" s="37"/>
      <c r="H1960" s="37">
        <f>COUNTIF('(参考)現行システム機能階層一覧'!$E$3:$E$1048576,sheet1!B1960)</f>
        <v>0</v>
      </c>
      <c r="I1960" s="37"/>
      <c r="J1960" s="37"/>
      <c r="K1960" s="37"/>
      <c r="L1960" s="37"/>
    </row>
    <row r="1961" spans="1:12" ht="15.75" customHeight="1">
      <c r="A1961" s="87" t="s">
        <v>3935</v>
      </c>
      <c r="B1961" s="87" t="s">
        <v>6946</v>
      </c>
      <c r="C1961" s="87" t="s">
        <v>6945</v>
      </c>
      <c r="D1961" s="88">
        <v>54</v>
      </c>
      <c r="E1961" s="85" t="s">
        <v>6330</v>
      </c>
      <c r="F1961" s="87">
        <v>1</v>
      </c>
      <c r="G1961" s="37"/>
      <c r="H1961" s="37">
        <f>COUNTIF('(参考)現行システム機能階層一覧'!$E$3:$E$1048576,sheet1!B1961)</f>
        <v>0</v>
      </c>
      <c r="I1961" s="37"/>
      <c r="J1961" s="37"/>
      <c r="K1961" s="37"/>
      <c r="L1961" s="37"/>
    </row>
    <row r="1962" spans="1:12" ht="15.75" customHeight="1">
      <c r="A1962" s="87" t="s">
        <v>3935</v>
      </c>
      <c r="B1962" s="87" t="s">
        <v>6947</v>
      </c>
      <c r="C1962" s="87" t="s">
        <v>6948</v>
      </c>
      <c r="D1962" s="88">
        <v>1487</v>
      </c>
      <c r="E1962" s="85" t="s">
        <v>6330</v>
      </c>
      <c r="F1962" s="87">
        <v>2</v>
      </c>
      <c r="G1962" s="37"/>
      <c r="H1962" s="37">
        <f>COUNTIF('(参考)現行システム機能階層一覧'!$E$3:$E$1048576,sheet1!B1962)</f>
        <v>0</v>
      </c>
      <c r="I1962" s="37"/>
      <c r="J1962" s="37"/>
      <c r="K1962" s="37"/>
      <c r="L1962" s="37"/>
    </row>
    <row r="1963" spans="1:12" ht="15.75" customHeight="1">
      <c r="A1963" s="87" t="s">
        <v>3935</v>
      </c>
      <c r="B1963" s="87" t="s">
        <v>6949</v>
      </c>
      <c r="C1963" s="87" t="s">
        <v>6950</v>
      </c>
      <c r="D1963" s="88">
        <v>110</v>
      </c>
      <c r="E1963" s="85" t="s">
        <v>6330</v>
      </c>
      <c r="F1963" s="87">
        <v>1242</v>
      </c>
      <c r="G1963" s="37"/>
      <c r="H1963" s="37">
        <f>COUNTIF('(参考)現行システム機能階層一覧'!$E$3:$E$1048576,sheet1!B1963)</f>
        <v>0</v>
      </c>
      <c r="I1963" s="37"/>
      <c r="J1963" s="37"/>
      <c r="K1963" s="37"/>
      <c r="L1963" s="37"/>
    </row>
    <row r="1964" spans="1:12" ht="15.75" customHeight="1">
      <c r="A1964" s="87" t="s">
        <v>3935</v>
      </c>
      <c r="B1964" s="87" t="s">
        <v>6951</v>
      </c>
      <c r="C1964" s="87" t="s">
        <v>6952</v>
      </c>
      <c r="D1964" s="88">
        <v>122</v>
      </c>
      <c r="E1964" s="85" t="s">
        <v>6330</v>
      </c>
      <c r="F1964" s="87">
        <v>1378</v>
      </c>
      <c r="G1964" s="37"/>
      <c r="H1964" s="37">
        <f>COUNTIF('(参考)現行システム機能階層一覧'!$E$3:$E$1048576,sheet1!B1964)</f>
        <v>0</v>
      </c>
      <c r="I1964" s="37"/>
      <c r="J1964" s="37"/>
      <c r="K1964" s="37"/>
      <c r="L1964" s="37"/>
    </row>
    <row r="1965" spans="1:12" ht="15.75" customHeight="1">
      <c r="A1965" s="87" t="s">
        <v>3935</v>
      </c>
      <c r="B1965" s="87" t="s">
        <v>6953</v>
      </c>
      <c r="C1965" s="87" t="s">
        <v>6954</v>
      </c>
      <c r="D1965" s="88">
        <v>468</v>
      </c>
      <c r="E1965" s="85" t="s">
        <v>6330</v>
      </c>
      <c r="F1965" s="87">
        <v>1260</v>
      </c>
      <c r="G1965" s="37"/>
      <c r="H1965" s="37">
        <f>COUNTIF('(参考)現行システム機能階層一覧'!$E$3:$E$1048576,sheet1!B1965)</f>
        <v>0</v>
      </c>
      <c r="I1965" s="37"/>
      <c r="J1965" s="37"/>
      <c r="K1965" s="37"/>
      <c r="L1965" s="37"/>
    </row>
    <row r="1966" spans="1:12" ht="15.75" customHeight="1">
      <c r="A1966" s="87" t="s">
        <v>3935</v>
      </c>
      <c r="B1966" s="87" t="s">
        <v>1599</v>
      </c>
      <c r="C1966" s="87" t="s">
        <v>1602</v>
      </c>
      <c r="D1966" s="88">
        <v>3842</v>
      </c>
      <c r="E1966" s="85" t="s">
        <v>6330</v>
      </c>
      <c r="F1966" s="87">
        <v>447</v>
      </c>
      <c r="G1966" s="37"/>
      <c r="H1966" s="37">
        <f>COUNTIF('(参考)現行システム機能階層一覧'!$E$3:$E$1048576,sheet1!B1966)</f>
        <v>1</v>
      </c>
      <c r="I1966" s="37"/>
      <c r="J1966" s="37"/>
      <c r="K1966" s="37"/>
      <c r="L1966" s="37"/>
    </row>
    <row r="1967" spans="1:12" ht="15.75" customHeight="1">
      <c r="A1967" s="87" t="s">
        <v>3935</v>
      </c>
      <c r="B1967" s="87" t="s">
        <v>6955</v>
      </c>
      <c r="C1967" s="87" t="s">
        <v>6956</v>
      </c>
      <c r="D1967" s="88">
        <v>1437</v>
      </c>
      <c r="E1967" s="85" t="s">
        <v>6330</v>
      </c>
      <c r="F1967" s="87">
        <v>343</v>
      </c>
      <c r="G1967" s="37"/>
      <c r="H1967" s="37">
        <f>COUNTIF('(参考)現行システム機能階層一覧'!$E$3:$E$1048576,sheet1!B1967)</f>
        <v>0</v>
      </c>
      <c r="I1967" s="37"/>
      <c r="J1967" s="37"/>
      <c r="K1967" s="37"/>
      <c r="L1967" s="37"/>
    </row>
    <row r="1968" spans="1:12" ht="15.75" customHeight="1">
      <c r="A1968" s="87" t="s">
        <v>3935</v>
      </c>
      <c r="B1968" s="87" t="s">
        <v>1587</v>
      </c>
      <c r="C1968" s="87" t="s">
        <v>6957</v>
      </c>
      <c r="D1968" s="88">
        <v>609</v>
      </c>
      <c r="E1968" s="85" t="s">
        <v>6330</v>
      </c>
      <c r="F1968" s="87">
        <v>41</v>
      </c>
      <c r="G1968" s="37"/>
      <c r="H1968" s="37">
        <f>COUNTIF('(参考)現行システム機能階層一覧'!$E$3:$E$1048576,sheet1!B1968)</f>
        <v>1</v>
      </c>
      <c r="I1968" s="37"/>
      <c r="J1968" s="37"/>
      <c r="K1968" s="37"/>
      <c r="L1968" s="37"/>
    </row>
    <row r="1969" spans="1:12" ht="15.75" customHeight="1">
      <c r="A1969" s="87" t="s">
        <v>3935</v>
      </c>
      <c r="B1969" s="87" t="s">
        <v>1591</v>
      </c>
      <c r="C1969" s="87" t="s">
        <v>6958</v>
      </c>
      <c r="D1969" s="88">
        <v>616</v>
      </c>
      <c r="E1969" s="85" t="s">
        <v>6330</v>
      </c>
      <c r="F1969" s="87">
        <v>491</v>
      </c>
      <c r="G1969" s="37"/>
      <c r="H1969" s="37">
        <f>COUNTIF('(参考)現行システム機能階層一覧'!$E$3:$E$1048576,sheet1!B1969)</f>
        <v>1</v>
      </c>
      <c r="I1969" s="37"/>
      <c r="J1969" s="37"/>
      <c r="K1969" s="37"/>
      <c r="L1969" s="37"/>
    </row>
    <row r="1970" spans="1:12" ht="15.75" customHeight="1">
      <c r="A1970" s="87" t="s">
        <v>3935</v>
      </c>
      <c r="B1970" s="87" t="s">
        <v>1675</v>
      </c>
      <c r="C1970" s="87" t="s">
        <v>6959</v>
      </c>
      <c r="D1970" s="88">
        <v>2299</v>
      </c>
      <c r="E1970" s="85" t="s">
        <v>6330</v>
      </c>
      <c r="F1970" s="87">
        <v>1244</v>
      </c>
      <c r="G1970" s="37"/>
      <c r="H1970" s="37">
        <f>COUNTIF('(参考)現行システム機能階層一覧'!$E$3:$E$1048576,sheet1!B1970)</f>
        <v>1</v>
      </c>
      <c r="I1970" s="37"/>
      <c r="J1970" s="37"/>
      <c r="K1970" s="37"/>
      <c r="L1970" s="37"/>
    </row>
    <row r="1971" spans="1:12" ht="15.75" customHeight="1">
      <c r="A1971" s="87" t="s">
        <v>3853</v>
      </c>
      <c r="B1971" s="87" t="s">
        <v>6960</v>
      </c>
      <c r="C1971" s="87" t="s">
        <v>6961</v>
      </c>
      <c r="D1971" s="88">
        <v>37</v>
      </c>
      <c r="E1971" s="85" t="s">
        <v>6330</v>
      </c>
      <c r="F1971" s="87">
        <v>1244</v>
      </c>
      <c r="G1971" s="37"/>
      <c r="H1971" s="37">
        <f>COUNTIF('(参考)現行システム機能階層一覧'!$E$3:$E$1048576,sheet1!B1971)</f>
        <v>0</v>
      </c>
      <c r="I1971" s="37"/>
      <c r="J1971" s="37"/>
      <c r="K1971" s="37"/>
      <c r="L1971" s="37"/>
    </row>
    <row r="1972" spans="1:12" ht="15.75" customHeight="1">
      <c r="A1972" s="87" t="s">
        <v>3935</v>
      </c>
      <c r="B1972" s="87" t="s">
        <v>6962</v>
      </c>
      <c r="C1972" s="87" t="s">
        <v>6963</v>
      </c>
      <c r="D1972" s="88">
        <v>25</v>
      </c>
      <c r="E1972" s="85" t="s">
        <v>6330</v>
      </c>
      <c r="F1972" s="87">
        <v>45</v>
      </c>
      <c r="G1972" s="37"/>
      <c r="H1972" s="37">
        <f>COUNTIF('(参考)現行システム機能階層一覧'!$E$3:$E$1048576,sheet1!B1972)</f>
        <v>0</v>
      </c>
      <c r="I1972" s="37"/>
      <c r="J1972" s="37"/>
      <c r="K1972" s="37"/>
      <c r="L1972" s="37"/>
    </row>
    <row r="1973" spans="1:12" ht="15.75" customHeight="1">
      <c r="A1973" s="87" t="s">
        <v>3935</v>
      </c>
      <c r="B1973" s="87" t="s">
        <v>6964</v>
      </c>
      <c r="C1973" s="87" t="s">
        <v>6965</v>
      </c>
      <c r="D1973" s="88">
        <v>557</v>
      </c>
      <c r="E1973" s="85" t="s">
        <v>6330</v>
      </c>
      <c r="F1973" s="87">
        <v>306</v>
      </c>
      <c r="G1973" s="37"/>
      <c r="H1973" s="37">
        <f>COUNTIF('(参考)現行システム機能階層一覧'!$E$3:$E$1048576,sheet1!B1973)</f>
        <v>0</v>
      </c>
      <c r="I1973" s="37"/>
      <c r="J1973" s="37"/>
      <c r="K1973" s="37"/>
      <c r="L1973" s="37"/>
    </row>
    <row r="1974" spans="1:12" ht="15.75" customHeight="1">
      <c r="A1974" s="87" t="s">
        <v>3935</v>
      </c>
      <c r="B1974" s="87" t="s">
        <v>6966</v>
      </c>
      <c r="C1974" s="87" t="s">
        <v>6967</v>
      </c>
      <c r="D1974" s="88">
        <v>959</v>
      </c>
      <c r="E1974" s="85" t="s">
        <v>6330</v>
      </c>
      <c r="F1974" s="87">
        <v>77</v>
      </c>
      <c r="G1974" s="37"/>
      <c r="H1974" s="37">
        <f>COUNTIF('(参考)現行システム機能階層一覧'!$E$3:$E$1048576,sheet1!B1974)</f>
        <v>0</v>
      </c>
      <c r="I1974" s="37"/>
      <c r="J1974" s="37"/>
      <c r="K1974" s="37"/>
      <c r="L1974" s="37"/>
    </row>
    <row r="1975" spans="1:12" ht="15.75" customHeight="1">
      <c r="A1975" s="87" t="s">
        <v>3935</v>
      </c>
      <c r="B1975" s="87" t="s">
        <v>1584</v>
      </c>
      <c r="C1975" s="87" t="s">
        <v>6968</v>
      </c>
      <c r="D1975" s="88">
        <v>382</v>
      </c>
      <c r="E1975" s="85" t="s">
        <v>6330</v>
      </c>
      <c r="F1975" s="87">
        <v>10</v>
      </c>
      <c r="G1975" s="37"/>
      <c r="H1975" s="37">
        <f>COUNTIF('(参考)現行システム機能階層一覧'!$E$3:$E$1048576,sheet1!B1975)</f>
        <v>1</v>
      </c>
      <c r="I1975" s="37"/>
      <c r="J1975" s="37"/>
      <c r="K1975" s="37"/>
      <c r="L1975" s="37"/>
    </row>
    <row r="1976" spans="1:12" ht="15.75" customHeight="1">
      <c r="A1976" s="87" t="s">
        <v>3935</v>
      </c>
      <c r="B1976" s="87" t="s">
        <v>6969</v>
      </c>
      <c r="C1976" s="87" t="s">
        <v>6970</v>
      </c>
      <c r="D1976" s="88">
        <v>618</v>
      </c>
      <c r="E1976" s="85" t="s">
        <v>6330</v>
      </c>
      <c r="F1976" s="87">
        <v>1</v>
      </c>
      <c r="G1976" s="37"/>
      <c r="H1976" s="37">
        <f>COUNTIF('(参考)現行システム機能階層一覧'!$E$3:$E$1048576,sheet1!B1976)</f>
        <v>0</v>
      </c>
      <c r="I1976" s="37"/>
      <c r="J1976" s="37"/>
      <c r="K1976" s="37"/>
      <c r="L1976" s="37"/>
    </row>
    <row r="1977" spans="1:12" ht="15.75" customHeight="1">
      <c r="A1977" s="87" t="s">
        <v>3935</v>
      </c>
      <c r="B1977" s="87" t="s">
        <v>6971</v>
      </c>
      <c r="C1977" s="87" t="s">
        <v>6972</v>
      </c>
      <c r="D1977" s="88">
        <v>643</v>
      </c>
      <c r="E1977" s="85" t="s">
        <v>6330</v>
      </c>
      <c r="F1977" s="87">
        <v>1</v>
      </c>
      <c r="G1977" s="37"/>
      <c r="H1977" s="37">
        <f>COUNTIF('(参考)現行システム機能階層一覧'!$E$3:$E$1048576,sheet1!B1977)</f>
        <v>0</v>
      </c>
      <c r="I1977" s="37"/>
      <c r="J1977" s="37"/>
      <c r="K1977" s="37"/>
      <c r="L1977" s="37"/>
    </row>
    <row r="1978" spans="1:12" ht="15.75" customHeight="1">
      <c r="A1978" s="87" t="s">
        <v>3935</v>
      </c>
      <c r="B1978" s="87" t="s">
        <v>1609</v>
      </c>
      <c r="C1978" s="87" t="s">
        <v>6973</v>
      </c>
      <c r="D1978" s="88">
        <v>386</v>
      </c>
      <c r="E1978" s="85" t="s">
        <v>6330</v>
      </c>
      <c r="F1978" s="87">
        <v>1244</v>
      </c>
      <c r="G1978" s="37"/>
      <c r="H1978" s="37">
        <f>COUNTIF('(参考)現行システム機能階層一覧'!$E$3:$E$1048576,sheet1!B1978)</f>
        <v>2</v>
      </c>
      <c r="I1978" s="37"/>
      <c r="J1978" s="37"/>
      <c r="K1978" s="37"/>
      <c r="L1978" s="37"/>
    </row>
    <row r="1979" spans="1:12" ht="15.75" customHeight="1">
      <c r="A1979" s="87" t="s">
        <v>3853</v>
      </c>
      <c r="B1979" s="87" t="s">
        <v>6974</v>
      </c>
      <c r="C1979" s="87" t="s">
        <v>6975</v>
      </c>
      <c r="D1979" s="88">
        <v>35</v>
      </c>
      <c r="E1979" s="85" t="s">
        <v>6330</v>
      </c>
      <c r="F1979" s="87">
        <v>1244</v>
      </c>
      <c r="G1979" s="37"/>
      <c r="H1979" s="37">
        <f>COUNTIF('(参考)現行システム機能階層一覧'!$E$3:$E$1048576,sheet1!B1979)</f>
        <v>0</v>
      </c>
      <c r="I1979" s="37"/>
      <c r="J1979" s="37"/>
      <c r="K1979" s="37"/>
      <c r="L1979" s="37"/>
    </row>
    <row r="1980" spans="1:12" ht="15.75" customHeight="1">
      <c r="A1980" s="87" t="s">
        <v>3935</v>
      </c>
      <c r="B1980" s="87" t="s">
        <v>1594</v>
      </c>
      <c r="C1980" s="87" t="s">
        <v>6976</v>
      </c>
      <c r="D1980" s="88">
        <v>3333</v>
      </c>
      <c r="E1980" s="85" t="s">
        <v>6330</v>
      </c>
      <c r="F1980" s="87">
        <v>996</v>
      </c>
      <c r="G1980" s="37"/>
      <c r="H1980" s="37">
        <f>COUNTIF('(参考)現行システム機能階層一覧'!$E$3:$E$1048576,sheet1!B1980)</f>
        <v>2</v>
      </c>
      <c r="I1980" s="37"/>
      <c r="J1980" s="37"/>
      <c r="K1980" s="37"/>
      <c r="L1980" s="37"/>
    </row>
    <row r="1981" spans="1:12" ht="15.75" customHeight="1">
      <c r="A1981" s="87" t="s">
        <v>3853</v>
      </c>
      <c r="B1981" s="87" t="s">
        <v>6977</v>
      </c>
      <c r="C1981" s="87" t="s">
        <v>6976</v>
      </c>
      <c r="D1981" s="88">
        <v>17</v>
      </c>
      <c r="E1981" s="85" t="s">
        <v>6330</v>
      </c>
      <c r="F1981" s="87">
        <v>996</v>
      </c>
      <c r="G1981" s="37"/>
      <c r="H1981" s="37">
        <f>COUNTIF('(参考)現行システム機能階層一覧'!$E$3:$E$1048576,sheet1!B1981)</f>
        <v>0</v>
      </c>
      <c r="I1981" s="37"/>
      <c r="J1981" s="37"/>
      <c r="K1981" s="37"/>
      <c r="L1981" s="37"/>
    </row>
    <row r="1982" spans="1:12" ht="15.75" customHeight="1">
      <c r="A1982" s="87" t="s">
        <v>3935</v>
      </c>
      <c r="B1982" s="87" t="s">
        <v>6978</v>
      </c>
      <c r="C1982" s="87" t="s">
        <v>6979</v>
      </c>
      <c r="D1982" s="88">
        <v>1456</v>
      </c>
      <c r="E1982" s="85" t="s">
        <v>6330</v>
      </c>
      <c r="F1982" s="87">
        <v>538</v>
      </c>
      <c r="G1982" s="37"/>
      <c r="H1982" s="37">
        <f>COUNTIF('(参考)現行システム機能階層一覧'!$E$3:$E$1048576,sheet1!B1982)</f>
        <v>0</v>
      </c>
      <c r="I1982" s="37"/>
      <c r="J1982" s="37"/>
      <c r="K1982" s="37"/>
      <c r="L1982" s="37"/>
    </row>
    <row r="1983" spans="1:12" ht="15.75" customHeight="1">
      <c r="A1983" s="87" t="s">
        <v>3935</v>
      </c>
      <c r="B1983" s="87" t="s">
        <v>1671</v>
      </c>
      <c r="C1983" s="87" t="s">
        <v>6980</v>
      </c>
      <c r="D1983" s="88">
        <v>1568</v>
      </c>
      <c r="E1983" s="85" t="s">
        <v>6330</v>
      </c>
      <c r="F1983" s="87">
        <v>104</v>
      </c>
      <c r="G1983" s="37"/>
      <c r="H1983" s="37">
        <f>COUNTIF('(参考)現行システム機能階層一覧'!$E$3:$E$1048576,sheet1!B1983)</f>
        <v>1</v>
      </c>
      <c r="I1983" s="37"/>
      <c r="J1983" s="37"/>
      <c r="K1983" s="37"/>
      <c r="L1983" s="37"/>
    </row>
    <row r="1984" spans="1:12" ht="15.75" customHeight="1">
      <c r="A1984" s="87" t="s">
        <v>3935</v>
      </c>
      <c r="B1984" s="87" t="s">
        <v>1668</v>
      </c>
      <c r="C1984" s="87" t="s">
        <v>1669</v>
      </c>
      <c r="D1984" s="88">
        <v>1973</v>
      </c>
      <c r="E1984" s="85" t="s">
        <v>6330</v>
      </c>
      <c r="F1984" s="87">
        <v>255</v>
      </c>
      <c r="G1984" s="37"/>
      <c r="H1984" s="37">
        <f>COUNTIF('(参考)現行システム機能階層一覧'!$E$3:$E$1048576,sheet1!B1984)</f>
        <v>1</v>
      </c>
      <c r="I1984" s="37"/>
      <c r="J1984" s="37"/>
      <c r="K1984" s="37"/>
      <c r="L1984" s="37"/>
    </row>
    <row r="1985" spans="1:12" ht="15.75" customHeight="1">
      <c r="A1985" s="87" t="s">
        <v>3935</v>
      </c>
      <c r="B1985" s="87" t="s">
        <v>1624</v>
      </c>
      <c r="C1985" s="87" t="s">
        <v>6981</v>
      </c>
      <c r="D1985" s="88">
        <v>159</v>
      </c>
      <c r="E1985" s="85" t="s">
        <v>6330</v>
      </c>
      <c r="F1985" s="87">
        <v>611</v>
      </c>
      <c r="G1985" s="37"/>
      <c r="H1985" s="37">
        <f>COUNTIF('(参考)現行システム機能階層一覧'!$E$3:$E$1048576,sheet1!B1985)</f>
        <v>1</v>
      </c>
      <c r="I1985" s="37"/>
      <c r="J1985" s="37"/>
      <c r="K1985" s="37"/>
      <c r="L1985" s="37"/>
    </row>
    <row r="1986" spans="1:12" ht="15.75" customHeight="1">
      <c r="A1986" s="87" t="s">
        <v>3935</v>
      </c>
      <c r="B1986" s="87" t="s">
        <v>6982</v>
      </c>
      <c r="C1986" s="87" t="s">
        <v>6983</v>
      </c>
      <c r="D1986" s="88">
        <v>322</v>
      </c>
      <c r="E1986" s="85" t="s">
        <v>6330</v>
      </c>
      <c r="F1986" s="87">
        <v>571</v>
      </c>
      <c r="G1986" s="37"/>
      <c r="H1986" s="37">
        <f>COUNTIF('(参考)現行システム機能階層一覧'!$E$3:$E$1048576,sheet1!B1986)</f>
        <v>0</v>
      </c>
      <c r="I1986" s="37"/>
      <c r="J1986" s="37"/>
      <c r="K1986" s="37"/>
      <c r="L1986" s="37"/>
    </row>
    <row r="1987" spans="1:12" ht="15.75" customHeight="1">
      <c r="A1987" s="87" t="s">
        <v>3853</v>
      </c>
      <c r="B1987" s="87" t="s">
        <v>6984</v>
      </c>
      <c r="C1987" s="87" t="s">
        <v>6983</v>
      </c>
      <c r="D1987" s="88">
        <v>49</v>
      </c>
      <c r="E1987" s="85" t="s">
        <v>6330</v>
      </c>
      <c r="F1987" s="87">
        <v>571</v>
      </c>
      <c r="G1987" s="37"/>
      <c r="H1987" s="37">
        <f>COUNTIF('(参考)現行システム機能階層一覧'!$E$3:$E$1048576,sheet1!B1987)</f>
        <v>0</v>
      </c>
      <c r="I1987" s="37"/>
      <c r="J1987" s="37"/>
      <c r="K1987" s="37"/>
      <c r="L1987" s="37"/>
    </row>
    <row r="1988" spans="1:12" ht="15.75" customHeight="1">
      <c r="A1988" s="87" t="s">
        <v>3935</v>
      </c>
      <c r="B1988" s="87" t="s">
        <v>1612</v>
      </c>
      <c r="C1988" s="87" t="s">
        <v>6985</v>
      </c>
      <c r="D1988" s="88">
        <v>1431</v>
      </c>
      <c r="E1988" s="85" t="s">
        <v>6330</v>
      </c>
      <c r="F1988" s="87">
        <v>750</v>
      </c>
      <c r="G1988" s="37"/>
      <c r="H1988" s="37">
        <f>COUNTIF('(参考)現行システム機能階層一覧'!$E$3:$E$1048576,sheet1!B1988)</f>
        <v>1</v>
      </c>
      <c r="I1988" s="37"/>
      <c r="J1988" s="37"/>
      <c r="K1988" s="37"/>
      <c r="L1988" s="37"/>
    </row>
    <row r="1989" spans="1:12" ht="15.75" customHeight="1">
      <c r="A1989" s="87" t="s">
        <v>3853</v>
      </c>
      <c r="B1989" s="87" t="s">
        <v>6986</v>
      </c>
      <c r="C1989" s="87" t="s">
        <v>6985</v>
      </c>
      <c r="D1989" s="88">
        <v>17</v>
      </c>
      <c r="E1989" s="85" t="s">
        <v>6330</v>
      </c>
      <c r="F1989" s="87">
        <v>1108</v>
      </c>
      <c r="G1989" s="37"/>
      <c r="H1989" s="37">
        <f>COUNTIF('(参考)現行システム機能階層一覧'!$E$3:$E$1048576,sheet1!B1989)</f>
        <v>0</v>
      </c>
      <c r="I1989" s="37"/>
      <c r="J1989" s="37"/>
      <c r="K1989" s="37"/>
      <c r="L1989" s="37"/>
    </row>
    <row r="1990" spans="1:12" ht="15.75" customHeight="1">
      <c r="A1990" s="87" t="s">
        <v>3935</v>
      </c>
      <c r="B1990" s="87" t="s">
        <v>6987</v>
      </c>
      <c r="C1990" s="87" t="s">
        <v>6988</v>
      </c>
      <c r="D1990" s="88">
        <v>889</v>
      </c>
      <c r="E1990" s="85" t="s">
        <v>6330</v>
      </c>
      <c r="F1990" s="87">
        <v>1178</v>
      </c>
      <c r="G1990" s="37"/>
      <c r="H1990" s="37">
        <f>COUNTIF('(参考)現行システム機能階層一覧'!$E$3:$E$1048576,sheet1!B1990)</f>
        <v>0</v>
      </c>
      <c r="I1990" s="37"/>
      <c r="J1990" s="37"/>
      <c r="K1990" s="37"/>
      <c r="L1990" s="37"/>
    </row>
    <row r="1991" spans="1:12" ht="15.75" customHeight="1">
      <c r="A1991" s="87" t="s">
        <v>3935</v>
      </c>
      <c r="B1991" s="87" t="s">
        <v>1620</v>
      </c>
      <c r="C1991" s="87" t="s">
        <v>6989</v>
      </c>
      <c r="D1991" s="88">
        <v>1149</v>
      </c>
      <c r="E1991" s="85" t="s">
        <v>6330</v>
      </c>
      <c r="F1991" s="87">
        <v>1091</v>
      </c>
      <c r="G1991" s="37"/>
      <c r="H1991" s="37">
        <f>COUNTIF('(参考)現行システム機能階層一覧'!$E$3:$E$1048576,sheet1!B1991)</f>
        <v>1</v>
      </c>
      <c r="I1991" s="37"/>
      <c r="J1991" s="37"/>
      <c r="K1991" s="37"/>
      <c r="L1991" s="37"/>
    </row>
    <row r="1992" spans="1:12" ht="15.75" customHeight="1">
      <c r="A1992" s="87" t="s">
        <v>3853</v>
      </c>
      <c r="B1992" s="87" t="s">
        <v>6990</v>
      </c>
      <c r="C1992" s="87" t="s">
        <v>6989</v>
      </c>
      <c r="D1992" s="88">
        <v>15</v>
      </c>
      <c r="E1992" s="85" t="s">
        <v>6330</v>
      </c>
      <c r="F1992" s="87">
        <v>1091</v>
      </c>
      <c r="G1992" s="37"/>
      <c r="H1992" s="37">
        <f>COUNTIF('(参考)現行システム機能階層一覧'!$E$3:$E$1048576,sheet1!B1992)</f>
        <v>0</v>
      </c>
      <c r="I1992" s="37"/>
      <c r="J1992" s="37"/>
      <c r="K1992" s="37"/>
      <c r="L1992" s="37"/>
    </row>
    <row r="1993" spans="1:12" ht="15.75" customHeight="1">
      <c r="A1993" s="87" t="s">
        <v>3935</v>
      </c>
      <c r="B1993" s="87" t="s">
        <v>1659</v>
      </c>
      <c r="C1993" s="87" t="s">
        <v>1660</v>
      </c>
      <c r="D1993" s="88">
        <v>592</v>
      </c>
      <c r="E1993" s="85" t="s">
        <v>6330</v>
      </c>
      <c r="F1993" s="87">
        <v>1</v>
      </c>
      <c r="G1993" s="37"/>
      <c r="H1993" s="37">
        <f>COUNTIF('(参考)現行システム機能階層一覧'!$E$3:$E$1048576,sheet1!B1993)</f>
        <v>1</v>
      </c>
      <c r="I1993" s="37"/>
      <c r="J1993" s="37"/>
      <c r="K1993" s="37"/>
      <c r="L1993" s="37"/>
    </row>
    <row r="1994" spans="1:12" ht="15.75" customHeight="1">
      <c r="A1994" s="87" t="s">
        <v>3935</v>
      </c>
      <c r="B1994" s="87" t="s">
        <v>1639</v>
      </c>
      <c r="C1994" s="87" t="s">
        <v>6991</v>
      </c>
      <c r="D1994" s="88">
        <v>739</v>
      </c>
      <c r="E1994" s="85" t="s">
        <v>6330</v>
      </c>
      <c r="F1994" s="87">
        <v>58</v>
      </c>
      <c r="G1994" s="37"/>
      <c r="H1994" s="37">
        <f>COUNTIF('(参考)現行システム機能階層一覧'!$E$3:$E$1048576,sheet1!B1994)</f>
        <v>1</v>
      </c>
      <c r="I1994" s="37"/>
      <c r="J1994" s="37"/>
      <c r="K1994" s="37"/>
      <c r="L1994" s="37"/>
    </row>
    <row r="1995" spans="1:12" ht="15.75" customHeight="1">
      <c r="A1995" s="87" t="s">
        <v>3935</v>
      </c>
      <c r="B1995" s="87" t="s">
        <v>1629</v>
      </c>
      <c r="C1995" s="87" t="s">
        <v>6992</v>
      </c>
      <c r="D1995" s="88">
        <v>585</v>
      </c>
      <c r="E1995" s="85" t="s">
        <v>6330</v>
      </c>
      <c r="F1995" s="87">
        <v>83</v>
      </c>
      <c r="G1995" s="37"/>
      <c r="H1995" s="37">
        <f>COUNTIF('(参考)現行システム機能階層一覧'!$E$3:$E$1048576,sheet1!B1995)</f>
        <v>1</v>
      </c>
      <c r="I1995" s="37"/>
      <c r="J1995" s="37"/>
      <c r="K1995" s="37"/>
      <c r="L1995" s="37"/>
    </row>
    <row r="1996" spans="1:12" ht="15.75" customHeight="1">
      <c r="A1996" s="87" t="s">
        <v>3935</v>
      </c>
      <c r="B1996" s="87" t="s">
        <v>1634</v>
      </c>
      <c r="C1996" s="87" t="s">
        <v>6993</v>
      </c>
      <c r="D1996" s="88">
        <v>663</v>
      </c>
      <c r="E1996" s="85" t="s">
        <v>6330</v>
      </c>
      <c r="F1996" s="87">
        <v>30</v>
      </c>
      <c r="G1996" s="37"/>
      <c r="H1996" s="37">
        <f>COUNTIF('(参考)現行システム機能階層一覧'!$E$3:$E$1048576,sheet1!B1996)</f>
        <v>1</v>
      </c>
      <c r="I1996" s="37"/>
      <c r="J1996" s="37"/>
      <c r="K1996" s="37"/>
      <c r="L1996" s="37"/>
    </row>
    <row r="1997" spans="1:12" ht="15.75" customHeight="1">
      <c r="A1997" s="87" t="s">
        <v>3935</v>
      </c>
      <c r="B1997" s="87" t="s">
        <v>1616</v>
      </c>
      <c r="C1997" s="87" t="s">
        <v>6994</v>
      </c>
      <c r="D1997" s="88">
        <v>3417</v>
      </c>
      <c r="E1997" s="85" t="s">
        <v>6330</v>
      </c>
      <c r="F1997" s="87">
        <v>1187</v>
      </c>
      <c r="G1997" s="37"/>
      <c r="H1997" s="37">
        <f>COUNTIF('(参考)現行システム機能階層一覧'!$E$3:$E$1048576,sheet1!B1997)</f>
        <v>1</v>
      </c>
      <c r="I1997" s="37"/>
      <c r="J1997" s="37"/>
      <c r="K1997" s="37"/>
      <c r="L1997" s="37"/>
    </row>
    <row r="1998" spans="1:12" ht="15.75" customHeight="1">
      <c r="A1998" s="87" t="s">
        <v>3935</v>
      </c>
      <c r="B1998" s="87" t="s">
        <v>6995</v>
      </c>
      <c r="C1998" s="87" t="s">
        <v>6996</v>
      </c>
      <c r="D1998" s="88">
        <v>393</v>
      </c>
      <c r="E1998" s="85" t="s">
        <v>6330</v>
      </c>
      <c r="F1998" s="87">
        <v>1133</v>
      </c>
      <c r="G1998" s="37"/>
      <c r="H1998" s="37">
        <f>COUNTIF('(参考)現行システム機能階層一覧'!$E$3:$E$1048576,sheet1!B1998)</f>
        <v>0</v>
      </c>
      <c r="I1998" s="37"/>
      <c r="J1998" s="37"/>
      <c r="K1998" s="37"/>
      <c r="L1998" s="37"/>
    </row>
    <row r="1999" spans="1:12" ht="15.75" customHeight="1">
      <c r="A1999" s="87" t="s">
        <v>3935</v>
      </c>
      <c r="B1999" s="87" t="s">
        <v>3782</v>
      </c>
      <c r="C1999" s="87" t="s">
        <v>3783</v>
      </c>
      <c r="D1999" s="88">
        <v>292</v>
      </c>
      <c r="E1999" s="85" t="s">
        <v>6330</v>
      </c>
      <c r="F1999" s="87">
        <v>13</v>
      </c>
      <c r="G1999" s="37"/>
      <c r="H1999" s="37">
        <f>COUNTIF('(参考)現行システム機能階層一覧'!$E$3:$E$1048576,sheet1!B1999)</f>
        <v>1</v>
      </c>
      <c r="I1999" s="37"/>
      <c r="J1999" s="37"/>
      <c r="K1999" s="37"/>
      <c r="L1999" s="37"/>
    </row>
    <row r="2000" spans="1:12" ht="15.75" customHeight="1">
      <c r="A2000" s="87" t="s">
        <v>3935</v>
      </c>
      <c r="B2000" s="87" t="s">
        <v>6997</v>
      </c>
      <c r="C2000" s="87" t="s">
        <v>6998</v>
      </c>
      <c r="D2000" s="88">
        <v>619</v>
      </c>
      <c r="E2000" s="85" t="s">
        <v>6330</v>
      </c>
      <c r="F2000" s="87">
        <v>170</v>
      </c>
      <c r="G2000" s="37"/>
      <c r="H2000" s="37">
        <f>COUNTIF('(参考)現行システム機能階層一覧'!$E$3:$E$1048576,sheet1!B2000)</f>
        <v>0</v>
      </c>
      <c r="I2000" s="37"/>
      <c r="J2000" s="37"/>
      <c r="K2000" s="37"/>
      <c r="L2000" s="37"/>
    </row>
    <row r="2001" spans="1:12" ht="15.75" customHeight="1">
      <c r="A2001" s="87" t="s">
        <v>3935</v>
      </c>
      <c r="B2001" s="87" t="s">
        <v>6999</v>
      </c>
      <c r="C2001" s="87" t="s">
        <v>7000</v>
      </c>
      <c r="D2001" s="88">
        <v>500</v>
      </c>
      <c r="E2001" s="85" t="s">
        <v>6330</v>
      </c>
      <c r="F2001" s="87">
        <v>11</v>
      </c>
      <c r="G2001" s="37"/>
      <c r="H2001" s="37">
        <f>COUNTIF('(参考)現行システム機能階層一覧'!$E$3:$E$1048576,sheet1!B2001)</f>
        <v>0</v>
      </c>
      <c r="I2001" s="37"/>
      <c r="J2001" s="37"/>
      <c r="K2001" s="37"/>
      <c r="L2001" s="37"/>
    </row>
    <row r="2002" spans="1:12" ht="15.75" customHeight="1">
      <c r="A2002" s="87" t="s">
        <v>3935</v>
      </c>
      <c r="B2002" s="87" t="s">
        <v>1646</v>
      </c>
      <c r="C2002" s="87" t="s">
        <v>1648</v>
      </c>
      <c r="D2002" s="88">
        <v>563</v>
      </c>
      <c r="E2002" s="85" t="s">
        <v>6330</v>
      </c>
      <c r="F2002" s="87">
        <v>281</v>
      </c>
      <c r="G2002" s="37"/>
      <c r="H2002" s="37">
        <f>COUNTIF('(参考)現行システム機能階層一覧'!$E$3:$E$1048576,sheet1!B2002)</f>
        <v>1</v>
      </c>
      <c r="I2002" s="37"/>
      <c r="J2002" s="37"/>
      <c r="K2002" s="37"/>
      <c r="L2002" s="37"/>
    </row>
    <row r="2003" spans="1:12" ht="15.75" customHeight="1">
      <c r="A2003" s="87" t="s">
        <v>3853</v>
      </c>
      <c r="B2003" s="87" t="s">
        <v>7001</v>
      </c>
      <c r="C2003" s="87" t="s">
        <v>1648</v>
      </c>
      <c r="D2003" s="88">
        <v>50</v>
      </c>
      <c r="E2003" s="85" t="s">
        <v>6330</v>
      </c>
      <c r="F2003" s="87">
        <v>281</v>
      </c>
      <c r="G2003" s="37"/>
      <c r="H2003" s="37">
        <f>COUNTIF('(参考)現行システム機能階層一覧'!$E$3:$E$1048576,sheet1!B2003)</f>
        <v>0</v>
      </c>
      <c r="I2003" s="37"/>
      <c r="J2003" s="37"/>
      <c r="K2003" s="37"/>
      <c r="L2003" s="37"/>
    </row>
    <row r="2004" spans="1:12" ht="15.75" customHeight="1">
      <c r="A2004" s="87" t="s">
        <v>3935</v>
      </c>
      <c r="B2004" s="87" t="s">
        <v>1651</v>
      </c>
      <c r="C2004" s="87" t="s">
        <v>7002</v>
      </c>
      <c r="D2004" s="88">
        <v>748</v>
      </c>
      <c r="E2004" s="85" t="s">
        <v>6330</v>
      </c>
      <c r="F2004" s="87">
        <v>143</v>
      </c>
      <c r="G2004" s="37"/>
      <c r="H2004" s="37">
        <f>COUNTIF('(参考)現行システム機能階層一覧'!$E$3:$E$1048576,sheet1!B2004)</f>
        <v>1</v>
      </c>
      <c r="I2004" s="37"/>
      <c r="J2004" s="37"/>
      <c r="K2004" s="37"/>
      <c r="L2004" s="37"/>
    </row>
    <row r="2005" spans="1:12" ht="15.75" customHeight="1">
      <c r="A2005" s="87" t="s">
        <v>3935</v>
      </c>
      <c r="B2005" s="87" t="s">
        <v>1654</v>
      </c>
      <c r="C2005" s="87" t="s">
        <v>7003</v>
      </c>
      <c r="D2005" s="88">
        <v>318</v>
      </c>
      <c r="E2005" s="85" t="s">
        <v>6330</v>
      </c>
      <c r="F2005" s="87">
        <v>34</v>
      </c>
      <c r="G2005" s="37"/>
      <c r="H2005" s="37">
        <f>COUNTIF('(参考)現行システム機能階層一覧'!$E$3:$E$1048576,sheet1!B2005)</f>
        <v>1</v>
      </c>
      <c r="I2005" s="37"/>
      <c r="J2005" s="37"/>
      <c r="K2005" s="37"/>
      <c r="L2005" s="37"/>
    </row>
    <row r="2006" spans="1:12" ht="15.75" customHeight="1">
      <c r="A2006" s="87" t="s">
        <v>3935</v>
      </c>
      <c r="B2006" s="87" t="s">
        <v>7004</v>
      </c>
      <c r="C2006" s="87" t="s">
        <v>7005</v>
      </c>
      <c r="D2006" s="88">
        <v>368</v>
      </c>
      <c r="E2006" s="85" t="s">
        <v>6330</v>
      </c>
      <c r="F2006" s="87">
        <v>4</v>
      </c>
      <c r="G2006" s="37"/>
      <c r="H2006" s="37">
        <f>COUNTIF('(参考)現行システム機能階層一覧'!$E$3:$E$1048576,sheet1!B2006)</f>
        <v>0</v>
      </c>
      <c r="I2006" s="37"/>
      <c r="J2006" s="37"/>
      <c r="K2006" s="37"/>
      <c r="L2006" s="37"/>
    </row>
    <row r="2007" spans="1:12" ht="15.75" customHeight="1">
      <c r="A2007" s="87" t="s">
        <v>3853</v>
      </c>
      <c r="B2007" s="87" t="s">
        <v>7006</v>
      </c>
      <c r="C2007" s="87" t="s">
        <v>7007</v>
      </c>
      <c r="D2007" s="88">
        <v>29</v>
      </c>
      <c r="E2007" s="85" t="s">
        <v>6330</v>
      </c>
      <c r="F2007" s="87">
        <v>4</v>
      </c>
      <c r="G2007" s="37"/>
      <c r="H2007" s="37">
        <f>COUNTIF('(参考)現行システム機能階層一覧'!$E$3:$E$1048576,sheet1!B2007)</f>
        <v>0</v>
      </c>
      <c r="I2007" s="37"/>
      <c r="J2007" s="37"/>
      <c r="K2007" s="37"/>
      <c r="L2007" s="37"/>
    </row>
    <row r="2008" spans="1:12" ht="15.75" customHeight="1">
      <c r="A2008" s="87" t="s">
        <v>3935</v>
      </c>
      <c r="B2008" s="87" t="s">
        <v>1710</v>
      </c>
      <c r="C2008" s="87" t="s">
        <v>7008</v>
      </c>
      <c r="D2008" s="88">
        <v>505</v>
      </c>
      <c r="E2008" s="85" t="s">
        <v>6330</v>
      </c>
      <c r="F2008" s="87">
        <v>702</v>
      </c>
      <c r="G2008" s="37"/>
      <c r="H2008" s="37">
        <f>COUNTIF('(参考)現行システム機能階層一覧'!$E$3:$E$1048576,sheet1!B2008)</f>
        <v>1</v>
      </c>
      <c r="I2008" s="37"/>
      <c r="J2008" s="37"/>
      <c r="K2008" s="37"/>
      <c r="L2008" s="37"/>
    </row>
    <row r="2009" spans="1:12" ht="15.75" customHeight="1">
      <c r="A2009" s="87" t="s">
        <v>3853</v>
      </c>
      <c r="B2009" s="87" t="s">
        <v>7009</v>
      </c>
      <c r="C2009" s="87" t="s">
        <v>7010</v>
      </c>
      <c r="D2009" s="88">
        <v>32</v>
      </c>
      <c r="E2009" s="85" t="s">
        <v>6330</v>
      </c>
      <c r="F2009" s="87">
        <v>1</v>
      </c>
      <c r="G2009" s="37"/>
      <c r="H2009" s="37">
        <f>COUNTIF('(参考)現行システム機能階層一覧'!$E$3:$E$1048576,sheet1!B2009)</f>
        <v>0</v>
      </c>
      <c r="I2009" s="37"/>
      <c r="J2009" s="37"/>
      <c r="K2009" s="37"/>
      <c r="L2009" s="37"/>
    </row>
    <row r="2010" spans="1:12" ht="15.75" customHeight="1">
      <c r="A2010" s="87" t="s">
        <v>3935</v>
      </c>
      <c r="B2010" s="87" t="s">
        <v>1680</v>
      </c>
      <c r="C2010" s="87" t="s">
        <v>7011</v>
      </c>
      <c r="D2010" s="88">
        <v>731</v>
      </c>
      <c r="E2010" s="85" t="s">
        <v>6330</v>
      </c>
      <c r="F2010" s="87">
        <v>1244</v>
      </c>
      <c r="G2010" s="37"/>
      <c r="H2010" s="37">
        <f>COUNTIF('(参考)現行システム機能階層一覧'!$E$3:$E$1048576,sheet1!B2010)</f>
        <v>1</v>
      </c>
      <c r="I2010" s="37"/>
      <c r="J2010" s="37"/>
      <c r="K2010" s="37"/>
      <c r="L2010" s="37"/>
    </row>
    <row r="2011" spans="1:12" ht="15.75" customHeight="1">
      <c r="A2011" s="87" t="s">
        <v>3935</v>
      </c>
      <c r="B2011" s="87" t="s">
        <v>1689</v>
      </c>
      <c r="C2011" s="87" t="s">
        <v>7012</v>
      </c>
      <c r="D2011" s="88">
        <v>739</v>
      </c>
      <c r="E2011" s="85" t="s">
        <v>6330</v>
      </c>
      <c r="F2011" s="87">
        <v>859</v>
      </c>
      <c r="G2011" s="37"/>
      <c r="H2011" s="37">
        <f>COUNTIF('(参考)現行システム機能階層一覧'!$E$3:$E$1048576,sheet1!B2011)</f>
        <v>1</v>
      </c>
      <c r="I2011" s="37"/>
      <c r="J2011" s="37"/>
      <c r="K2011" s="37"/>
      <c r="L2011" s="37"/>
    </row>
    <row r="2012" spans="1:12" ht="15.75" customHeight="1">
      <c r="A2012" s="87" t="s">
        <v>3853</v>
      </c>
      <c r="B2012" s="87" t="s">
        <v>7013</v>
      </c>
      <c r="C2012" s="87" t="s">
        <v>7014</v>
      </c>
      <c r="D2012" s="88">
        <v>16</v>
      </c>
      <c r="E2012" s="85" t="s">
        <v>6330</v>
      </c>
      <c r="F2012" s="87">
        <v>859</v>
      </c>
      <c r="G2012" s="37"/>
      <c r="H2012" s="37">
        <f>COUNTIF('(参考)現行システム機能階層一覧'!$E$3:$E$1048576,sheet1!B2012)</f>
        <v>0</v>
      </c>
      <c r="I2012" s="37"/>
      <c r="J2012" s="37"/>
      <c r="K2012" s="37"/>
      <c r="L2012" s="37"/>
    </row>
    <row r="2013" spans="1:12" ht="15.75" customHeight="1">
      <c r="A2013" s="87" t="s">
        <v>3935</v>
      </c>
      <c r="B2013" s="87" t="s">
        <v>7015</v>
      </c>
      <c r="C2013" s="87" t="s">
        <v>7016</v>
      </c>
      <c r="D2013" s="88">
        <v>486</v>
      </c>
      <c r="E2013" s="85" t="s">
        <v>6330</v>
      </c>
      <c r="F2013" s="87">
        <v>699</v>
      </c>
      <c r="G2013" s="37"/>
      <c r="H2013" s="37">
        <f>COUNTIF('(参考)現行システム機能階層一覧'!$E$3:$E$1048576,sheet1!B2013)</f>
        <v>0</v>
      </c>
      <c r="I2013" s="37"/>
      <c r="J2013" s="37"/>
      <c r="K2013" s="37"/>
      <c r="L2013" s="37"/>
    </row>
    <row r="2014" spans="1:12" ht="15.75" customHeight="1">
      <c r="A2014" s="87" t="s">
        <v>3853</v>
      </c>
      <c r="B2014" s="87" t="s">
        <v>7017</v>
      </c>
      <c r="C2014" s="87" t="s">
        <v>7014</v>
      </c>
      <c r="D2014" s="88">
        <v>31</v>
      </c>
      <c r="E2014" s="85" t="s">
        <v>6330</v>
      </c>
      <c r="F2014" s="87">
        <v>699</v>
      </c>
      <c r="G2014" s="37"/>
      <c r="H2014" s="37">
        <f>COUNTIF('(参考)現行システム機能階層一覧'!$E$3:$E$1048576,sheet1!B2014)</f>
        <v>0</v>
      </c>
      <c r="I2014" s="37"/>
      <c r="J2014" s="37"/>
      <c r="K2014" s="37"/>
      <c r="L2014" s="37"/>
    </row>
    <row r="2015" spans="1:12" ht="15.75" customHeight="1">
      <c r="A2015" s="87" t="s">
        <v>3935</v>
      </c>
      <c r="B2015" s="87" t="s">
        <v>1692</v>
      </c>
      <c r="C2015" s="87" t="s">
        <v>7018</v>
      </c>
      <c r="D2015" s="88">
        <v>3965</v>
      </c>
      <c r="E2015" s="85" t="s">
        <v>6330</v>
      </c>
      <c r="F2015" s="87">
        <v>953</v>
      </c>
      <c r="G2015" s="37"/>
      <c r="H2015" s="37">
        <f>COUNTIF('(参考)現行システム機能階層一覧'!$E$3:$E$1048576,sheet1!B2015)</f>
        <v>1</v>
      </c>
      <c r="I2015" s="37"/>
      <c r="J2015" s="37"/>
      <c r="K2015" s="37"/>
      <c r="L2015" s="37"/>
    </row>
    <row r="2016" spans="1:12" ht="15.75" customHeight="1">
      <c r="A2016" s="87" t="s">
        <v>3935</v>
      </c>
      <c r="B2016" s="87" t="s">
        <v>7019</v>
      </c>
      <c r="C2016" s="87" t="s">
        <v>7020</v>
      </c>
      <c r="D2016" s="88">
        <v>1027</v>
      </c>
      <c r="E2016" s="85" t="s">
        <v>6330</v>
      </c>
      <c r="F2016" s="87">
        <v>1714</v>
      </c>
      <c r="G2016" s="37"/>
      <c r="H2016" s="37">
        <f>COUNTIF('(参考)現行システム機能階層一覧'!$E$3:$E$1048576,sheet1!B2016)</f>
        <v>0</v>
      </c>
      <c r="I2016" s="37"/>
      <c r="J2016" s="37"/>
      <c r="K2016" s="37"/>
      <c r="L2016" s="37"/>
    </row>
    <row r="2017" spans="1:12" ht="15.75" customHeight="1">
      <c r="A2017" s="87" t="s">
        <v>3935</v>
      </c>
      <c r="B2017" s="87" t="s">
        <v>7021</v>
      </c>
      <c r="C2017" s="87" t="s">
        <v>7022</v>
      </c>
      <c r="D2017" s="88">
        <v>108</v>
      </c>
      <c r="E2017" s="85" t="s">
        <v>6330</v>
      </c>
      <c r="F2017" s="87">
        <v>1249</v>
      </c>
      <c r="G2017" s="37"/>
      <c r="H2017" s="37">
        <f>COUNTIF('(参考)現行システム機能階層一覧'!$E$3:$E$1048576,sheet1!B2017)</f>
        <v>0</v>
      </c>
      <c r="I2017" s="37"/>
      <c r="J2017" s="37"/>
      <c r="K2017" s="37"/>
      <c r="L2017" s="37"/>
    </row>
    <row r="2018" spans="1:12" ht="15.75" customHeight="1">
      <c r="A2018" s="87" t="s">
        <v>3935</v>
      </c>
      <c r="B2018" s="87" t="s">
        <v>7023</v>
      </c>
      <c r="C2018" s="87" t="s">
        <v>7024</v>
      </c>
      <c r="D2018" s="88">
        <v>1040</v>
      </c>
      <c r="E2018" s="85" t="s">
        <v>6330</v>
      </c>
      <c r="F2018" s="87">
        <v>12</v>
      </c>
      <c r="G2018" s="37"/>
      <c r="H2018" s="37">
        <f>COUNTIF('(参考)現行システム機能階層一覧'!$E$3:$E$1048576,sheet1!B2018)</f>
        <v>0</v>
      </c>
      <c r="I2018" s="37"/>
      <c r="J2018" s="37"/>
      <c r="K2018" s="37"/>
      <c r="L2018" s="37"/>
    </row>
    <row r="2019" spans="1:12" ht="15.75" customHeight="1">
      <c r="A2019" s="87" t="s">
        <v>3935</v>
      </c>
      <c r="B2019" s="87" t="s">
        <v>7025</v>
      </c>
      <c r="C2019" s="87" t="s">
        <v>7026</v>
      </c>
      <c r="D2019" s="88">
        <v>461</v>
      </c>
      <c r="E2019" s="85" t="s">
        <v>6330</v>
      </c>
      <c r="F2019" s="87">
        <v>1150</v>
      </c>
      <c r="G2019" s="37"/>
      <c r="H2019" s="37">
        <f>COUNTIF('(参考)現行システム機能階層一覧'!$E$3:$E$1048576,sheet1!B2019)</f>
        <v>0</v>
      </c>
      <c r="I2019" s="37"/>
      <c r="J2019" s="37"/>
      <c r="K2019" s="37"/>
      <c r="L2019" s="37"/>
    </row>
    <row r="2020" spans="1:12" ht="15.75" customHeight="1">
      <c r="A2020" s="87" t="s">
        <v>3935</v>
      </c>
      <c r="B2020" s="87" t="s">
        <v>1683</v>
      </c>
      <c r="C2020" s="87" t="s">
        <v>7027</v>
      </c>
      <c r="D2020" s="88">
        <v>2695</v>
      </c>
      <c r="E2020" s="85" t="s">
        <v>6330</v>
      </c>
      <c r="F2020" s="87">
        <v>1288</v>
      </c>
      <c r="G2020" s="37"/>
      <c r="H2020" s="37">
        <f>COUNTIF('(参考)現行システム機能階層一覧'!$E$3:$E$1048576,sheet1!B2020)</f>
        <v>1</v>
      </c>
      <c r="I2020" s="37"/>
      <c r="J2020" s="37"/>
      <c r="K2020" s="37"/>
      <c r="L2020" s="37"/>
    </row>
    <row r="2021" spans="1:12" ht="15.75" customHeight="1">
      <c r="A2021" s="87" t="s">
        <v>3935</v>
      </c>
      <c r="B2021" s="87" t="s">
        <v>7028</v>
      </c>
      <c r="C2021" s="87" t="s">
        <v>7029</v>
      </c>
      <c r="D2021" s="88">
        <v>1796</v>
      </c>
      <c r="E2021" s="85" t="s">
        <v>6330</v>
      </c>
      <c r="F2021" s="87">
        <v>1280</v>
      </c>
      <c r="G2021" s="37"/>
      <c r="H2021" s="37">
        <f>COUNTIF('(参考)現行システム機能階層一覧'!$E$3:$E$1048576,sheet1!B2021)</f>
        <v>0</v>
      </c>
      <c r="I2021" s="37"/>
      <c r="J2021" s="37"/>
      <c r="K2021" s="37"/>
      <c r="L2021" s="37"/>
    </row>
    <row r="2022" spans="1:12" ht="15.75" customHeight="1">
      <c r="A2022" s="87" t="s">
        <v>3935</v>
      </c>
      <c r="B2022" s="87" t="s">
        <v>7030</v>
      </c>
      <c r="C2022" s="87" t="s">
        <v>7031</v>
      </c>
      <c r="D2022" s="88">
        <v>2051</v>
      </c>
      <c r="E2022" s="85" t="s">
        <v>6330</v>
      </c>
      <c r="F2022" s="87">
        <v>1056</v>
      </c>
      <c r="G2022" s="37"/>
      <c r="H2022" s="37">
        <f>COUNTIF('(参考)現行システム機能階層一覧'!$E$3:$E$1048576,sheet1!B2022)</f>
        <v>0</v>
      </c>
      <c r="I2022" s="37"/>
      <c r="J2022" s="37"/>
      <c r="K2022" s="37"/>
      <c r="L2022" s="37"/>
    </row>
    <row r="2023" spans="1:12" ht="15.75" customHeight="1">
      <c r="A2023" s="87" t="s">
        <v>3935</v>
      </c>
      <c r="B2023" s="87" t="s">
        <v>7032</v>
      </c>
      <c r="C2023" s="87" t="s">
        <v>7033</v>
      </c>
      <c r="D2023" s="88">
        <v>387</v>
      </c>
      <c r="E2023" s="85" t="s">
        <v>6330</v>
      </c>
      <c r="F2023" s="87">
        <v>14</v>
      </c>
      <c r="G2023" s="37"/>
      <c r="H2023" s="37">
        <f>COUNTIF('(参考)現行システム機能階層一覧'!$E$3:$E$1048576,sheet1!B2023)</f>
        <v>0</v>
      </c>
      <c r="I2023" s="37"/>
      <c r="J2023" s="37"/>
      <c r="K2023" s="37"/>
      <c r="L2023" s="37"/>
    </row>
    <row r="2024" spans="1:12" ht="15.75" customHeight="1">
      <c r="A2024" s="87" t="s">
        <v>3935</v>
      </c>
      <c r="B2024" s="87" t="s">
        <v>1695</v>
      </c>
      <c r="C2024" s="87" t="s">
        <v>7034</v>
      </c>
      <c r="D2024" s="88">
        <v>1024</v>
      </c>
      <c r="E2024" s="85" t="s">
        <v>6330</v>
      </c>
      <c r="F2024" s="87">
        <v>744</v>
      </c>
      <c r="G2024" s="37"/>
      <c r="H2024" s="37">
        <f>COUNTIF('(参考)現行システム機能階層一覧'!$E$3:$E$1048576,sheet1!B2024)</f>
        <v>1</v>
      </c>
      <c r="I2024" s="37"/>
      <c r="J2024" s="37"/>
      <c r="K2024" s="37"/>
      <c r="L2024" s="37"/>
    </row>
    <row r="2025" spans="1:12" ht="15.75" customHeight="1">
      <c r="A2025" s="87" t="s">
        <v>3853</v>
      </c>
      <c r="B2025" s="87" t="s">
        <v>7035</v>
      </c>
      <c r="C2025" s="87" t="s">
        <v>7036</v>
      </c>
      <c r="D2025" s="88">
        <v>31</v>
      </c>
      <c r="E2025" s="85" t="s">
        <v>6330</v>
      </c>
      <c r="F2025" s="87">
        <v>744</v>
      </c>
      <c r="G2025" s="37"/>
      <c r="H2025" s="37">
        <f>COUNTIF('(参考)現行システム機能階層一覧'!$E$3:$E$1048576,sheet1!B2025)</f>
        <v>0</v>
      </c>
      <c r="I2025" s="37"/>
      <c r="J2025" s="37"/>
      <c r="K2025" s="37"/>
      <c r="L2025" s="37"/>
    </row>
    <row r="2026" spans="1:12" ht="15.75" customHeight="1">
      <c r="A2026" s="87" t="s">
        <v>3935</v>
      </c>
      <c r="B2026" s="87" t="s">
        <v>1698</v>
      </c>
      <c r="C2026" s="87" t="s">
        <v>7037</v>
      </c>
      <c r="D2026" s="88">
        <v>674</v>
      </c>
      <c r="E2026" s="85" t="s">
        <v>6330</v>
      </c>
      <c r="F2026" s="87">
        <v>1218</v>
      </c>
      <c r="G2026" s="37"/>
      <c r="H2026" s="37">
        <f>COUNTIF('(参考)現行システム機能階層一覧'!$E$3:$E$1048576,sheet1!B2026)</f>
        <v>1</v>
      </c>
      <c r="I2026" s="37"/>
      <c r="J2026" s="37"/>
      <c r="K2026" s="37"/>
      <c r="L2026" s="37"/>
    </row>
    <row r="2027" spans="1:12" ht="15.75" customHeight="1">
      <c r="A2027" s="87" t="s">
        <v>3935</v>
      </c>
      <c r="B2027" s="87" t="s">
        <v>7038</v>
      </c>
      <c r="C2027" s="87" t="s">
        <v>7039</v>
      </c>
      <c r="D2027" s="88">
        <v>212</v>
      </c>
      <c r="E2027" s="85" t="s">
        <v>6330</v>
      </c>
      <c r="F2027" s="87">
        <v>1253</v>
      </c>
      <c r="G2027" s="37"/>
      <c r="H2027" s="37">
        <f>COUNTIF('(参考)現行システム機能階層一覧'!$E$3:$E$1048576,sheet1!B2027)</f>
        <v>0</v>
      </c>
      <c r="I2027" s="37"/>
      <c r="J2027" s="37"/>
      <c r="K2027" s="37"/>
      <c r="L2027" s="37"/>
    </row>
    <row r="2028" spans="1:12" ht="15.75" customHeight="1">
      <c r="A2028" s="87" t="s">
        <v>3853</v>
      </c>
      <c r="B2028" s="87" t="s">
        <v>7040</v>
      </c>
      <c r="C2028" s="87" t="s">
        <v>7041</v>
      </c>
      <c r="D2028" s="88">
        <v>44</v>
      </c>
      <c r="E2028" s="85" t="s">
        <v>6330</v>
      </c>
      <c r="F2028" s="87">
        <v>1253</v>
      </c>
      <c r="G2028" s="37"/>
      <c r="H2028" s="37">
        <f>COUNTIF('(参考)現行システム機能階層一覧'!$E$3:$E$1048576,sheet1!B2028)</f>
        <v>0</v>
      </c>
      <c r="I2028" s="37"/>
      <c r="J2028" s="37"/>
      <c r="K2028" s="37"/>
      <c r="L2028" s="37"/>
    </row>
    <row r="2029" spans="1:12" ht="15.75" customHeight="1">
      <c r="A2029" s="87" t="s">
        <v>3935</v>
      </c>
      <c r="B2029" s="87" t="s">
        <v>1677</v>
      </c>
      <c r="C2029" s="87" t="s">
        <v>7042</v>
      </c>
      <c r="D2029" s="88">
        <v>994</v>
      </c>
      <c r="E2029" s="85" t="s">
        <v>6330</v>
      </c>
      <c r="F2029" s="87">
        <v>107</v>
      </c>
      <c r="G2029" s="37"/>
      <c r="H2029" s="37">
        <f>COUNTIF('(参考)現行システム機能階層一覧'!$E$3:$E$1048576,sheet1!B2029)</f>
        <v>1</v>
      </c>
      <c r="I2029" s="37"/>
      <c r="J2029" s="37"/>
      <c r="K2029" s="37"/>
      <c r="L2029" s="37"/>
    </row>
    <row r="2030" spans="1:12" ht="15.75" customHeight="1">
      <c r="A2030" s="87" t="s">
        <v>3935</v>
      </c>
      <c r="B2030" s="87" t="s">
        <v>1701</v>
      </c>
      <c r="C2030" s="87" t="s">
        <v>7043</v>
      </c>
      <c r="D2030" s="88">
        <v>1028</v>
      </c>
      <c r="E2030" s="85" t="s">
        <v>6330</v>
      </c>
      <c r="F2030" s="87">
        <v>99</v>
      </c>
      <c r="G2030" s="37"/>
      <c r="H2030" s="37">
        <f>COUNTIF('(参考)現行システム機能階層一覧'!$E$3:$E$1048576,sheet1!B2030)</f>
        <v>1</v>
      </c>
      <c r="I2030" s="37"/>
      <c r="J2030" s="37"/>
      <c r="K2030" s="37"/>
      <c r="L2030" s="37"/>
    </row>
    <row r="2031" spans="1:12" ht="15.75" customHeight="1">
      <c r="A2031" s="87" t="s">
        <v>3935</v>
      </c>
      <c r="B2031" s="87" t="s">
        <v>1700</v>
      </c>
      <c r="C2031" s="87" t="s">
        <v>1703</v>
      </c>
      <c r="D2031" s="88">
        <v>2281</v>
      </c>
      <c r="E2031" s="85" t="s">
        <v>6330</v>
      </c>
      <c r="F2031" s="87">
        <v>1227</v>
      </c>
      <c r="G2031" s="37"/>
      <c r="H2031" s="37">
        <f>COUNTIF('(参考)現行システム機能階層一覧'!$E$3:$E$1048576,sheet1!B2031)</f>
        <v>1</v>
      </c>
      <c r="I2031" s="37"/>
      <c r="J2031" s="37"/>
      <c r="K2031" s="37"/>
      <c r="L2031" s="37"/>
    </row>
    <row r="2032" spans="1:12" ht="15.75" customHeight="1">
      <c r="A2032" s="87" t="s">
        <v>3935</v>
      </c>
      <c r="B2032" s="87" t="s">
        <v>7044</v>
      </c>
      <c r="C2032" s="87" t="s">
        <v>7045</v>
      </c>
      <c r="D2032" s="88">
        <v>377</v>
      </c>
      <c r="E2032" s="85" t="s">
        <v>6330</v>
      </c>
      <c r="F2032" s="87">
        <v>1219</v>
      </c>
      <c r="G2032" s="37"/>
      <c r="H2032" s="37">
        <f>COUNTIF('(参考)現行システム機能階層一覧'!$E$3:$E$1048576,sheet1!B2032)</f>
        <v>0</v>
      </c>
      <c r="I2032" s="37"/>
      <c r="J2032" s="37"/>
      <c r="K2032" s="37"/>
      <c r="L2032" s="37"/>
    </row>
    <row r="2033" spans="1:12" ht="15.75" customHeight="1">
      <c r="A2033" s="87" t="s">
        <v>3935</v>
      </c>
      <c r="B2033" s="87" t="s">
        <v>1707</v>
      </c>
      <c r="C2033" s="87" t="s">
        <v>7046</v>
      </c>
      <c r="D2033" s="88">
        <v>472</v>
      </c>
      <c r="E2033" s="85" t="s">
        <v>6330</v>
      </c>
      <c r="F2033" s="87">
        <v>176</v>
      </c>
      <c r="G2033" s="37"/>
      <c r="H2033" s="37">
        <f>COUNTIF('(参考)現行システム機能階層一覧'!$E$3:$E$1048576,sheet1!B2033)</f>
        <v>1</v>
      </c>
      <c r="I2033" s="37"/>
      <c r="J2033" s="37"/>
      <c r="K2033" s="37"/>
      <c r="L2033" s="37"/>
    </row>
    <row r="2034" spans="1:12" ht="15.75" customHeight="1">
      <c r="A2034" s="87" t="s">
        <v>3935</v>
      </c>
      <c r="B2034" s="87" t="s">
        <v>1725</v>
      </c>
      <c r="C2034" s="87" t="s">
        <v>7047</v>
      </c>
      <c r="D2034" s="88">
        <v>2118</v>
      </c>
      <c r="E2034" s="85" t="s">
        <v>6330</v>
      </c>
      <c r="F2034" s="87">
        <v>1028</v>
      </c>
      <c r="G2034" s="37"/>
      <c r="H2034" s="37">
        <f>COUNTIF('(参考)現行システム機能階層一覧'!$E$3:$E$1048576,sheet1!B2034)</f>
        <v>1</v>
      </c>
      <c r="I2034" s="37"/>
      <c r="J2034" s="37"/>
      <c r="K2034" s="37"/>
      <c r="L2034" s="37"/>
    </row>
    <row r="2035" spans="1:12" ht="15.75" customHeight="1">
      <c r="A2035" s="87" t="s">
        <v>3853</v>
      </c>
      <c r="B2035" s="87" t="s">
        <v>7048</v>
      </c>
      <c r="C2035" s="87" t="s">
        <v>1729</v>
      </c>
      <c r="D2035" s="88">
        <v>11</v>
      </c>
      <c r="E2035" s="85" t="s">
        <v>6330</v>
      </c>
      <c r="F2035" s="87">
        <v>1365</v>
      </c>
      <c r="G2035" s="37"/>
      <c r="H2035" s="37">
        <f>COUNTIF('(参考)現行システム機能階層一覧'!$E$3:$E$1048576,sheet1!B2035)</f>
        <v>0</v>
      </c>
      <c r="I2035" s="37"/>
      <c r="J2035" s="37"/>
      <c r="K2035" s="37"/>
      <c r="L2035" s="37"/>
    </row>
    <row r="2036" spans="1:12" ht="15.75" customHeight="1">
      <c r="A2036" s="87" t="s">
        <v>3935</v>
      </c>
      <c r="B2036" s="87" t="s">
        <v>7049</v>
      </c>
      <c r="C2036" s="87" t="s">
        <v>7050</v>
      </c>
      <c r="D2036" s="88">
        <v>384</v>
      </c>
      <c r="E2036" s="85" t="s">
        <v>6330</v>
      </c>
      <c r="F2036" s="87">
        <v>1</v>
      </c>
      <c r="G2036" s="37"/>
      <c r="H2036" s="37">
        <f>COUNTIF('(参考)現行システム機能階層一覧'!$E$3:$E$1048576,sheet1!B2036)</f>
        <v>0</v>
      </c>
      <c r="I2036" s="37"/>
      <c r="J2036" s="37"/>
      <c r="K2036" s="37"/>
      <c r="L2036" s="37"/>
    </row>
    <row r="2037" spans="1:12" ht="15.75" customHeight="1">
      <c r="A2037" s="87" t="s">
        <v>3935</v>
      </c>
      <c r="B2037" s="87" t="s">
        <v>1731</v>
      </c>
      <c r="C2037" s="87" t="s">
        <v>7051</v>
      </c>
      <c r="D2037" s="88">
        <v>948</v>
      </c>
      <c r="E2037" s="85" t="s">
        <v>6330</v>
      </c>
      <c r="F2037" s="87">
        <v>1359</v>
      </c>
      <c r="G2037" s="37"/>
      <c r="H2037" s="37">
        <f>COUNTIF('(参考)現行システム機能階層一覧'!$E$3:$E$1048576,sheet1!B2037)</f>
        <v>1</v>
      </c>
      <c r="I2037" s="37"/>
      <c r="J2037" s="37"/>
      <c r="K2037" s="37"/>
      <c r="L2037" s="37"/>
    </row>
    <row r="2038" spans="1:12" ht="15.75" customHeight="1">
      <c r="A2038" s="87" t="s">
        <v>3853</v>
      </c>
      <c r="B2038" s="87" t="s">
        <v>7052</v>
      </c>
      <c r="C2038" s="87" t="s">
        <v>7053</v>
      </c>
      <c r="D2038" s="88">
        <v>17</v>
      </c>
      <c r="E2038" s="85" t="s">
        <v>6330</v>
      </c>
      <c r="F2038" s="87">
        <v>1171</v>
      </c>
      <c r="G2038" s="37"/>
      <c r="H2038" s="37">
        <f>COUNTIF('(参考)現行システム機能階層一覧'!$E$3:$E$1048576,sheet1!B2038)</f>
        <v>0</v>
      </c>
      <c r="I2038" s="37"/>
      <c r="J2038" s="37"/>
      <c r="K2038" s="37"/>
      <c r="L2038" s="37"/>
    </row>
    <row r="2039" spans="1:12" ht="15.75" customHeight="1">
      <c r="A2039" s="87" t="s">
        <v>3935</v>
      </c>
      <c r="B2039" s="87" t="s">
        <v>1767</v>
      </c>
      <c r="C2039" s="87" t="s">
        <v>7054</v>
      </c>
      <c r="D2039" s="88">
        <v>749</v>
      </c>
      <c r="E2039" s="85" t="s">
        <v>6330</v>
      </c>
      <c r="F2039" s="87">
        <v>13</v>
      </c>
      <c r="G2039" s="37"/>
      <c r="H2039" s="37">
        <f>COUNTIF('(参考)現行システム機能階層一覧'!$E$3:$E$1048576,sheet1!B2039)</f>
        <v>1</v>
      </c>
      <c r="I2039" s="37"/>
      <c r="J2039" s="37"/>
      <c r="K2039" s="37"/>
      <c r="L2039" s="37"/>
    </row>
    <row r="2040" spans="1:12" ht="15.75" customHeight="1">
      <c r="A2040" s="87" t="s">
        <v>3853</v>
      </c>
      <c r="B2040" s="87" t="s">
        <v>7055</v>
      </c>
      <c r="C2040" s="87" t="s">
        <v>7056</v>
      </c>
      <c r="D2040" s="88">
        <v>7</v>
      </c>
      <c r="E2040" s="85" t="s">
        <v>6330</v>
      </c>
      <c r="F2040" s="87">
        <v>13</v>
      </c>
      <c r="G2040" s="37"/>
      <c r="H2040" s="37">
        <f>COUNTIF('(参考)現行システム機能階層一覧'!$E$3:$E$1048576,sheet1!B2040)</f>
        <v>0</v>
      </c>
      <c r="I2040" s="37"/>
      <c r="J2040" s="37"/>
      <c r="K2040" s="37"/>
      <c r="L2040" s="37"/>
    </row>
    <row r="2041" spans="1:12" ht="15.75" customHeight="1">
      <c r="A2041" s="87" t="s">
        <v>3935</v>
      </c>
      <c r="B2041" s="87" t="s">
        <v>1734</v>
      </c>
      <c r="C2041" s="87" t="s">
        <v>1737</v>
      </c>
      <c r="D2041" s="88">
        <v>2604</v>
      </c>
      <c r="E2041" s="85" t="s">
        <v>6330</v>
      </c>
      <c r="F2041" s="87">
        <v>1338</v>
      </c>
      <c r="G2041" s="37"/>
      <c r="H2041" s="37">
        <f>COUNTIF('(参考)現行システム機能階層一覧'!$E$3:$E$1048576,sheet1!B2041)</f>
        <v>1</v>
      </c>
      <c r="I2041" s="37"/>
      <c r="J2041" s="37"/>
      <c r="K2041" s="37"/>
      <c r="L2041" s="37"/>
    </row>
    <row r="2042" spans="1:12" ht="15.75" customHeight="1">
      <c r="A2042" s="87" t="s">
        <v>3853</v>
      </c>
      <c r="B2042" s="87" t="s">
        <v>7057</v>
      </c>
      <c r="C2042" s="87" t="s">
        <v>1737</v>
      </c>
      <c r="D2042" s="88">
        <v>29</v>
      </c>
      <c r="E2042" s="85" t="s">
        <v>6330</v>
      </c>
      <c r="F2042" s="87">
        <v>1338</v>
      </c>
      <c r="G2042" s="37"/>
      <c r="H2042" s="37">
        <f>COUNTIF('(参考)現行システム機能階層一覧'!$E$3:$E$1048576,sheet1!B2042)</f>
        <v>0</v>
      </c>
      <c r="I2042" s="37"/>
      <c r="J2042" s="37"/>
      <c r="K2042" s="37"/>
      <c r="L2042" s="37"/>
    </row>
    <row r="2043" spans="1:12" ht="15.75" customHeight="1">
      <c r="A2043" s="87" t="s">
        <v>3935</v>
      </c>
      <c r="B2043" s="87" t="s">
        <v>7058</v>
      </c>
      <c r="C2043" s="87" t="s">
        <v>7059</v>
      </c>
      <c r="D2043" s="88">
        <v>2427</v>
      </c>
      <c r="E2043" s="85" t="s">
        <v>6330</v>
      </c>
      <c r="F2043" s="87">
        <v>1332</v>
      </c>
      <c r="G2043" s="37"/>
      <c r="H2043" s="37">
        <f>COUNTIF('(参考)現行システム機能階層一覧'!$E$3:$E$1048576,sheet1!B2043)</f>
        <v>0</v>
      </c>
      <c r="I2043" s="37"/>
      <c r="J2043" s="37"/>
      <c r="K2043" s="37"/>
      <c r="L2043" s="37"/>
    </row>
    <row r="2044" spans="1:12" ht="15.75" customHeight="1">
      <c r="A2044" s="87" t="s">
        <v>3935</v>
      </c>
      <c r="B2044" s="87" t="s">
        <v>1739</v>
      </c>
      <c r="C2044" s="87" t="s">
        <v>7060</v>
      </c>
      <c r="D2044" s="88">
        <v>957</v>
      </c>
      <c r="E2044" s="85" t="s">
        <v>6330</v>
      </c>
      <c r="F2044" s="87">
        <v>1304</v>
      </c>
      <c r="G2044" s="37"/>
      <c r="H2044" s="37">
        <f>COUNTIF('(参考)現行システム機能階層一覧'!$E$3:$E$1048576,sheet1!B2044)</f>
        <v>1</v>
      </c>
      <c r="I2044" s="37"/>
      <c r="J2044" s="37"/>
      <c r="K2044" s="37"/>
      <c r="L2044" s="37"/>
    </row>
    <row r="2045" spans="1:12" ht="15.75" customHeight="1">
      <c r="A2045" s="87" t="s">
        <v>3935</v>
      </c>
      <c r="B2045" s="87" t="s">
        <v>1749</v>
      </c>
      <c r="C2045" s="87" t="s">
        <v>7061</v>
      </c>
      <c r="D2045" s="88">
        <v>515</v>
      </c>
      <c r="E2045" s="85" t="s">
        <v>6330</v>
      </c>
      <c r="F2045" s="87">
        <v>1222</v>
      </c>
      <c r="G2045" s="37"/>
      <c r="H2045" s="37">
        <f>COUNTIF('(参考)現行システム機能階層一覧'!$E$3:$E$1048576,sheet1!B2045)</f>
        <v>1</v>
      </c>
      <c r="I2045" s="37"/>
      <c r="J2045" s="37"/>
      <c r="K2045" s="37"/>
      <c r="L2045" s="37"/>
    </row>
    <row r="2046" spans="1:12" ht="15.75" customHeight="1">
      <c r="A2046" s="87" t="s">
        <v>3853</v>
      </c>
      <c r="B2046" s="87" t="s">
        <v>7062</v>
      </c>
      <c r="C2046" s="87" t="s">
        <v>7061</v>
      </c>
      <c r="D2046" s="88">
        <v>31</v>
      </c>
      <c r="E2046" s="85" t="s">
        <v>6330</v>
      </c>
      <c r="F2046" s="87">
        <v>1222</v>
      </c>
      <c r="G2046" s="37"/>
      <c r="H2046" s="37">
        <f>COUNTIF('(参考)現行システム機能階層一覧'!$E$3:$E$1048576,sheet1!B2046)</f>
        <v>0</v>
      </c>
      <c r="I2046" s="37"/>
      <c r="J2046" s="37"/>
      <c r="K2046" s="37"/>
      <c r="L2046" s="37"/>
    </row>
    <row r="2047" spans="1:12" ht="15.75" customHeight="1">
      <c r="A2047" s="87" t="s">
        <v>3935</v>
      </c>
      <c r="B2047" s="87" t="s">
        <v>1774</v>
      </c>
      <c r="C2047" s="87" t="s">
        <v>7063</v>
      </c>
      <c r="D2047" s="88">
        <v>600</v>
      </c>
      <c r="E2047" s="85" t="s">
        <v>6330</v>
      </c>
      <c r="F2047" s="87">
        <v>691</v>
      </c>
      <c r="G2047" s="37"/>
      <c r="H2047" s="37">
        <f>COUNTIF('(参考)現行システム機能階層一覧'!$E$3:$E$1048576,sheet1!B2047)</f>
        <v>1</v>
      </c>
      <c r="I2047" s="37"/>
      <c r="J2047" s="37"/>
      <c r="K2047" s="37"/>
      <c r="L2047" s="37"/>
    </row>
    <row r="2048" spans="1:12" ht="15.75" customHeight="1">
      <c r="A2048" s="87" t="s">
        <v>3935</v>
      </c>
      <c r="B2048" s="87" t="s">
        <v>1779</v>
      </c>
      <c r="C2048" s="87" t="s">
        <v>1782</v>
      </c>
      <c r="D2048" s="88">
        <v>332</v>
      </c>
      <c r="E2048" s="85" t="s">
        <v>6330</v>
      </c>
      <c r="F2048" s="87">
        <v>114</v>
      </c>
      <c r="G2048" s="37"/>
      <c r="H2048" s="37">
        <f>COUNTIF('(参考)現行システム機能階層一覧'!$E$3:$E$1048576,sheet1!B2048)</f>
        <v>1</v>
      </c>
      <c r="I2048" s="37"/>
      <c r="J2048" s="37"/>
      <c r="K2048" s="37"/>
      <c r="L2048" s="37"/>
    </row>
    <row r="2049" spans="1:12" ht="15.75" customHeight="1">
      <c r="A2049" s="87" t="s">
        <v>3935</v>
      </c>
      <c r="B2049" s="87" t="s">
        <v>1784</v>
      </c>
      <c r="C2049" s="87" t="s">
        <v>7064</v>
      </c>
      <c r="D2049" s="88">
        <v>463</v>
      </c>
      <c r="E2049" s="85" t="s">
        <v>6330</v>
      </c>
      <c r="F2049" s="87">
        <v>58</v>
      </c>
      <c r="G2049" s="37"/>
      <c r="H2049" s="37">
        <f>COUNTIF('(参考)現行システム機能階層一覧'!$E$3:$E$1048576,sheet1!B2049)</f>
        <v>1</v>
      </c>
      <c r="I2049" s="37"/>
      <c r="J2049" s="37"/>
      <c r="K2049" s="37"/>
      <c r="L2049" s="37"/>
    </row>
    <row r="2050" spans="1:12" ht="15.75" customHeight="1">
      <c r="A2050" s="87" t="s">
        <v>3935</v>
      </c>
      <c r="B2050" s="87" t="s">
        <v>1744</v>
      </c>
      <c r="C2050" s="87" t="s">
        <v>1747</v>
      </c>
      <c r="D2050" s="88">
        <v>776</v>
      </c>
      <c r="E2050" s="85" t="s">
        <v>6330</v>
      </c>
      <c r="F2050" s="87">
        <v>506</v>
      </c>
      <c r="G2050" s="37"/>
      <c r="H2050" s="37">
        <f>COUNTIF('(参考)現行システム機能階層一覧'!$E$3:$E$1048576,sheet1!B2050)</f>
        <v>1</v>
      </c>
      <c r="I2050" s="37"/>
      <c r="J2050" s="37"/>
      <c r="K2050" s="37"/>
      <c r="L2050" s="37"/>
    </row>
    <row r="2051" spans="1:12" ht="15.75" customHeight="1">
      <c r="A2051" s="87" t="s">
        <v>3935</v>
      </c>
      <c r="B2051" s="87" t="s">
        <v>1752</v>
      </c>
      <c r="C2051" s="87" t="s">
        <v>7065</v>
      </c>
      <c r="D2051" s="88">
        <v>4176</v>
      </c>
      <c r="E2051" s="85" t="s">
        <v>6330</v>
      </c>
      <c r="F2051" s="87">
        <v>1179</v>
      </c>
      <c r="G2051" s="37"/>
      <c r="H2051" s="37">
        <f>COUNTIF('(参考)現行システム機能階層一覧'!$E$3:$E$1048576,sheet1!B2051)</f>
        <v>1</v>
      </c>
      <c r="I2051" s="37"/>
      <c r="J2051" s="37"/>
      <c r="K2051" s="37"/>
      <c r="L2051" s="37"/>
    </row>
    <row r="2052" spans="1:12" ht="15.75" customHeight="1">
      <c r="A2052" s="87" t="s">
        <v>3853</v>
      </c>
      <c r="B2052" s="87" t="s">
        <v>7066</v>
      </c>
      <c r="C2052" s="87" t="s">
        <v>7067</v>
      </c>
      <c r="D2052" s="88">
        <v>12</v>
      </c>
      <c r="E2052" s="85" t="s">
        <v>6330</v>
      </c>
      <c r="F2052" s="87">
        <v>1179</v>
      </c>
      <c r="G2052" s="37"/>
      <c r="H2052" s="37">
        <f>COUNTIF('(参考)現行システム機能階層一覧'!$E$3:$E$1048576,sheet1!B2052)</f>
        <v>0</v>
      </c>
      <c r="I2052" s="37"/>
      <c r="J2052" s="37"/>
      <c r="K2052" s="37"/>
      <c r="L2052" s="37"/>
    </row>
    <row r="2053" spans="1:12" ht="15.75" customHeight="1">
      <c r="A2053" s="87" t="s">
        <v>3935</v>
      </c>
      <c r="B2053" s="87" t="s">
        <v>7068</v>
      </c>
      <c r="C2053" s="87" t="s">
        <v>7069</v>
      </c>
      <c r="D2053" s="88">
        <v>1936</v>
      </c>
      <c r="E2053" s="85" t="s">
        <v>6330</v>
      </c>
      <c r="F2053" s="87">
        <v>1150</v>
      </c>
      <c r="G2053" s="37"/>
      <c r="H2053" s="37">
        <f>COUNTIF('(参考)現行システム機能階層一覧'!$E$3:$E$1048576,sheet1!B2053)</f>
        <v>0</v>
      </c>
      <c r="I2053" s="37"/>
      <c r="J2053" s="37"/>
      <c r="K2053" s="37"/>
      <c r="L2053" s="37"/>
    </row>
    <row r="2054" spans="1:12" ht="15.75" customHeight="1">
      <c r="A2054" s="87" t="s">
        <v>3935</v>
      </c>
      <c r="B2054" s="87" t="s">
        <v>1757</v>
      </c>
      <c r="C2054" s="87" t="s">
        <v>7070</v>
      </c>
      <c r="D2054" s="88">
        <v>363</v>
      </c>
      <c r="E2054" s="85" t="s">
        <v>6330</v>
      </c>
      <c r="F2054" s="87">
        <v>1149</v>
      </c>
      <c r="G2054" s="37"/>
      <c r="H2054" s="37">
        <f>COUNTIF('(参考)現行システム機能階層一覧'!$E$3:$E$1048576,sheet1!B2054)</f>
        <v>1</v>
      </c>
      <c r="I2054" s="37"/>
      <c r="J2054" s="37"/>
      <c r="K2054" s="37"/>
      <c r="L2054" s="37"/>
    </row>
    <row r="2055" spans="1:12" ht="15.75" customHeight="1">
      <c r="A2055" s="87" t="s">
        <v>3853</v>
      </c>
      <c r="B2055" s="87" t="s">
        <v>7071</v>
      </c>
      <c r="C2055" s="87" t="s">
        <v>7072</v>
      </c>
      <c r="D2055" s="88">
        <v>31</v>
      </c>
      <c r="E2055" s="85" t="s">
        <v>6330</v>
      </c>
      <c r="F2055" s="87">
        <v>2</v>
      </c>
      <c r="G2055" s="37"/>
      <c r="H2055" s="37">
        <f>COUNTIF('(参考)現行システム機能階層一覧'!$E$3:$E$1048576,sheet1!B2055)</f>
        <v>0</v>
      </c>
      <c r="I2055" s="37"/>
      <c r="J2055" s="37"/>
      <c r="K2055" s="37"/>
      <c r="L2055" s="37"/>
    </row>
    <row r="2056" spans="1:12" ht="15.75" customHeight="1">
      <c r="A2056" s="87" t="s">
        <v>3853</v>
      </c>
      <c r="B2056" s="87" t="s">
        <v>7073</v>
      </c>
      <c r="C2056" s="87" t="s">
        <v>7072</v>
      </c>
      <c r="D2056" s="88">
        <v>64</v>
      </c>
      <c r="E2056" s="85" t="s">
        <v>6330</v>
      </c>
      <c r="F2056" s="87">
        <v>15</v>
      </c>
      <c r="G2056" s="37"/>
      <c r="H2056" s="37">
        <f>COUNTIF('(参考)現行システム機能階層一覧'!$E$3:$E$1048576,sheet1!B2056)</f>
        <v>0</v>
      </c>
      <c r="I2056" s="37"/>
      <c r="J2056" s="37"/>
      <c r="K2056" s="37"/>
      <c r="L2056" s="37"/>
    </row>
    <row r="2057" spans="1:12" ht="15.75" customHeight="1">
      <c r="A2057" s="87" t="s">
        <v>3935</v>
      </c>
      <c r="B2057" s="87" t="s">
        <v>7074</v>
      </c>
      <c r="C2057" s="87" t="s">
        <v>1760</v>
      </c>
      <c r="D2057" s="88">
        <v>579</v>
      </c>
      <c r="E2057" s="85" t="s">
        <v>6330</v>
      </c>
      <c r="F2057" s="87">
        <v>232</v>
      </c>
      <c r="G2057" s="37"/>
      <c r="H2057" s="37">
        <f>COUNTIF('(参考)現行システム機能階層一覧'!$E$3:$E$1048576,sheet1!B2057)</f>
        <v>0</v>
      </c>
      <c r="I2057" s="37"/>
      <c r="J2057" s="37"/>
      <c r="K2057" s="37"/>
      <c r="L2057" s="37"/>
    </row>
    <row r="2058" spans="1:12" ht="15.75" customHeight="1">
      <c r="A2058" s="87" t="s">
        <v>3935</v>
      </c>
      <c r="B2058" s="87" t="s">
        <v>1762</v>
      </c>
      <c r="C2058" s="87" t="s">
        <v>1763</v>
      </c>
      <c r="D2058" s="88">
        <v>2013</v>
      </c>
      <c r="E2058" s="85" t="s">
        <v>6330</v>
      </c>
      <c r="F2058" s="87">
        <v>784</v>
      </c>
      <c r="G2058" s="37"/>
      <c r="H2058" s="37">
        <f>COUNTIF('(参考)現行システム機能階層一覧'!$E$3:$E$1048576,sheet1!B2058)</f>
        <v>1</v>
      </c>
      <c r="I2058" s="37"/>
      <c r="J2058" s="37"/>
      <c r="K2058" s="37"/>
      <c r="L2058" s="37"/>
    </row>
    <row r="2059" spans="1:12" ht="15.75" customHeight="1">
      <c r="A2059" s="87" t="s">
        <v>3935</v>
      </c>
      <c r="B2059" s="87" t="s">
        <v>7075</v>
      </c>
      <c r="C2059" s="87" t="s">
        <v>7076</v>
      </c>
      <c r="D2059" s="88">
        <v>494</v>
      </c>
      <c r="E2059" s="85" t="s">
        <v>6330</v>
      </c>
      <c r="F2059" s="87">
        <v>1123</v>
      </c>
      <c r="G2059" s="37"/>
      <c r="H2059" s="37">
        <f>COUNTIF('(参考)現行システム機能階層一覧'!$E$3:$E$1048576,sheet1!B2059)</f>
        <v>0</v>
      </c>
      <c r="I2059" s="37"/>
      <c r="J2059" s="37"/>
      <c r="K2059" s="37"/>
      <c r="L2059" s="37"/>
    </row>
    <row r="2060" spans="1:12" ht="15.75" customHeight="1">
      <c r="A2060" s="87" t="s">
        <v>3935</v>
      </c>
      <c r="B2060" s="87" t="s">
        <v>1604</v>
      </c>
      <c r="C2060" s="87" t="s">
        <v>1607</v>
      </c>
      <c r="D2060" s="88">
        <v>1179</v>
      </c>
      <c r="E2060" s="85" t="s">
        <v>6330</v>
      </c>
      <c r="F2060" s="87">
        <v>1346</v>
      </c>
      <c r="G2060" s="37"/>
      <c r="H2060" s="37">
        <f>COUNTIF('(参考)現行システム機能階層一覧'!$E$3:$E$1048576,sheet1!B2060)</f>
        <v>2</v>
      </c>
      <c r="I2060" s="37"/>
      <c r="J2060" s="37"/>
      <c r="K2060" s="37"/>
      <c r="L2060" s="37"/>
    </row>
    <row r="2061" spans="1:12" ht="15.75" customHeight="1">
      <c r="A2061" s="87" t="s">
        <v>3935</v>
      </c>
      <c r="B2061" s="87" t="s">
        <v>1797</v>
      </c>
      <c r="C2061" s="87" t="s">
        <v>7077</v>
      </c>
      <c r="D2061" s="88">
        <v>232</v>
      </c>
      <c r="E2061" s="85" t="s">
        <v>6330</v>
      </c>
      <c r="F2061" s="87">
        <v>156</v>
      </c>
      <c r="G2061" s="37"/>
      <c r="H2061" s="37">
        <f>COUNTIF('(参考)現行システム機能階層一覧'!$E$3:$E$1048576,sheet1!B2061)</f>
        <v>1</v>
      </c>
      <c r="I2061" s="37"/>
      <c r="J2061" s="37"/>
      <c r="K2061" s="37"/>
      <c r="L2061" s="37"/>
    </row>
    <row r="2062" spans="1:12" ht="15.75" customHeight="1">
      <c r="A2062" s="87" t="s">
        <v>3853</v>
      </c>
      <c r="B2062" s="87" t="s">
        <v>7078</v>
      </c>
      <c r="C2062" s="87" t="s">
        <v>7079</v>
      </c>
      <c r="D2062" s="88">
        <v>52</v>
      </c>
      <c r="E2062" s="85" t="s">
        <v>6330</v>
      </c>
      <c r="F2062" s="87">
        <v>156</v>
      </c>
      <c r="G2062" s="37"/>
      <c r="H2062" s="37">
        <f>COUNTIF('(参考)現行システム機能階層一覧'!$E$3:$E$1048576,sheet1!B2062)</f>
        <v>0</v>
      </c>
      <c r="I2062" s="37"/>
      <c r="J2062" s="37"/>
      <c r="K2062" s="37"/>
      <c r="L2062" s="37"/>
    </row>
    <row r="2063" spans="1:12" ht="15.75" customHeight="1">
      <c r="A2063" s="87" t="s">
        <v>3935</v>
      </c>
      <c r="B2063" s="87" t="s">
        <v>7080</v>
      </c>
      <c r="C2063" s="87" t="s">
        <v>7081</v>
      </c>
      <c r="D2063" s="88">
        <v>241</v>
      </c>
      <c r="E2063" s="85" t="s">
        <v>6330</v>
      </c>
      <c r="F2063" s="87">
        <v>132</v>
      </c>
      <c r="G2063" s="37"/>
      <c r="H2063" s="37">
        <f>COUNTIF('(参考)現行システム機能階層一覧'!$E$3:$E$1048576,sheet1!B2063)</f>
        <v>0</v>
      </c>
      <c r="I2063" s="37"/>
      <c r="J2063" s="37"/>
      <c r="K2063" s="37"/>
      <c r="L2063" s="37"/>
    </row>
    <row r="2064" spans="1:12" ht="15.75" customHeight="1">
      <c r="A2064" s="87" t="s">
        <v>3935</v>
      </c>
      <c r="B2064" s="87" t="s">
        <v>1721</v>
      </c>
      <c r="C2064" s="87" t="s">
        <v>7082</v>
      </c>
      <c r="D2064" s="88">
        <v>418</v>
      </c>
      <c r="E2064" s="85" t="s">
        <v>6330</v>
      </c>
      <c r="F2064" s="87">
        <v>12</v>
      </c>
      <c r="G2064" s="37"/>
      <c r="H2064" s="37">
        <f>COUNTIF('(参考)現行システム機能階層一覧'!$E$3:$E$1048576,sheet1!B2064)</f>
        <v>1</v>
      </c>
      <c r="I2064" s="37"/>
      <c r="J2064" s="37"/>
      <c r="K2064" s="37"/>
      <c r="L2064" s="37"/>
    </row>
    <row r="2065" spans="1:12" ht="15.75" customHeight="1">
      <c r="A2065" s="87" t="s">
        <v>3853</v>
      </c>
      <c r="B2065" s="87" t="s">
        <v>7083</v>
      </c>
      <c r="C2065" s="87" t="s">
        <v>7084</v>
      </c>
      <c r="D2065" s="88">
        <v>32</v>
      </c>
      <c r="E2065" s="85" t="s">
        <v>6330</v>
      </c>
      <c r="F2065" s="87">
        <v>12</v>
      </c>
      <c r="G2065" s="37"/>
      <c r="H2065" s="37">
        <f>COUNTIF('(参考)現行システム機能階層一覧'!$E$3:$E$1048576,sheet1!B2065)</f>
        <v>0</v>
      </c>
      <c r="I2065" s="37"/>
      <c r="J2065" s="37"/>
      <c r="K2065" s="37"/>
      <c r="L2065" s="37"/>
    </row>
    <row r="2066" spans="1:12" ht="15.75" customHeight="1">
      <c r="A2066" s="87" t="s">
        <v>3935</v>
      </c>
      <c r="B2066" s="87" t="s">
        <v>1473</v>
      </c>
      <c r="C2066" s="87" t="s">
        <v>1474</v>
      </c>
      <c r="D2066" s="88">
        <v>970</v>
      </c>
      <c r="E2066" s="85" t="s">
        <v>6330</v>
      </c>
      <c r="F2066" s="87">
        <v>1295</v>
      </c>
      <c r="G2066" s="37"/>
      <c r="H2066" s="37">
        <f>COUNTIF('(参考)現行システム機能階層一覧'!$E$3:$E$1048576,sheet1!B2066)</f>
        <v>1</v>
      </c>
      <c r="I2066" s="37"/>
      <c r="J2066" s="37"/>
      <c r="K2066" s="37"/>
      <c r="L2066" s="37"/>
    </row>
    <row r="2067" spans="1:12" ht="15.75" customHeight="1">
      <c r="A2067" s="87" t="s">
        <v>3935</v>
      </c>
      <c r="B2067" s="87" t="s">
        <v>7085</v>
      </c>
      <c r="C2067" s="87" t="s">
        <v>7086</v>
      </c>
      <c r="D2067" s="88">
        <v>577</v>
      </c>
      <c r="E2067" s="85" t="s">
        <v>6330</v>
      </c>
      <c r="F2067" s="87">
        <v>1049</v>
      </c>
      <c r="G2067" s="37"/>
      <c r="H2067" s="37">
        <f>COUNTIF('(参考)現行システム機能階層一覧'!$E$3:$E$1048576,sheet1!B2067)</f>
        <v>0</v>
      </c>
      <c r="I2067" s="37"/>
      <c r="J2067" s="37"/>
      <c r="K2067" s="37"/>
      <c r="L2067" s="37"/>
    </row>
    <row r="2068" spans="1:12" ht="15.75" customHeight="1">
      <c r="A2068" s="87" t="s">
        <v>3935</v>
      </c>
      <c r="B2068" s="87" t="s">
        <v>7087</v>
      </c>
      <c r="C2068" s="87" t="s">
        <v>7088</v>
      </c>
      <c r="D2068" s="88">
        <v>330</v>
      </c>
      <c r="E2068" s="85" t="s">
        <v>6330</v>
      </c>
      <c r="F2068" s="87">
        <v>1264</v>
      </c>
      <c r="G2068" s="37"/>
      <c r="H2068" s="37">
        <f>COUNTIF('(参考)現行システム機能階層一覧'!$E$3:$E$1048576,sheet1!B2068)</f>
        <v>0</v>
      </c>
      <c r="I2068" s="37"/>
      <c r="J2068" s="37"/>
      <c r="K2068" s="37"/>
      <c r="L2068" s="37"/>
    </row>
    <row r="2069" spans="1:12" ht="15.75" customHeight="1">
      <c r="A2069" s="87" t="s">
        <v>3853</v>
      </c>
      <c r="B2069" s="87" t="s">
        <v>7089</v>
      </c>
      <c r="C2069" s="87" t="s">
        <v>7088</v>
      </c>
      <c r="D2069" s="88">
        <v>37</v>
      </c>
      <c r="E2069" s="85" t="s">
        <v>6330</v>
      </c>
      <c r="F2069" s="87">
        <v>1264</v>
      </c>
      <c r="G2069" s="37"/>
      <c r="H2069" s="37">
        <f>COUNTIF('(参考)現行システム機能階層一覧'!$E$3:$E$1048576,sheet1!B2069)</f>
        <v>0</v>
      </c>
      <c r="I2069" s="37"/>
      <c r="J2069" s="37"/>
      <c r="K2069" s="37"/>
      <c r="L2069" s="37"/>
    </row>
    <row r="2070" spans="1:12" ht="15.75" customHeight="1">
      <c r="A2070" s="87" t="s">
        <v>3935</v>
      </c>
      <c r="B2070" s="87" t="s">
        <v>7090</v>
      </c>
      <c r="C2070" s="87" t="s">
        <v>7091</v>
      </c>
      <c r="D2070" s="88">
        <v>994</v>
      </c>
      <c r="E2070" s="85" t="s">
        <v>6330</v>
      </c>
      <c r="F2070" s="87">
        <v>1262</v>
      </c>
      <c r="G2070" s="37"/>
      <c r="H2070" s="37">
        <f>COUNTIF('(参考)現行システム機能階層一覧'!$E$3:$E$1048576,sheet1!B2070)</f>
        <v>0</v>
      </c>
      <c r="I2070" s="37"/>
      <c r="J2070" s="37"/>
      <c r="K2070" s="37"/>
      <c r="L2070" s="37"/>
    </row>
    <row r="2071" spans="1:12" ht="15.75" customHeight="1">
      <c r="A2071" s="87" t="s">
        <v>3853</v>
      </c>
      <c r="B2071" s="87" t="s">
        <v>7092</v>
      </c>
      <c r="C2071" s="87" t="s">
        <v>7091</v>
      </c>
      <c r="D2071" s="88">
        <v>56</v>
      </c>
      <c r="E2071" s="85" t="s">
        <v>6330</v>
      </c>
      <c r="F2071" s="87">
        <v>1262</v>
      </c>
      <c r="G2071" s="37"/>
      <c r="H2071" s="37">
        <f>COUNTIF('(参考)現行システム機能階層一覧'!$E$3:$E$1048576,sheet1!B2071)</f>
        <v>0</v>
      </c>
      <c r="I2071" s="37"/>
      <c r="J2071" s="37"/>
      <c r="K2071" s="37"/>
      <c r="L2071" s="37"/>
    </row>
    <row r="2072" spans="1:12" ht="15.75" customHeight="1">
      <c r="A2072" s="87" t="s">
        <v>3935</v>
      </c>
      <c r="B2072" s="87" t="s">
        <v>1712</v>
      </c>
      <c r="C2072" s="87" t="s">
        <v>7093</v>
      </c>
      <c r="D2072" s="88">
        <v>277</v>
      </c>
      <c r="E2072" s="85" t="s">
        <v>6330</v>
      </c>
      <c r="F2072" s="87">
        <v>688</v>
      </c>
      <c r="G2072" s="37"/>
      <c r="H2072" s="37">
        <f>COUNTIF('(参考)現行システム機能階層一覧'!$E$3:$E$1048576,sheet1!B2072)</f>
        <v>1</v>
      </c>
      <c r="I2072" s="37"/>
      <c r="J2072" s="37"/>
      <c r="K2072" s="37"/>
      <c r="L2072" s="37"/>
    </row>
    <row r="2073" spans="1:12" ht="15.75" customHeight="1">
      <c r="A2073" s="87" t="s">
        <v>3935</v>
      </c>
      <c r="B2073" s="87" t="s">
        <v>7094</v>
      </c>
      <c r="C2073" s="87" t="s">
        <v>7095</v>
      </c>
      <c r="D2073" s="88">
        <v>572</v>
      </c>
      <c r="E2073" s="85" t="s">
        <v>6330</v>
      </c>
      <c r="F2073" s="87">
        <v>22</v>
      </c>
      <c r="G2073" s="37"/>
      <c r="H2073" s="37">
        <f>COUNTIF('(参考)現行システム機能階層一覧'!$E$3:$E$1048576,sheet1!B2073)</f>
        <v>0</v>
      </c>
      <c r="I2073" s="37"/>
      <c r="J2073" s="37"/>
      <c r="K2073" s="37"/>
      <c r="L2073" s="37"/>
    </row>
    <row r="2074" spans="1:12" ht="15.75" customHeight="1">
      <c r="A2074" s="87" t="s">
        <v>3853</v>
      </c>
      <c r="B2074" s="87" t="s">
        <v>1715</v>
      </c>
      <c r="C2074" s="87" t="s">
        <v>7096</v>
      </c>
      <c r="D2074" s="88">
        <v>25</v>
      </c>
      <c r="E2074" s="85" t="s">
        <v>6330</v>
      </c>
      <c r="F2074" s="87">
        <v>22</v>
      </c>
      <c r="G2074" s="37"/>
      <c r="H2074" s="37">
        <f>COUNTIF('(参考)現行システム機能階層一覧'!$E$3:$E$1048576,sheet1!B2074)</f>
        <v>1</v>
      </c>
      <c r="I2074" s="37"/>
      <c r="J2074" s="37"/>
      <c r="K2074" s="37"/>
      <c r="L2074" s="37"/>
    </row>
    <row r="2075" spans="1:12" ht="15.75" customHeight="1">
      <c r="A2075" s="87" t="s">
        <v>3935</v>
      </c>
      <c r="B2075" s="87" t="s">
        <v>7097</v>
      </c>
      <c r="C2075" s="87" t="s">
        <v>7098</v>
      </c>
      <c r="D2075" s="88">
        <v>151</v>
      </c>
      <c r="E2075" s="85" t="s">
        <v>6330</v>
      </c>
      <c r="F2075" s="87">
        <v>2</v>
      </c>
      <c r="G2075" s="37"/>
      <c r="H2075" s="37">
        <f>COUNTIF('(参考)現行システム機能階層一覧'!$E$3:$E$1048576,sheet1!B2075)</f>
        <v>0</v>
      </c>
      <c r="I2075" s="37"/>
      <c r="J2075" s="37"/>
      <c r="K2075" s="37"/>
      <c r="L2075" s="37"/>
    </row>
    <row r="2076" spans="1:12" ht="15.75" customHeight="1">
      <c r="A2076" s="87" t="s">
        <v>3935</v>
      </c>
      <c r="B2076" s="87" t="s">
        <v>1718</v>
      </c>
      <c r="C2076" s="87" t="s">
        <v>7099</v>
      </c>
      <c r="D2076" s="88">
        <v>1894</v>
      </c>
      <c r="E2076" s="85" t="s">
        <v>6330</v>
      </c>
      <c r="F2076" s="87">
        <v>5</v>
      </c>
      <c r="G2076" s="37"/>
      <c r="H2076" s="37">
        <f>COUNTIF('(参考)現行システム機能階層一覧'!$E$3:$E$1048576,sheet1!B2076)</f>
        <v>1</v>
      </c>
      <c r="I2076" s="37"/>
      <c r="J2076" s="37"/>
      <c r="K2076" s="37"/>
      <c r="L2076" s="37"/>
    </row>
    <row r="2077" spans="1:12" ht="15.75" customHeight="1">
      <c r="A2077" s="87" t="s">
        <v>3935</v>
      </c>
      <c r="B2077" s="87" t="s">
        <v>7100</v>
      </c>
      <c r="C2077" s="87" t="s">
        <v>7101</v>
      </c>
      <c r="D2077" s="88">
        <v>329</v>
      </c>
      <c r="E2077" s="85" t="s">
        <v>6330</v>
      </c>
      <c r="F2077" s="87">
        <v>1</v>
      </c>
      <c r="G2077" s="37"/>
      <c r="H2077" s="37">
        <f>COUNTIF('(参考)現行システム機能階層一覧'!$E$3:$E$1048576,sheet1!B2077)</f>
        <v>0</v>
      </c>
      <c r="I2077" s="37"/>
      <c r="J2077" s="37"/>
      <c r="K2077" s="37"/>
      <c r="L2077" s="37"/>
    </row>
    <row r="2078" spans="1:12" ht="15.75" customHeight="1">
      <c r="A2078" s="87" t="s">
        <v>3935</v>
      </c>
      <c r="B2078" s="87" t="s">
        <v>3725</v>
      </c>
      <c r="C2078" s="87" t="s">
        <v>7102</v>
      </c>
      <c r="D2078" s="88">
        <v>691</v>
      </c>
      <c r="E2078" s="85" t="s">
        <v>6330</v>
      </c>
      <c r="F2078" s="87">
        <v>170</v>
      </c>
      <c r="G2078" s="37"/>
      <c r="H2078" s="37">
        <f>COUNTIF('(参考)現行システム機能階層一覧'!$E$3:$E$1048576,sheet1!B2078)</f>
        <v>1</v>
      </c>
      <c r="I2078" s="37"/>
      <c r="J2078" s="37"/>
      <c r="K2078" s="37"/>
      <c r="L2078" s="37"/>
    </row>
    <row r="2079" spans="1:12" ht="15.75" customHeight="1">
      <c r="A2079" s="87" t="s">
        <v>3853</v>
      </c>
      <c r="B2079" s="87" t="s">
        <v>7103</v>
      </c>
      <c r="C2079" s="87" t="s">
        <v>7102</v>
      </c>
      <c r="D2079" s="88">
        <v>26</v>
      </c>
      <c r="E2079" s="85" t="s">
        <v>6330</v>
      </c>
      <c r="F2079" s="87">
        <v>170</v>
      </c>
      <c r="G2079" s="37"/>
      <c r="H2079" s="37">
        <f>COUNTIF('(参考)現行システム機能階層一覧'!$E$3:$E$1048576,sheet1!B2079)</f>
        <v>0</v>
      </c>
      <c r="I2079" s="37"/>
      <c r="J2079" s="37"/>
      <c r="K2079" s="37"/>
      <c r="L2079" s="37"/>
    </row>
    <row r="2080" spans="1:12" ht="15.75" customHeight="1">
      <c r="A2080" s="87" t="s">
        <v>3853</v>
      </c>
      <c r="B2080" s="87" t="s">
        <v>7104</v>
      </c>
      <c r="C2080" s="87" t="s">
        <v>7105</v>
      </c>
      <c r="D2080" s="88">
        <v>83</v>
      </c>
      <c r="E2080" s="85" t="s">
        <v>6330</v>
      </c>
      <c r="F2080" s="87">
        <v>3</v>
      </c>
      <c r="G2080" s="37"/>
      <c r="H2080" s="37">
        <f>COUNTIF('(参考)現行システム機能階層一覧'!$E$3:$E$1048576,sheet1!B2080)</f>
        <v>0</v>
      </c>
      <c r="I2080" s="37"/>
      <c r="J2080" s="37"/>
      <c r="K2080" s="37"/>
      <c r="L2080" s="37"/>
    </row>
    <row r="2081" spans="1:12" ht="15.75" customHeight="1">
      <c r="A2081" s="87" t="s">
        <v>3853</v>
      </c>
      <c r="B2081" s="87" t="s">
        <v>7106</v>
      </c>
      <c r="C2081" s="87" t="s">
        <v>7105</v>
      </c>
      <c r="D2081" s="88">
        <v>86</v>
      </c>
      <c r="E2081" s="85" t="s">
        <v>6330</v>
      </c>
      <c r="F2081" s="87">
        <v>362</v>
      </c>
      <c r="G2081" s="37"/>
      <c r="H2081" s="37">
        <f>COUNTIF('(参考)現行システム機能階層一覧'!$E$3:$E$1048576,sheet1!B2081)</f>
        <v>0</v>
      </c>
      <c r="I2081" s="37"/>
      <c r="J2081" s="37"/>
      <c r="K2081" s="37"/>
      <c r="L2081" s="37"/>
    </row>
    <row r="2082" spans="1:12" ht="15.75" customHeight="1">
      <c r="A2082" s="87" t="s">
        <v>3853</v>
      </c>
      <c r="B2082" s="87" t="s">
        <v>7107</v>
      </c>
      <c r="C2082" s="87" t="s">
        <v>7105</v>
      </c>
      <c r="D2082" s="88">
        <v>74</v>
      </c>
      <c r="E2082" s="85" t="s">
        <v>6330</v>
      </c>
      <c r="F2082" s="87">
        <v>2</v>
      </c>
      <c r="G2082" s="37"/>
      <c r="H2082" s="37">
        <f>COUNTIF('(参考)現行システム機能階層一覧'!$E$3:$E$1048576,sheet1!B2082)</f>
        <v>0</v>
      </c>
      <c r="I2082" s="37"/>
      <c r="J2082" s="37"/>
      <c r="K2082" s="37"/>
      <c r="L2082" s="37"/>
    </row>
    <row r="2083" spans="1:12" ht="15.75" customHeight="1">
      <c r="A2083" s="87" t="s">
        <v>3853</v>
      </c>
      <c r="B2083" s="87" t="s">
        <v>7108</v>
      </c>
      <c r="C2083" s="87" t="s">
        <v>7109</v>
      </c>
      <c r="D2083" s="88">
        <v>62</v>
      </c>
      <c r="E2083" s="85" t="s">
        <v>6330</v>
      </c>
      <c r="F2083" s="87">
        <v>7</v>
      </c>
      <c r="G2083" s="37"/>
      <c r="H2083" s="37">
        <f>COUNTIF('(参考)現行システム機能階層一覧'!$E$3:$E$1048576,sheet1!B2083)</f>
        <v>0</v>
      </c>
      <c r="I2083" s="37"/>
      <c r="J2083" s="37"/>
      <c r="K2083" s="37"/>
      <c r="L2083" s="37"/>
    </row>
    <row r="2084" spans="1:12" ht="15.75" customHeight="1">
      <c r="A2084" s="87" t="s">
        <v>3853</v>
      </c>
      <c r="B2084" s="87" t="s">
        <v>7110</v>
      </c>
      <c r="C2084" s="87" t="s">
        <v>7111</v>
      </c>
      <c r="D2084" s="88">
        <v>81</v>
      </c>
      <c r="E2084" s="85" t="s">
        <v>6330</v>
      </c>
      <c r="F2084" s="87">
        <v>14</v>
      </c>
      <c r="G2084" s="37"/>
      <c r="H2084" s="37">
        <f>COUNTIF('(参考)現行システム機能階層一覧'!$E$3:$E$1048576,sheet1!B2084)</f>
        <v>0</v>
      </c>
      <c r="I2084" s="37"/>
      <c r="J2084" s="37"/>
      <c r="K2084" s="37"/>
      <c r="L2084" s="37"/>
    </row>
    <row r="2085" spans="1:12" ht="15.75" customHeight="1">
      <c r="A2085" s="87" t="s">
        <v>3853</v>
      </c>
      <c r="B2085" s="87" t="s">
        <v>7112</v>
      </c>
      <c r="C2085" s="87" t="s">
        <v>7113</v>
      </c>
      <c r="D2085" s="88">
        <v>79</v>
      </c>
      <c r="E2085" s="85" t="s">
        <v>6330</v>
      </c>
      <c r="F2085" s="87">
        <v>66</v>
      </c>
      <c r="G2085" s="37"/>
      <c r="H2085" s="37">
        <f>COUNTIF('(参考)現行システム機能階層一覧'!$E$3:$E$1048576,sheet1!B2085)</f>
        <v>0</v>
      </c>
      <c r="I2085" s="37"/>
      <c r="J2085" s="37"/>
      <c r="K2085" s="37"/>
      <c r="L2085" s="37"/>
    </row>
    <row r="2086" spans="1:12" ht="15.75" customHeight="1">
      <c r="A2086" s="87" t="s">
        <v>3853</v>
      </c>
      <c r="B2086" s="87" t="s">
        <v>7114</v>
      </c>
      <c r="C2086" s="87" t="s">
        <v>7115</v>
      </c>
      <c r="D2086" s="88">
        <v>34</v>
      </c>
      <c r="E2086" s="85" t="s">
        <v>6330</v>
      </c>
      <c r="F2086" s="87">
        <v>2</v>
      </c>
      <c r="G2086" s="37"/>
      <c r="H2086" s="37">
        <f>COUNTIF('(参考)現行システム機能階層一覧'!$E$3:$E$1048576,sheet1!B2086)</f>
        <v>0</v>
      </c>
      <c r="I2086" s="37"/>
      <c r="J2086" s="37"/>
      <c r="K2086" s="37"/>
      <c r="L2086" s="37"/>
    </row>
    <row r="2087" spans="1:12" ht="15.75" customHeight="1">
      <c r="A2087" s="87" t="s">
        <v>3935</v>
      </c>
      <c r="B2087" s="87" t="s">
        <v>1801</v>
      </c>
      <c r="C2087" s="87" t="s">
        <v>38</v>
      </c>
      <c r="D2087" s="88">
        <v>469</v>
      </c>
      <c r="E2087" s="85" t="s">
        <v>6330</v>
      </c>
      <c r="F2087" s="87">
        <v>1737</v>
      </c>
      <c r="G2087" s="37"/>
      <c r="H2087" s="37">
        <f>COUNTIF('(参考)現行システム機能階層一覧'!$E$3:$E$1048576,sheet1!B2087)</f>
        <v>1</v>
      </c>
      <c r="I2087" s="37"/>
      <c r="J2087" s="37"/>
      <c r="K2087" s="37"/>
      <c r="L2087" s="37"/>
    </row>
    <row r="2088" spans="1:12" ht="15.75" customHeight="1">
      <c r="A2088" s="87" t="s">
        <v>3935</v>
      </c>
      <c r="B2088" s="87" t="s">
        <v>1806</v>
      </c>
      <c r="C2088" s="87" t="s">
        <v>7116</v>
      </c>
      <c r="D2088" s="88">
        <v>597</v>
      </c>
      <c r="E2088" s="85" t="s">
        <v>6330</v>
      </c>
      <c r="F2088" s="87">
        <v>1411</v>
      </c>
      <c r="G2088" s="37"/>
      <c r="H2088" s="37">
        <f>COUNTIF('(参考)現行システム機能階層一覧'!$E$3:$E$1048576,sheet1!B2088)</f>
        <v>1</v>
      </c>
      <c r="I2088" s="37"/>
      <c r="J2088" s="37"/>
      <c r="K2088" s="37"/>
      <c r="L2088" s="37"/>
    </row>
    <row r="2089" spans="1:12" ht="15.75" customHeight="1">
      <c r="A2089" s="87" t="s">
        <v>3935</v>
      </c>
      <c r="B2089" s="87" t="s">
        <v>7117</v>
      </c>
      <c r="C2089" s="87" t="s">
        <v>7116</v>
      </c>
      <c r="D2089" s="88">
        <v>606</v>
      </c>
      <c r="E2089" s="85" t="s">
        <v>6330</v>
      </c>
      <c r="F2089" s="87">
        <v>2</v>
      </c>
      <c r="G2089" s="37"/>
      <c r="H2089" s="37">
        <f>COUNTIF('(参考)現行システム機能階層一覧'!$E$3:$E$1048576,sheet1!B2089)</f>
        <v>0</v>
      </c>
      <c r="I2089" s="37"/>
      <c r="J2089" s="37"/>
      <c r="K2089" s="37"/>
      <c r="L2089" s="37"/>
    </row>
    <row r="2090" spans="1:12" ht="15.75" customHeight="1">
      <c r="A2090" s="87" t="s">
        <v>3935</v>
      </c>
      <c r="B2090" s="87" t="s">
        <v>1810</v>
      </c>
      <c r="C2090" s="87" t="s">
        <v>7118</v>
      </c>
      <c r="D2090" s="88">
        <v>549</v>
      </c>
      <c r="E2090" s="85" t="s">
        <v>6330</v>
      </c>
      <c r="F2090" s="87">
        <v>852</v>
      </c>
      <c r="G2090" s="37"/>
      <c r="H2090" s="37">
        <f>COUNTIF('(参考)現行システム機能階層一覧'!$E$3:$E$1048576,sheet1!B2090)</f>
        <v>1</v>
      </c>
      <c r="I2090" s="37"/>
      <c r="J2090" s="37"/>
      <c r="K2090" s="37"/>
      <c r="L2090" s="37"/>
    </row>
    <row r="2091" spans="1:12" ht="15.75" customHeight="1">
      <c r="A2091" s="87" t="s">
        <v>3935</v>
      </c>
      <c r="B2091" s="87" t="s">
        <v>1814</v>
      </c>
      <c r="C2091" s="87" t="s">
        <v>7119</v>
      </c>
      <c r="D2091" s="88">
        <v>747</v>
      </c>
      <c r="E2091" s="85" t="s">
        <v>6330</v>
      </c>
      <c r="F2091" s="87">
        <v>1477</v>
      </c>
      <c r="G2091" s="37"/>
      <c r="H2091" s="37">
        <f>COUNTIF('(参考)現行システム機能階層一覧'!$E$3:$E$1048576,sheet1!B2091)</f>
        <v>1</v>
      </c>
      <c r="I2091" s="37"/>
      <c r="J2091" s="37"/>
      <c r="K2091" s="37"/>
      <c r="L2091" s="37"/>
    </row>
    <row r="2092" spans="1:12" ht="15.75" customHeight="1">
      <c r="A2092" s="87" t="s">
        <v>3853</v>
      </c>
      <c r="B2092" s="87" t="s">
        <v>7120</v>
      </c>
      <c r="C2092" s="87" t="s">
        <v>7119</v>
      </c>
      <c r="D2092" s="88">
        <v>60</v>
      </c>
      <c r="E2092" s="85" t="s">
        <v>6330</v>
      </c>
      <c r="F2092" s="87">
        <v>700</v>
      </c>
      <c r="G2092" s="37"/>
      <c r="H2092" s="37">
        <f>COUNTIF('(参考)現行システム機能階層一覧'!$E$3:$E$1048576,sheet1!B2092)</f>
        <v>0</v>
      </c>
      <c r="I2092" s="37"/>
      <c r="J2092" s="37"/>
      <c r="K2092" s="37"/>
      <c r="L2092" s="37"/>
    </row>
    <row r="2093" spans="1:12" ht="15.75" customHeight="1">
      <c r="A2093" s="87" t="s">
        <v>3935</v>
      </c>
      <c r="B2093" s="87" t="s">
        <v>1886</v>
      </c>
      <c r="C2093" s="87" t="s">
        <v>7121</v>
      </c>
      <c r="D2093" s="88">
        <v>961</v>
      </c>
      <c r="E2093" s="85" t="s">
        <v>6330</v>
      </c>
      <c r="F2093" s="87">
        <v>241</v>
      </c>
      <c r="G2093" s="37"/>
      <c r="H2093" s="37">
        <f>COUNTIF('(参考)現行システム機能階層一覧'!$E$3:$E$1048576,sheet1!B2093)</f>
        <v>1</v>
      </c>
      <c r="I2093" s="37"/>
      <c r="J2093" s="37"/>
      <c r="K2093" s="37"/>
      <c r="L2093" s="37"/>
    </row>
    <row r="2094" spans="1:12" ht="15.75" customHeight="1">
      <c r="A2094" s="87" t="s">
        <v>3935</v>
      </c>
      <c r="B2094" s="87" t="s">
        <v>1890</v>
      </c>
      <c r="C2094" s="87" t="s">
        <v>7122</v>
      </c>
      <c r="D2094" s="88">
        <v>919</v>
      </c>
      <c r="E2094" s="85" t="s">
        <v>6330</v>
      </c>
      <c r="F2094" s="87">
        <v>188</v>
      </c>
      <c r="G2094" s="37"/>
      <c r="H2094" s="37">
        <f>COUNTIF('(参考)現行システム機能階層一覧'!$E$3:$E$1048576,sheet1!B2094)</f>
        <v>1</v>
      </c>
      <c r="I2094" s="37"/>
      <c r="J2094" s="37"/>
      <c r="K2094" s="37"/>
      <c r="L2094" s="37"/>
    </row>
    <row r="2095" spans="1:12" ht="15.75" customHeight="1">
      <c r="A2095" s="87" t="s">
        <v>3935</v>
      </c>
      <c r="B2095" s="87" t="s">
        <v>1894</v>
      </c>
      <c r="C2095" s="87" t="s">
        <v>1897</v>
      </c>
      <c r="D2095" s="88">
        <v>572</v>
      </c>
      <c r="E2095" s="85" t="s">
        <v>6330</v>
      </c>
      <c r="F2095" s="87">
        <v>204</v>
      </c>
      <c r="G2095" s="37"/>
      <c r="H2095" s="37">
        <f>COUNTIF('(参考)現行システム機能階層一覧'!$E$3:$E$1048576,sheet1!B2095)</f>
        <v>1</v>
      </c>
      <c r="I2095" s="37"/>
      <c r="J2095" s="37"/>
      <c r="K2095" s="37"/>
      <c r="L2095" s="37"/>
    </row>
    <row r="2096" spans="1:12" ht="15.75" customHeight="1">
      <c r="A2096" s="87" t="s">
        <v>3935</v>
      </c>
      <c r="B2096" s="87" t="s">
        <v>1879</v>
      </c>
      <c r="C2096" s="87" t="s">
        <v>7123</v>
      </c>
      <c r="D2096" s="88">
        <v>996</v>
      </c>
      <c r="E2096" s="85" t="s">
        <v>6330</v>
      </c>
      <c r="F2096" s="87">
        <v>589</v>
      </c>
      <c r="G2096" s="37"/>
      <c r="H2096" s="37">
        <f>COUNTIF('(参考)現行システム機能階層一覧'!$E$3:$E$1048576,sheet1!B2096)</f>
        <v>1</v>
      </c>
      <c r="I2096" s="37"/>
      <c r="J2096" s="37"/>
      <c r="K2096" s="37"/>
      <c r="L2096" s="37"/>
    </row>
    <row r="2097" spans="1:12" ht="15.75" customHeight="1">
      <c r="A2097" s="87" t="s">
        <v>3935</v>
      </c>
      <c r="B2097" s="87" t="s">
        <v>1856</v>
      </c>
      <c r="C2097" s="87" t="s">
        <v>7124</v>
      </c>
      <c r="D2097" s="88">
        <v>1125</v>
      </c>
      <c r="E2097" s="85" t="s">
        <v>6330</v>
      </c>
      <c r="F2097" s="87">
        <v>1577</v>
      </c>
      <c r="G2097" s="37"/>
      <c r="H2097" s="37">
        <f>COUNTIF('(参考)現行システム機能階層一覧'!$E$3:$E$1048576,sheet1!B2097)</f>
        <v>1</v>
      </c>
      <c r="I2097" s="37"/>
      <c r="J2097" s="37"/>
      <c r="K2097" s="37"/>
      <c r="L2097" s="37"/>
    </row>
    <row r="2098" spans="1:12" ht="15.75" customHeight="1">
      <c r="A2098" s="87" t="s">
        <v>3935</v>
      </c>
      <c r="B2098" s="87" t="s">
        <v>1908</v>
      </c>
      <c r="C2098" s="87" t="s">
        <v>1910</v>
      </c>
      <c r="D2098" s="88">
        <v>590</v>
      </c>
      <c r="E2098" s="85" t="s">
        <v>6330</v>
      </c>
      <c r="F2098" s="87">
        <v>12</v>
      </c>
      <c r="G2098" s="37"/>
      <c r="H2098" s="37">
        <f>COUNTIF('(参考)現行システム機能階層一覧'!$E$3:$E$1048576,sheet1!B2098)</f>
        <v>1</v>
      </c>
      <c r="I2098" s="37"/>
      <c r="J2098" s="37"/>
      <c r="K2098" s="37"/>
      <c r="L2098" s="37"/>
    </row>
    <row r="2099" spans="1:12" ht="15.75" customHeight="1">
      <c r="A2099" s="87" t="s">
        <v>3853</v>
      </c>
      <c r="B2099" s="87" t="s">
        <v>7125</v>
      </c>
      <c r="C2099" s="87" t="s">
        <v>7126</v>
      </c>
      <c r="D2099" s="88">
        <v>31</v>
      </c>
      <c r="E2099" s="85" t="s">
        <v>6330</v>
      </c>
      <c r="F2099" s="87">
        <v>12</v>
      </c>
      <c r="G2099" s="37"/>
      <c r="H2099" s="37">
        <f>COUNTIF('(参考)現行システム機能階層一覧'!$E$3:$E$1048576,sheet1!B2099)</f>
        <v>0</v>
      </c>
      <c r="I2099" s="37"/>
      <c r="J2099" s="37"/>
      <c r="K2099" s="37"/>
      <c r="L2099" s="37"/>
    </row>
    <row r="2100" spans="1:12" ht="15.75" customHeight="1">
      <c r="A2100" s="87" t="s">
        <v>3935</v>
      </c>
      <c r="B2100" s="87" t="s">
        <v>1827</v>
      </c>
      <c r="C2100" s="87" t="s">
        <v>7127</v>
      </c>
      <c r="D2100" s="88">
        <v>477</v>
      </c>
      <c r="E2100" s="85" t="s">
        <v>6330</v>
      </c>
      <c r="F2100" s="87">
        <v>1229</v>
      </c>
      <c r="G2100" s="37"/>
      <c r="H2100" s="37">
        <f>COUNTIF('(参考)現行システム機能階層一覧'!$E$3:$E$1048576,sheet1!B2100)</f>
        <v>1</v>
      </c>
      <c r="I2100" s="37"/>
      <c r="J2100" s="37"/>
      <c r="K2100" s="37"/>
      <c r="L2100" s="37"/>
    </row>
    <row r="2101" spans="1:12" ht="15.75" customHeight="1">
      <c r="A2101" s="87" t="s">
        <v>3935</v>
      </c>
      <c r="B2101" s="87" t="s">
        <v>1832</v>
      </c>
      <c r="C2101" s="87" t="s">
        <v>7128</v>
      </c>
      <c r="D2101" s="88">
        <v>591</v>
      </c>
      <c r="E2101" s="85" t="s">
        <v>6330</v>
      </c>
      <c r="F2101" s="87">
        <v>1643</v>
      </c>
      <c r="G2101" s="37"/>
      <c r="H2101" s="37">
        <f>COUNTIF('(参考)現行システム機能階層一覧'!$E$3:$E$1048576,sheet1!B2101)</f>
        <v>1</v>
      </c>
      <c r="I2101" s="37"/>
      <c r="J2101" s="37"/>
      <c r="K2101" s="37"/>
      <c r="L2101" s="37"/>
    </row>
    <row r="2102" spans="1:12" ht="15.75" customHeight="1">
      <c r="A2102" s="87" t="s">
        <v>3935</v>
      </c>
      <c r="B2102" s="87" t="s">
        <v>1837</v>
      </c>
      <c r="C2102" s="87" t="s">
        <v>7129</v>
      </c>
      <c r="D2102" s="88">
        <v>566</v>
      </c>
      <c r="E2102" s="85" t="s">
        <v>6330</v>
      </c>
      <c r="F2102" s="87">
        <v>1292</v>
      </c>
      <c r="G2102" s="37"/>
      <c r="H2102" s="37">
        <f>COUNTIF('(参考)現行システム機能階層一覧'!$E$3:$E$1048576,sheet1!B2102)</f>
        <v>1</v>
      </c>
      <c r="I2102" s="37"/>
      <c r="J2102" s="37"/>
      <c r="K2102" s="37"/>
      <c r="L2102" s="37"/>
    </row>
    <row r="2103" spans="1:12" ht="15.75" customHeight="1">
      <c r="A2103" s="87" t="s">
        <v>3935</v>
      </c>
      <c r="B2103" s="87" t="s">
        <v>1818</v>
      </c>
      <c r="C2103" s="87" t="s">
        <v>7130</v>
      </c>
      <c r="D2103" s="88">
        <v>764</v>
      </c>
      <c r="E2103" s="85" t="s">
        <v>6330</v>
      </c>
      <c r="F2103" s="87">
        <v>94</v>
      </c>
      <c r="G2103" s="37"/>
      <c r="H2103" s="37">
        <f>COUNTIF('(参考)現行システム機能階層一覧'!$E$3:$E$1048576,sheet1!B2103)</f>
        <v>1</v>
      </c>
      <c r="I2103" s="37"/>
      <c r="J2103" s="37"/>
      <c r="K2103" s="37"/>
      <c r="L2103" s="37"/>
    </row>
    <row r="2104" spans="1:12" ht="15.75" customHeight="1">
      <c r="A2104" s="87" t="s">
        <v>3935</v>
      </c>
      <c r="B2104" s="87" t="s">
        <v>1842</v>
      </c>
      <c r="C2104" s="87" t="s">
        <v>7131</v>
      </c>
      <c r="D2104" s="88">
        <v>553</v>
      </c>
      <c r="E2104" s="85" t="s">
        <v>6330</v>
      </c>
      <c r="F2104" s="87">
        <v>1086</v>
      </c>
      <c r="G2104" s="37"/>
      <c r="H2104" s="37">
        <f>COUNTIF('(参考)現行システム機能階層一覧'!$E$3:$E$1048576,sheet1!B2104)</f>
        <v>1</v>
      </c>
      <c r="I2104" s="37"/>
      <c r="J2104" s="37"/>
      <c r="K2104" s="37"/>
      <c r="L2104" s="37"/>
    </row>
    <row r="2105" spans="1:12" ht="15.75" customHeight="1">
      <c r="A2105" s="87" t="s">
        <v>3935</v>
      </c>
      <c r="B2105" s="87" t="s">
        <v>7132</v>
      </c>
      <c r="C2105" s="87" t="s">
        <v>7133</v>
      </c>
      <c r="D2105" s="88">
        <v>255</v>
      </c>
      <c r="E2105" s="85" t="s">
        <v>6330</v>
      </c>
      <c r="F2105" s="87">
        <v>1504</v>
      </c>
      <c r="G2105" s="37"/>
      <c r="H2105" s="37">
        <f>COUNTIF('(参考)現行システム機能階層一覧'!$E$3:$E$1048576,sheet1!B2105)</f>
        <v>0</v>
      </c>
      <c r="I2105" s="37"/>
      <c r="J2105" s="37"/>
      <c r="K2105" s="37"/>
      <c r="L2105" s="37"/>
    </row>
    <row r="2106" spans="1:12" ht="15.75" customHeight="1">
      <c r="A2106" s="87" t="s">
        <v>3935</v>
      </c>
      <c r="B2106" s="87" t="s">
        <v>1851</v>
      </c>
      <c r="C2106" s="87" t="s">
        <v>7134</v>
      </c>
      <c r="D2106" s="88">
        <v>1063</v>
      </c>
      <c r="E2106" s="85" t="s">
        <v>6330</v>
      </c>
      <c r="F2106" s="87">
        <v>1447</v>
      </c>
      <c r="G2106" s="37"/>
      <c r="H2106" s="37">
        <f>COUNTIF('(参考)現行システム機能階層一覧'!$E$3:$E$1048576,sheet1!B2106)</f>
        <v>1</v>
      </c>
      <c r="I2106" s="37"/>
      <c r="J2106" s="37"/>
      <c r="K2106" s="37"/>
      <c r="L2106" s="37"/>
    </row>
    <row r="2107" spans="1:12" ht="15.75" customHeight="1">
      <c r="A2107" s="87" t="s">
        <v>3935</v>
      </c>
      <c r="B2107" s="87" t="s">
        <v>1869</v>
      </c>
      <c r="C2107" s="87" t="s">
        <v>7135</v>
      </c>
      <c r="D2107" s="88">
        <v>745</v>
      </c>
      <c r="E2107" s="85" t="s">
        <v>6330</v>
      </c>
      <c r="F2107" s="87">
        <v>1397</v>
      </c>
      <c r="G2107" s="37"/>
      <c r="H2107" s="37">
        <f>COUNTIF('(参考)現行システム機能階層一覧'!$E$3:$E$1048576,sheet1!B2107)</f>
        <v>1</v>
      </c>
      <c r="I2107" s="37"/>
      <c r="J2107" s="37"/>
      <c r="K2107" s="37"/>
      <c r="L2107" s="37"/>
    </row>
    <row r="2108" spans="1:12" ht="15.75" customHeight="1">
      <c r="A2108" s="87" t="s">
        <v>3935</v>
      </c>
      <c r="B2108" s="87" t="s">
        <v>1861</v>
      </c>
      <c r="C2108" s="87" t="s">
        <v>7136</v>
      </c>
      <c r="D2108" s="88">
        <v>859</v>
      </c>
      <c r="E2108" s="85" t="s">
        <v>6330</v>
      </c>
      <c r="F2108" s="87">
        <v>1276</v>
      </c>
      <c r="G2108" s="37"/>
      <c r="H2108" s="37">
        <f>COUNTIF('(参考)現行システム機能階層一覧'!$E$3:$E$1048576,sheet1!B2108)</f>
        <v>2</v>
      </c>
      <c r="I2108" s="37"/>
      <c r="J2108" s="37"/>
      <c r="K2108" s="37"/>
      <c r="L2108" s="37"/>
    </row>
    <row r="2109" spans="1:12" ht="15.75" customHeight="1">
      <c r="A2109" s="87" t="s">
        <v>3935</v>
      </c>
      <c r="B2109" s="87" t="s">
        <v>1874</v>
      </c>
      <c r="C2109" s="87" t="s">
        <v>7137</v>
      </c>
      <c r="D2109" s="88">
        <v>464</v>
      </c>
      <c r="E2109" s="85" t="s">
        <v>6330</v>
      </c>
      <c r="F2109" s="87">
        <v>280</v>
      </c>
      <c r="G2109" s="37"/>
      <c r="H2109" s="37">
        <f>COUNTIF('(参考)現行システム機能階層一覧'!$E$3:$E$1048576,sheet1!B2109)</f>
        <v>1</v>
      </c>
      <c r="I2109" s="37"/>
      <c r="J2109" s="37"/>
      <c r="K2109" s="37"/>
      <c r="L2109" s="37"/>
    </row>
    <row r="2110" spans="1:12" ht="15.75" customHeight="1">
      <c r="A2110" s="87" t="s">
        <v>3935</v>
      </c>
      <c r="B2110" s="87" t="s">
        <v>1822</v>
      </c>
      <c r="C2110" s="87" t="s">
        <v>7138</v>
      </c>
      <c r="D2110" s="88">
        <v>444</v>
      </c>
      <c r="E2110" s="85" t="s">
        <v>6330</v>
      </c>
      <c r="F2110" s="87">
        <v>1370</v>
      </c>
      <c r="G2110" s="37"/>
      <c r="H2110" s="37">
        <f>COUNTIF('(参考)現行システム機能階層一覧'!$E$3:$E$1048576,sheet1!B2110)</f>
        <v>1</v>
      </c>
      <c r="I2110" s="37"/>
      <c r="J2110" s="37"/>
      <c r="K2110" s="37"/>
      <c r="L2110" s="37"/>
    </row>
    <row r="2111" spans="1:12" ht="15.75" customHeight="1">
      <c r="A2111" s="87" t="s">
        <v>3935</v>
      </c>
      <c r="B2111" s="87" t="s">
        <v>1538</v>
      </c>
      <c r="C2111" s="87" t="s">
        <v>1539</v>
      </c>
      <c r="D2111" s="88">
        <v>992</v>
      </c>
      <c r="E2111" s="85" t="s">
        <v>6330</v>
      </c>
      <c r="F2111" s="87">
        <v>1392</v>
      </c>
      <c r="G2111" s="37"/>
      <c r="H2111" s="37">
        <f>COUNTIF('(参考)現行システム機能階層一覧'!$E$3:$E$1048576,sheet1!B2111)</f>
        <v>1</v>
      </c>
      <c r="I2111" s="37"/>
      <c r="J2111" s="37"/>
      <c r="K2111" s="37"/>
      <c r="L2111" s="37"/>
    </row>
    <row r="2112" spans="1:12" ht="15.75" customHeight="1">
      <c r="A2112" s="87" t="s">
        <v>3935</v>
      </c>
      <c r="B2112" s="87" t="s">
        <v>7139</v>
      </c>
      <c r="C2112" s="87" t="s">
        <v>7140</v>
      </c>
      <c r="D2112" s="88">
        <v>507</v>
      </c>
      <c r="E2112" s="85" t="s">
        <v>6330</v>
      </c>
      <c r="F2112" s="87">
        <v>1017</v>
      </c>
      <c r="G2112" s="37"/>
      <c r="H2112" s="37">
        <f>COUNTIF('(参考)現行システム機能階層一覧'!$E$3:$E$1048576,sheet1!B2112)</f>
        <v>0</v>
      </c>
      <c r="I2112" s="37"/>
      <c r="J2112" s="37"/>
      <c r="K2112" s="37"/>
      <c r="L2112" s="37"/>
    </row>
    <row r="2113" spans="1:12" ht="15.75" customHeight="1">
      <c r="A2113" s="87" t="s">
        <v>3935</v>
      </c>
      <c r="B2113" s="87" t="s">
        <v>1562</v>
      </c>
      <c r="C2113" s="87" t="s">
        <v>7141</v>
      </c>
      <c r="D2113" s="88">
        <v>371</v>
      </c>
      <c r="E2113" s="85" t="s">
        <v>6330</v>
      </c>
      <c r="F2113" s="87">
        <v>148</v>
      </c>
      <c r="G2113" s="37"/>
      <c r="H2113" s="37">
        <f>COUNTIF('(参考)現行システム機能階層一覧'!$E$3:$E$1048576,sheet1!B2113)</f>
        <v>1</v>
      </c>
      <c r="I2113" s="37"/>
      <c r="J2113" s="37"/>
      <c r="K2113" s="37"/>
      <c r="L2113" s="37"/>
    </row>
    <row r="2114" spans="1:12" ht="15.75" customHeight="1">
      <c r="A2114" s="87" t="s">
        <v>3853</v>
      </c>
      <c r="B2114" s="87" t="s">
        <v>7142</v>
      </c>
      <c r="C2114" s="87" t="s">
        <v>7143</v>
      </c>
      <c r="D2114" s="88">
        <v>75</v>
      </c>
      <c r="E2114" s="85" t="s">
        <v>6330</v>
      </c>
      <c r="F2114" s="87">
        <v>80</v>
      </c>
      <c r="G2114" s="37"/>
      <c r="H2114" s="37">
        <f>COUNTIF('(参考)現行システム機能階層一覧'!$E$3:$E$1048576,sheet1!B2114)</f>
        <v>0</v>
      </c>
      <c r="I2114" s="37"/>
      <c r="J2114" s="37"/>
      <c r="K2114" s="37"/>
      <c r="L2114" s="37"/>
    </row>
    <row r="2115" spans="1:12" ht="15.75" customHeight="1">
      <c r="A2115" s="87" t="s">
        <v>3935</v>
      </c>
      <c r="B2115" s="87" t="s">
        <v>7144</v>
      </c>
      <c r="C2115" s="87" t="s">
        <v>7145</v>
      </c>
      <c r="D2115" s="88">
        <v>60</v>
      </c>
      <c r="E2115" s="85" t="s">
        <v>6330</v>
      </c>
      <c r="F2115" s="87">
        <v>1886</v>
      </c>
      <c r="G2115" s="37"/>
      <c r="H2115" s="37">
        <f>COUNTIF('(参考)現行システム機能階層一覧'!$E$3:$E$1048576,sheet1!B2115)</f>
        <v>0</v>
      </c>
      <c r="I2115" s="37"/>
      <c r="J2115" s="37"/>
      <c r="K2115" s="37"/>
      <c r="L2115" s="37"/>
    </row>
    <row r="2116" spans="1:12" ht="15.75" customHeight="1">
      <c r="A2116" s="87" t="s">
        <v>3853</v>
      </c>
      <c r="B2116" s="87" t="s">
        <v>7146</v>
      </c>
      <c r="C2116" s="87" t="s">
        <v>7147</v>
      </c>
      <c r="D2116" s="88">
        <v>22</v>
      </c>
      <c r="E2116" s="85" t="s">
        <v>6330</v>
      </c>
      <c r="F2116" s="87">
        <v>1886</v>
      </c>
      <c r="G2116" s="37"/>
      <c r="H2116" s="37">
        <f>COUNTIF('(参考)現行システム機能階層一覧'!$E$3:$E$1048576,sheet1!B2116)</f>
        <v>0</v>
      </c>
      <c r="I2116" s="37"/>
      <c r="J2116" s="37"/>
      <c r="K2116" s="37"/>
      <c r="L2116" s="37"/>
    </row>
    <row r="2117" spans="1:12" ht="15.75" customHeight="1">
      <c r="A2117" s="87" t="s">
        <v>3935</v>
      </c>
      <c r="B2117" s="87" t="s">
        <v>7148</v>
      </c>
      <c r="C2117" s="87" t="s">
        <v>7149</v>
      </c>
      <c r="D2117" s="88">
        <v>300</v>
      </c>
      <c r="E2117" s="85" t="s">
        <v>6330</v>
      </c>
      <c r="F2117" s="87">
        <v>1886</v>
      </c>
      <c r="G2117" s="37"/>
      <c r="H2117" s="37">
        <f>COUNTIF('(参考)現行システム機能階層一覧'!$E$3:$E$1048576,sheet1!B2117)</f>
        <v>0</v>
      </c>
      <c r="I2117" s="37"/>
      <c r="J2117" s="37"/>
      <c r="K2117" s="37"/>
      <c r="L2117" s="37"/>
    </row>
    <row r="2118" spans="1:12" ht="15.75" customHeight="1">
      <c r="A2118" s="87" t="s">
        <v>3935</v>
      </c>
      <c r="B2118" s="87" t="s">
        <v>7150</v>
      </c>
      <c r="C2118" s="87" t="s">
        <v>7151</v>
      </c>
      <c r="D2118" s="88">
        <v>777</v>
      </c>
      <c r="E2118" s="85" t="s">
        <v>6330</v>
      </c>
      <c r="F2118" s="87">
        <v>80</v>
      </c>
      <c r="G2118" s="37"/>
      <c r="H2118" s="37">
        <f>COUNTIF('(参考)現行システム機能階層一覧'!$E$3:$E$1048576,sheet1!B2118)</f>
        <v>0</v>
      </c>
      <c r="I2118" s="37"/>
      <c r="J2118" s="37"/>
      <c r="K2118" s="37"/>
      <c r="L2118" s="37"/>
    </row>
    <row r="2119" spans="1:12" ht="15.75" customHeight="1">
      <c r="A2119" s="87" t="s">
        <v>3935</v>
      </c>
      <c r="B2119" s="87" t="s">
        <v>7152</v>
      </c>
      <c r="C2119" s="87" t="s">
        <v>7153</v>
      </c>
      <c r="D2119" s="88">
        <v>287</v>
      </c>
      <c r="E2119" s="85" t="s">
        <v>6330</v>
      </c>
      <c r="F2119" s="87">
        <v>73</v>
      </c>
      <c r="G2119" s="37"/>
      <c r="H2119" s="37">
        <f>COUNTIF('(参考)現行システム機能階層一覧'!$E$3:$E$1048576,sheet1!B2119)</f>
        <v>0</v>
      </c>
      <c r="I2119" s="37"/>
      <c r="J2119" s="37"/>
      <c r="K2119" s="37"/>
      <c r="L2119" s="37"/>
    </row>
    <row r="2120" spans="1:12" ht="15.75" customHeight="1">
      <c r="A2120" s="87" t="s">
        <v>3853</v>
      </c>
      <c r="B2120" s="87" t="s">
        <v>1934</v>
      </c>
      <c r="C2120" s="87" t="s">
        <v>1936</v>
      </c>
      <c r="D2120" s="88">
        <v>16</v>
      </c>
      <c r="E2120" s="85" t="s">
        <v>6330</v>
      </c>
      <c r="F2120" s="87">
        <v>3</v>
      </c>
      <c r="G2120" s="37"/>
      <c r="H2120" s="37">
        <f>COUNTIF('(参考)現行システム機能階層一覧'!$E$3:$E$1048576,sheet1!B2120)</f>
        <v>1</v>
      </c>
      <c r="I2120" s="37"/>
      <c r="J2120" s="37"/>
      <c r="K2120" s="37"/>
      <c r="L2120" s="37"/>
    </row>
    <row r="2121" spans="1:12" ht="15.75" customHeight="1">
      <c r="A2121" s="87" t="s">
        <v>3935</v>
      </c>
      <c r="B2121" s="87" t="s">
        <v>1899</v>
      </c>
      <c r="C2121" s="87" t="s">
        <v>1902</v>
      </c>
      <c r="D2121" s="88">
        <v>1398</v>
      </c>
      <c r="E2121" s="85" t="s">
        <v>6330</v>
      </c>
      <c r="F2121" s="87">
        <v>363</v>
      </c>
      <c r="G2121" s="37"/>
      <c r="H2121" s="37">
        <f>COUNTIF('(参考)現行システム機能階層一覧'!$E$3:$E$1048576,sheet1!B2121)</f>
        <v>1</v>
      </c>
      <c r="I2121" s="37"/>
      <c r="J2121" s="37"/>
      <c r="K2121" s="37"/>
      <c r="L2121" s="37"/>
    </row>
    <row r="2122" spans="1:12" ht="15.75" customHeight="1">
      <c r="A2122" s="87" t="s">
        <v>3853</v>
      </c>
      <c r="B2122" s="87" t="s">
        <v>7154</v>
      </c>
      <c r="C2122" s="87" t="s">
        <v>1902</v>
      </c>
      <c r="D2122" s="88">
        <v>84</v>
      </c>
      <c r="E2122" s="85" t="s">
        <v>6330</v>
      </c>
      <c r="F2122" s="87">
        <v>1272</v>
      </c>
      <c r="G2122" s="37"/>
      <c r="H2122" s="37">
        <f>COUNTIF('(参考)現行システム機能階層一覧'!$E$3:$E$1048576,sheet1!B2122)</f>
        <v>0</v>
      </c>
      <c r="I2122" s="37"/>
      <c r="J2122" s="37"/>
      <c r="K2122" s="37"/>
      <c r="L2122" s="37"/>
    </row>
    <row r="2123" spans="1:12" ht="15.75" customHeight="1">
      <c r="A2123" s="87" t="s">
        <v>3935</v>
      </c>
      <c r="B2123" s="87" t="s">
        <v>7155</v>
      </c>
      <c r="C2123" s="87" t="s">
        <v>7156</v>
      </c>
      <c r="D2123" s="88">
        <v>1380</v>
      </c>
      <c r="E2123" s="85" t="s">
        <v>6330</v>
      </c>
      <c r="F2123" s="87">
        <v>2</v>
      </c>
      <c r="G2123" s="37"/>
      <c r="H2123" s="37">
        <f>COUNTIF('(参考)現行システム機能階層一覧'!$E$3:$E$1048576,sheet1!B2123)</f>
        <v>0</v>
      </c>
      <c r="I2123" s="37"/>
      <c r="J2123" s="37"/>
      <c r="K2123" s="37"/>
      <c r="L2123" s="37"/>
    </row>
    <row r="2124" spans="1:12" ht="15.75" customHeight="1">
      <c r="A2124" s="87" t="s">
        <v>3853</v>
      </c>
      <c r="B2124" s="87" t="s">
        <v>7157</v>
      </c>
      <c r="C2124" s="87" t="s">
        <v>7158</v>
      </c>
      <c r="D2124" s="88">
        <v>87</v>
      </c>
      <c r="E2124" s="85" t="s">
        <v>6330</v>
      </c>
      <c r="F2124" s="87">
        <v>4</v>
      </c>
      <c r="G2124" s="37"/>
      <c r="H2124" s="37">
        <f>COUNTIF('(参考)現行システム機能階層一覧'!$E$3:$E$1048576,sheet1!B2124)</f>
        <v>0</v>
      </c>
      <c r="I2124" s="37"/>
      <c r="J2124" s="37"/>
      <c r="K2124" s="37"/>
      <c r="L2124" s="37"/>
    </row>
    <row r="2125" spans="1:12" ht="15.75" customHeight="1">
      <c r="A2125" s="87" t="s">
        <v>3935</v>
      </c>
      <c r="B2125" s="87" t="s">
        <v>3449</v>
      </c>
      <c r="C2125" s="87" t="s">
        <v>7159</v>
      </c>
      <c r="D2125" s="88">
        <v>274</v>
      </c>
      <c r="E2125" s="85" t="s">
        <v>6330</v>
      </c>
      <c r="F2125" s="87">
        <v>65</v>
      </c>
      <c r="G2125" s="37"/>
      <c r="H2125" s="37">
        <f>COUNTIF('(参考)現行システム機能階層一覧'!$E$3:$E$1048576,sheet1!B2125)</f>
        <v>1</v>
      </c>
      <c r="I2125" s="37"/>
      <c r="J2125" s="37"/>
      <c r="K2125" s="37"/>
      <c r="L2125" s="37"/>
    </row>
    <row r="2126" spans="1:12" ht="15.75" customHeight="1">
      <c r="A2126" s="87" t="s">
        <v>3853</v>
      </c>
      <c r="B2126" s="87" t="s">
        <v>7160</v>
      </c>
      <c r="C2126" s="87" t="s">
        <v>7161</v>
      </c>
      <c r="D2126" s="88">
        <v>101</v>
      </c>
      <c r="E2126" s="85" t="s">
        <v>6330</v>
      </c>
      <c r="F2126" s="87">
        <v>65</v>
      </c>
      <c r="G2126" s="37"/>
      <c r="H2126" s="37">
        <f>COUNTIF('(参考)現行システム機能階層一覧'!$E$3:$E$1048576,sheet1!B2126)</f>
        <v>0</v>
      </c>
      <c r="I2126" s="37"/>
      <c r="J2126" s="37"/>
      <c r="K2126" s="37"/>
      <c r="L2126" s="37"/>
    </row>
    <row r="2127" spans="1:12" ht="15.75" customHeight="1">
      <c r="A2127" s="87" t="s">
        <v>3935</v>
      </c>
      <c r="B2127" s="87" t="s">
        <v>7162</v>
      </c>
      <c r="C2127" s="87" t="s">
        <v>7163</v>
      </c>
      <c r="D2127" s="88">
        <v>139</v>
      </c>
      <c r="E2127" s="85" t="s">
        <v>6330</v>
      </c>
      <c r="F2127" s="87">
        <v>26</v>
      </c>
      <c r="G2127" s="37"/>
      <c r="H2127" s="37">
        <f>COUNTIF('(参考)現行システム機能階層一覧'!$E$3:$E$1048576,sheet1!B2127)</f>
        <v>0</v>
      </c>
      <c r="I2127" s="37"/>
      <c r="J2127" s="37"/>
      <c r="K2127" s="37"/>
      <c r="L2127" s="37"/>
    </row>
    <row r="2128" spans="1:12" ht="15.75" customHeight="1">
      <c r="A2128" s="87" t="s">
        <v>3935</v>
      </c>
      <c r="B2128" s="87" t="s">
        <v>7164</v>
      </c>
      <c r="C2128" s="87" t="s">
        <v>7165</v>
      </c>
      <c r="D2128" s="88">
        <v>206</v>
      </c>
      <c r="E2128" s="85" t="s">
        <v>6330</v>
      </c>
      <c r="F2128" s="87">
        <v>24</v>
      </c>
      <c r="G2128" s="37"/>
      <c r="H2128" s="37">
        <f>COUNTIF('(参考)現行システム機能階層一覧'!$E$3:$E$1048576,sheet1!B2128)</f>
        <v>0</v>
      </c>
      <c r="I2128" s="37"/>
      <c r="J2128" s="37"/>
      <c r="K2128" s="37"/>
      <c r="L2128" s="37"/>
    </row>
    <row r="2129" spans="1:12" ht="15.75" customHeight="1">
      <c r="A2129" s="87" t="s">
        <v>3935</v>
      </c>
      <c r="B2129" s="87" t="s">
        <v>1847</v>
      </c>
      <c r="C2129" s="87" t="s">
        <v>1848</v>
      </c>
      <c r="D2129" s="88">
        <v>178</v>
      </c>
      <c r="E2129" s="85" t="s">
        <v>6330</v>
      </c>
      <c r="F2129" s="87">
        <v>529</v>
      </c>
      <c r="G2129" s="37"/>
      <c r="H2129" s="37">
        <f>COUNTIF('(参考)現行システム機能階層一覧'!$E$3:$E$1048576,sheet1!B2129)</f>
        <v>1</v>
      </c>
      <c r="I2129" s="37"/>
      <c r="J2129" s="37"/>
      <c r="K2129" s="37"/>
      <c r="L2129" s="37"/>
    </row>
    <row r="2130" spans="1:12" ht="15.75" customHeight="1">
      <c r="A2130" s="87" t="s">
        <v>3853</v>
      </c>
      <c r="B2130" s="87" t="s">
        <v>1938</v>
      </c>
      <c r="C2130" s="87" t="s">
        <v>7166</v>
      </c>
      <c r="D2130" s="88">
        <v>18</v>
      </c>
      <c r="E2130" s="85" t="s">
        <v>6330</v>
      </c>
      <c r="F2130" s="87">
        <v>3</v>
      </c>
      <c r="G2130" s="37"/>
      <c r="H2130" s="37">
        <f>COUNTIF('(参考)現行システム機能階層一覧'!$E$3:$E$1048576,sheet1!B2130)</f>
        <v>1</v>
      </c>
      <c r="I2130" s="37"/>
      <c r="J2130" s="37"/>
      <c r="K2130" s="37"/>
      <c r="L2130" s="37"/>
    </row>
    <row r="2131" spans="1:12" ht="15.75" customHeight="1">
      <c r="A2131" s="87" t="s">
        <v>3935</v>
      </c>
      <c r="B2131" s="87" t="s">
        <v>1904</v>
      </c>
      <c r="C2131" s="87" t="s">
        <v>7167</v>
      </c>
      <c r="D2131" s="88">
        <v>807</v>
      </c>
      <c r="E2131" s="85" t="s">
        <v>6330</v>
      </c>
      <c r="F2131" s="87">
        <v>25</v>
      </c>
      <c r="G2131" s="37"/>
      <c r="H2131" s="37">
        <f>COUNTIF('(参考)現行システム機能階層一覧'!$E$3:$E$1048576,sheet1!B2131)</f>
        <v>1</v>
      </c>
      <c r="I2131" s="37"/>
      <c r="J2131" s="37"/>
      <c r="K2131" s="37"/>
      <c r="L2131" s="37"/>
    </row>
    <row r="2132" spans="1:12" ht="15.75" customHeight="1">
      <c r="A2132" s="87" t="s">
        <v>3935</v>
      </c>
      <c r="B2132" s="87" t="s">
        <v>7168</v>
      </c>
      <c r="C2132" s="87" t="s">
        <v>7169</v>
      </c>
      <c r="D2132" s="88">
        <v>497</v>
      </c>
      <c r="E2132" s="85" t="s">
        <v>6330</v>
      </c>
      <c r="F2132" s="87">
        <v>1</v>
      </c>
      <c r="G2132" s="37"/>
      <c r="H2132" s="37">
        <f>COUNTIF('(参考)現行システム機能階層一覧'!$E$3:$E$1048576,sheet1!B2132)</f>
        <v>0</v>
      </c>
      <c r="I2132" s="37"/>
      <c r="J2132" s="37"/>
      <c r="K2132" s="37"/>
      <c r="L2132" s="37"/>
    </row>
    <row r="2133" spans="1:12" ht="15.75" customHeight="1">
      <c r="A2133" s="87" t="s">
        <v>3853</v>
      </c>
      <c r="B2133" s="87" t="s">
        <v>1250</v>
      </c>
      <c r="C2133" s="87" t="s">
        <v>1251</v>
      </c>
      <c r="D2133" s="88">
        <v>25</v>
      </c>
      <c r="E2133" s="85" t="s">
        <v>6330</v>
      </c>
      <c r="F2133" s="87">
        <v>1</v>
      </c>
      <c r="G2133" s="37"/>
      <c r="H2133" s="37">
        <f>COUNTIF('(参考)現行システム機能階層一覧'!$E$3:$E$1048576,sheet1!B2133)</f>
        <v>1</v>
      </c>
      <c r="I2133" s="37"/>
      <c r="J2133" s="37"/>
      <c r="K2133" s="37"/>
      <c r="L2133" s="37"/>
    </row>
    <row r="2134" spans="1:12" ht="15.75" customHeight="1">
      <c r="A2134" s="87" t="s">
        <v>3935</v>
      </c>
      <c r="B2134" s="87" t="s">
        <v>1493</v>
      </c>
      <c r="C2134" s="87" t="s">
        <v>1494</v>
      </c>
      <c r="D2134" s="88">
        <v>837</v>
      </c>
      <c r="E2134" s="85" t="s">
        <v>6330</v>
      </c>
      <c r="F2134" s="87">
        <v>1372</v>
      </c>
      <c r="G2134" s="37"/>
      <c r="H2134" s="37">
        <f>COUNTIF('(参考)現行システム機能階層一覧'!$E$3:$E$1048576,sheet1!B2134)</f>
        <v>1</v>
      </c>
      <c r="I2134" s="37"/>
      <c r="J2134" s="37"/>
      <c r="K2134" s="37"/>
      <c r="L2134" s="37"/>
    </row>
    <row r="2135" spans="1:12" ht="15.75" customHeight="1">
      <c r="A2135" s="87" t="s">
        <v>3853</v>
      </c>
      <c r="B2135" s="87" t="s">
        <v>7170</v>
      </c>
      <c r="C2135" s="87" t="s">
        <v>1494</v>
      </c>
      <c r="D2135" s="88">
        <v>38</v>
      </c>
      <c r="E2135" s="85" t="s">
        <v>6330</v>
      </c>
      <c r="F2135" s="87">
        <v>1372</v>
      </c>
      <c r="G2135" s="37"/>
      <c r="H2135" s="37">
        <f>COUNTIF('(参考)現行システム機能階層一覧'!$E$3:$E$1048576,sheet1!B2135)</f>
        <v>0</v>
      </c>
      <c r="I2135" s="37"/>
      <c r="J2135" s="37"/>
      <c r="K2135" s="37"/>
      <c r="L2135" s="37"/>
    </row>
    <row r="2136" spans="1:12" ht="15.75" customHeight="1">
      <c r="A2136" s="87" t="s">
        <v>3935</v>
      </c>
      <c r="B2136" s="87" t="s">
        <v>1882</v>
      </c>
      <c r="C2136" s="87" t="s">
        <v>7171</v>
      </c>
      <c r="D2136" s="88">
        <v>855</v>
      </c>
      <c r="E2136" s="85" t="s">
        <v>6330</v>
      </c>
      <c r="F2136" s="87">
        <v>1173</v>
      </c>
      <c r="G2136" s="37"/>
      <c r="H2136" s="37">
        <f>COUNTIF('(参考)現行システム機能階層一覧'!$E$3:$E$1048576,sheet1!B2136)</f>
        <v>1</v>
      </c>
      <c r="I2136" s="37"/>
      <c r="J2136" s="37"/>
      <c r="K2136" s="37"/>
      <c r="L2136" s="37"/>
    </row>
    <row r="2137" spans="1:12" ht="15.75" customHeight="1">
      <c r="A2137" s="87" t="s">
        <v>3853</v>
      </c>
      <c r="B2137" s="87" t="s">
        <v>7172</v>
      </c>
      <c r="C2137" s="87" t="s">
        <v>7171</v>
      </c>
      <c r="D2137" s="88">
        <v>13</v>
      </c>
      <c r="E2137" s="85" t="s">
        <v>6330</v>
      </c>
      <c r="F2137" s="87">
        <v>1173</v>
      </c>
      <c r="G2137" s="37"/>
      <c r="H2137" s="37">
        <f>COUNTIF('(参考)現行システム機能階層一覧'!$E$3:$E$1048576,sheet1!B2137)</f>
        <v>0</v>
      </c>
      <c r="I2137" s="37"/>
      <c r="J2137" s="37"/>
      <c r="K2137" s="37"/>
      <c r="L2137" s="37"/>
    </row>
    <row r="2138" spans="1:12" ht="15.75" customHeight="1">
      <c r="A2138" s="87" t="s">
        <v>3935</v>
      </c>
      <c r="B2138" s="87" t="s">
        <v>2050</v>
      </c>
      <c r="C2138" s="87" t="s">
        <v>7173</v>
      </c>
      <c r="D2138" s="88">
        <v>258</v>
      </c>
      <c r="E2138" s="85" t="s">
        <v>6330</v>
      </c>
      <c r="F2138" s="87">
        <v>176</v>
      </c>
      <c r="G2138" s="37"/>
      <c r="H2138" s="37">
        <f>COUNTIF('(参考)現行システム機能階層一覧'!$E$3:$E$1048576,sheet1!B2138)</f>
        <v>1</v>
      </c>
      <c r="I2138" s="37"/>
      <c r="J2138" s="37"/>
      <c r="K2138" s="37"/>
      <c r="L2138" s="37"/>
    </row>
    <row r="2139" spans="1:12" ht="15.75" customHeight="1">
      <c r="A2139" s="87" t="s">
        <v>3935</v>
      </c>
      <c r="B2139" s="87" t="s">
        <v>2059</v>
      </c>
      <c r="C2139" s="87" t="s">
        <v>7174</v>
      </c>
      <c r="D2139" s="88">
        <v>571</v>
      </c>
      <c r="E2139" s="85" t="s">
        <v>6330</v>
      </c>
      <c r="F2139" s="87">
        <v>109</v>
      </c>
      <c r="G2139" s="37"/>
      <c r="H2139" s="37">
        <f>COUNTIF('(参考)現行システム機能階層一覧'!$E$3:$E$1048576,sheet1!B2139)</f>
        <v>1</v>
      </c>
      <c r="I2139" s="37"/>
      <c r="J2139" s="37"/>
      <c r="K2139" s="37"/>
      <c r="L2139" s="37"/>
    </row>
    <row r="2140" spans="1:12" ht="15.75" customHeight="1">
      <c r="A2140" s="87" t="s">
        <v>3935</v>
      </c>
      <c r="B2140" s="87" t="s">
        <v>7175</v>
      </c>
      <c r="C2140" s="87" t="s">
        <v>7174</v>
      </c>
      <c r="D2140" s="88">
        <v>565</v>
      </c>
      <c r="E2140" s="85" t="s">
        <v>6330</v>
      </c>
      <c r="F2140" s="87">
        <v>7</v>
      </c>
      <c r="G2140" s="37"/>
      <c r="H2140" s="37">
        <f>COUNTIF('(参考)現行システム機能階層一覧'!$E$3:$E$1048576,sheet1!B2140)</f>
        <v>0</v>
      </c>
      <c r="I2140" s="37"/>
      <c r="J2140" s="37"/>
      <c r="K2140" s="37"/>
      <c r="L2140" s="37"/>
    </row>
    <row r="2141" spans="1:12" ht="15.75" customHeight="1">
      <c r="A2141" s="87" t="s">
        <v>3853</v>
      </c>
      <c r="B2141" s="87" t="s">
        <v>7176</v>
      </c>
      <c r="C2141" s="87" t="s">
        <v>7177</v>
      </c>
      <c r="D2141" s="88">
        <v>196</v>
      </c>
      <c r="E2141" s="85" t="s">
        <v>6330</v>
      </c>
      <c r="F2141" s="87">
        <v>300</v>
      </c>
      <c r="G2141" s="37"/>
      <c r="H2141" s="37">
        <f>COUNTIF('(参考)現行システム機能階層一覧'!$E$3:$E$1048576,sheet1!B2141)</f>
        <v>0</v>
      </c>
      <c r="I2141" s="37"/>
      <c r="J2141" s="37"/>
      <c r="K2141" s="37"/>
      <c r="L2141" s="37"/>
    </row>
    <row r="2142" spans="1:12" ht="15.75" customHeight="1">
      <c r="A2142" s="87" t="s">
        <v>3935</v>
      </c>
      <c r="B2142" s="87" t="s">
        <v>7178</v>
      </c>
      <c r="C2142" s="87" t="s">
        <v>7179</v>
      </c>
      <c r="D2142" s="88">
        <v>1208</v>
      </c>
      <c r="E2142" s="85" t="s">
        <v>6330</v>
      </c>
      <c r="F2142" s="87">
        <v>105</v>
      </c>
      <c r="G2142" s="37"/>
      <c r="H2142" s="37">
        <f>COUNTIF('(参考)現行システム機能階層一覧'!$E$3:$E$1048576,sheet1!B2142)</f>
        <v>0</v>
      </c>
      <c r="I2142" s="37"/>
      <c r="J2142" s="37"/>
      <c r="K2142" s="37"/>
      <c r="L2142" s="37"/>
    </row>
    <row r="2143" spans="1:12" ht="15.75" customHeight="1">
      <c r="A2143" s="87" t="s">
        <v>3935</v>
      </c>
      <c r="B2143" s="87" t="s">
        <v>7180</v>
      </c>
      <c r="C2143" s="87" t="s">
        <v>7179</v>
      </c>
      <c r="D2143" s="88">
        <v>1117</v>
      </c>
      <c r="E2143" s="85" t="s">
        <v>6330</v>
      </c>
      <c r="F2143" s="87">
        <v>64</v>
      </c>
      <c r="G2143" s="37"/>
      <c r="H2143" s="37">
        <f>COUNTIF('(参考)現行システム機能階層一覧'!$E$3:$E$1048576,sheet1!B2143)</f>
        <v>0</v>
      </c>
      <c r="I2143" s="37"/>
      <c r="J2143" s="37"/>
      <c r="K2143" s="37"/>
      <c r="L2143" s="37"/>
    </row>
    <row r="2144" spans="1:12" ht="15.75" customHeight="1">
      <c r="A2144" s="87" t="s">
        <v>3935</v>
      </c>
      <c r="B2144" s="87" t="s">
        <v>7181</v>
      </c>
      <c r="C2144" s="87" t="s">
        <v>7182</v>
      </c>
      <c r="D2144" s="88">
        <v>119</v>
      </c>
      <c r="E2144" s="85" t="s">
        <v>6330</v>
      </c>
      <c r="F2144" s="87">
        <v>47</v>
      </c>
      <c r="G2144" s="37"/>
      <c r="H2144" s="37">
        <f>COUNTIF('(参考)現行システム機能階層一覧'!$E$3:$E$1048576,sheet1!B2144)</f>
        <v>0</v>
      </c>
      <c r="I2144" s="37"/>
      <c r="J2144" s="37"/>
      <c r="K2144" s="37"/>
      <c r="L2144" s="37"/>
    </row>
    <row r="2145" spans="1:12" ht="15.75" customHeight="1">
      <c r="A2145" s="87" t="s">
        <v>3935</v>
      </c>
      <c r="B2145" s="87" t="s">
        <v>7183</v>
      </c>
      <c r="C2145" s="87" t="s">
        <v>7184</v>
      </c>
      <c r="D2145" s="88">
        <v>374</v>
      </c>
      <c r="E2145" s="85" t="s">
        <v>6330</v>
      </c>
      <c r="F2145" s="87">
        <v>300</v>
      </c>
      <c r="G2145" s="37"/>
      <c r="H2145" s="37">
        <f>COUNTIF('(参考)現行システム機能階層一覧'!$E$3:$E$1048576,sheet1!B2145)</f>
        <v>0</v>
      </c>
      <c r="I2145" s="37"/>
      <c r="J2145" s="37"/>
      <c r="K2145" s="37"/>
      <c r="L2145" s="37"/>
    </row>
    <row r="2146" spans="1:12" ht="15.75" customHeight="1">
      <c r="A2146" s="87" t="s">
        <v>3935</v>
      </c>
      <c r="B2146" s="87" t="s">
        <v>2086</v>
      </c>
      <c r="C2146" s="87" t="s">
        <v>7185</v>
      </c>
      <c r="D2146" s="88">
        <v>433</v>
      </c>
      <c r="E2146" s="85" t="s">
        <v>6330</v>
      </c>
      <c r="F2146" s="87">
        <v>34</v>
      </c>
      <c r="G2146" s="37"/>
      <c r="H2146" s="37">
        <f>COUNTIF('(参考)現行システム機能階層一覧'!$E$3:$E$1048576,sheet1!B2146)</f>
        <v>1</v>
      </c>
      <c r="I2146" s="37"/>
      <c r="J2146" s="37"/>
      <c r="K2146" s="37"/>
      <c r="L2146" s="37"/>
    </row>
    <row r="2147" spans="1:12" ht="15.75" customHeight="1">
      <c r="A2147" s="87" t="s">
        <v>3935</v>
      </c>
      <c r="B2147" s="87" t="s">
        <v>2065</v>
      </c>
      <c r="C2147" s="87" t="s">
        <v>7186</v>
      </c>
      <c r="D2147" s="88">
        <v>540</v>
      </c>
      <c r="E2147" s="85" t="s">
        <v>6330</v>
      </c>
      <c r="F2147" s="87">
        <v>177</v>
      </c>
      <c r="G2147" s="37"/>
      <c r="H2147" s="37">
        <f>COUNTIF('(参考)現行システム機能階層一覧'!$E$3:$E$1048576,sheet1!B2147)</f>
        <v>1</v>
      </c>
      <c r="I2147" s="37"/>
      <c r="J2147" s="37"/>
      <c r="K2147" s="37"/>
      <c r="L2147" s="37"/>
    </row>
    <row r="2148" spans="1:12" ht="15.75" customHeight="1">
      <c r="A2148" s="87" t="s">
        <v>3935</v>
      </c>
      <c r="B2148" s="87" t="s">
        <v>2071</v>
      </c>
      <c r="C2148" s="87" t="s">
        <v>7187</v>
      </c>
      <c r="D2148" s="88">
        <v>317</v>
      </c>
      <c r="E2148" s="85" t="s">
        <v>6330</v>
      </c>
      <c r="F2148" s="87">
        <v>83</v>
      </c>
      <c r="G2148" s="37"/>
      <c r="H2148" s="37">
        <f>COUNTIF('(参考)現行システム機能階層一覧'!$E$3:$E$1048576,sheet1!B2148)</f>
        <v>1</v>
      </c>
      <c r="I2148" s="37"/>
      <c r="J2148" s="37"/>
      <c r="K2148" s="37"/>
      <c r="L2148" s="37"/>
    </row>
    <row r="2149" spans="1:12" ht="15.75" customHeight="1">
      <c r="A2149" s="87" t="s">
        <v>3853</v>
      </c>
      <c r="B2149" s="87" t="s">
        <v>7188</v>
      </c>
      <c r="C2149" s="87" t="s">
        <v>7189</v>
      </c>
      <c r="D2149" s="88">
        <v>72</v>
      </c>
      <c r="E2149" s="85" t="s">
        <v>6330</v>
      </c>
      <c r="F2149" s="87">
        <v>83</v>
      </c>
      <c r="G2149" s="37"/>
      <c r="H2149" s="37">
        <f>COUNTIF('(参考)現行システム機能階層一覧'!$E$3:$E$1048576,sheet1!B2149)</f>
        <v>0</v>
      </c>
      <c r="I2149" s="37"/>
      <c r="J2149" s="37"/>
      <c r="K2149" s="37"/>
      <c r="L2149" s="37"/>
    </row>
    <row r="2150" spans="1:12" ht="15.75" customHeight="1">
      <c r="A2150" s="87" t="s">
        <v>3935</v>
      </c>
      <c r="B2150" s="87" t="s">
        <v>7190</v>
      </c>
      <c r="C2150" s="87" t="s">
        <v>7191</v>
      </c>
      <c r="D2150" s="88">
        <v>310</v>
      </c>
      <c r="E2150" s="85" t="s">
        <v>6330</v>
      </c>
      <c r="F2150" s="87">
        <v>55</v>
      </c>
      <c r="G2150" s="37"/>
      <c r="H2150" s="37">
        <f>COUNTIF('(参考)現行システム機能階層一覧'!$E$3:$E$1048576,sheet1!B2150)</f>
        <v>0</v>
      </c>
      <c r="I2150" s="37"/>
      <c r="J2150" s="37"/>
      <c r="K2150" s="37"/>
      <c r="L2150" s="37"/>
    </row>
    <row r="2151" spans="1:12" ht="15.75" customHeight="1">
      <c r="A2151" s="87" t="s">
        <v>3935</v>
      </c>
      <c r="B2151" s="87" t="s">
        <v>2055</v>
      </c>
      <c r="C2151" s="87" t="s">
        <v>7192</v>
      </c>
      <c r="D2151" s="88">
        <v>330</v>
      </c>
      <c r="E2151" s="85" t="s">
        <v>6330</v>
      </c>
      <c r="F2151" s="87">
        <v>22</v>
      </c>
      <c r="G2151" s="37"/>
      <c r="H2151" s="37">
        <f>COUNTIF('(参考)現行システム機能階層一覧'!$E$3:$E$1048576,sheet1!B2151)</f>
        <v>1</v>
      </c>
      <c r="I2151" s="37"/>
      <c r="J2151" s="37"/>
      <c r="K2151" s="37"/>
      <c r="L2151" s="37"/>
    </row>
    <row r="2152" spans="1:12" ht="15.75" customHeight="1">
      <c r="A2152" s="87" t="s">
        <v>3853</v>
      </c>
      <c r="B2152" s="87" t="s">
        <v>7193</v>
      </c>
      <c r="C2152" s="87" t="s">
        <v>7194</v>
      </c>
      <c r="D2152" s="88">
        <v>71</v>
      </c>
      <c r="E2152" s="85" t="s">
        <v>6330</v>
      </c>
      <c r="F2152" s="87">
        <v>22</v>
      </c>
      <c r="G2152" s="37"/>
      <c r="H2152" s="37">
        <f>COUNTIF('(参考)現行システム機能階層一覧'!$E$3:$E$1048576,sheet1!B2152)</f>
        <v>0</v>
      </c>
      <c r="I2152" s="37"/>
      <c r="J2152" s="37"/>
      <c r="K2152" s="37"/>
      <c r="L2152" s="37"/>
    </row>
    <row r="2153" spans="1:12" ht="15.75" customHeight="1">
      <c r="A2153" s="87" t="s">
        <v>3935</v>
      </c>
      <c r="B2153" s="87" t="s">
        <v>7195</v>
      </c>
      <c r="C2153" s="87" t="s">
        <v>7196</v>
      </c>
      <c r="D2153" s="88">
        <v>118</v>
      </c>
      <c r="E2153" s="85" t="s">
        <v>6330</v>
      </c>
      <c r="F2153" s="87">
        <v>13</v>
      </c>
      <c r="G2153" s="37"/>
      <c r="H2153" s="37">
        <f>COUNTIF('(参考)現行システム機能階層一覧'!$E$3:$E$1048576,sheet1!B2153)</f>
        <v>0</v>
      </c>
      <c r="I2153" s="37"/>
      <c r="J2153" s="37"/>
      <c r="K2153" s="37"/>
      <c r="L2153" s="37"/>
    </row>
    <row r="2154" spans="1:12" ht="15.75" customHeight="1">
      <c r="A2154" s="87" t="s">
        <v>3935</v>
      </c>
      <c r="B2154" s="87" t="s">
        <v>2082</v>
      </c>
      <c r="C2154" s="87" t="s">
        <v>7197</v>
      </c>
      <c r="D2154" s="88">
        <v>479</v>
      </c>
      <c r="E2154" s="85" t="s">
        <v>6330</v>
      </c>
      <c r="F2154" s="87">
        <v>2</v>
      </c>
      <c r="G2154" s="37"/>
      <c r="H2154" s="37">
        <f>COUNTIF('(参考)現行システム機能階層一覧'!$E$3:$E$1048576,sheet1!B2154)</f>
        <v>1</v>
      </c>
      <c r="I2154" s="37"/>
      <c r="J2154" s="37"/>
      <c r="K2154" s="37"/>
      <c r="L2154" s="37"/>
    </row>
    <row r="2155" spans="1:12" ht="15.75" customHeight="1">
      <c r="A2155" s="87" t="s">
        <v>3853</v>
      </c>
      <c r="B2155" s="87" t="s">
        <v>7198</v>
      </c>
      <c r="C2155" s="87" t="s">
        <v>7199</v>
      </c>
      <c r="D2155" s="88">
        <v>204</v>
      </c>
      <c r="E2155" s="85" t="s">
        <v>6330</v>
      </c>
      <c r="F2155" s="87">
        <v>1</v>
      </c>
      <c r="G2155" s="37"/>
      <c r="H2155" s="37">
        <f>COUNTIF('(参考)現行システム機能階層一覧'!$E$3:$E$1048576,sheet1!B2155)</f>
        <v>0</v>
      </c>
      <c r="I2155" s="37"/>
      <c r="J2155" s="37"/>
      <c r="K2155" s="37"/>
      <c r="L2155" s="37"/>
    </row>
    <row r="2156" spans="1:12" ht="15.75" customHeight="1">
      <c r="A2156" s="87" t="s">
        <v>3935</v>
      </c>
      <c r="B2156" s="87" t="s">
        <v>7200</v>
      </c>
      <c r="C2156" s="87" t="s">
        <v>7201</v>
      </c>
      <c r="D2156" s="88">
        <v>945</v>
      </c>
      <c r="E2156" s="85" t="s">
        <v>6330</v>
      </c>
      <c r="F2156" s="87">
        <v>1</v>
      </c>
      <c r="G2156" s="37"/>
      <c r="H2156" s="37">
        <f>COUNTIF('(参考)現行システム機能階層一覧'!$E$3:$E$1048576,sheet1!B2156)</f>
        <v>0</v>
      </c>
      <c r="I2156" s="37"/>
      <c r="J2156" s="37"/>
      <c r="K2156" s="37"/>
      <c r="L2156" s="37"/>
    </row>
    <row r="2157" spans="1:12" ht="15.75" customHeight="1">
      <c r="A2157" s="87" t="s">
        <v>3935</v>
      </c>
      <c r="B2157" s="87" t="s">
        <v>7202</v>
      </c>
      <c r="C2157" s="87" t="s">
        <v>7203</v>
      </c>
      <c r="D2157" s="88">
        <v>445</v>
      </c>
      <c r="E2157" s="85" t="s">
        <v>6330</v>
      </c>
      <c r="F2157" s="87">
        <v>1</v>
      </c>
      <c r="G2157" s="37"/>
      <c r="H2157" s="37">
        <f>COUNTIF('(参考)現行システム機能階層一覧'!$E$3:$E$1048576,sheet1!B2157)</f>
        <v>0</v>
      </c>
      <c r="I2157" s="37"/>
      <c r="J2157" s="37"/>
      <c r="K2157" s="37"/>
      <c r="L2157" s="37"/>
    </row>
    <row r="2158" spans="1:12" ht="15.75" customHeight="1">
      <c r="A2158" s="87" t="s">
        <v>3935</v>
      </c>
      <c r="B2158" s="87" t="s">
        <v>2076</v>
      </c>
      <c r="C2158" s="87" t="s">
        <v>7204</v>
      </c>
      <c r="D2158" s="88">
        <v>331</v>
      </c>
      <c r="E2158" s="85" t="s">
        <v>6330</v>
      </c>
      <c r="F2158" s="87">
        <v>11</v>
      </c>
      <c r="G2158" s="37"/>
      <c r="H2158" s="37">
        <f>COUNTIF('(参考)現行システム機能階層一覧'!$E$3:$E$1048576,sheet1!B2158)</f>
        <v>1</v>
      </c>
      <c r="I2158" s="37"/>
      <c r="J2158" s="37"/>
      <c r="K2158" s="37"/>
      <c r="L2158" s="37"/>
    </row>
    <row r="2159" spans="1:12" ht="15.75" customHeight="1">
      <c r="A2159" s="87" t="s">
        <v>3853</v>
      </c>
      <c r="B2159" s="87" t="s">
        <v>7205</v>
      </c>
      <c r="C2159" s="87" t="s">
        <v>7206</v>
      </c>
      <c r="D2159" s="88">
        <v>31</v>
      </c>
      <c r="E2159" s="85" t="s">
        <v>6330</v>
      </c>
      <c r="F2159" s="87">
        <v>11</v>
      </c>
      <c r="G2159" s="37"/>
      <c r="H2159" s="37">
        <f>COUNTIF('(参考)現行システム機能階層一覧'!$E$3:$E$1048576,sheet1!B2159)</f>
        <v>0</v>
      </c>
      <c r="I2159" s="37"/>
      <c r="J2159" s="37"/>
      <c r="K2159" s="37"/>
      <c r="L2159" s="37"/>
    </row>
    <row r="2160" spans="1:12" ht="15.75" customHeight="1">
      <c r="A2160" s="87" t="s">
        <v>3935</v>
      </c>
      <c r="B2160" s="87" t="s">
        <v>2120</v>
      </c>
      <c r="C2160" s="87" t="s">
        <v>2121</v>
      </c>
      <c r="D2160" s="88">
        <v>2036</v>
      </c>
      <c r="E2160" s="85" t="s">
        <v>6330</v>
      </c>
      <c r="F2160" s="87">
        <v>355</v>
      </c>
      <c r="G2160" s="37"/>
      <c r="H2160" s="37">
        <f>COUNTIF('(参考)現行システム機能階層一覧'!$E$3:$E$1048576,sheet1!B2160)</f>
        <v>1</v>
      </c>
      <c r="I2160" s="37"/>
      <c r="J2160" s="37"/>
      <c r="K2160" s="37"/>
      <c r="L2160" s="37"/>
    </row>
    <row r="2161" spans="1:12" ht="15.75" customHeight="1">
      <c r="A2161" s="87" t="s">
        <v>3853</v>
      </c>
      <c r="B2161" s="87" t="s">
        <v>7207</v>
      </c>
      <c r="C2161" s="87" t="s">
        <v>7208</v>
      </c>
      <c r="D2161" s="88">
        <v>10</v>
      </c>
      <c r="E2161" s="85" t="s">
        <v>6330</v>
      </c>
      <c r="F2161" s="87">
        <v>355</v>
      </c>
      <c r="G2161" s="37"/>
      <c r="H2161" s="37">
        <f>COUNTIF('(参考)現行システム機能階層一覧'!$E$3:$E$1048576,sheet1!B2161)</f>
        <v>0</v>
      </c>
      <c r="I2161" s="37"/>
      <c r="J2161" s="37"/>
      <c r="K2161" s="37"/>
      <c r="L2161" s="37"/>
    </row>
    <row r="2162" spans="1:12" ht="15.75" customHeight="1">
      <c r="A2162" s="87" t="s">
        <v>3935</v>
      </c>
      <c r="B2162" s="87" t="s">
        <v>7209</v>
      </c>
      <c r="C2162" s="87" t="s">
        <v>7210</v>
      </c>
      <c r="D2162" s="88">
        <v>231</v>
      </c>
      <c r="E2162" s="85" t="s">
        <v>6330</v>
      </c>
      <c r="F2162" s="87">
        <v>1356</v>
      </c>
      <c r="G2162" s="37"/>
      <c r="H2162" s="37">
        <f>COUNTIF('(参考)現行システム機能階層一覧'!$E$3:$E$1048576,sheet1!B2162)</f>
        <v>0</v>
      </c>
      <c r="I2162" s="37"/>
      <c r="J2162" s="37"/>
      <c r="K2162" s="37"/>
      <c r="L2162" s="37"/>
    </row>
    <row r="2163" spans="1:12" ht="15.75" customHeight="1">
      <c r="A2163" s="87" t="s">
        <v>3853</v>
      </c>
      <c r="B2163" s="87" t="s">
        <v>7211</v>
      </c>
      <c r="C2163" s="87" t="s">
        <v>7212</v>
      </c>
      <c r="D2163" s="88">
        <v>26</v>
      </c>
      <c r="E2163" s="85" t="s">
        <v>6330</v>
      </c>
      <c r="F2163" s="87">
        <v>1356</v>
      </c>
      <c r="G2163" s="37"/>
      <c r="H2163" s="37">
        <f>COUNTIF('(参考)現行システム機能階層一覧'!$E$3:$E$1048576,sheet1!B2163)</f>
        <v>0</v>
      </c>
      <c r="I2163" s="37"/>
      <c r="J2163" s="37"/>
      <c r="K2163" s="37"/>
      <c r="L2163" s="37"/>
    </row>
    <row r="2164" spans="1:12" ht="15.75" customHeight="1">
      <c r="A2164" s="87" t="s">
        <v>3935</v>
      </c>
      <c r="B2164" s="87" t="s">
        <v>2101</v>
      </c>
      <c r="C2164" s="87" t="s">
        <v>7213</v>
      </c>
      <c r="D2164" s="88">
        <v>549</v>
      </c>
      <c r="E2164" s="85" t="s">
        <v>6330</v>
      </c>
      <c r="F2164" s="87">
        <v>535</v>
      </c>
      <c r="G2164" s="37"/>
      <c r="H2164" s="37">
        <f>COUNTIF('(参考)現行システム機能階層一覧'!$E$3:$E$1048576,sheet1!B2164)</f>
        <v>1</v>
      </c>
      <c r="I2164" s="37"/>
      <c r="J2164" s="37"/>
      <c r="K2164" s="37"/>
      <c r="L2164" s="37"/>
    </row>
    <row r="2165" spans="1:12" ht="15.75" customHeight="1">
      <c r="A2165" s="87" t="s">
        <v>3935</v>
      </c>
      <c r="B2165" s="87" t="s">
        <v>2105</v>
      </c>
      <c r="C2165" s="87" t="s">
        <v>7214</v>
      </c>
      <c r="D2165" s="88">
        <v>543</v>
      </c>
      <c r="E2165" s="85" t="s">
        <v>6330</v>
      </c>
      <c r="F2165" s="87">
        <v>115</v>
      </c>
      <c r="G2165" s="37"/>
      <c r="H2165" s="37">
        <f>COUNTIF('(参考)現行システム機能階層一覧'!$E$3:$E$1048576,sheet1!B2165)</f>
        <v>1</v>
      </c>
      <c r="I2165" s="37"/>
      <c r="J2165" s="37"/>
      <c r="K2165" s="37"/>
      <c r="L2165" s="37"/>
    </row>
    <row r="2166" spans="1:12" ht="15.75" customHeight="1">
      <c r="A2166" s="87" t="s">
        <v>3935</v>
      </c>
      <c r="B2166" s="87" t="s">
        <v>2109</v>
      </c>
      <c r="C2166" s="87" t="s">
        <v>7215</v>
      </c>
      <c r="D2166" s="88">
        <v>471</v>
      </c>
      <c r="E2166" s="85" t="s">
        <v>6330</v>
      </c>
      <c r="F2166" s="87">
        <v>22</v>
      </c>
      <c r="G2166" s="37"/>
      <c r="H2166" s="37">
        <f>COUNTIF('(参考)現行システム機能階層一覧'!$E$3:$E$1048576,sheet1!B2166)</f>
        <v>1</v>
      </c>
      <c r="I2166" s="37"/>
      <c r="J2166" s="37"/>
      <c r="K2166" s="37"/>
      <c r="L2166" s="37"/>
    </row>
    <row r="2167" spans="1:12" ht="15.75" customHeight="1">
      <c r="A2167" s="87" t="s">
        <v>3935</v>
      </c>
      <c r="B2167" s="87" t="s">
        <v>2113</v>
      </c>
      <c r="C2167" s="87" t="s">
        <v>7216</v>
      </c>
      <c r="D2167" s="88">
        <v>460</v>
      </c>
      <c r="E2167" s="85" t="s">
        <v>6330</v>
      </c>
      <c r="F2167" s="87">
        <v>53</v>
      </c>
      <c r="G2167" s="37"/>
      <c r="H2167" s="37">
        <f>COUNTIF('(参考)現行システム機能階層一覧'!$E$3:$E$1048576,sheet1!B2167)</f>
        <v>1</v>
      </c>
      <c r="I2167" s="37"/>
      <c r="J2167" s="37"/>
      <c r="K2167" s="37"/>
      <c r="L2167" s="37"/>
    </row>
    <row r="2168" spans="1:12" ht="15.75" customHeight="1">
      <c r="A2168" s="87" t="s">
        <v>3935</v>
      </c>
      <c r="B2168" s="87" t="s">
        <v>7217</v>
      </c>
      <c r="C2168" s="87" t="s">
        <v>7218</v>
      </c>
      <c r="D2168" s="88">
        <v>150</v>
      </c>
      <c r="E2168" s="85" t="s">
        <v>6330</v>
      </c>
      <c r="F2168" s="87">
        <v>172</v>
      </c>
      <c r="G2168" s="37"/>
      <c r="H2168" s="37">
        <f>COUNTIF('(参考)現行システム機能階層一覧'!$E$3:$E$1048576,sheet1!B2168)</f>
        <v>0</v>
      </c>
      <c r="I2168" s="37"/>
      <c r="J2168" s="37"/>
      <c r="K2168" s="37"/>
      <c r="L2168" s="37"/>
    </row>
    <row r="2169" spans="1:12" ht="15.75" customHeight="1">
      <c r="A2169" s="87" t="s">
        <v>3935</v>
      </c>
      <c r="B2169" s="87" t="s">
        <v>7219</v>
      </c>
      <c r="C2169" s="87" t="s">
        <v>7220</v>
      </c>
      <c r="D2169" s="88">
        <v>1066</v>
      </c>
      <c r="E2169" s="85" t="s">
        <v>6330</v>
      </c>
      <c r="F2169" s="87">
        <v>554</v>
      </c>
      <c r="G2169" s="37"/>
      <c r="H2169" s="37">
        <f>COUNTIF('(参考)現行システム機能階層一覧'!$E$3:$E$1048576,sheet1!B2169)</f>
        <v>0</v>
      </c>
      <c r="I2169" s="37"/>
      <c r="J2169" s="37"/>
      <c r="K2169" s="37"/>
      <c r="L2169" s="37"/>
    </row>
    <row r="2170" spans="1:12" ht="15.75" customHeight="1">
      <c r="A2170" s="87" t="s">
        <v>3935</v>
      </c>
      <c r="B2170" s="87" t="s">
        <v>7221</v>
      </c>
      <c r="C2170" s="87" t="s">
        <v>7222</v>
      </c>
      <c r="D2170" s="88">
        <v>682</v>
      </c>
      <c r="E2170" s="85" t="s">
        <v>6330</v>
      </c>
      <c r="F2170" s="87">
        <v>572</v>
      </c>
      <c r="G2170" s="37"/>
      <c r="H2170" s="37">
        <f>COUNTIF('(参考)現行システム機能階層一覧'!$E$3:$E$1048576,sheet1!B2170)</f>
        <v>0</v>
      </c>
      <c r="I2170" s="37"/>
      <c r="J2170" s="37"/>
      <c r="K2170" s="37"/>
      <c r="L2170" s="37"/>
    </row>
    <row r="2171" spans="1:12" ht="15.75" customHeight="1">
      <c r="A2171" s="87" t="s">
        <v>3853</v>
      </c>
      <c r="B2171" s="87" t="s">
        <v>7223</v>
      </c>
      <c r="C2171" s="87" t="s">
        <v>7224</v>
      </c>
      <c r="D2171" s="88">
        <v>8</v>
      </c>
      <c r="E2171" s="85" t="s">
        <v>6330</v>
      </c>
      <c r="F2171" s="87">
        <v>110</v>
      </c>
      <c r="G2171" s="37"/>
      <c r="H2171" s="37">
        <f>COUNTIF('(参考)現行システム機能階層一覧'!$E$3:$E$1048576,sheet1!B2171)</f>
        <v>0</v>
      </c>
      <c r="I2171" s="37"/>
      <c r="J2171" s="37"/>
      <c r="K2171" s="37"/>
      <c r="L2171" s="37"/>
    </row>
    <row r="2172" spans="1:12" ht="15.75" customHeight="1">
      <c r="A2172" s="87" t="s">
        <v>3935</v>
      </c>
      <c r="B2172" s="87" t="s">
        <v>7225</v>
      </c>
      <c r="C2172" s="87" t="s">
        <v>7226</v>
      </c>
      <c r="D2172" s="88">
        <v>1196</v>
      </c>
      <c r="E2172" s="85" t="s">
        <v>6330</v>
      </c>
      <c r="F2172" s="87">
        <v>61</v>
      </c>
      <c r="G2172" s="37"/>
      <c r="H2172" s="37">
        <f>COUNTIF('(参考)現行システム機能階層一覧'!$E$3:$E$1048576,sheet1!B2172)</f>
        <v>0</v>
      </c>
      <c r="I2172" s="37"/>
      <c r="J2172" s="37"/>
      <c r="K2172" s="37"/>
      <c r="L2172" s="37"/>
    </row>
    <row r="2173" spans="1:12" ht="15.75" customHeight="1">
      <c r="A2173" s="87" t="s">
        <v>3853</v>
      </c>
      <c r="B2173" s="87" t="s">
        <v>7227</v>
      </c>
      <c r="C2173" s="87" t="s">
        <v>7226</v>
      </c>
      <c r="D2173" s="88">
        <v>11</v>
      </c>
      <c r="E2173" s="85" t="s">
        <v>6330</v>
      </c>
      <c r="F2173" s="87">
        <v>554</v>
      </c>
      <c r="G2173" s="37"/>
      <c r="H2173" s="37">
        <f>COUNTIF('(参考)現行システム機能階層一覧'!$E$3:$E$1048576,sheet1!B2173)</f>
        <v>0</v>
      </c>
      <c r="I2173" s="37"/>
      <c r="J2173" s="37"/>
      <c r="K2173" s="37"/>
      <c r="L2173" s="37"/>
    </row>
    <row r="2174" spans="1:12" ht="15.75" customHeight="1">
      <c r="A2174" s="87" t="s">
        <v>3935</v>
      </c>
      <c r="B2174" s="87" t="s">
        <v>2092</v>
      </c>
      <c r="C2174" s="87" t="s">
        <v>7228</v>
      </c>
      <c r="D2174" s="88">
        <v>526</v>
      </c>
      <c r="E2174" s="85" t="s">
        <v>6330</v>
      </c>
      <c r="F2174" s="87">
        <v>166</v>
      </c>
      <c r="G2174" s="37"/>
      <c r="H2174" s="37">
        <f>COUNTIF('(参考)現行システム機能階層一覧'!$E$3:$E$1048576,sheet1!B2174)</f>
        <v>1</v>
      </c>
      <c r="I2174" s="37"/>
      <c r="J2174" s="37"/>
      <c r="K2174" s="37"/>
      <c r="L2174" s="37"/>
    </row>
    <row r="2175" spans="1:12" ht="15.75" customHeight="1">
      <c r="A2175" s="87" t="s">
        <v>3935</v>
      </c>
      <c r="B2175" s="87" t="s">
        <v>2245</v>
      </c>
      <c r="C2175" s="87" t="s">
        <v>7229</v>
      </c>
      <c r="D2175" s="88">
        <v>537</v>
      </c>
      <c r="E2175" s="85" t="s">
        <v>6330</v>
      </c>
      <c r="F2175" s="87">
        <v>57</v>
      </c>
      <c r="G2175" s="37"/>
      <c r="H2175" s="37">
        <f>COUNTIF('(参考)現行システム機能階層一覧'!$E$3:$E$1048576,sheet1!B2175)</f>
        <v>1</v>
      </c>
      <c r="I2175" s="37"/>
      <c r="J2175" s="37"/>
      <c r="K2175" s="37"/>
      <c r="L2175" s="37"/>
    </row>
    <row r="2176" spans="1:12" ht="15.75" customHeight="1">
      <c r="A2176" s="87" t="s">
        <v>3853</v>
      </c>
      <c r="B2176" s="87" t="s">
        <v>7230</v>
      </c>
      <c r="C2176" s="87" t="s">
        <v>7231</v>
      </c>
      <c r="D2176" s="88">
        <v>29</v>
      </c>
      <c r="E2176" s="85" t="s">
        <v>6330</v>
      </c>
      <c r="F2176" s="87">
        <v>51</v>
      </c>
      <c r="G2176" s="37"/>
      <c r="H2176" s="37">
        <f>COUNTIF('(参考)現行システム機能階層一覧'!$E$3:$E$1048576,sheet1!B2176)</f>
        <v>0</v>
      </c>
      <c r="I2176" s="37"/>
      <c r="J2176" s="37"/>
      <c r="K2176" s="37"/>
      <c r="L2176" s="37"/>
    </row>
    <row r="2177" spans="1:12" ht="15.75" customHeight="1">
      <c r="A2177" s="87" t="s">
        <v>3853</v>
      </c>
      <c r="B2177" s="87" t="s">
        <v>7232</v>
      </c>
      <c r="C2177" s="87" t="s">
        <v>7233</v>
      </c>
      <c r="D2177" s="88">
        <v>15</v>
      </c>
      <c r="E2177" s="85" t="s">
        <v>6330</v>
      </c>
      <c r="F2177" s="87">
        <v>64</v>
      </c>
      <c r="G2177" s="37"/>
      <c r="H2177" s="37">
        <f>COUNTIF('(参考)現行システム機能階層一覧'!$E$3:$E$1048576,sheet1!B2177)</f>
        <v>0</v>
      </c>
      <c r="I2177" s="37"/>
      <c r="J2177" s="37"/>
      <c r="K2177" s="37"/>
      <c r="L2177" s="37"/>
    </row>
    <row r="2178" spans="1:12" ht="15.75" customHeight="1">
      <c r="A2178" s="87" t="s">
        <v>3853</v>
      </c>
      <c r="B2178" s="87" t="s">
        <v>7234</v>
      </c>
      <c r="C2178" s="87" t="s">
        <v>7235</v>
      </c>
      <c r="D2178" s="88">
        <v>102</v>
      </c>
      <c r="E2178" s="85" t="s">
        <v>6330</v>
      </c>
      <c r="F2178" s="87">
        <v>4</v>
      </c>
      <c r="G2178" s="37"/>
      <c r="H2178" s="37">
        <f>COUNTIF('(参考)現行システム機能階層一覧'!$E$3:$E$1048576,sheet1!B2178)</f>
        <v>0</v>
      </c>
      <c r="I2178" s="37"/>
      <c r="J2178" s="37"/>
      <c r="K2178" s="37"/>
      <c r="L2178" s="37"/>
    </row>
    <row r="2179" spans="1:12" ht="15.75" customHeight="1">
      <c r="A2179" s="87" t="s">
        <v>3853</v>
      </c>
      <c r="B2179" s="87" t="s">
        <v>7236</v>
      </c>
      <c r="C2179" s="87" t="s">
        <v>7237</v>
      </c>
      <c r="D2179" s="88">
        <v>99</v>
      </c>
      <c r="E2179" s="85" t="s">
        <v>6330</v>
      </c>
      <c r="F2179" s="87">
        <v>64</v>
      </c>
      <c r="G2179" s="37"/>
      <c r="H2179" s="37">
        <f>COUNTIF('(参考)現行システム機能階層一覧'!$E$3:$E$1048576,sheet1!B2179)</f>
        <v>0</v>
      </c>
      <c r="I2179" s="37"/>
      <c r="J2179" s="37"/>
      <c r="K2179" s="37"/>
      <c r="L2179" s="37"/>
    </row>
    <row r="2180" spans="1:12" ht="15.75" customHeight="1">
      <c r="A2180" s="87" t="s">
        <v>3935</v>
      </c>
      <c r="B2180" s="87" t="s">
        <v>7238</v>
      </c>
      <c r="C2180" s="87" t="s">
        <v>7239</v>
      </c>
      <c r="D2180" s="88">
        <v>217</v>
      </c>
      <c r="E2180" s="85" t="s">
        <v>6330</v>
      </c>
      <c r="F2180" s="87">
        <v>66</v>
      </c>
      <c r="G2180" s="37"/>
      <c r="H2180" s="37">
        <f>COUNTIF('(参考)現行システム機能階層一覧'!$E$3:$E$1048576,sheet1!B2180)</f>
        <v>0</v>
      </c>
      <c r="I2180" s="37"/>
      <c r="J2180" s="37"/>
      <c r="K2180" s="37"/>
      <c r="L2180" s="37"/>
    </row>
    <row r="2181" spans="1:12" ht="15.75" customHeight="1">
      <c r="A2181" s="87" t="s">
        <v>3853</v>
      </c>
      <c r="B2181" s="87" t="s">
        <v>7240</v>
      </c>
      <c r="C2181" s="87" t="s">
        <v>7241</v>
      </c>
      <c r="D2181" s="88">
        <v>23</v>
      </c>
      <c r="E2181" s="85" t="s">
        <v>6330</v>
      </c>
      <c r="F2181" s="87">
        <v>213</v>
      </c>
      <c r="G2181" s="37"/>
      <c r="H2181" s="37">
        <f>COUNTIF('(参考)現行システム機能階層一覧'!$E$3:$E$1048576,sheet1!B2181)</f>
        <v>0</v>
      </c>
      <c r="I2181" s="37"/>
      <c r="J2181" s="37"/>
      <c r="K2181" s="37"/>
      <c r="L2181" s="37"/>
    </row>
    <row r="2182" spans="1:12" ht="15.75" customHeight="1">
      <c r="A2182" s="87" t="s">
        <v>3935</v>
      </c>
      <c r="B2182" s="87" t="s">
        <v>7242</v>
      </c>
      <c r="C2182" s="87" t="s">
        <v>7243</v>
      </c>
      <c r="D2182" s="88">
        <v>43</v>
      </c>
      <c r="E2182" s="85" t="s">
        <v>6330</v>
      </c>
      <c r="F2182" s="87">
        <v>49</v>
      </c>
      <c r="G2182" s="37"/>
      <c r="H2182" s="37">
        <f>COUNTIF('(参考)現行システム機能階層一覧'!$E$3:$E$1048576,sheet1!B2182)</f>
        <v>0</v>
      </c>
      <c r="I2182" s="37"/>
      <c r="J2182" s="37"/>
      <c r="K2182" s="37"/>
      <c r="L2182" s="37"/>
    </row>
    <row r="2183" spans="1:12" ht="15.75" customHeight="1">
      <c r="A2183" s="87" t="s">
        <v>3853</v>
      </c>
      <c r="B2183" s="87" t="s">
        <v>7244</v>
      </c>
      <c r="C2183" s="87" t="s">
        <v>7245</v>
      </c>
      <c r="D2183" s="88">
        <v>22</v>
      </c>
      <c r="E2183" s="85" t="s">
        <v>6330</v>
      </c>
      <c r="F2183" s="87">
        <v>508</v>
      </c>
      <c r="G2183" s="37"/>
      <c r="H2183" s="37">
        <f>COUNTIF('(参考)現行システム機能階層一覧'!$E$3:$E$1048576,sheet1!B2183)</f>
        <v>0</v>
      </c>
      <c r="I2183" s="37"/>
      <c r="J2183" s="37"/>
      <c r="K2183" s="37"/>
      <c r="L2183" s="37"/>
    </row>
    <row r="2184" spans="1:12" ht="15.75" customHeight="1">
      <c r="A2184" s="87" t="s">
        <v>3935</v>
      </c>
      <c r="B2184" s="87" t="s">
        <v>7246</v>
      </c>
      <c r="C2184" s="87" t="s">
        <v>7247</v>
      </c>
      <c r="D2184" s="88">
        <v>1194</v>
      </c>
      <c r="E2184" s="85" t="s">
        <v>6330</v>
      </c>
      <c r="F2184" s="87">
        <v>110</v>
      </c>
      <c r="G2184" s="37"/>
      <c r="H2184" s="37">
        <f>COUNTIF('(参考)現行システム機能階層一覧'!$E$3:$E$1048576,sheet1!B2184)</f>
        <v>0</v>
      </c>
      <c r="I2184" s="37"/>
      <c r="J2184" s="37"/>
      <c r="K2184" s="37"/>
      <c r="L2184" s="37"/>
    </row>
    <row r="2185" spans="1:12" ht="15.75" customHeight="1">
      <c r="A2185" s="87" t="s">
        <v>3935</v>
      </c>
      <c r="B2185" s="87" t="s">
        <v>7248</v>
      </c>
      <c r="C2185" s="87" t="s">
        <v>7249</v>
      </c>
      <c r="D2185" s="88">
        <v>416</v>
      </c>
      <c r="E2185" s="85" t="s">
        <v>6330</v>
      </c>
      <c r="F2185" s="87">
        <v>110</v>
      </c>
      <c r="G2185" s="37"/>
      <c r="H2185" s="37">
        <f>COUNTIF('(参考)現行システム機能階層一覧'!$E$3:$E$1048576,sheet1!B2185)</f>
        <v>0</v>
      </c>
      <c r="I2185" s="37"/>
      <c r="J2185" s="37"/>
      <c r="K2185" s="37"/>
      <c r="L2185" s="37"/>
    </row>
    <row r="2186" spans="1:12" ht="15.75" customHeight="1">
      <c r="A2186" s="87" t="s">
        <v>3935</v>
      </c>
      <c r="B2186" s="87" t="s">
        <v>7250</v>
      </c>
      <c r="C2186" s="87" t="s">
        <v>7251</v>
      </c>
      <c r="D2186" s="88">
        <v>645</v>
      </c>
      <c r="E2186" s="85" t="s">
        <v>6330</v>
      </c>
      <c r="F2186" s="87">
        <v>110</v>
      </c>
      <c r="G2186" s="37"/>
      <c r="H2186" s="37">
        <f>COUNTIF('(参考)現行システム機能階層一覧'!$E$3:$E$1048576,sheet1!B2186)</f>
        <v>0</v>
      </c>
      <c r="I2186" s="37"/>
      <c r="J2186" s="37"/>
      <c r="K2186" s="37"/>
      <c r="L2186" s="37"/>
    </row>
    <row r="2187" spans="1:12" ht="15.75" customHeight="1">
      <c r="A2187" s="87" t="s">
        <v>3853</v>
      </c>
      <c r="B2187" s="87" t="s">
        <v>7252</v>
      </c>
      <c r="C2187" s="87" t="s">
        <v>7253</v>
      </c>
      <c r="D2187" s="88">
        <v>10</v>
      </c>
      <c r="E2187" s="85" t="s">
        <v>6330</v>
      </c>
      <c r="F2187" s="87">
        <v>110</v>
      </c>
      <c r="G2187" s="37"/>
      <c r="H2187" s="37">
        <f>COUNTIF('(参考)現行システム機能階層一覧'!$E$3:$E$1048576,sheet1!B2187)</f>
        <v>0</v>
      </c>
      <c r="I2187" s="37"/>
      <c r="J2187" s="37"/>
      <c r="K2187" s="37"/>
      <c r="L2187" s="37"/>
    </row>
    <row r="2188" spans="1:12" ht="15.75" customHeight="1">
      <c r="A2188" s="87" t="s">
        <v>3935</v>
      </c>
      <c r="B2188" s="87" t="s">
        <v>7254</v>
      </c>
      <c r="C2188" s="87" t="s">
        <v>7255</v>
      </c>
      <c r="D2188" s="88">
        <v>471</v>
      </c>
      <c r="E2188" s="85" t="s">
        <v>6330</v>
      </c>
      <c r="F2188" s="87">
        <v>110</v>
      </c>
      <c r="G2188" s="37"/>
      <c r="H2188" s="37">
        <f>COUNTIF('(参考)現行システム機能階層一覧'!$E$3:$E$1048576,sheet1!B2188)</f>
        <v>0</v>
      </c>
      <c r="I2188" s="37"/>
      <c r="J2188" s="37"/>
      <c r="K2188" s="37"/>
      <c r="L2188" s="37"/>
    </row>
    <row r="2189" spans="1:12" ht="15.75" customHeight="1">
      <c r="A2189" s="87" t="s">
        <v>3853</v>
      </c>
      <c r="B2189" s="87" t="s">
        <v>7256</v>
      </c>
      <c r="C2189" s="87" t="s">
        <v>7257</v>
      </c>
      <c r="D2189" s="88">
        <v>23</v>
      </c>
      <c r="E2189" s="85" t="s">
        <v>6330</v>
      </c>
      <c r="F2189" s="87">
        <v>110</v>
      </c>
      <c r="G2189" s="37"/>
      <c r="H2189" s="37">
        <f>COUNTIF('(参考)現行システム機能階層一覧'!$E$3:$E$1048576,sheet1!B2189)</f>
        <v>0</v>
      </c>
      <c r="I2189" s="37"/>
      <c r="J2189" s="37"/>
      <c r="K2189" s="37"/>
      <c r="L2189" s="37"/>
    </row>
    <row r="2190" spans="1:12" ht="15.75" customHeight="1">
      <c r="A2190" s="87" t="s">
        <v>3935</v>
      </c>
      <c r="B2190" s="87" t="s">
        <v>7258</v>
      </c>
      <c r="C2190" s="87" t="s">
        <v>7259</v>
      </c>
      <c r="D2190" s="88">
        <v>119</v>
      </c>
      <c r="E2190" s="85" t="s">
        <v>6330</v>
      </c>
      <c r="F2190" s="87">
        <v>110</v>
      </c>
      <c r="G2190" s="37"/>
      <c r="H2190" s="37">
        <f>COUNTIF('(参考)現行システム機能階層一覧'!$E$3:$E$1048576,sheet1!B2190)</f>
        <v>0</v>
      </c>
      <c r="I2190" s="37"/>
      <c r="J2190" s="37"/>
      <c r="K2190" s="37"/>
      <c r="L2190" s="37"/>
    </row>
    <row r="2191" spans="1:12" ht="15.75" customHeight="1">
      <c r="A2191" s="87" t="s">
        <v>3935</v>
      </c>
      <c r="B2191" s="87" t="s">
        <v>7260</v>
      </c>
      <c r="C2191" s="87" t="s">
        <v>7261</v>
      </c>
      <c r="D2191" s="88">
        <v>115</v>
      </c>
      <c r="E2191" s="85" t="s">
        <v>6330</v>
      </c>
      <c r="F2191" s="87">
        <v>110</v>
      </c>
      <c r="G2191" s="37"/>
      <c r="H2191" s="37">
        <f>COUNTIF('(参考)現行システム機能階層一覧'!$E$3:$E$1048576,sheet1!B2191)</f>
        <v>0</v>
      </c>
      <c r="I2191" s="37"/>
      <c r="J2191" s="37"/>
      <c r="K2191" s="37"/>
      <c r="L2191" s="37"/>
    </row>
    <row r="2192" spans="1:12" ht="15.75" customHeight="1">
      <c r="A2192" s="87" t="s">
        <v>3935</v>
      </c>
      <c r="B2192" s="87" t="s">
        <v>7262</v>
      </c>
      <c r="C2192" s="87" t="s">
        <v>7263</v>
      </c>
      <c r="D2192" s="88">
        <v>212</v>
      </c>
      <c r="E2192" s="85" t="s">
        <v>6330</v>
      </c>
      <c r="F2192" s="87">
        <v>110</v>
      </c>
      <c r="G2192" s="37"/>
      <c r="H2192" s="37">
        <f>COUNTIF('(参考)現行システム機能階層一覧'!$E$3:$E$1048576,sheet1!B2192)</f>
        <v>0</v>
      </c>
      <c r="I2192" s="37"/>
      <c r="J2192" s="37"/>
      <c r="K2192" s="37"/>
      <c r="L2192" s="37"/>
    </row>
    <row r="2193" spans="1:12" ht="15.75" customHeight="1">
      <c r="A2193" s="87" t="s">
        <v>3935</v>
      </c>
      <c r="B2193" s="87" t="s">
        <v>7264</v>
      </c>
      <c r="C2193" s="87" t="s">
        <v>7265</v>
      </c>
      <c r="D2193" s="88">
        <v>69</v>
      </c>
      <c r="E2193" s="85" t="s">
        <v>6330</v>
      </c>
      <c r="F2193" s="87">
        <v>126</v>
      </c>
      <c r="G2193" s="37"/>
      <c r="H2193" s="37">
        <f>COUNTIF('(参考)現行システム機能階層一覧'!$E$3:$E$1048576,sheet1!B2193)</f>
        <v>0</v>
      </c>
      <c r="I2193" s="37"/>
      <c r="J2193" s="37"/>
      <c r="K2193" s="37"/>
      <c r="L2193" s="37"/>
    </row>
    <row r="2194" spans="1:12" ht="15.75" customHeight="1">
      <c r="A2194" s="87" t="s">
        <v>3935</v>
      </c>
      <c r="B2194" s="87" t="s">
        <v>7266</v>
      </c>
      <c r="C2194" s="87" t="s">
        <v>7267</v>
      </c>
      <c r="D2194" s="88">
        <v>67</v>
      </c>
      <c r="E2194" s="85" t="s">
        <v>6330</v>
      </c>
      <c r="F2194" s="87">
        <v>126</v>
      </c>
      <c r="G2194" s="37"/>
      <c r="H2194" s="37">
        <f>COUNTIF('(参考)現行システム機能階層一覧'!$E$3:$E$1048576,sheet1!B2194)</f>
        <v>0</v>
      </c>
      <c r="I2194" s="37"/>
      <c r="J2194" s="37"/>
      <c r="K2194" s="37"/>
      <c r="L2194" s="37"/>
    </row>
    <row r="2195" spans="1:12" ht="15.75" customHeight="1">
      <c r="A2195" s="87" t="s">
        <v>3935</v>
      </c>
      <c r="B2195" s="87" t="s">
        <v>2117</v>
      </c>
      <c r="C2195" s="87" t="s">
        <v>7268</v>
      </c>
      <c r="D2195" s="88">
        <v>180</v>
      </c>
      <c r="E2195" s="85" t="s">
        <v>6330</v>
      </c>
      <c r="F2195" s="87">
        <v>329</v>
      </c>
      <c r="G2195" s="37"/>
      <c r="H2195" s="37">
        <f>COUNTIF('(参考)現行システム機能階層一覧'!$E$3:$E$1048576,sheet1!B2195)</f>
        <v>1</v>
      </c>
      <c r="I2195" s="37"/>
      <c r="J2195" s="37"/>
      <c r="K2195" s="37"/>
      <c r="L2195" s="37"/>
    </row>
    <row r="2196" spans="1:12" ht="15.75" customHeight="1">
      <c r="A2196" s="87" t="s">
        <v>3853</v>
      </c>
      <c r="B2196" s="87" t="s">
        <v>7269</v>
      </c>
      <c r="C2196" s="87" t="s">
        <v>2097</v>
      </c>
      <c r="D2196" s="88">
        <v>22</v>
      </c>
      <c r="E2196" s="85" t="s">
        <v>6330</v>
      </c>
      <c r="F2196" s="87">
        <v>302</v>
      </c>
      <c r="G2196" s="37"/>
      <c r="H2196" s="37">
        <f>COUNTIF('(参考)現行システム機能階層一覧'!$E$3:$E$1048576,sheet1!B2196)</f>
        <v>0</v>
      </c>
      <c r="I2196" s="37"/>
      <c r="J2196" s="37"/>
      <c r="K2196" s="37"/>
      <c r="L2196" s="37"/>
    </row>
    <row r="2197" spans="1:12" ht="15.75" customHeight="1">
      <c r="A2197" s="87" t="s">
        <v>3935</v>
      </c>
      <c r="B2197" s="87" t="s">
        <v>7270</v>
      </c>
      <c r="C2197" s="87" t="s">
        <v>7271</v>
      </c>
      <c r="D2197" s="88">
        <v>288</v>
      </c>
      <c r="E2197" s="85" t="s">
        <v>6330</v>
      </c>
      <c r="F2197" s="87">
        <v>302</v>
      </c>
      <c r="G2197" s="37"/>
      <c r="H2197" s="37">
        <f>COUNTIF('(参考)現行システム機能階層一覧'!$E$3:$E$1048576,sheet1!B2197)</f>
        <v>0</v>
      </c>
      <c r="I2197" s="37"/>
      <c r="J2197" s="37"/>
      <c r="K2197" s="37"/>
      <c r="L2197" s="37"/>
    </row>
    <row r="2198" spans="1:12" ht="15.75" customHeight="1">
      <c r="A2198" s="87" t="s">
        <v>3935</v>
      </c>
      <c r="B2198" s="87" t="s">
        <v>2123</v>
      </c>
      <c r="C2198" s="87" t="s">
        <v>7272</v>
      </c>
      <c r="D2198" s="88">
        <v>290</v>
      </c>
      <c r="E2198" s="85" t="s">
        <v>6330</v>
      </c>
      <c r="F2198" s="87">
        <v>337</v>
      </c>
      <c r="G2198" s="37"/>
      <c r="H2198" s="37">
        <f>COUNTIF('(参考)現行システム機能階層一覧'!$E$3:$E$1048576,sheet1!B2198)</f>
        <v>1</v>
      </c>
      <c r="I2198" s="37"/>
      <c r="J2198" s="37"/>
      <c r="K2198" s="37"/>
      <c r="L2198" s="37"/>
    </row>
    <row r="2199" spans="1:12" ht="15.75" customHeight="1">
      <c r="A2199" s="87" t="s">
        <v>3853</v>
      </c>
      <c r="B2199" s="87" t="s">
        <v>7273</v>
      </c>
      <c r="C2199" s="87" t="s">
        <v>2102</v>
      </c>
      <c r="D2199" s="88">
        <v>29</v>
      </c>
      <c r="E2199" s="85" t="s">
        <v>6330</v>
      </c>
      <c r="F2199" s="87">
        <v>319</v>
      </c>
      <c r="G2199" s="37"/>
      <c r="H2199" s="37">
        <f>COUNTIF('(参考)現行システム機能階層一覧'!$E$3:$E$1048576,sheet1!B2199)</f>
        <v>0</v>
      </c>
      <c r="I2199" s="37"/>
      <c r="J2199" s="37"/>
      <c r="K2199" s="37"/>
      <c r="L2199" s="37"/>
    </row>
    <row r="2200" spans="1:12" ht="15.75" customHeight="1">
      <c r="A2200" s="87" t="s">
        <v>3935</v>
      </c>
      <c r="B2200" s="87" t="s">
        <v>7274</v>
      </c>
      <c r="C2200" s="87" t="s">
        <v>7275</v>
      </c>
      <c r="D2200" s="88">
        <v>713</v>
      </c>
      <c r="E2200" s="85" t="s">
        <v>6330</v>
      </c>
      <c r="F2200" s="87">
        <v>319</v>
      </c>
      <c r="G2200" s="37"/>
      <c r="H2200" s="37">
        <f>COUNTIF('(参考)現行システム機能階層一覧'!$E$3:$E$1048576,sheet1!B2200)</f>
        <v>0</v>
      </c>
      <c r="I2200" s="37"/>
      <c r="J2200" s="37"/>
      <c r="K2200" s="37"/>
      <c r="L2200" s="37"/>
    </row>
    <row r="2201" spans="1:12" ht="15.75" customHeight="1">
      <c r="A2201" s="87" t="s">
        <v>3935</v>
      </c>
      <c r="B2201" s="87" t="s">
        <v>2127</v>
      </c>
      <c r="C2201" s="87" t="s">
        <v>7276</v>
      </c>
      <c r="D2201" s="88">
        <v>601</v>
      </c>
      <c r="E2201" s="85" t="s">
        <v>6330</v>
      </c>
      <c r="F2201" s="87">
        <v>417</v>
      </c>
      <c r="G2201" s="37"/>
      <c r="H2201" s="37">
        <f>COUNTIF('(参考)現行システム機能階層一覧'!$E$3:$E$1048576,sheet1!B2201)</f>
        <v>1</v>
      </c>
      <c r="I2201" s="37"/>
      <c r="J2201" s="37"/>
      <c r="K2201" s="37"/>
      <c r="L2201" s="37"/>
    </row>
    <row r="2202" spans="1:12" ht="15.75" customHeight="1">
      <c r="A2202" s="87" t="s">
        <v>3853</v>
      </c>
      <c r="B2202" s="87" t="s">
        <v>7277</v>
      </c>
      <c r="C2202" s="87" t="s">
        <v>7278</v>
      </c>
      <c r="D2202" s="88">
        <v>48</v>
      </c>
      <c r="E2202" s="85" t="s">
        <v>6330</v>
      </c>
      <c r="F2202" s="87">
        <v>229</v>
      </c>
      <c r="G2202" s="37"/>
      <c r="H2202" s="37">
        <f>COUNTIF('(参考)現行システム機能階層一覧'!$E$3:$E$1048576,sheet1!B2202)</f>
        <v>0</v>
      </c>
      <c r="I2202" s="37"/>
      <c r="J2202" s="37"/>
      <c r="K2202" s="37"/>
      <c r="L2202" s="37"/>
    </row>
    <row r="2203" spans="1:12" ht="15.75" customHeight="1">
      <c r="A2203" s="87" t="s">
        <v>3935</v>
      </c>
      <c r="B2203" s="87" t="s">
        <v>7279</v>
      </c>
      <c r="C2203" s="87" t="s">
        <v>7280</v>
      </c>
      <c r="D2203" s="88">
        <v>1215</v>
      </c>
      <c r="E2203" s="85" t="s">
        <v>6330</v>
      </c>
      <c r="F2203" s="87">
        <v>229</v>
      </c>
      <c r="G2203" s="37"/>
      <c r="H2203" s="37">
        <f>COUNTIF('(参考)現行システム機能階層一覧'!$E$3:$E$1048576,sheet1!B2203)</f>
        <v>0</v>
      </c>
      <c r="I2203" s="37"/>
      <c r="J2203" s="37"/>
      <c r="K2203" s="37"/>
      <c r="L2203" s="37"/>
    </row>
    <row r="2204" spans="1:12" ht="15.75" customHeight="1">
      <c r="A2204" s="87" t="s">
        <v>3853</v>
      </c>
      <c r="B2204" s="87" t="s">
        <v>7281</v>
      </c>
      <c r="C2204" s="87" t="s">
        <v>7282</v>
      </c>
      <c r="D2204" s="88">
        <v>48</v>
      </c>
      <c r="E2204" s="85" t="s">
        <v>6330</v>
      </c>
      <c r="F2204" s="87">
        <v>389</v>
      </c>
      <c r="G2204" s="37"/>
      <c r="H2204" s="37">
        <f>COUNTIF('(参考)現行システム機能階層一覧'!$E$3:$E$1048576,sheet1!B2204)</f>
        <v>0</v>
      </c>
      <c r="I2204" s="37"/>
      <c r="J2204" s="37"/>
      <c r="K2204" s="37"/>
      <c r="L2204" s="37"/>
    </row>
    <row r="2205" spans="1:12" ht="15.75" customHeight="1">
      <c r="A2205" s="87" t="s">
        <v>3935</v>
      </c>
      <c r="B2205" s="87" t="s">
        <v>7283</v>
      </c>
      <c r="C2205" s="87" t="s">
        <v>7284</v>
      </c>
      <c r="D2205" s="88">
        <v>1163</v>
      </c>
      <c r="E2205" s="85" t="s">
        <v>6330</v>
      </c>
      <c r="F2205" s="87">
        <v>389</v>
      </c>
      <c r="G2205" s="37"/>
      <c r="H2205" s="37">
        <f>COUNTIF('(参考)現行システム機能階層一覧'!$E$3:$E$1048576,sheet1!B2205)</f>
        <v>0</v>
      </c>
      <c r="I2205" s="37"/>
      <c r="J2205" s="37"/>
      <c r="K2205" s="37"/>
      <c r="L2205" s="37"/>
    </row>
    <row r="2206" spans="1:12" ht="15.75" customHeight="1">
      <c r="A2206" s="87" t="s">
        <v>3935</v>
      </c>
      <c r="B2206" s="87" t="s">
        <v>7285</v>
      </c>
      <c r="C2206" s="87" t="s">
        <v>7286</v>
      </c>
      <c r="D2206" s="88">
        <v>339</v>
      </c>
      <c r="E2206" s="85" t="s">
        <v>6330</v>
      </c>
      <c r="F2206" s="87">
        <v>1</v>
      </c>
      <c r="G2206" s="37"/>
      <c r="H2206" s="37">
        <f>COUNTIF('(参考)現行システム機能階層一覧'!$E$3:$E$1048576,sheet1!B2206)</f>
        <v>0</v>
      </c>
      <c r="I2206" s="37"/>
      <c r="J2206" s="37"/>
      <c r="K2206" s="37"/>
      <c r="L2206" s="37"/>
    </row>
    <row r="2207" spans="1:12" ht="15.75" customHeight="1">
      <c r="A2207" s="87" t="s">
        <v>3853</v>
      </c>
      <c r="B2207" s="87" t="s">
        <v>7287</v>
      </c>
      <c r="C2207" s="87" t="s">
        <v>7288</v>
      </c>
      <c r="D2207" s="88">
        <v>21</v>
      </c>
      <c r="E2207" s="85" t="s">
        <v>6330</v>
      </c>
      <c r="F2207" s="87">
        <v>1</v>
      </c>
      <c r="G2207" s="37"/>
      <c r="H2207" s="37">
        <f>COUNTIF('(参考)現行システム機能階層一覧'!$E$3:$E$1048576,sheet1!B2207)</f>
        <v>0</v>
      </c>
      <c r="I2207" s="37"/>
      <c r="J2207" s="37"/>
      <c r="K2207" s="37"/>
      <c r="L2207" s="37"/>
    </row>
    <row r="2208" spans="1:12" ht="15.75" customHeight="1">
      <c r="A2208" s="87" t="s">
        <v>3935</v>
      </c>
      <c r="B2208" s="87" t="s">
        <v>7289</v>
      </c>
      <c r="C2208" s="87" t="s">
        <v>7286</v>
      </c>
      <c r="D2208" s="88">
        <v>121</v>
      </c>
      <c r="E2208" s="85" t="s">
        <v>6330</v>
      </c>
      <c r="F2208" s="87">
        <v>1</v>
      </c>
      <c r="G2208" s="37"/>
      <c r="H2208" s="37">
        <f>COUNTIF('(参考)現行システム機能階層一覧'!$E$3:$E$1048576,sheet1!B2208)</f>
        <v>0</v>
      </c>
      <c r="I2208" s="37"/>
      <c r="J2208" s="37"/>
      <c r="K2208" s="37"/>
      <c r="L2208" s="37"/>
    </row>
    <row r="2209" spans="1:12" ht="15.75" customHeight="1">
      <c r="A2209" s="87" t="s">
        <v>3935</v>
      </c>
      <c r="B2209" s="87" t="s">
        <v>7290</v>
      </c>
      <c r="C2209" s="87" t="s">
        <v>7291</v>
      </c>
      <c r="D2209" s="88">
        <v>1363</v>
      </c>
      <c r="E2209" s="85" t="s">
        <v>6330</v>
      </c>
      <c r="F2209" s="87">
        <v>110</v>
      </c>
      <c r="G2209" s="37"/>
      <c r="H2209" s="37">
        <f>COUNTIF('(参考)現行システム機能階層一覧'!$E$3:$E$1048576,sheet1!B2209)</f>
        <v>0</v>
      </c>
      <c r="I2209" s="37"/>
      <c r="J2209" s="37"/>
      <c r="K2209" s="37"/>
      <c r="L2209" s="37"/>
    </row>
    <row r="2210" spans="1:12" ht="15.75" customHeight="1">
      <c r="A2210" s="87" t="s">
        <v>3853</v>
      </c>
      <c r="B2210" s="87" t="s">
        <v>7292</v>
      </c>
      <c r="C2210" s="87" t="s">
        <v>7291</v>
      </c>
      <c r="D2210" s="88">
        <v>53</v>
      </c>
      <c r="E2210" s="85" t="s">
        <v>6330</v>
      </c>
      <c r="F2210" s="87">
        <v>1</v>
      </c>
      <c r="G2210" s="37"/>
      <c r="H2210" s="37">
        <f>COUNTIF('(参考)現行システム機能階層一覧'!$E$3:$E$1048576,sheet1!B2210)</f>
        <v>0</v>
      </c>
      <c r="I2210" s="37"/>
      <c r="J2210" s="37"/>
      <c r="K2210" s="37"/>
      <c r="L2210" s="37"/>
    </row>
    <row r="2211" spans="1:12" ht="15.75" customHeight="1">
      <c r="A2211" s="87" t="s">
        <v>3853</v>
      </c>
      <c r="B2211" s="87" t="s">
        <v>7293</v>
      </c>
      <c r="C2211" s="87" t="s">
        <v>7294</v>
      </c>
      <c r="D2211" s="88">
        <v>53</v>
      </c>
      <c r="E2211" s="85" t="s">
        <v>6330</v>
      </c>
      <c r="F2211" s="87">
        <v>110</v>
      </c>
      <c r="G2211" s="37"/>
      <c r="H2211" s="37">
        <f>COUNTIF('(参考)現行システム機能階層一覧'!$E$3:$E$1048576,sheet1!B2211)</f>
        <v>0</v>
      </c>
      <c r="I2211" s="37"/>
      <c r="J2211" s="37"/>
      <c r="K2211" s="37"/>
      <c r="L2211" s="37"/>
    </row>
    <row r="2212" spans="1:12" ht="15.75" customHeight="1">
      <c r="A2212" s="87" t="s">
        <v>3853</v>
      </c>
      <c r="B2212" s="87" t="s">
        <v>7295</v>
      </c>
      <c r="C2212" s="87" t="s">
        <v>7291</v>
      </c>
      <c r="D2212" s="88">
        <v>53</v>
      </c>
      <c r="E2212" s="85" t="s">
        <v>6330</v>
      </c>
      <c r="F2212" s="87">
        <v>110</v>
      </c>
      <c r="G2212" s="37"/>
      <c r="H2212" s="37">
        <f>COUNTIF('(参考)現行システム機能階層一覧'!$E$3:$E$1048576,sheet1!B2212)</f>
        <v>0</v>
      </c>
      <c r="I2212" s="37"/>
      <c r="J2212" s="37"/>
      <c r="K2212" s="37"/>
      <c r="L2212" s="37"/>
    </row>
    <row r="2213" spans="1:12" ht="15.75" customHeight="1">
      <c r="A2213" s="87" t="s">
        <v>3935</v>
      </c>
      <c r="B2213" s="87" t="s">
        <v>1914</v>
      </c>
      <c r="C2213" s="87" t="s">
        <v>7296</v>
      </c>
      <c r="D2213" s="88">
        <v>592</v>
      </c>
      <c r="E2213" s="85" t="s">
        <v>6330</v>
      </c>
      <c r="F2213" s="87">
        <v>252</v>
      </c>
      <c r="G2213" s="37"/>
      <c r="H2213" s="37">
        <f>COUNTIF('(参考)現行システム機能階層一覧'!$E$3:$E$1048576,sheet1!B2213)</f>
        <v>0</v>
      </c>
      <c r="I2213" s="37"/>
      <c r="J2213" s="37"/>
      <c r="K2213" s="37"/>
      <c r="L2213" s="37"/>
    </row>
    <row r="2214" spans="1:12" ht="15.75" customHeight="1">
      <c r="A2214" s="87" t="s">
        <v>3853</v>
      </c>
      <c r="B2214" s="87" t="s">
        <v>1912</v>
      </c>
      <c r="C2214" s="87" t="s">
        <v>1915</v>
      </c>
      <c r="D2214" s="88">
        <v>240</v>
      </c>
      <c r="E2214" s="85" t="s">
        <v>6330</v>
      </c>
      <c r="F2214" s="87">
        <v>252</v>
      </c>
      <c r="G2214" s="37"/>
      <c r="H2214" s="37">
        <f>COUNTIF('(参考)現行システム機能階層一覧'!$E$3:$E$1048576,sheet1!B2214)</f>
        <v>1</v>
      </c>
      <c r="I2214" s="37"/>
      <c r="J2214" s="37"/>
      <c r="K2214" s="37"/>
      <c r="L2214" s="37"/>
    </row>
    <row r="2215" spans="1:12" ht="15.75" customHeight="1">
      <c r="A2215" s="87" t="s">
        <v>3935</v>
      </c>
      <c r="B2215" s="87" t="s">
        <v>7297</v>
      </c>
      <c r="C2215" s="87" t="s">
        <v>7298</v>
      </c>
      <c r="D2215" s="88">
        <v>114</v>
      </c>
      <c r="E2215" s="85" t="s">
        <v>6330</v>
      </c>
      <c r="F2215" s="87">
        <v>6</v>
      </c>
      <c r="G2215" s="37"/>
      <c r="H2215" s="37">
        <f>COUNTIF('(参考)現行システム機能階層一覧'!$E$3:$E$1048576,sheet1!B2215)</f>
        <v>0</v>
      </c>
      <c r="I2215" s="37"/>
      <c r="J2215" s="37"/>
      <c r="K2215" s="37"/>
      <c r="L2215" s="37"/>
    </row>
    <row r="2216" spans="1:12" ht="15.75" customHeight="1">
      <c r="A2216" s="87" t="s">
        <v>3935</v>
      </c>
      <c r="B2216" s="87" t="s">
        <v>7299</v>
      </c>
      <c r="C2216" s="87" t="s">
        <v>7298</v>
      </c>
      <c r="D2216" s="88">
        <v>219</v>
      </c>
      <c r="E2216" s="85" t="s">
        <v>6330</v>
      </c>
      <c r="F2216" s="87">
        <v>6</v>
      </c>
      <c r="G2216" s="37"/>
      <c r="H2216" s="37">
        <f>COUNTIF('(参考)現行システム機能階層一覧'!$E$3:$E$1048576,sheet1!B2216)</f>
        <v>0</v>
      </c>
      <c r="I2216" s="37"/>
      <c r="J2216" s="37"/>
      <c r="K2216" s="37"/>
      <c r="L2216" s="37"/>
    </row>
    <row r="2217" spans="1:12" ht="15.75" customHeight="1">
      <c r="A2217" s="87" t="s">
        <v>3935</v>
      </c>
      <c r="B2217" s="87" t="s">
        <v>7300</v>
      </c>
      <c r="C2217" s="87" t="s">
        <v>7301</v>
      </c>
      <c r="D2217" s="88">
        <v>99</v>
      </c>
      <c r="E2217" s="85" t="s">
        <v>6330</v>
      </c>
      <c r="F2217" s="87">
        <v>1</v>
      </c>
      <c r="G2217" s="37"/>
      <c r="H2217" s="37">
        <f>COUNTIF('(参考)現行システム機能階層一覧'!$E$3:$E$1048576,sheet1!B2217)</f>
        <v>0</v>
      </c>
      <c r="I2217" s="37"/>
      <c r="J2217" s="37"/>
      <c r="K2217" s="37"/>
      <c r="L2217" s="37"/>
    </row>
    <row r="2218" spans="1:12" ht="15.75" customHeight="1">
      <c r="A2218" s="87" t="s">
        <v>3935</v>
      </c>
      <c r="B2218" s="87" t="s">
        <v>7302</v>
      </c>
      <c r="C2218" s="87" t="s">
        <v>7303</v>
      </c>
      <c r="D2218" s="88">
        <v>84</v>
      </c>
      <c r="E2218" s="85" t="s">
        <v>6330</v>
      </c>
      <c r="F2218" s="87">
        <v>1</v>
      </c>
      <c r="G2218" s="37"/>
      <c r="H2218" s="37">
        <f>COUNTIF('(参考)現行システム機能階層一覧'!$E$3:$E$1048576,sheet1!B2218)</f>
        <v>0</v>
      </c>
      <c r="I2218" s="37"/>
      <c r="J2218" s="37"/>
      <c r="K2218" s="37"/>
      <c r="L2218" s="37"/>
    </row>
    <row r="2219" spans="1:12" ht="15.75" customHeight="1">
      <c r="A2219" s="87" t="s">
        <v>3935</v>
      </c>
      <c r="B2219" s="87" t="s">
        <v>7304</v>
      </c>
      <c r="C2219" s="87" t="s">
        <v>7305</v>
      </c>
      <c r="D2219" s="88">
        <v>37</v>
      </c>
      <c r="E2219" s="85" t="s">
        <v>6330</v>
      </c>
      <c r="F2219" s="87">
        <v>2</v>
      </c>
      <c r="G2219" s="37"/>
      <c r="H2219" s="37">
        <f>COUNTIF('(参考)現行システム機能階層一覧'!$E$3:$E$1048576,sheet1!B2219)</f>
        <v>0</v>
      </c>
      <c r="I2219" s="37"/>
      <c r="J2219" s="37"/>
      <c r="K2219" s="37"/>
      <c r="L2219" s="37"/>
    </row>
    <row r="2220" spans="1:12" ht="15.75" customHeight="1">
      <c r="A2220" s="87" t="s">
        <v>3935</v>
      </c>
      <c r="B2220" s="87" t="s">
        <v>2115</v>
      </c>
      <c r="C2220" s="87" t="s">
        <v>7306</v>
      </c>
      <c r="D2220" s="88">
        <v>452</v>
      </c>
      <c r="E2220" s="85" t="s">
        <v>6330</v>
      </c>
      <c r="F2220" s="87">
        <v>8</v>
      </c>
      <c r="G2220" s="37"/>
      <c r="H2220" s="37">
        <f>COUNTIF('(参考)現行システム機能階層一覧'!$E$3:$E$1048576,sheet1!B2220)</f>
        <v>1</v>
      </c>
      <c r="I2220" s="37"/>
      <c r="J2220" s="37"/>
      <c r="K2220" s="37"/>
      <c r="L2220" s="37"/>
    </row>
    <row r="2221" spans="1:12" ht="15.75" customHeight="1">
      <c r="A2221" s="87" t="s">
        <v>3853</v>
      </c>
      <c r="B2221" s="87" t="s">
        <v>7307</v>
      </c>
      <c r="C2221" s="87" t="s">
        <v>7308</v>
      </c>
      <c r="D2221" s="88">
        <v>23</v>
      </c>
      <c r="E2221" s="85" t="s">
        <v>6330</v>
      </c>
      <c r="F2221" s="87">
        <v>1</v>
      </c>
      <c r="G2221" s="37"/>
      <c r="H2221" s="37">
        <f>COUNTIF('(参考)現行システム機能階層一覧'!$E$3:$E$1048576,sheet1!B2221)</f>
        <v>0</v>
      </c>
      <c r="I2221" s="37"/>
      <c r="J2221" s="37"/>
      <c r="K2221" s="37"/>
      <c r="L2221" s="37"/>
    </row>
    <row r="2222" spans="1:12" ht="15.75" customHeight="1">
      <c r="A2222" s="87" t="s">
        <v>3935</v>
      </c>
      <c r="B2222" s="87" t="s">
        <v>7309</v>
      </c>
      <c r="C2222" s="87" t="s">
        <v>7310</v>
      </c>
      <c r="D2222" s="88">
        <v>496</v>
      </c>
      <c r="E2222" s="85" t="s">
        <v>6330</v>
      </c>
      <c r="F2222" s="87">
        <v>1</v>
      </c>
      <c r="G2222" s="37"/>
      <c r="H2222" s="37">
        <f>COUNTIF('(参考)現行システム機能階層一覧'!$E$3:$E$1048576,sheet1!B2222)</f>
        <v>0</v>
      </c>
      <c r="I2222" s="37"/>
      <c r="J2222" s="37"/>
      <c r="K2222" s="37"/>
      <c r="L2222" s="37"/>
    </row>
    <row r="2223" spans="1:12" ht="15.75" customHeight="1">
      <c r="A2223" s="87" t="s">
        <v>3935</v>
      </c>
      <c r="B2223" s="87" t="s">
        <v>1925</v>
      </c>
      <c r="C2223" s="87" t="s">
        <v>7311</v>
      </c>
      <c r="D2223" s="88">
        <v>576</v>
      </c>
      <c r="E2223" s="85" t="s">
        <v>6330</v>
      </c>
      <c r="F2223" s="87">
        <v>11</v>
      </c>
      <c r="G2223" s="37"/>
      <c r="H2223" s="37">
        <f>COUNTIF('(参考)現行システム機能階層一覧'!$E$3:$E$1048576,sheet1!B2223)</f>
        <v>0</v>
      </c>
      <c r="I2223" s="37"/>
      <c r="J2223" s="37"/>
      <c r="K2223" s="37"/>
      <c r="L2223" s="37"/>
    </row>
    <row r="2224" spans="1:12" ht="15.75" customHeight="1">
      <c r="A2224" s="87" t="s">
        <v>3853</v>
      </c>
      <c r="B2224" s="87" t="s">
        <v>1928</v>
      </c>
      <c r="C2224" s="87" t="s">
        <v>7312</v>
      </c>
      <c r="D2224" s="88">
        <v>81</v>
      </c>
      <c r="E2224" s="85" t="s">
        <v>6330</v>
      </c>
      <c r="F2224" s="87">
        <v>11</v>
      </c>
      <c r="G2224" s="37"/>
      <c r="H2224" s="37">
        <f>COUNTIF('(参考)現行システム機能階層一覧'!$E$3:$E$1048576,sheet1!B2224)</f>
        <v>1</v>
      </c>
      <c r="I2224" s="37"/>
      <c r="J2224" s="37"/>
      <c r="K2224" s="37"/>
      <c r="L2224" s="37"/>
    </row>
    <row r="2225" spans="1:12" ht="15.75" customHeight="1">
      <c r="A2225" s="87" t="s">
        <v>3853</v>
      </c>
      <c r="B2225" s="87" t="s">
        <v>7313</v>
      </c>
      <c r="C2225" s="87" t="s">
        <v>7314</v>
      </c>
      <c r="D2225" s="88">
        <v>16</v>
      </c>
      <c r="E2225" s="85" t="s">
        <v>6330</v>
      </c>
      <c r="F2225" s="87">
        <v>126</v>
      </c>
      <c r="G2225" s="37"/>
      <c r="H2225" s="37">
        <f>COUNTIF('(参考)現行システム機能階層一覧'!$E$3:$E$1048576,sheet1!B2225)</f>
        <v>0</v>
      </c>
      <c r="I2225" s="37"/>
      <c r="J2225" s="37"/>
      <c r="K2225" s="37"/>
      <c r="L2225" s="37"/>
    </row>
    <row r="2226" spans="1:12" ht="15.75" customHeight="1">
      <c r="A2226" s="87" t="s">
        <v>3935</v>
      </c>
      <c r="B2226" s="87" t="s">
        <v>7315</v>
      </c>
      <c r="C2226" s="87" t="s">
        <v>7316</v>
      </c>
      <c r="D2226" s="88">
        <v>96</v>
      </c>
      <c r="E2226" s="85" t="s">
        <v>6330</v>
      </c>
      <c r="F2226" s="87">
        <v>125</v>
      </c>
      <c r="G2226" s="37"/>
      <c r="H2226" s="37">
        <f>COUNTIF('(参考)現行システム機能階層一覧'!$E$3:$E$1048576,sheet1!B2226)</f>
        <v>0</v>
      </c>
      <c r="I2226" s="37"/>
      <c r="J2226" s="37"/>
      <c r="K2226" s="37"/>
      <c r="L2226" s="37"/>
    </row>
    <row r="2227" spans="1:12" ht="15.75" customHeight="1">
      <c r="A2227" s="87" t="s">
        <v>3853</v>
      </c>
      <c r="B2227" s="87" t="s">
        <v>2131</v>
      </c>
      <c r="C2227" s="87" t="s">
        <v>7316</v>
      </c>
      <c r="D2227" s="88">
        <v>15</v>
      </c>
      <c r="E2227" s="85" t="s">
        <v>6330</v>
      </c>
      <c r="F2227" s="87">
        <v>125</v>
      </c>
      <c r="G2227" s="37"/>
      <c r="H2227" s="37">
        <f>COUNTIF('(参考)現行システム機能階層一覧'!$E$3:$E$1048576,sheet1!B2227)</f>
        <v>1</v>
      </c>
      <c r="I2227" s="37"/>
      <c r="J2227" s="37"/>
      <c r="K2227" s="37"/>
      <c r="L2227" s="37"/>
    </row>
    <row r="2228" spans="1:12" ht="15.75" customHeight="1">
      <c r="A2228" s="87" t="s">
        <v>3935</v>
      </c>
      <c r="B2228" s="87" t="s">
        <v>2228</v>
      </c>
      <c r="C2228" s="87" t="s">
        <v>7317</v>
      </c>
      <c r="D2228" s="88">
        <v>946</v>
      </c>
      <c r="E2228" s="85" t="s">
        <v>6330</v>
      </c>
      <c r="F2228" s="87">
        <v>3</v>
      </c>
      <c r="G2228" s="37"/>
      <c r="H2228" s="37">
        <f>COUNTIF('(参考)現行システム機能階層一覧'!$E$3:$E$1048576,sheet1!B2228)</f>
        <v>1</v>
      </c>
      <c r="I2228" s="37"/>
      <c r="J2228" s="37"/>
      <c r="K2228" s="37"/>
      <c r="L2228" s="37"/>
    </row>
    <row r="2229" spans="1:12" ht="15.75" customHeight="1">
      <c r="A2229" s="87" t="s">
        <v>3935</v>
      </c>
      <c r="B2229" s="87" t="s">
        <v>2225</v>
      </c>
      <c r="C2229" s="87" t="s">
        <v>2254</v>
      </c>
      <c r="D2229" s="88">
        <v>1090</v>
      </c>
      <c r="E2229" s="85" t="s">
        <v>6330</v>
      </c>
      <c r="F2229" s="87">
        <v>9</v>
      </c>
      <c r="G2229" s="37"/>
      <c r="H2229" s="37">
        <f>COUNTIF('(参考)現行システム機能階層一覧'!$E$3:$E$1048576,sheet1!B2229)</f>
        <v>1</v>
      </c>
      <c r="I2229" s="37"/>
      <c r="J2229" s="37"/>
      <c r="K2229" s="37"/>
      <c r="L2229" s="37"/>
    </row>
    <row r="2230" spans="1:12" ht="15.75" customHeight="1">
      <c r="A2230" s="87" t="s">
        <v>3935</v>
      </c>
      <c r="B2230" s="87" t="s">
        <v>7318</v>
      </c>
      <c r="C2230" s="87" t="s">
        <v>7319</v>
      </c>
      <c r="D2230" s="88">
        <v>105</v>
      </c>
      <c r="E2230" s="85" t="s">
        <v>6330</v>
      </c>
      <c r="F2230" s="87">
        <v>67</v>
      </c>
      <c r="G2230" s="37"/>
      <c r="H2230" s="37">
        <f>COUNTIF('(参考)現行システム機能階層一覧'!$E$3:$E$1048576,sheet1!B2230)</f>
        <v>0</v>
      </c>
      <c r="I2230" s="37"/>
      <c r="J2230" s="37"/>
      <c r="K2230" s="37"/>
      <c r="L2230" s="37"/>
    </row>
    <row r="2231" spans="1:12" ht="15.75" customHeight="1">
      <c r="A2231" s="87" t="s">
        <v>3853</v>
      </c>
      <c r="B2231" s="87" t="s">
        <v>7320</v>
      </c>
      <c r="C2231" s="87" t="s">
        <v>7321</v>
      </c>
      <c r="D2231" s="88">
        <v>101</v>
      </c>
      <c r="E2231" s="85" t="s">
        <v>6330</v>
      </c>
      <c r="F2231" s="87">
        <v>70</v>
      </c>
      <c r="G2231" s="37"/>
      <c r="H2231" s="37">
        <f>COUNTIF('(参考)現行システム機能階層一覧'!$E$3:$E$1048576,sheet1!B2231)</f>
        <v>0</v>
      </c>
      <c r="I2231" s="37"/>
      <c r="J2231" s="37"/>
      <c r="K2231" s="37"/>
      <c r="L2231" s="37"/>
    </row>
    <row r="2232" spans="1:12" ht="15.75" customHeight="1">
      <c r="A2232" s="87" t="s">
        <v>3935</v>
      </c>
      <c r="B2232" s="87" t="s">
        <v>7322</v>
      </c>
      <c r="C2232" s="87" t="s">
        <v>7323</v>
      </c>
      <c r="D2232" s="88">
        <v>279</v>
      </c>
      <c r="E2232" s="85" t="s">
        <v>6330</v>
      </c>
      <c r="F2232" s="87">
        <v>67</v>
      </c>
      <c r="G2232" s="37"/>
      <c r="H2232" s="37">
        <f>COUNTIF('(参考)現行システム機能階層一覧'!$E$3:$E$1048576,sheet1!B2232)</f>
        <v>0</v>
      </c>
      <c r="I2232" s="37"/>
      <c r="J2232" s="37"/>
      <c r="K2232" s="37"/>
      <c r="L2232" s="37"/>
    </row>
    <row r="2233" spans="1:12" ht="15.75" customHeight="1">
      <c r="A2233" s="87" t="s">
        <v>3935</v>
      </c>
      <c r="B2233" s="87" t="s">
        <v>7324</v>
      </c>
      <c r="C2233" s="87" t="s">
        <v>7323</v>
      </c>
      <c r="D2233" s="88">
        <v>69</v>
      </c>
      <c r="E2233" s="85" t="s">
        <v>6330</v>
      </c>
      <c r="F2233" s="87">
        <v>67</v>
      </c>
      <c r="G2233" s="37"/>
      <c r="H2233" s="37">
        <f>COUNTIF('(参考)現行システム機能階層一覧'!$E$3:$E$1048576,sheet1!B2233)</f>
        <v>0</v>
      </c>
      <c r="I2233" s="37"/>
      <c r="J2233" s="37"/>
      <c r="K2233" s="37"/>
      <c r="L2233" s="37"/>
    </row>
    <row r="2234" spans="1:12" ht="15.75" customHeight="1">
      <c r="A2234" s="87" t="s">
        <v>3935</v>
      </c>
      <c r="B2234" s="87" t="s">
        <v>7325</v>
      </c>
      <c r="C2234" s="87" t="s">
        <v>7326</v>
      </c>
      <c r="D2234" s="88">
        <v>319</v>
      </c>
      <c r="E2234" s="85" t="s">
        <v>6330</v>
      </c>
      <c r="F2234" s="87">
        <v>1355</v>
      </c>
      <c r="G2234" s="37"/>
      <c r="H2234" s="37">
        <f>COUNTIF('(参考)現行システム機能階層一覧'!$E$3:$E$1048576,sheet1!B2234)</f>
        <v>0</v>
      </c>
      <c r="I2234" s="37"/>
      <c r="J2234" s="37"/>
      <c r="K2234" s="37"/>
      <c r="L2234" s="37"/>
    </row>
    <row r="2235" spans="1:12" ht="15.75" customHeight="1">
      <c r="A2235" s="87" t="s">
        <v>3853</v>
      </c>
      <c r="B2235" s="87" t="s">
        <v>7327</v>
      </c>
      <c r="C2235" s="87" t="s">
        <v>7328</v>
      </c>
      <c r="D2235" s="88">
        <v>10</v>
      </c>
      <c r="E2235" s="85" t="s">
        <v>6330</v>
      </c>
      <c r="F2235" s="87">
        <v>1355</v>
      </c>
      <c r="G2235" s="37"/>
      <c r="H2235" s="37">
        <f>COUNTIF('(参考)現行システム機能階層一覧'!$E$3:$E$1048576,sheet1!B2235)</f>
        <v>0</v>
      </c>
      <c r="I2235" s="37"/>
      <c r="J2235" s="37"/>
      <c r="K2235" s="37"/>
      <c r="L2235" s="37"/>
    </row>
    <row r="2236" spans="1:12" ht="15.75" customHeight="1">
      <c r="A2236" s="87" t="s">
        <v>3935</v>
      </c>
      <c r="B2236" s="87" t="s">
        <v>7329</v>
      </c>
      <c r="C2236" s="87" t="s">
        <v>2262</v>
      </c>
      <c r="D2236" s="88">
        <v>1186</v>
      </c>
      <c r="E2236" s="85" t="s">
        <v>6330</v>
      </c>
      <c r="F2236" s="87">
        <v>2</v>
      </c>
      <c r="G2236" s="37"/>
      <c r="H2236" s="37">
        <f>COUNTIF('(参考)現行システム機能階層一覧'!$E$3:$E$1048576,sheet1!B2236)</f>
        <v>0</v>
      </c>
      <c r="I2236" s="37"/>
      <c r="J2236" s="37"/>
      <c r="K2236" s="37"/>
      <c r="L2236" s="37"/>
    </row>
    <row r="2237" spans="1:12" ht="15.75" customHeight="1">
      <c r="A2237" s="87" t="s">
        <v>3935</v>
      </c>
      <c r="B2237" s="87" t="s">
        <v>7330</v>
      </c>
      <c r="C2237" s="87" t="s">
        <v>2216</v>
      </c>
      <c r="D2237" s="88">
        <v>761</v>
      </c>
      <c r="E2237" s="85" t="s">
        <v>6330</v>
      </c>
      <c r="F2237" s="87">
        <v>3</v>
      </c>
      <c r="G2237" s="37"/>
      <c r="H2237" s="37">
        <f>COUNTIF('(参考)現行システム機能階層一覧'!$E$3:$E$1048576,sheet1!B2237)</f>
        <v>0</v>
      </c>
      <c r="I2237" s="37"/>
      <c r="J2237" s="37"/>
      <c r="K2237" s="37"/>
      <c r="L2237" s="37"/>
    </row>
    <row r="2238" spans="1:12" ht="15.75" customHeight="1">
      <c r="A2238" s="87" t="s">
        <v>3853</v>
      </c>
      <c r="B2238" s="87" t="s">
        <v>7331</v>
      </c>
      <c r="C2238" s="87" t="s">
        <v>2216</v>
      </c>
      <c r="D2238" s="88">
        <v>29</v>
      </c>
      <c r="E2238" s="85" t="s">
        <v>6330</v>
      </c>
      <c r="F2238" s="87">
        <v>3</v>
      </c>
      <c r="G2238" s="37"/>
      <c r="H2238" s="37">
        <f>COUNTIF('(参考)現行システム機能階層一覧'!$E$3:$E$1048576,sheet1!B2238)</f>
        <v>0</v>
      </c>
      <c r="I2238" s="37"/>
      <c r="J2238" s="37"/>
      <c r="K2238" s="37"/>
      <c r="L2238" s="37"/>
    </row>
    <row r="2239" spans="1:12" ht="15.75" customHeight="1">
      <c r="A2239" s="87" t="s">
        <v>3935</v>
      </c>
      <c r="B2239" s="87" t="s">
        <v>7332</v>
      </c>
      <c r="C2239" s="87" t="s">
        <v>7333</v>
      </c>
      <c r="D2239" s="88">
        <v>155</v>
      </c>
      <c r="E2239" s="85" t="s">
        <v>6330</v>
      </c>
      <c r="F2239" s="87">
        <v>1</v>
      </c>
      <c r="G2239" s="37"/>
      <c r="H2239" s="37">
        <f>COUNTIF('(参考)現行システム機能階層一覧'!$E$3:$E$1048576,sheet1!B2239)</f>
        <v>0</v>
      </c>
      <c r="I2239" s="37"/>
      <c r="J2239" s="37"/>
      <c r="K2239" s="37"/>
      <c r="L2239" s="37"/>
    </row>
    <row r="2240" spans="1:12" ht="15.75" customHeight="1">
      <c r="A2240" s="87" t="s">
        <v>3935</v>
      </c>
      <c r="B2240" s="87" t="s">
        <v>7334</v>
      </c>
      <c r="C2240" s="87" t="s">
        <v>7335</v>
      </c>
      <c r="D2240" s="88">
        <v>140</v>
      </c>
      <c r="E2240" s="85" t="s">
        <v>6330</v>
      </c>
      <c r="F2240" s="87">
        <v>67</v>
      </c>
      <c r="G2240" s="37"/>
      <c r="H2240" s="37">
        <f>COUNTIF('(参考)現行システム機能階層一覧'!$E$3:$E$1048576,sheet1!B2240)</f>
        <v>0</v>
      </c>
      <c r="I2240" s="37"/>
      <c r="J2240" s="37"/>
      <c r="K2240" s="37"/>
      <c r="L2240" s="37"/>
    </row>
    <row r="2241" spans="1:12" ht="15.75" customHeight="1">
      <c r="A2241" s="87" t="s">
        <v>3853</v>
      </c>
      <c r="B2241" s="87" t="s">
        <v>7336</v>
      </c>
      <c r="C2241" s="87" t="s">
        <v>7337</v>
      </c>
      <c r="D2241" s="88">
        <v>15</v>
      </c>
      <c r="E2241" s="85" t="s">
        <v>6330</v>
      </c>
      <c r="F2241" s="87">
        <v>64</v>
      </c>
      <c r="G2241" s="37"/>
      <c r="H2241" s="37">
        <f>COUNTIF('(参考)現行システム機能階層一覧'!$E$3:$E$1048576,sheet1!B2241)</f>
        <v>0</v>
      </c>
      <c r="I2241" s="37"/>
      <c r="J2241" s="37"/>
      <c r="K2241" s="37"/>
      <c r="L2241" s="37"/>
    </row>
    <row r="2242" spans="1:12" ht="15.75" customHeight="1">
      <c r="A2242" s="87" t="s">
        <v>3935</v>
      </c>
      <c r="B2242" s="87" t="s">
        <v>7338</v>
      </c>
      <c r="C2242" s="87" t="s">
        <v>7339</v>
      </c>
      <c r="D2242" s="88">
        <v>113</v>
      </c>
      <c r="E2242" s="85" t="s">
        <v>6330</v>
      </c>
      <c r="F2242" s="87">
        <v>64</v>
      </c>
      <c r="G2242" s="37"/>
      <c r="H2242" s="37">
        <f>COUNTIF('(参考)現行システム機能階層一覧'!$E$3:$E$1048576,sheet1!B2242)</f>
        <v>0</v>
      </c>
      <c r="I2242" s="37"/>
      <c r="J2242" s="37"/>
      <c r="K2242" s="37"/>
      <c r="L2242" s="37"/>
    </row>
    <row r="2243" spans="1:12" ht="15.75" customHeight="1">
      <c r="A2243" s="87" t="s">
        <v>3853</v>
      </c>
      <c r="B2243" s="87" t="s">
        <v>7340</v>
      </c>
      <c r="C2243" s="87" t="s">
        <v>7341</v>
      </c>
      <c r="D2243" s="88">
        <v>22</v>
      </c>
      <c r="E2243" s="85" t="s">
        <v>6330</v>
      </c>
      <c r="F2243" s="87">
        <v>64</v>
      </c>
      <c r="G2243" s="37"/>
      <c r="H2243" s="37">
        <f>COUNTIF('(参考)現行システム機能階層一覧'!$E$3:$E$1048576,sheet1!B2243)</f>
        <v>0</v>
      </c>
      <c r="I2243" s="37"/>
      <c r="J2243" s="37"/>
      <c r="K2243" s="37"/>
      <c r="L2243" s="37"/>
    </row>
    <row r="2244" spans="1:12" ht="15.75" customHeight="1">
      <c r="A2244" s="87" t="s">
        <v>3935</v>
      </c>
      <c r="B2244" s="87" t="s">
        <v>7342</v>
      </c>
      <c r="C2244" s="87" t="s">
        <v>7343</v>
      </c>
      <c r="D2244" s="88">
        <v>326</v>
      </c>
      <c r="E2244" s="85" t="s">
        <v>6330</v>
      </c>
      <c r="F2244" s="87">
        <v>1</v>
      </c>
      <c r="G2244" s="37"/>
      <c r="H2244" s="37">
        <f>COUNTIF('(参考)現行システム機能階層一覧'!$E$3:$E$1048576,sheet1!B2244)</f>
        <v>0</v>
      </c>
      <c r="I2244" s="37"/>
      <c r="J2244" s="37"/>
      <c r="K2244" s="37"/>
      <c r="L2244" s="37"/>
    </row>
    <row r="2245" spans="1:12" ht="15.75" customHeight="1">
      <c r="A2245" s="87" t="s">
        <v>3853</v>
      </c>
      <c r="B2245" s="87" t="s">
        <v>7344</v>
      </c>
      <c r="C2245" s="87" t="s">
        <v>7345</v>
      </c>
      <c r="D2245" s="88">
        <v>15</v>
      </c>
      <c r="E2245" s="85" t="s">
        <v>6330</v>
      </c>
      <c r="F2245" s="87">
        <v>1</v>
      </c>
      <c r="G2245" s="37"/>
      <c r="H2245" s="37">
        <f>COUNTIF('(参考)現行システム機能階層一覧'!$E$3:$E$1048576,sheet1!B2245)</f>
        <v>0</v>
      </c>
      <c r="I2245" s="37"/>
      <c r="J2245" s="37"/>
      <c r="K2245" s="37"/>
      <c r="L2245" s="37"/>
    </row>
    <row r="2246" spans="1:12" ht="15.75" customHeight="1">
      <c r="A2246" s="87" t="s">
        <v>3935</v>
      </c>
      <c r="B2246" s="87" t="s">
        <v>7346</v>
      </c>
      <c r="C2246" s="87" t="s">
        <v>7347</v>
      </c>
      <c r="D2246" s="88">
        <v>97</v>
      </c>
      <c r="E2246" s="85" t="s">
        <v>6330</v>
      </c>
      <c r="F2246" s="87">
        <v>1</v>
      </c>
      <c r="G2246" s="37"/>
      <c r="H2246" s="37">
        <f>COUNTIF('(参考)現行システム機能階層一覧'!$E$3:$E$1048576,sheet1!B2246)</f>
        <v>0</v>
      </c>
      <c r="I2246" s="37"/>
      <c r="J2246" s="37"/>
      <c r="K2246" s="37"/>
      <c r="L2246" s="37"/>
    </row>
    <row r="2247" spans="1:12" ht="15.75" customHeight="1">
      <c r="A2247" s="87" t="s">
        <v>3853</v>
      </c>
      <c r="B2247" s="87" t="s">
        <v>7348</v>
      </c>
      <c r="C2247" s="87" t="s">
        <v>7349</v>
      </c>
      <c r="D2247" s="88">
        <v>15</v>
      </c>
      <c r="E2247" s="85" t="s">
        <v>6330</v>
      </c>
      <c r="F2247" s="87">
        <v>1</v>
      </c>
      <c r="G2247" s="37"/>
      <c r="H2247" s="37">
        <f>COUNTIF('(参考)現行システム機能階層一覧'!$E$3:$E$1048576,sheet1!B2247)</f>
        <v>0</v>
      </c>
      <c r="I2247" s="37"/>
      <c r="J2247" s="37"/>
      <c r="K2247" s="37"/>
      <c r="L2247" s="37"/>
    </row>
    <row r="2248" spans="1:12" ht="15.75" customHeight="1">
      <c r="A2248" s="87" t="s">
        <v>3935</v>
      </c>
      <c r="B2248" s="87" t="s">
        <v>7350</v>
      </c>
      <c r="C2248" s="87" t="s">
        <v>7351</v>
      </c>
      <c r="D2248" s="88">
        <v>343</v>
      </c>
      <c r="E2248" s="85" t="s">
        <v>6330</v>
      </c>
      <c r="F2248" s="87">
        <v>64</v>
      </c>
      <c r="G2248" s="37"/>
      <c r="H2248" s="37">
        <f>COUNTIF('(参考)現行システム機能階層一覧'!$E$3:$E$1048576,sheet1!B2248)</f>
        <v>0</v>
      </c>
      <c r="I2248" s="37"/>
      <c r="J2248" s="37"/>
      <c r="K2248" s="37"/>
      <c r="L2248" s="37"/>
    </row>
    <row r="2249" spans="1:12" ht="15.75" customHeight="1">
      <c r="A2249" s="87" t="s">
        <v>3935</v>
      </c>
      <c r="B2249" s="87" t="s">
        <v>7352</v>
      </c>
      <c r="C2249" s="87" t="s">
        <v>7353</v>
      </c>
      <c r="D2249" s="88">
        <v>538</v>
      </c>
      <c r="E2249" s="85" t="s">
        <v>6330</v>
      </c>
      <c r="F2249" s="87">
        <v>64</v>
      </c>
      <c r="G2249" s="37"/>
      <c r="H2249" s="37">
        <f>COUNTIF('(参考)現行システム機能階層一覧'!$E$3:$E$1048576,sheet1!B2249)</f>
        <v>0</v>
      </c>
      <c r="I2249" s="37"/>
      <c r="J2249" s="37"/>
      <c r="K2249" s="37"/>
      <c r="L2249" s="37"/>
    </row>
    <row r="2250" spans="1:12" ht="15.75" customHeight="1">
      <c r="A2250" s="87" t="s">
        <v>3935</v>
      </c>
      <c r="B2250" s="87" t="s">
        <v>7354</v>
      </c>
      <c r="C2250" s="87" t="s">
        <v>7355</v>
      </c>
      <c r="D2250" s="88">
        <v>444</v>
      </c>
      <c r="E2250" s="85" t="s">
        <v>6330</v>
      </c>
      <c r="F2250" s="87">
        <v>64</v>
      </c>
      <c r="G2250" s="37"/>
      <c r="H2250" s="37">
        <f>COUNTIF('(参考)現行システム機能階層一覧'!$E$3:$E$1048576,sheet1!B2250)</f>
        <v>0</v>
      </c>
      <c r="I2250" s="37"/>
      <c r="J2250" s="37"/>
      <c r="K2250" s="37"/>
      <c r="L2250" s="37"/>
    </row>
    <row r="2251" spans="1:12" ht="15.75" customHeight="1">
      <c r="A2251" s="87" t="s">
        <v>3935</v>
      </c>
      <c r="B2251" s="87" t="s">
        <v>7356</v>
      </c>
      <c r="C2251" s="87" t="s">
        <v>7357</v>
      </c>
      <c r="D2251" s="88">
        <v>516</v>
      </c>
      <c r="E2251" s="85" t="s">
        <v>6330</v>
      </c>
      <c r="F2251" s="87">
        <v>64</v>
      </c>
      <c r="G2251" s="37"/>
      <c r="H2251" s="37">
        <f>COUNTIF('(参考)現行システム機能階層一覧'!$E$3:$E$1048576,sheet1!B2251)</f>
        <v>0</v>
      </c>
      <c r="I2251" s="37"/>
      <c r="J2251" s="37"/>
      <c r="K2251" s="37"/>
      <c r="L2251" s="37"/>
    </row>
    <row r="2252" spans="1:12" ht="15.75" customHeight="1">
      <c r="A2252" s="87" t="s">
        <v>3935</v>
      </c>
      <c r="B2252" s="87" t="s">
        <v>7358</v>
      </c>
      <c r="C2252" s="87" t="s">
        <v>7359</v>
      </c>
      <c r="D2252" s="88">
        <v>531</v>
      </c>
      <c r="E2252" s="85" t="s">
        <v>6330</v>
      </c>
      <c r="F2252" s="87">
        <v>64</v>
      </c>
      <c r="G2252" s="37"/>
      <c r="H2252" s="37">
        <f>COUNTIF('(参考)現行システム機能階層一覧'!$E$3:$E$1048576,sheet1!B2252)</f>
        <v>0</v>
      </c>
      <c r="I2252" s="37"/>
      <c r="J2252" s="37"/>
      <c r="K2252" s="37"/>
      <c r="L2252" s="37"/>
    </row>
    <row r="2253" spans="1:12" ht="15.75" customHeight="1">
      <c r="A2253" s="87" t="s">
        <v>3935</v>
      </c>
      <c r="B2253" s="87" t="s">
        <v>7360</v>
      </c>
      <c r="C2253" s="87" t="s">
        <v>7361</v>
      </c>
      <c r="D2253" s="88">
        <v>376</v>
      </c>
      <c r="E2253" s="85" t="s">
        <v>6330</v>
      </c>
      <c r="F2253" s="87">
        <v>2</v>
      </c>
      <c r="G2253" s="37"/>
      <c r="H2253" s="37">
        <f>COUNTIF('(参考)現行システム機能階層一覧'!$E$3:$E$1048576,sheet1!B2253)</f>
        <v>0</v>
      </c>
      <c r="I2253" s="37"/>
      <c r="J2253" s="37"/>
      <c r="K2253" s="37"/>
      <c r="L2253" s="37"/>
    </row>
    <row r="2254" spans="1:12" ht="15.75" customHeight="1">
      <c r="A2254" s="87" t="s">
        <v>3853</v>
      </c>
      <c r="B2254" s="87" t="s">
        <v>2006</v>
      </c>
      <c r="C2254" s="87" t="s">
        <v>7362</v>
      </c>
      <c r="D2254" s="88">
        <v>220</v>
      </c>
      <c r="E2254" s="85" t="s">
        <v>6330</v>
      </c>
      <c r="F2254" s="87">
        <v>5</v>
      </c>
      <c r="G2254" s="37"/>
      <c r="H2254" s="37">
        <f>COUNTIF('(参考)現行システム機能階層一覧'!$E$3:$E$1048576,sheet1!B2254)</f>
        <v>1</v>
      </c>
      <c r="I2254" s="37"/>
      <c r="J2254" s="37"/>
      <c r="K2254" s="37"/>
      <c r="L2254" s="37"/>
    </row>
    <row r="2255" spans="1:12" ht="15.75" customHeight="1">
      <c r="A2255" s="87" t="s">
        <v>3853</v>
      </c>
      <c r="B2255" s="87" t="s">
        <v>2010</v>
      </c>
      <c r="C2255" s="87" t="s">
        <v>7362</v>
      </c>
      <c r="D2255" s="88">
        <v>188</v>
      </c>
      <c r="E2255" s="85" t="s">
        <v>6330</v>
      </c>
      <c r="F2255" s="87">
        <v>2</v>
      </c>
      <c r="G2255" s="37"/>
      <c r="H2255" s="37">
        <f>COUNTIF('(参考)現行システム機能階層一覧'!$E$3:$E$1048576,sheet1!B2255)</f>
        <v>1</v>
      </c>
      <c r="I2255" s="37"/>
      <c r="J2255" s="37"/>
      <c r="K2255" s="37"/>
      <c r="L2255" s="37"/>
    </row>
    <row r="2256" spans="1:12" ht="15.75" customHeight="1">
      <c r="A2256" s="87" t="s">
        <v>3935</v>
      </c>
      <c r="B2256" s="87" t="s">
        <v>7363</v>
      </c>
      <c r="C2256" s="87" t="s">
        <v>7364</v>
      </c>
      <c r="D2256" s="88">
        <v>1258</v>
      </c>
      <c r="E2256" s="85" t="s">
        <v>6330</v>
      </c>
      <c r="F2256" s="87">
        <v>140</v>
      </c>
      <c r="G2256" s="37"/>
      <c r="H2256" s="37">
        <f>COUNTIF('(参考)現行システム機能階層一覧'!$E$3:$E$1048576,sheet1!B2256)</f>
        <v>0</v>
      </c>
      <c r="I2256" s="37"/>
      <c r="J2256" s="37"/>
      <c r="K2256" s="37"/>
      <c r="L2256" s="37"/>
    </row>
    <row r="2257" spans="1:12" ht="15.75" customHeight="1">
      <c r="A2257" s="87" t="s">
        <v>3935</v>
      </c>
      <c r="B2257" s="87" t="s">
        <v>2014</v>
      </c>
      <c r="C2257" s="87" t="s">
        <v>7364</v>
      </c>
      <c r="D2257" s="88">
        <v>1650</v>
      </c>
      <c r="E2257" s="85" t="s">
        <v>6330</v>
      </c>
      <c r="F2257" s="87">
        <v>6</v>
      </c>
      <c r="G2257" s="37"/>
      <c r="H2257" s="37">
        <f>COUNTIF('(参考)現行システム機能階層一覧'!$E$3:$E$1048576,sheet1!B2257)</f>
        <v>3</v>
      </c>
      <c r="I2257" s="37"/>
      <c r="J2257" s="37"/>
      <c r="K2257" s="37"/>
      <c r="L2257" s="37"/>
    </row>
    <row r="2258" spans="1:12" ht="15.75" customHeight="1">
      <c r="A2258" s="87" t="s">
        <v>3853</v>
      </c>
      <c r="B2258" s="87" t="s">
        <v>7365</v>
      </c>
      <c r="C2258" s="87" t="s">
        <v>7366</v>
      </c>
      <c r="D2258" s="88">
        <v>28</v>
      </c>
      <c r="E2258" s="85" t="s">
        <v>6330</v>
      </c>
      <c r="F2258" s="87">
        <v>15</v>
      </c>
      <c r="G2258" s="37"/>
      <c r="H2258" s="37">
        <f>COUNTIF('(参考)現行システム機能階層一覧'!$E$3:$E$1048576,sheet1!B2258)</f>
        <v>0</v>
      </c>
      <c r="I2258" s="37"/>
      <c r="J2258" s="37"/>
      <c r="K2258" s="37"/>
      <c r="L2258" s="37"/>
    </row>
    <row r="2259" spans="1:12" ht="15.75" customHeight="1">
      <c r="A2259" s="87" t="s">
        <v>3935</v>
      </c>
      <c r="B2259" s="87" t="s">
        <v>2047</v>
      </c>
      <c r="C2259" s="87" t="s">
        <v>7367</v>
      </c>
      <c r="D2259" s="88">
        <v>1405</v>
      </c>
      <c r="E2259" s="85" t="s">
        <v>6330</v>
      </c>
      <c r="F2259" s="87">
        <v>3</v>
      </c>
      <c r="G2259" s="37"/>
      <c r="H2259" s="37">
        <f>COUNTIF('(参考)現行システム機能階層一覧'!$E$3:$E$1048576,sheet1!B2259)</f>
        <v>1</v>
      </c>
      <c r="I2259" s="37"/>
      <c r="J2259" s="37"/>
      <c r="K2259" s="37"/>
      <c r="L2259" s="37"/>
    </row>
    <row r="2260" spans="1:12" ht="15.75" customHeight="1">
      <c r="A2260" s="87" t="s">
        <v>3853</v>
      </c>
      <c r="B2260" s="87" t="s">
        <v>7368</v>
      </c>
      <c r="C2260" s="87" t="s">
        <v>7367</v>
      </c>
      <c r="D2260" s="88">
        <v>13</v>
      </c>
      <c r="E2260" s="85" t="s">
        <v>6330</v>
      </c>
      <c r="F2260" s="87">
        <v>3</v>
      </c>
      <c r="G2260" s="37"/>
      <c r="H2260" s="37">
        <f>COUNTIF('(参考)現行システム機能階層一覧'!$E$3:$E$1048576,sheet1!B2260)</f>
        <v>0</v>
      </c>
      <c r="I2260" s="37"/>
      <c r="J2260" s="37"/>
      <c r="K2260" s="37"/>
      <c r="L2260" s="37"/>
    </row>
    <row r="2261" spans="1:12" ht="15.75" customHeight="1">
      <c r="A2261" s="87" t="s">
        <v>3935</v>
      </c>
      <c r="B2261" s="87" t="s">
        <v>2043</v>
      </c>
      <c r="C2261" s="87" t="s">
        <v>7369</v>
      </c>
      <c r="D2261" s="88">
        <v>688</v>
      </c>
      <c r="E2261" s="85" t="s">
        <v>6330</v>
      </c>
      <c r="F2261" s="87">
        <v>3</v>
      </c>
      <c r="G2261" s="37"/>
      <c r="H2261" s="37">
        <f>COUNTIF('(参考)現行システム機能階層一覧'!$E$3:$E$1048576,sheet1!B2261)</f>
        <v>1</v>
      </c>
      <c r="I2261" s="37"/>
      <c r="J2261" s="37"/>
      <c r="K2261" s="37"/>
      <c r="L2261" s="37"/>
    </row>
    <row r="2262" spans="1:12" ht="15.75" customHeight="1">
      <c r="A2262" s="87" t="s">
        <v>3853</v>
      </c>
      <c r="B2262" s="87" t="s">
        <v>7370</v>
      </c>
      <c r="C2262" s="87" t="s">
        <v>7371</v>
      </c>
      <c r="D2262" s="88">
        <v>53</v>
      </c>
      <c r="E2262" s="85" t="s">
        <v>6330</v>
      </c>
      <c r="F2262" s="87">
        <v>2</v>
      </c>
      <c r="G2262" s="37"/>
      <c r="H2262" s="37">
        <f>COUNTIF('(参考)現行システム機能階層一覧'!$E$3:$E$1048576,sheet1!B2262)</f>
        <v>0</v>
      </c>
      <c r="I2262" s="37"/>
      <c r="J2262" s="37"/>
      <c r="K2262" s="37"/>
      <c r="L2262" s="37"/>
    </row>
    <row r="2263" spans="1:12" ht="15.75" customHeight="1">
      <c r="A2263" s="87" t="s">
        <v>3935</v>
      </c>
      <c r="B2263" s="87" t="s">
        <v>2062</v>
      </c>
      <c r="C2263" s="87" t="s">
        <v>7372</v>
      </c>
      <c r="D2263" s="88">
        <v>711</v>
      </c>
      <c r="E2263" s="85" t="s">
        <v>6330</v>
      </c>
      <c r="F2263" s="87">
        <v>12</v>
      </c>
      <c r="G2263" s="37"/>
      <c r="H2263" s="37">
        <f>COUNTIF('(参考)現行システム機能階層一覧'!$E$3:$E$1048576,sheet1!B2263)</f>
        <v>1</v>
      </c>
      <c r="I2263" s="37"/>
      <c r="J2263" s="37"/>
      <c r="K2263" s="37"/>
      <c r="L2263" s="37"/>
    </row>
    <row r="2264" spans="1:12" ht="15.75" customHeight="1">
      <c r="A2264" s="87" t="s">
        <v>3853</v>
      </c>
      <c r="B2264" s="87" t="s">
        <v>7373</v>
      </c>
      <c r="C2264" s="87" t="s">
        <v>7374</v>
      </c>
      <c r="D2264" s="88">
        <v>27</v>
      </c>
      <c r="E2264" s="85" t="s">
        <v>6330</v>
      </c>
      <c r="F2264" s="87">
        <v>88</v>
      </c>
      <c r="G2264" s="37"/>
      <c r="H2264" s="37">
        <f>COUNTIF('(参考)現行システム機能階層一覧'!$E$3:$E$1048576,sheet1!B2264)</f>
        <v>0</v>
      </c>
      <c r="I2264" s="37"/>
      <c r="J2264" s="37"/>
      <c r="K2264" s="37"/>
      <c r="L2264" s="37"/>
    </row>
    <row r="2265" spans="1:12" ht="15.75" customHeight="1">
      <c r="A2265" s="87" t="s">
        <v>3853</v>
      </c>
      <c r="B2265" s="87" t="s">
        <v>7375</v>
      </c>
      <c r="C2265" s="87" t="s">
        <v>7376</v>
      </c>
      <c r="D2265" s="88">
        <v>51</v>
      </c>
      <c r="E2265" s="85" t="s">
        <v>6330</v>
      </c>
      <c r="F2265" s="87">
        <v>83</v>
      </c>
      <c r="G2265" s="37"/>
      <c r="H2265" s="37">
        <f>COUNTIF('(参考)現行システム機能階層一覧'!$E$3:$E$1048576,sheet1!B2265)</f>
        <v>0</v>
      </c>
      <c r="I2265" s="37"/>
      <c r="J2265" s="37"/>
      <c r="K2265" s="37"/>
      <c r="L2265" s="37"/>
    </row>
    <row r="2266" spans="1:12" ht="15.75" customHeight="1">
      <c r="A2266" s="87" t="s">
        <v>3935</v>
      </c>
      <c r="B2266" s="87" t="s">
        <v>2045</v>
      </c>
      <c r="C2266" s="87" t="s">
        <v>7377</v>
      </c>
      <c r="D2266" s="88">
        <v>175</v>
      </c>
      <c r="E2266" s="85" t="s">
        <v>6330</v>
      </c>
      <c r="F2266" s="87">
        <v>127</v>
      </c>
      <c r="G2266" s="37"/>
      <c r="H2266" s="37">
        <f>COUNTIF('(参考)現行システム機能階層一覧'!$E$3:$E$1048576,sheet1!B2266)</f>
        <v>1</v>
      </c>
      <c r="I2266" s="37"/>
      <c r="J2266" s="37"/>
      <c r="K2266" s="37"/>
      <c r="L2266" s="37"/>
    </row>
    <row r="2267" spans="1:12" ht="15.75" customHeight="1">
      <c r="A2267" s="87" t="s">
        <v>3935</v>
      </c>
      <c r="B2267" s="87" t="s">
        <v>7378</v>
      </c>
      <c r="C2267" s="87" t="s">
        <v>2084</v>
      </c>
      <c r="D2267" s="88">
        <v>981</v>
      </c>
      <c r="E2267" s="85" t="s">
        <v>6330</v>
      </c>
      <c r="F2267" s="87">
        <v>125</v>
      </c>
      <c r="G2267" s="37"/>
      <c r="H2267" s="37">
        <f>COUNTIF('(参考)現行システム機能階層一覧'!$E$3:$E$1048576,sheet1!B2267)</f>
        <v>0</v>
      </c>
      <c r="I2267" s="37"/>
      <c r="J2267" s="37"/>
      <c r="K2267" s="37"/>
      <c r="L2267" s="37"/>
    </row>
    <row r="2268" spans="1:12" ht="15.75" customHeight="1">
      <c r="A2268" s="87" t="s">
        <v>3853</v>
      </c>
      <c r="B2268" s="87" t="s">
        <v>7379</v>
      </c>
      <c r="C2268" s="87" t="s">
        <v>2084</v>
      </c>
      <c r="D2268" s="88">
        <v>49</v>
      </c>
      <c r="E2268" s="85" t="s">
        <v>6330</v>
      </c>
      <c r="F2268" s="87">
        <v>125</v>
      </c>
      <c r="G2268" s="37"/>
      <c r="H2268" s="37">
        <f>COUNTIF('(参考)現行システム機能階層一覧'!$E$3:$E$1048576,sheet1!B2268)</f>
        <v>0</v>
      </c>
      <c r="I2268" s="37"/>
      <c r="J2268" s="37"/>
      <c r="K2268" s="37"/>
      <c r="L2268" s="37"/>
    </row>
    <row r="2269" spans="1:12" ht="15.75" customHeight="1">
      <c r="A2269" s="87" t="s">
        <v>3853</v>
      </c>
      <c r="B2269" s="87" t="s">
        <v>7380</v>
      </c>
      <c r="C2269" s="87" t="s">
        <v>7381</v>
      </c>
      <c r="D2269" s="88">
        <v>70</v>
      </c>
      <c r="E2269" s="85" t="s">
        <v>6330</v>
      </c>
      <c r="F2269" s="87">
        <v>125</v>
      </c>
      <c r="G2269" s="37"/>
      <c r="H2269" s="37">
        <f>COUNTIF('(参考)現行システム機能階層一覧'!$E$3:$E$1048576,sheet1!B2269)</f>
        <v>0</v>
      </c>
      <c r="I2269" s="37"/>
      <c r="J2269" s="37"/>
      <c r="K2269" s="37"/>
      <c r="L2269" s="37"/>
    </row>
    <row r="2270" spans="1:12" ht="15.75" customHeight="1">
      <c r="A2270" s="87" t="s">
        <v>3935</v>
      </c>
      <c r="B2270" s="87" t="s">
        <v>2026</v>
      </c>
      <c r="C2270" s="87" t="s">
        <v>7382</v>
      </c>
      <c r="D2270" s="88">
        <v>529</v>
      </c>
      <c r="E2270" s="85" t="s">
        <v>6330</v>
      </c>
      <c r="F2270" s="87">
        <v>6</v>
      </c>
      <c r="G2270" s="37"/>
      <c r="H2270" s="37">
        <f>COUNTIF('(参考)現行システム機能階層一覧'!$E$3:$E$1048576,sheet1!B2270)</f>
        <v>0</v>
      </c>
      <c r="I2270" s="37"/>
      <c r="J2270" s="37"/>
      <c r="K2270" s="37"/>
      <c r="L2270" s="37"/>
    </row>
    <row r="2271" spans="1:12" ht="15.75" customHeight="1">
      <c r="A2271" s="87" t="s">
        <v>3853</v>
      </c>
      <c r="B2271" s="87" t="s">
        <v>2019</v>
      </c>
      <c r="C2271" s="87" t="s">
        <v>7383</v>
      </c>
      <c r="D2271" s="88">
        <v>35</v>
      </c>
      <c r="E2271" s="85" t="s">
        <v>6330</v>
      </c>
      <c r="F2271" s="87">
        <v>6</v>
      </c>
      <c r="G2271" s="37"/>
      <c r="H2271" s="37">
        <f>COUNTIF('(参考)現行システム機能階層一覧'!$E$3:$E$1048576,sheet1!B2271)</f>
        <v>1</v>
      </c>
      <c r="I2271" s="37"/>
      <c r="J2271" s="37"/>
      <c r="K2271" s="37"/>
      <c r="L2271" s="37"/>
    </row>
    <row r="2272" spans="1:12" ht="15.75" customHeight="1">
      <c r="A2272" s="87" t="s">
        <v>3935</v>
      </c>
      <c r="B2272" s="87" t="s">
        <v>7384</v>
      </c>
      <c r="C2272" s="87" t="s">
        <v>7383</v>
      </c>
      <c r="D2272" s="88">
        <v>404</v>
      </c>
      <c r="E2272" s="85" t="s">
        <v>6330</v>
      </c>
      <c r="F2272" s="87">
        <v>3</v>
      </c>
      <c r="G2272" s="37"/>
      <c r="H2272" s="37">
        <f>COUNTIF('(参考)現行システム機能階層一覧'!$E$3:$E$1048576,sheet1!B2272)</f>
        <v>0</v>
      </c>
      <c r="I2272" s="37"/>
      <c r="J2272" s="37"/>
      <c r="K2272" s="37"/>
      <c r="L2272" s="37"/>
    </row>
    <row r="2273" spans="1:12" ht="15.75" customHeight="1">
      <c r="A2273" s="87" t="s">
        <v>3935</v>
      </c>
      <c r="B2273" s="87" t="s">
        <v>2030</v>
      </c>
      <c r="C2273" s="87" t="s">
        <v>7385</v>
      </c>
      <c r="D2273" s="88">
        <v>511</v>
      </c>
      <c r="E2273" s="85" t="s">
        <v>6330</v>
      </c>
      <c r="F2273" s="87">
        <v>5</v>
      </c>
      <c r="G2273" s="37"/>
      <c r="H2273" s="37">
        <f>COUNTIF('(参考)現行システム機能階層一覧'!$E$3:$E$1048576,sheet1!B2273)</f>
        <v>0</v>
      </c>
      <c r="I2273" s="37"/>
      <c r="J2273" s="37"/>
      <c r="K2273" s="37"/>
      <c r="L2273" s="37"/>
    </row>
    <row r="2274" spans="1:12" ht="15.75" customHeight="1">
      <c r="A2274" s="87" t="s">
        <v>3853</v>
      </c>
      <c r="B2274" s="87" t="s">
        <v>2024</v>
      </c>
      <c r="C2274" s="87" t="s">
        <v>7386</v>
      </c>
      <c r="D2274" s="88">
        <v>32</v>
      </c>
      <c r="E2274" s="85" t="s">
        <v>6330</v>
      </c>
      <c r="F2274" s="87">
        <v>5</v>
      </c>
      <c r="G2274" s="37"/>
      <c r="H2274" s="37">
        <f>COUNTIF('(参考)現行システム機能階層一覧'!$E$3:$E$1048576,sheet1!B2274)</f>
        <v>1</v>
      </c>
      <c r="I2274" s="37"/>
      <c r="J2274" s="37"/>
      <c r="K2274" s="37"/>
      <c r="L2274" s="37"/>
    </row>
    <row r="2275" spans="1:12" ht="15.75" customHeight="1">
      <c r="A2275" s="87" t="s">
        <v>3935</v>
      </c>
      <c r="B2275" s="87" t="s">
        <v>7387</v>
      </c>
      <c r="C2275" s="87" t="s">
        <v>7386</v>
      </c>
      <c r="D2275" s="88">
        <v>247</v>
      </c>
      <c r="E2275" s="85" t="s">
        <v>6330</v>
      </c>
      <c r="F2275" s="87">
        <v>3</v>
      </c>
      <c r="G2275" s="37"/>
      <c r="H2275" s="37">
        <f>COUNTIF('(参考)現行システム機能階層一覧'!$E$3:$E$1048576,sheet1!B2275)</f>
        <v>0</v>
      </c>
      <c r="I2275" s="37"/>
      <c r="J2275" s="37"/>
      <c r="K2275" s="37"/>
      <c r="L2275" s="37"/>
    </row>
    <row r="2276" spans="1:12" ht="15.75" customHeight="1">
      <c r="A2276" s="87" t="s">
        <v>3935</v>
      </c>
      <c r="B2276" s="87" t="s">
        <v>2034</v>
      </c>
      <c r="C2276" s="87" t="s">
        <v>7388</v>
      </c>
      <c r="D2276" s="88">
        <v>407</v>
      </c>
      <c r="E2276" s="85" t="s">
        <v>6330</v>
      </c>
      <c r="F2276" s="87">
        <v>93</v>
      </c>
      <c r="G2276" s="37"/>
      <c r="H2276" s="37">
        <f>COUNTIF('(参考)現行システム機能階層一覧'!$E$3:$E$1048576,sheet1!B2276)</f>
        <v>0</v>
      </c>
      <c r="I2276" s="37"/>
      <c r="J2276" s="37"/>
      <c r="K2276" s="37"/>
      <c r="L2276" s="37"/>
    </row>
    <row r="2277" spans="1:12" ht="15.75" customHeight="1">
      <c r="A2277" s="87" t="s">
        <v>3853</v>
      </c>
      <c r="B2277" s="87" t="s">
        <v>2028</v>
      </c>
      <c r="C2277" s="87" t="s">
        <v>7389</v>
      </c>
      <c r="D2277" s="88">
        <v>35</v>
      </c>
      <c r="E2277" s="85" t="s">
        <v>6330</v>
      </c>
      <c r="F2277" s="87">
        <v>93</v>
      </c>
      <c r="G2277" s="37"/>
      <c r="H2277" s="37">
        <f>COUNTIF('(参考)現行システム機能階層一覧'!$E$3:$E$1048576,sheet1!B2277)</f>
        <v>1</v>
      </c>
      <c r="I2277" s="37"/>
      <c r="J2277" s="37"/>
      <c r="K2277" s="37"/>
      <c r="L2277" s="37"/>
    </row>
    <row r="2278" spans="1:12" ht="15.75" customHeight="1">
      <c r="A2278" s="87" t="s">
        <v>3935</v>
      </c>
      <c r="B2278" s="87" t="s">
        <v>7390</v>
      </c>
      <c r="C2278" s="87" t="s">
        <v>7389</v>
      </c>
      <c r="D2278" s="88">
        <v>332</v>
      </c>
      <c r="E2278" s="85" t="s">
        <v>6330</v>
      </c>
      <c r="F2278" s="87">
        <v>91</v>
      </c>
      <c r="G2278" s="37"/>
      <c r="H2278" s="37">
        <f>COUNTIF('(参考)現行システム機能階層一覧'!$E$3:$E$1048576,sheet1!B2278)</f>
        <v>0</v>
      </c>
      <c r="I2278" s="37"/>
      <c r="J2278" s="37"/>
      <c r="K2278" s="37"/>
      <c r="L2278" s="37"/>
    </row>
    <row r="2279" spans="1:12" ht="15.75" customHeight="1">
      <c r="A2279" s="87" t="s">
        <v>3935</v>
      </c>
      <c r="B2279" s="87" t="s">
        <v>2036</v>
      </c>
      <c r="C2279" s="87" t="s">
        <v>7391</v>
      </c>
      <c r="D2279" s="88">
        <v>503</v>
      </c>
      <c r="E2279" s="85" t="s">
        <v>6330</v>
      </c>
      <c r="F2279" s="87">
        <v>14</v>
      </c>
      <c r="G2279" s="37"/>
      <c r="H2279" s="37">
        <f>COUNTIF('(参考)現行システム機能階層一覧'!$E$3:$E$1048576,sheet1!B2279)</f>
        <v>0</v>
      </c>
      <c r="I2279" s="37"/>
      <c r="J2279" s="37"/>
      <c r="K2279" s="37"/>
      <c r="L2279" s="37"/>
    </row>
    <row r="2280" spans="1:12" ht="15.75" customHeight="1">
      <c r="A2280" s="87" t="s">
        <v>3853</v>
      </c>
      <c r="B2280" s="87" t="s">
        <v>2032</v>
      </c>
      <c r="C2280" s="87" t="s">
        <v>7392</v>
      </c>
      <c r="D2280" s="88">
        <v>32</v>
      </c>
      <c r="E2280" s="85" t="s">
        <v>6330</v>
      </c>
      <c r="F2280" s="87">
        <v>14</v>
      </c>
      <c r="G2280" s="37"/>
      <c r="H2280" s="37">
        <f>COUNTIF('(参考)現行システム機能階層一覧'!$E$3:$E$1048576,sheet1!B2280)</f>
        <v>1</v>
      </c>
      <c r="I2280" s="37"/>
      <c r="J2280" s="37"/>
      <c r="K2280" s="37"/>
      <c r="L2280" s="37"/>
    </row>
    <row r="2281" spans="1:12" ht="15.75" customHeight="1">
      <c r="A2281" s="87" t="s">
        <v>3935</v>
      </c>
      <c r="B2281" s="87" t="s">
        <v>7393</v>
      </c>
      <c r="C2281" s="87" t="s">
        <v>7394</v>
      </c>
      <c r="D2281" s="88">
        <v>252</v>
      </c>
      <c r="E2281" s="85" t="s">
        <v>6330</v>
      </c>
      <c r="F2281" s="87">
        <v>10</v>
      </c>
      <c r="G2281" s="37"/>
      <c r="H2281" s="37">
        <f>COUNTIF('(参考)現行システム機能階層一覧'!$E$3:$E$1048576,sheet1!B2281)</f>
        <v>0</v>
      </c>
      <c r="I2281" s="37"/>
      <c r="J2281" s="37"/>
      <c r="K2281" s="37"/>
      <c r="L2281" s="37"/>
    </row>
    <row r="2282" spans="1:12" ht="15.75" customHeight="1">
      <c r="A2282" s="87" t="s">
        <v>3935</v>
      </c>
      <c r="B2282" s="87" t="s">
        <v>2591</v>
      </c>
      <c r="C2282" s="87" t="s">
        <v>7395</v>
      </c>
      <c r="D2282" s="88">
        <v>239</v>
      </c>
      <c r="E2282" s="85" t="s">
        <v>6330</v>
      </c>
      <c r="F2282" s="87">
        <v>562</v>
      </c>
      <c r="G2282" s="37"/>
      <c r="H2282" s="37">
        <f>COUNTIF('(参考)現行システム機能階層一覧'!$E$3:$E$1048576,sheet1!B2282)</f>
        <v>2</v>
      </c>
      <c r="I2282" s="37"/>
      <c r="J2282" s="37"/>
      <c r="K2282" s="37"/>
      <c r="L2282" s="37"/>
    </row>
    <row r="2283" spans="1:12" ht="15.75" customHeight="1">
      <c r="A2283" s="87" t="s">
        <v>3853</v>
      </c>
      <c r="B2283" s="87" t="s">
        <v>7396</v>
      </c>
      <c r="C2283" s="87" t="s">
        <v>2632</v>
      </c>
      <c r="D2283" s="88">
        <v>74</v>
      </c>
      <c r="E2283" s="85" t="s">
        <v>6330</v>
      </c>
      <c r="F2283" s="87">
        <v>562</v>
      </c>
      <c r="G2283" s="37"/>
      <c r="H2283" s="37">
        <f>COUNTIF('(参考)現行システム機能階層一覧'!$E$3:$E$1048576,sheet1!B2283)</f>
        <v>0</v>
      </c>
      <c r="I2283" s="37"/>
      <c r="J2283" s="37"/>
      <c r="K2283" s="37"/>
      <c r="L2283" s="37"/>
    </row>
    <row r="2284" spans="1:12" ht="15.75" customHeight="1">
      <c r="A2284" s="87" t="s">
        <v>3935</v>
      </c>
      <c r="B2284" s="87" t="s">
        <v>7397</v>
      </c>
      <c r="C2284" s="87" t="s">
        <v>7398</v>
      </c>
      <c r="D2284" s="88">
        <v>172</v>
      </c>
      <c r="E2284" s="85" t="s">
        <v>6330</v>
      </c>
      <c r="F2284" s="87">
        <v>522</v>
      </c>
      <c r="G2284" s="37"/>
      <c r="H2284" s="37">
        <f>COUNTIF('(参考)現行システム機能階層一覧'!$E$3:$E$1048576,sheet1!B2284)</f>
        <v>0</v>
      </c>
      <c r="I2284" s="37"/>
      <c r="J2284" s="37"/>
      <c r="K2284" s="37"/>
      <c r="L2284" s="37"/>
    </row>
    <row r="2285" spans="1:12" ht="15.75" customHeight="1">
      <c r="A2285" s="87" t="s">
        <v>3935</v>
      </c>
      <c r="B2285" s="87" t="s">
        <v>7399</v>
      </c>
      <c r="C2285" s="87" t="s">
        <v>7395</v>
      </c>
      <c r="D2285" s="88">
        <v>549</v>
      </c>
      <c r="E2285" s="85" t="s">
        <v>6330</v>
      </c>
      <c r="F2285" s="87">
        <v>522</v>
      </c>
      <c r="G2285" s="37"/>
      <c r="H2285" s="37">
        <f>COUNTIF('(参考)現行システム機能階層一覧'!$E$3:$E$1048576,sheet1!B2285)</f>
        <v>0</v>
      </c>
      <c r="I2285" s="37"/>
      <c r="J2285" s="37"/>
      <c r="K2285" s="37"/>
      <c r="L2285" s="37"/>
    </row>
    <row r="2286" spans="1:12" ht="15.75" customHeight="1">
      <c r="A2286" s="87" t="s">
        <v>3935</v>
      </c>
      <c r="B2286" s="87" t="s">
        <v>2041</v>
      </c>
      <c r="C2286" s="87" t="s">
        <v>7400</v>
      </c>
      <c r="D2286" s="88">
        <v>342</v>
      </c>
      <c r="E2286" s="85" t="s">
        <v>6330</v>
      </c>
      <c r="F2286" s="87">
        <v>4</v>
      </c>
      <c r="G2286" s="37"/>
      <c r="H2286" s="37">
        <f>COUNTIF('(参考)現行システム機能階層一覧'!$E$3:$E$1048576,sheet1!B2286)</f>
        <v>1</v>
      </c>
      <c r="I2286" s="37"/>
      <c r="J2286" s="37"/>
      <c r="K2286" s="37"/>
      <c r="L2286" s="37"/>
    </row>
    <row r="2287" spans="1:12" ht="15.75" customHeight="1">
      <c r="A2287" s="87" t="s">
        <v>3853</v>
      </c>
      <c r="B2287" s="87" t="s">
        <v>7401</v>
      </c>
      <c r="C2287" s="87" t="s">
        <v>1657</v>
      </c>
      <c r="D2287" s="88">
        <v>39</v>
      </c>
      <c r="E2287" s="85" t="s">
        <v>6330</v>
      </c>
      <c r="F2287" s="87">
        <v>1</v>
      </c>
      <c r="G2287" s="37"/>
      <c r="H2287" s="37">
        <f>COUNTIF('(参考)現行システム機能階層一覧'!$E$3:$E$1048576,sheet1!B2287)</f>
        <v>0</v>
      </c>
      <c r="I2287" s="37"/>
      <c r="J2287" s="37"/>
      <c r="K2287" s="37"/>
      <c r="L2287" s="37"/>
    </row>
    <row r="2288" spans="1:12" ht="15.75" customHeight="1">
      <c r="A2288" s="87" t="s">
        <v>3935</v>
      </c>
      <c r="B2288" s="87" t="s">
        <v>7402</v>
      </c>
      <c r="C2288" s="87" t="s">
        <v>7403</v>
      </c>
      <c r="D2288" s="88">
        <v>281</v>
      </c>
      <c r="E2288" s="85" t="s">
        <v>6330</v>
      </c>
      <c r="F2288" s="87">
        <v>1</v>
      </c>
      <c r="G2288" s="37"/>
      <c r="H2288" s="37">
        <f>COUNTIF('(参考)現行システム機能階層一覧'!$E$3:$E$1048576,sheet1!B2288)</f>
        <v>0</v>
      </c>
      <c r="I2288" s="37"/>
      <c r="J2288" s="37"/>
      <c r="K2288" s="37"/>
      <c r="L2288" s="37"/>
    </row>
    <row r="2289" spans="1:12" ht="15.75" customHeight="1">
      <c r="A2289" s="87" t="s">
        <v>3935</v>
      </c>
      <c r="B2289" s="87" t="s">
        <v>7404</v>
      </c>
      <c r="C2289" s="87" t="s">
        <v>7400</v>
      </c>
      <c r="D2289" s="88">
        <v>248</v>
      </c>
      <c r="E2289" s="85" t="s">
        <v>6330</v>
      </c>
      <c r="F2289" s="87">
        <v>1</v>
      </c>
      <c r="G2289" s="37"/>
      <c r="H2289" s="37">
        <f>COUNTIF('(参考)現行システム機能階層一覧'!$E$3:$E$1048576,sheet1!B2289)</f>
        <v>0</v>
      </c>
      <c r="I2289" s="37"/>
      <c r="J2289" s="37"/>
      <c r="K2289" s="37"/>
      <c r="L2289" s="37"/>
    </row>
    <row r="2290" spans="1:12" ht="15.75" customHeight="1">
      <c r="A2290" s="87" t="s">
        <v>3935</v>
      </c>
      <c r="B2290" s="87" t="s">
        <v>1656</v>
      </c>
      <c r="C2290" s="87" t="s">
        <v>1657</v>
      </c>
      <c r="D2290" s="88">
        <v>1086</v>
      </c>
      <c r="E2290" s="85" t="s">
        <v>6330</v>
      </c>
      <c r="F2290" s="87">
        <v>25</v>
      </c>
      <c r="G2290" s="37"/>
      <c r="H2290" s="37">
        <f>COUNTIF('(参考)現行システム機能階層一覧'!$E$3:$E$1048576,sheet1!B2290)</f>
        <v>1</v>
      </c>
      <c r="I2290" s="37"/>
      <c r="J2290" s="37"/>
      <c r="K2290" s="37"/>
      <c r="L2290" s="37"/>
    </row>
    <row r="2291" spans="1:12" ht="15.75" customHeight="1">
      <c r="A2291" s="87" t="s">
        <v>3853</v>
      </c>
      <c r="B2291" s="87" t="s">
        <v>7405</v>
      </c>
      <c r="C2291" s="87" t="s">
        <v>1657</v>
      </c>
      <c r="D2291" s="88">
        <v>56</v>
      </c>
      <c r="E2291" s="85" t="s">
        <v>6330</v>
      </c>
      <c r="F2291" s="87">
        <v>25</v>
      </c>
      <c r="G2291" s="37"/>
      <c r="H2291" s="37">
        <f>COUNTIF('(参考)現行システム機能階層一覧'!$E$3:$E$1048576,sheet1!B2291)</f>
        <v>0</v>
      </c>
      <c r="I2291" s="37"/>
      <c r="J2291" s="37"/>
      <c r="K2291" s="37"/>
      <c r="L2291" s="37"/>
    </row>
    <row r="2292" spans="1:12" ht="15.75" customHeight="1">
      <c r="A2292" s="87" t="s">
        <v>3935</v>
      </c>
      <c r="B2292" s="87" t="s">
        <v>1663</v>
      </c>
      <c r="C2292" s="87" t="s">
        <v>7406</v>
      </c>
      <c r="D2292" s="88">
        <v>626</v>
      </c>
      <c r="E2292" s="85" t="s">
        <v>6330</v>
      </c>
      <c r="F2292" s="87">
        <v>10</v>
      </c>
      <c r="G2292" s="37"/>
      <c r="H2292" s="37">
        <f>COUNTIF('(参考)現行システム機能階層一覧'!$E$3:$E$1048576,sheet1!B2292)</f>
        <v>1</v>
      </c>
      <c r="I2292" s="37"/>
      <c r="J2292" s="37"/>
      <c r="K2292" s="37"/>
      <c r="L2292" s="37"/>
    </row>
    <row r="2293" spans="1:12" ht="15.75" customHeight="1">
      <c r="A2293" s="87" t="s">
        <v>3853</v>
      </c>
      <c r="B2293" s="87" t="s">
        <v>7407</v>
      </c>
      <c r="C2293" s="87" t="s">
        <v>1664</v>
      </c>
      <c r="D2293" s="88">
        <v>21</v>
      </c>
      <c r="E2293" s="85" t="s">
        <v>6330</v>
      </c>
      <c r="F2293" s="87">
        <v>10</v>
      </c>
      <c r="G2293" s="37"/>
      <c r="H2293" s="37">
        <f>COUNTIF('(参考)現行システム機能階層一覧'!$E$3:$E$1048576,sheet1!B2293)</f>
        <v>0</v>
      </c>
      <c r="I2293" s="37"/>
      <c r="J2293" s="37"/>
      <c r="K2293" s="37"/>
      <c r="L2293" s="37"/>
    </row>
    <row r="2294" spans="1:12" ht="15.75" customHeight="1">
      <c r="A2294" s="87" t="s">
        <v>3935</v>
      </c>
      <c r="B2294" s="87" t="s">
        <v>1665</v>
      </c>
      <c r="C2294" s="87" t="s">
        <v>7408</v>
      </c>
      <c r="D2294" s="88">
        <v>752</v>
      </c>
      <c r="E2294" s="85" t="s">
        <v>6330</v>
      </c>
      <c r="F2294" s="87">
        <v>6</v>
      </c>
      <c r="G2294" s="37"/>
      <c r="H2294" s="37">
        <f>COUNTIF('(参考)現行システム機能階層一覧'!$E$3:$E$1048576,sheet1!B2294)</f>
        <v>1</v>
      </c>
      <c r="I2294" s="37"/>
      <c r="J2294" s="37"/>
      <c r="K2294" s="37"/>
      <c r="L2294" s="37"/>
    </row>
    <row r="2295" spans="1:12" ht="15.75" customHeight="1">
      <c r="A2295" s="87" t="s">
        <v>3853</v>
      </c>
      <c r="B2295" s="87" t="s">
        <v>7409</v>
      </c>
      <c r="C2295" s="87" t="s">
        <v>4426</v>
      </c>
      <c r="D2295" s="88">
        <v>25</v>
      </c>
      <c r="E2295" s="85" t="s">
        <v>6330</v>
      </c>
      <c r="F2295" s="87">
        <v>6</v>
      </c>
      <c r="G2295" s="37"/>
      <c r="H2295" s="37">
        <f>COUNTIF('(参考)現行システム機能階層一覧'!$E$3:$E$1048576,sheet1!B2295)</f>
        <v>0</v>
      </c>
      <c r="I2295" s="37"/>
      <c r="J2295" s="37"/>
      <c r="K2295" s="37"/>
      <c r="L2295" s="37"/>
    </row>
    <row r="2296" spans="1:12" ht="15.75" customHeight="1">
      <c r="A2296" s="87" t="s">
        <v>3935</v>
      </c>
      <c r="B2296" s="87" t="s">
        <v>1661</v>
      </c>
      <c r="C2296" s="87" t="s">
        <v>1662</v>
      </c>
      <c r="D2296" s="88">
        <v>868</v>
      </c>
      <c r="E2296" s="85" t="s">
        <v>6330</v>
      </c>
      <c r="F2296" s="87">
        <v>7</v>
      </c>
      <c r="G2296" s="37"/>
      <c r="H2296" s="37">
        <f>COUNTIF('(参考)現行システム機能階層一覧'!$E$3:$E$1048576,sheet1!B2296)</f>
        <v>1</v>
      </c>
      <c r="I2296" s="37"/>
      <c r="J2296" s="37"/>
      <c r="K2296" s="37"/>
      <c r="L2296" s="37"/>
    </row>
    <row r="2297" spans="1:12" ht="15.75" customHeight="1">
      <c r="A2297" s="87" t="s">
        <v>3853</v>
      </c>
      <c r="B2297" s="87" t="s">
        <v>7410</v>
      </c>
      <c r="C2297" s="87" t="s">
        <v>1662</v>
      </c>
      <c r="D2297" s="88">
        <v>65</v>
      </c>
      <c r="E2297" s="85" t="s">
        <v>6330</v>
      </c>
      <c r="F2297" s="87">
        <v>7</v>
      </c>
      <c r="G2297" s="37"/>
      <c r="H2297" s="37">
        <f>COUNTIF('(参考)現行システム機能階層一覧'!$E$3:$E$1048576,sheet1!B2297)</f>
        <v>0</v>
      </c>
      <c r="I2297" s="37"/>
      <c r="J2297" s="37"/>
      <c r="K2297" s="37"/>
      <c r="L2297" s="37"/>
    </row>
    <row r="2298" spans="1:12" ht="15.75" customHeight="1">
      <c r="A2298" s="87" t="s">
        <v>3935</v>
      </c>
      <c r="B2298" s="87" t="s">
        <v>7411</v>
      </c>
      <c r="C2298" s="87" t="s">
        <v>7412</v>
      </c>
      <c r="D2298" s="88">
        <v>437</v>
      </c>
      <c r="E2298" s="85" t="s">
        <v>6330</v>
      </c>
      <c r="F2298" s="87">
        <v>4</v>
      </c>
      <c r="G2298" s="37"/>
      <c r="H2298" s="37">
        <f>COUNTIF('(参考)現行システム機能階層一覧'!$E$3:$E$1048576,sheet1!B2298)</f>
        <v>0</v>
      </c>
      <c r="I2298" s="37"/>
      <c r="J2298" s="37"/>
      <c r="K2298" s="37"/>
      <c r="L2298" s="37"/>
    </row>
    <row r="2299" spans="1:12" ht="15.75" customHeight="1">
      <c r="A2299" s="87" t="s">
        <v>3853</v>
      </c>
      <c r="B2299" s="87" t="s">
        <v>7413</v>
      </c>
      <c r="C2299" s="87" t="s">
        <v>7414</v>
      </c>
      <c r="D2299" s="88">
        <v>12</v>
      </c>
      <c r="E2299" s="85" t="s">
        <v>6330</v>
      </c>
      <c r="F2299" s="87">
        <v>312</v>
      </c>
      <c r="G2299" s="37"/>
      <c r="H2299" s="37">
        <f>COUNTIF('(参考)現行システム機能階層一覧'!$E$3:$E$1048576,sheet1!B2299)</f>
        <v>0</v>
      </c>
      <c r="I2299" s="37"/>
      <c r="J2299" s="37"/>
      <c r="K2299" s="37"/>
      <c r="L2299" s="37"/>
    </row>
    <row r="2300" spans="1:12" ht="15.75" customHeight="1">
      <c r="A2300" s="87" t="s">
        <v>3853</v>
      </c>
      <c r="B2300" s="87" t="s">
        <v>7415</v>
      </c>
      <c r="C2300" s="87" t="s">
        <v>7416</v>
      </c>
      <c r="D2300" s="88">
        <v>48</v>
      </c>
      <c r="E2300" s="85" t="s">
        <v>6330</v>
      </c>
      <c r="F2300" s="87">
        <v>25</v>
      </c>
      <c r="G2300" s="37"/>
      <c r="H2300" s="37">
        <f>COUNTIF('(参考)現行システム機能階層一覧'!$E$3:$E$1048576,sheet1!B2300)</f>
        <v>0</v>
      </c>
      <c r="I2300" s="37"/>
      <c r="J2300" s="37"/>
      <c r="K2300" s="37"/>
      <c r="L2300" s="37"/>
    </row>
    <row r="2301" spans="1:12" ht="15.75" customHeight="1">
      <c r="A2301" s="87" t="s">
        <v>3853</v>
      </c>
      <c r="B2301" s="87" t="s">
        <v>7417</v>
      </c>
      <c r="C2301" s="87" t="s">
        <v>7418</v>
      </c>
      <c r="D2301" s="88">
        <v>13</v>
      </c>
      <c r="E2301" s="85" t="s">
        <v>6330</v>
      </c>
      <c r="F2301" s="87">
        <v>52</v>
      </c>
      <c r="G2301" s="37"/>
      <c r="H2301" s="37">
        <f>COUNTIF('(参考)現行システム機能階層一覧'!$E$3:$E$1048576,sheet1!B2301)</f>
        <v>0</v>
      </c>
      <c r="I2301" s="37"/>
      <c r="J2301" s="37"/>
      <c r="K2301" s="37"/>
      <c r="L2301" s="37"/>
    </row>
    <row r="2302" spans="1:12" ht="15.75" customHeight="1">
      <c r="A2302" s="87" t="s">
        <v>3853</v>
      </c>
      <c r="B2302" s="87" t="s">
        <v>7419</v>
      </c>
      <c r="C2302" s="87" t="s">
        <v>7420</v>
      </c>
      <c r="D2302" s="88">
        <v>13</v>
      </c>
      <c r="E2302" s="85" t="s">
        <v>6330</v>
      </c>
      <c r="F2302" s="87">
        <v>19</v>
      </c>
      <c r="G2302" s="37"/>
      <c r="H2302" s="37">
        <f>COUNTIF('(参考)現行システム機能階層一覧'!$E$3:$E$1048576,sheet1!B2302)</f>
        <v>0</v>
      </c>
      <c r="I2302" s="37"/>
      <c r="J2302" s="37"/>
      <c r="K2302" s="37"/>
      <c r="L2302" s="37"/>
    </row>
    <row r="2303" spans="1:12" ht="15.75" customHeight="1">
      <c r="A2303" s="87" t="s">
        <v>3935</v>
      </c>
      <c r="B2303" s="87" t="s">
        <v>7421</v>
      </c>
      <c r="C2303" s="87" t="s">
        <v>7422</v>
      </c>
      <c r="D2303" s="88">
        <v>406</v>
      </c>
      <c r="E2303" s="85" t="s">
        <v>6330</v>
      </c>
      <c r="F2303" s="87">
        <v>126</v>
      </c>
      <c r="G2303" s="37"/>
      <c r="H2303" s="37">
        <f>COUNTIF('(参考)現行システム機能階層一覧'!$E$3:$E$1048576,sheet1!B2303)</f>
        <v>0</v>
      </c>
      <c r="I2303" s="37"/>
      <c r="J2303" s="37"/>
      <c r="K2303" s="37"/>
      <c r="L2303" s="37"/>
    </row>
    <row r="2304" spans="1:12" ht="15.75" customHeight="1">
      <c r="A2304" s="87" t="s">
        <v>3853</v>
      </c>
      <c r="B2304" s="87" t="s">
        <v>7423</v>
      </c>
      <c r="C2304" s="87" t="s">
        <v>3919</v>
      </c>
      <c r="D2304" s="88">
        <v>47</v>
      </c>
      <c r="E2304" s="85" t="s">
        <v>6330</v>
      </c>
      <c r="F2304" s="87">
        <v>3</v>
      </c>
      <c r="G2304" s="37"/>
      <c r="H2304" s="37">
        <f>COUNTIF('(参考)現行システム機能階層一覧'!$E$3:$E$1048576,sheet1!B2304)</f>
        <v>0</v>
      </c>
      <c r="I2304" s="37"/>
      <c r="J2304" s="37"/>
      <c r="K2304" s="37"/>
      <c r="L2304" s="37"/>
    </row>
    <row r="2305" spans="1:12" ht="15.75" customHeight="1">
      <c r="A2305" s="87" t="s">
        <v>3935</v>
      </c>
      <c r="B2305" s="87" t="s">
        <v>7424</v>
      </c>
      <c r="C2305" s="87" t="s">
        <v>7425</v>
      </c>
      <c r="D2305" s="88">
        <v>219</v>
      </c>
      <c r="E2305" s="85" t="s">
        <v>6330</v>
      </c>
      <c r="F2305" s="87">
        <v>198</v>
      </c>
      <c r="G2305" s="37"/>
      <c r="H2305" s="37">
        <f>COUNTIF('(参考)現行システム機能階層一覧'!$E$3:$E$1048576,sheet1!B2305)</f>
        <v>0</v>
      </c>
      <c r="I2305" s="37"/>
      <c r="J2305" s="37"/>
      <c r="K2305" s="37"/>
      <c r="L2305" s="37"/>
    </row>
    <row r="2306" spans="1:12" ht="15.75" customHeight="1">
      <c r="A2306" s="87" t="s">
        <v>3935</v>
      </c>
      <c r="B2306" s="87" t="s">
        <v>7426</v>
      </c>
      <c r="C2306" s="87" t="s">
        <v>7427</v>
      </c>
      <c r="D2306" s="88">
        <v>211</v>
      </c>
      <c r="E2306" s="85" t="s">
        <v>6330</v>
      </c>
      <c r="F2306" s="87">
        <v>99</v>
      </c>
      <c r="G2306" s="37"/>
      <c r="H2306" s="37">
        <f>COUNTIF('(参考)現行システム機能階層一覧'!$E$3:$E$1048576,sheet1!B2306)</f>
        <v>0</v>
      </c>
      <c r="I2306" s="37"/>
      <c r="J2306" s="37"/>
      <c r="K2306" s="37"/>
      <c r="L2306" s="37"/>
    </row>
    <row r="2307" spans="1:12" ht="15.75" customHeight="1">
      <c r="A2307" s="87" t="s">
        <v>3935</v>
      </c>
      <c r="B2307" s="87" t="s">
        <v>7428</v>
      </c>
      <c r="C2307" s="87" t="s">
        <v>7429</v>
      </c>
      <c r="D2307" s="88">
        <v>38</v>
      </c>
      <c r="E2307" s="85" t="s">
        <v>6330</v>
      </c>
      <c r="F2307" s="87">
        <v>180</v>
      </c>
      <c r="G2307" s="37"/>
      <c r="H2307" s="37">
        <f>COUNTIF('(参考)現行システム機能階層一覧'!$E$3:$E$1048576,sheet1!B2307)</f>
        <v>0</v>
      </c>
      <c r="I2307" s="37"/>
      <c r="J2307" s="37"/>
      <c r="K2307" s="37"/>
      <c r="L2307" s="37"/>
    </row>
    <row r="2308" spans="1:12" ht="15.75" customHeight="1">
      <c r="A2308" s="87" t="s">
        <v>3935</v>
      </c>
      <c r="B2308" s="87" t="s">
        <v>7430</v>
      </c>
      <c r="C2308" s="87" t="s">
        <v>7431</v>
      </c>
      <c r="D2308" s="88">
        <v>72</v>
      </c>
      <c r="E2308" s="85" t="s">
        <v>6330</v>
      </c>
      <c r="F2308" s="87">
        <v>1833</v>
      </c>
      <c r="G2308" s="37"/>
      <c r="H2308" s="37">
        <f>COUNTIF('(参考)現行システム機能階層一覧'!$E$3:$E$1048576,sheet1!B2308)</f>
        <v>0</v>
      </c>
      <c r="I2308" s="37"/>
      <c r="J2308" s="37"/>
      <c r="K2308" s="37"/>
      <c r="L2308" s="37"/>
    </row>
    <row r="2309" spans="1:12" ht="15.75" customHeight="1">
      <c r="A2309" s="87" t="s">
        <v>3935</v>
      </c>
      <c r="B2309" s="87" t="s">
        <v>7432</v>
      </c>
      <c r="C2309" s="87" t="s">
        <v>7433</v>
      </c>
      <c r="D2309" s="88">
        <v>222</v>
      </c>
      <c r="E2309" s="85" t="s">
        <v>6330</v>
      </c>
      <c r="F2309" s="87">
        <v>1896</v>
      </c>
      <c r="G2309" s="37"/>
      <c r="H2309" s="37">
        <f>COUNTIF('(参考)現行システム機能階層一覧'!$E$3:$E$1048576,sheet1!B2309)</f>
        <v>0</v>
      </c>
      <c r="I2309" s="37"/>
      <c r="J2309" s="37"/>
      <c r="K2309" s="37"/>
      <c r="L2309" s="37"/>
    </row>
    <row r="2310" spans="1:12" ht="15.75" customHeight="1">
      <c r="A2310" s="87" t="s">
        <v>3935</v>
      </c>
      <c r="B2310" s="87" t="s">
        <v>7434</v>
      </c>
      <c r="C2310" s="87" t="s">
        <v>7435</v>
      </c>
      <c r="D2310" s="88">
        <v>23</v>
      </c>
      <c r="E2310" s="85" t="s">
        <v>6330</v>
      </c>
      <c r="F2310" s="87">
        <v>1893</v>
      </c>
      <c r="G2310" s="37"/>
      <c r="H2310" s="37">
        <f>COUNTIF('(参考)現行システム機能階層一覧'!$E$3:$E$1048576,sheet1!B2310)</f>
        <v>0</v>
      </c>
      <c r="I2310" s="37"/>
      <c r="J2310" s="37"/>
      <c r="K2310" s="37"/>
      <c r="L2310" s="37"/>
    </row>
    <row r="2311" spans="1:12" ht="15.75" customHeight="1">
      <c r="A2311" s="87" t="s">
        <v>3935</v>
      </c>
      <c r="B2311" s="87" t="s">
        <v>7436</v>
      </c>
      <c r="C2311" s="87" t="s">
        <v>7437</v>
      </c>
      <c r="D2311" s="88">
        <v>458</v>
      </c>
      <c r="E2311" s="85" t="s">
        <v>6330</v>
      </c>
      <c r="F2311" s="87">
        <v>1603</v>
      </c>
      <c r="G2311" s="37"/>
      <c r="H2311" s="37">
        <f>COUNTIF('(参考)現行システム機能階層一覧'!$E$3:$E$1048576,sheet1!B2311)</f>
        <v>0</v>
      </c>
      <c r="I2311" s="37"/>
      <c r="J2311" s="37"/>
      <c r="K2311" s="37"/>
      <c r="L2311" s="37"/>
    </row>
    <row r="2312" spans="1:12" ht="15.75" customHeight="1">
      <c r="A2312" s="87" t="s">
        <v>3935</v>
      </c>
      <c r="B2312" s="87" t="s">
        <v>7438</v>
      </c>
      <c r="C2312" s="87" t="s">
        <v>7439</v>
      </c>
      <c r="D2312" s="88">
        <v>260</v>
      </c>
      <c r="E2312" s="85" t="s">
        <v>6330</v>
      </c>
      <c r="F2312" s="87">
        <v>654</v>
      </c>
      <c r="G2312" s="37"/>
      <c r="H2312" s="37">
        <f>COUNTIF('(参考)現行システム機能階層一覧'!$E$3:$E$1048576,sheet1!B2312)</f>
        <v>0</v>
      </c>
      <c r="I2312" s="37"/>
      <c r="J2312" s="37"/>
      <c r="K2312" s="37"/>
      <c r="L2312" s="37"/>
    </row>
    <row r="2313" spans="1:12" ht="15.75" customHeight="1">
      <c r="A2313" s="87" t="s">
        <v>3935</v>
      </c>
      <c r="B2313" s="87" t="s">
        <v>7440</v>
      </c>
      <c r="C2313" s="87" t="s">
        <v>7441</v>
      </c>
      <c r="D2313" s="88">
        <v>694</v>
      </c>
      <c r="E2313" s="85" t="s">
        <v>6330</v>
      </c>
      <c r="F2313" s="87">
        <v>1896</v>
      </c>
      <c r="G2313" s="37"/>
      <c r="H2313" s="37">
        <f>COUNTIF('(参考)現行システム機能階層一覧'!$E$3:$E$1048576,sheet1!B2313)</f>
        <v>0</v>
      </c>
      <c r="I2313" s="37"/>
      <c r="J2313" s="37"/>
      <c r="K2313" s="37"/>
      <c r="L2313" s="37"/>
    </row>
    <row r="2314" spans="1:12" ht="15.75" customHeight="1">
      <c r="A2314" s="87" t="s">
        <v>3935</v>
      </c>
      <c r="B2314" s="87" t="s">
        <v>7442</v>
      </c>
      <c r="C2314" s="87" t="s">
        <v>7443</v>
      </c>
      <c r="D2314" s="88">
        <v>411</v>
      </c>
      <c r="E2314" s="85" t="s">
        <v>6330</v>
      </c>
      <c r="F2314" s="87">
        <v>782</v>
      </c>
      <c r="G2314" s="37"/>
      <c r="H2314" s="37">
        <f>COUNTIF('(参考)現行システム機能階層一覧'!$E$3:$E$1048576,sheet1!B2314)</f>
        <v>0</v>
      </c>
      <c r="I2314" s="37"/>
      <c r="J2314" s="37"/>
      <c r="K2314" s="37"/>
      <c r="L2314" s="37"/>
    </row>
    <row r="2315" spans="1:12" ht="15.75" customHeight="1">
      <c r="A2315" s="87" t="s">
        <v>3935</v>
      </c>
      <c r="B2315" s="87" t="s">
        <v>7444</v>
      </c>
      <c r="C2315" s="87" t="s">
        <v>7445</v>
      </c>
      <c r="D2315" s="88">
        <v>49</v>
      </c>
      <c r="E2315" s="85" t="s">
        <v>6330</v>
      </c>
      <c r="F2315" s="87">
        <v>1855</v>
      </c>
      <c r="G2315" s="37"/>
      <c r="H2315" s="37">
        <f>COUNTIF('(参考)現行システム機能階層一覧'!$E$3:$E$1048576,sheet1!B2315)</f>
        <v>0</v>
      </c>
      <c r="I2315" s="37"/>
      <c r="J2315" s="37"/>
      <c r="K2315" s="37"/>
      <c r="L2315" s="37"/>
    </row>
    <row r="2316" spans="1:12" ht="15.75" customHeight="1">
      <c r="A2316" s="87" t="s">
        <v>3935</v>
      </c>
      <c r="B2316" s="87" t="s">
        <v>1188</v>
      </c>
      <c r="C2316" s="87" t="s">
        <v>7446</v>
      </c>
      <c r="D2316" s="88">
        <v>60</v>
      </c>
      <c r="E2316" s="85" t="s">
        <v>6330</v>
      </c>
      <c r="F2316" s="87">
        <v>863</v>
      </c>
      <c r="G2316" s="37"/>
      <c r="H2316" s="37">
        <f>COUNTIF('(参考)現行システム機能階層一覧'!$E$3:$E$1048576,sheet1!B2316)</f>
        <v>2</v>
      </c>
      <c r="I2316" s="37"/>
      <c r="J2316" s="37"/>
      <c r="K2316" s="37"/>
      <c r="L2316" s="37"/>
    </row>
    <row r="2317" spans="1:12" ht="15.75" customHeight="1">
      <c r="A2317" s="87" t="s">
        <v>3935</v>
      </c>
      <c r="B2317" s="87" t="s">
        <v>7447</v>
      </c>
      <c r="C2317" s="87" t="s">
        <v>7448</v>
      </c>
      <c r="D2317" s="88">
        <v>165</v>
      </c>
      <c r="E2317" s="85" t="s">
        <v>6330</v>
      </c>
      <c r="F2317" s="87">
        <v>1524</v>
      </c>
      <c r="G2317" s="37"/>
      <c r="H2317" s="37">
        <f>COUNTIF('(参考)現行システム機能階層一覧'!$E$3:$E$1048576,sheet1!B2317)</f>
        <v>0</v>
      </c>
      <c r="I2317" s="37"/>
      <c r="J2317" s="37"/>
      <c r="K2317" s="37"/>
      <c r="L2317" s="37"/>
    </row>
    <row r="2318" spans="1:12" ht="15.75" customHeight="1">
      <c r="A2318" s="87" t="s">
        <v>3935</v>
      </c>
      <c r="B2318" s="87" t="s">
        <v>7449</v>
      </c>
      <c r="C2318" s="87" t="s">
        <v>7450</v>
      </c>
      <c r="D2318" s="88">
        <v>249</v>
      </c>
      <c r="E2318" s="85" t="s">
        <v>6330</v>
      </c>
      <c r="F2318" s="87">
        <v>1412</v>
      </c>
      <c r="G2318" s="37"/>
      <c r="H2318" s="37">
        <f>COUNTIF('(参考)現行システム機能階層一覧'!$E$3:$E$1048576,sheet1!B2318)</f>
        <v>0</v>
      </c>
      <c r="I2318" s="37"/>
      <c r="J2318" s="37"/>
      <c r="K2318" s="37"/>
      <c r="L2318" s="37"/>
    </row>
    <row r="2319" spans="1:12" ht="15.75" customHeight="1">
      <c r="A2319" s="87" t="s">
        <v>3935</v>
      </c>
      <c r="B2319" s="87" t="s">
        <v>7451</v>
      </c>
      <c r="C2319" s="87" t="s">
        <v>7452</v>
      </c>
      <c r="D2319" s="88">
        <v>135</v>
      </c>
      <c r="E2319" s="85" t="s">
        <v>6330</v>
      </c>
      <c r="F2319" s="87">
        <v>1897</v>
      </c>
      <c r="G2319" s="37"/>
      <c r="H2319" s="37">
        <f>COUNTIF('(参考)現行システム機能階層一覧'!$E$3:$E$1048576,sheet1!B2319)</f>
        <v>0</v>
      </c>
      <c r="I2319" s="37"/>
      <c r="J2319" s="37"/>
      <c r="K2319" s="37"/>
      <c r="L2319" s="37"/>
    </row>
    <row r="2320" spans="1:12" ht="15.75" customHeight="1">
      <c r="A2320" s="87" t="s">
        <v>3935</v>
      </c>
      <c r="B2320" s="87" t="s">
        <v>7453</v>
      </c>
      <c r="C2320" s="87" t="s">
        <v>7454</v>
      </c>
      <c r="D2320" s="88">
        <v>267</v>
      </c>
      <c r="E2320" s="85" t="s">
        <v>6330</v>
      </c>
      <c r="F2320" s="87">
        <v>1790</v>
      </c>
      <c r="G2320" s="37"/>
      <c r="H2320" s="37">
        <f>COUNTIF('(参考)現行システム機能階層一覧'!$E$3:$E$1048576,sheet1!B2320)</f>
        <v>0</v>
      </c>
      <c r="I2320" s="37"/>
      <c r="J2320" s="37"/>
      <c r="K2320" s="37"/>
      <c r="L2320" s="37"/>
    </row>
    <row r="2321" spans="1:12" ht="15.75" customHeight="1">
      <c r="A2321" s="87" t="s">
        <v>3935</v>
      </c>
      <c r="B2321" s="87" t="s">
        <v>7455</v>
      </c>
      <c r="C2321" s="87" t="s">
        <v>7456</v>
      </c>
      <c r="D2321" s="88">
        <v>43</v>
      </c>
      <c r="E2321" s="85" t="s">
        <v>6330</v>
      </c>
      <c r="F2321" s="87">
        <v>1893</v>
      </c>
      <c r="G2321" s="37"/>
      <c r="H2321" s="37">
        <f>COUNTIF('(参考)現行システム機能階層一覧'!$E$3:$E$1048576,sheet1!B2321)</f>
        <v>0</v>
      </c>
      <c r="I2321" s="37"/>
      <c r="J2321" s="37"/>
      <c r="K2321" s="37"/>
      <c r="L2321" s="37"/>
    </row>
    <row r="2322" spans="1:12" ht="15.75" customHeight="1">
      <c r="A2322" s="87" t="s">
        <v>3853</v>
      </c>
      <c r="B2322" s="87" t="s">
        <v>7457</v>
      </c>
      <c r="C2322" s="87" t="s">
        <v>7458</v>
      </c>
      <c r="D2322" s="88">
        <v>37</v>
      </c>
      <c r="E2322" s="85" t="s">
        <v>6330</v>
      </c>
      <c r="F2322" s="87">
        <v>1893</v>
      </c>
      <c r="G2322" s="37"/>
      <c r="H2322" s="37">
        <f>COUNTIF('(参考)現行システム機能階層一覧'!$E$3:$E$1048576,sheet1!B2322)</f>
        <v>0</v>
      </c>
      <c r="I2322" s="37"/>
      <c r="J2322" s="37"/>
      <c r="K2322" s="37"/>
      <c r="L2322" s="37"/>
    </row>
    <row r="2323" spans="1:12" ht="15.75" customHeight="1">
      <c r="A2323" s="87" t="s">
        <v>3935</v>
      </c>
      <c r="B2323" s="87" t="s">
        <v>7459</v>
      </c>
      <c r="C2323" s="87" t="s">
        <v>7460</v>
      </c>
      <c r="D2323" s="88">
        <v>35</v>
      </c>
      <c r="E2323" s="85" t="s">
        <v>6330</v>
      </c>
      <c r="F2323" s="87">
        <v>1369</v>
      </c>
      <c r="G2323" s="37"/>
      <c r="H2323" s="37">
        <f>COUNTIF('(参考)現行システム機能階層一覧'!$E$3:$E$1048576,sheet1!B2323)</f>
        <v>0</v>
      </c>
      <c r="I2323" s="37"/>
      <c r="J2323" s="37"/>
      <c r="K2323" s="37"/>
      <c r="L2323" s="37"/>
    </row>
    <row r="2324" spans="1:12" ht="15.75" customHeight="1">
      <c r="A2324" s="87" t="s">
        <v>3935</v>
      </c>
      <c r="B2324" s="87" t="s">
        <v>7461</v>
      </c>
      <c r="C2324" s="87" t="s">
        <v>7462</v>
      </c>
      <c r="D2324" s="88">
        <v>56</v>
      </c>
      <c r="E2324" s="85" t="s">
        <v>6330</v>
      </c>
      <c r="F2324" s="87">
        <v>1898</v>
      </c>
      <c r="G2324" s="37"/>
      <c r="H2324" s="37">
        <f>COUNTIF('(参考)現行システム機能階層一覧'!$E$3:$E$1048576,sheet1!B2324)</f>
        <v>0</v>
      </c>
      <c r="I2324" s="37"/>
      <c r="J2324" s="37"/>
      <c r="K2324" s="37"/>
      <c r="L2324" s="37"/>
    </row>
    <row r="2325" spans="1:12" ht="15.75" customHeight="1">
      <c r="A2325" s="87" t="s">
        <v>3935</v>
      </c>
      <c r="B2325" s="87" t="s">
        <v>7463</v>
      </c>
      <c r="C2325" s="87" t="s">
        <v>7464</v>
      </c>
      <c r="D2325" s="88">
        <v>55</v>
      </c>
      <c r="E2325" s="85" t="s">
        <v>6330</v>
      </c>
      <c r="F2325" s="87">
        <v>1357</v>
      </c>
      <c r="G2325" s="37"/>
      <c r="H2325" s="37">
        <f>COUNTIF('(参考)現行システム機能階層一覧'!$E$3:$E$1048576,sheet1!B2325)</f>
        <v>0</v>
      </c>
      <c r="I2325" s="37"/>
      <c r="J2325" s="37"/>
      <c r="K2325" s="37"/>
      <c r="L2325" s="37"/>
    </row>
    <row r="2326" spans="1:12" ht="15.75" customHeight="1">
      <c r="A2326" s="87" t="s">
        <v>3853</v>
      </c>
      <c r="B2326" s="87" t="s">
        <v>7465</v>
      </c>
      <c r="C2326" s="87" t="s">
        <v>7464</v>
      </c>
      <c r="D2326" s="88">
        <v>33</v>
      </c>
      <c r="E2326" s="85" t="s">
        <v>6330</v>
      </c>
      <c r="F2326" s="87">
        <v>1357</v>
      </c>
      <c r="G2326" s="37"/>
      <c r="H2326" s="37">
        <f>COUNTIF('(参考)現行システム機能階層一覧'!$E$3:$E$1048576,sheet1!B2326)</f>
        <v>0</v>
      </c>
      <c r="I2326" s="37"/>
      <c r="J2326" s="37"/>
      <c r="K2326" s="37"/>
      <c r="L2326" s="37"/>
    </row>
    <row r="2327" spans="1:12" ht="15.75" customHeight="1">
      <c r="A2327" s="87" t="s">
        <v>3935</v>
      </c>
      <c r="B2327" s="87" t="s">
        <v>559</v>
      </c>
      <c r="C2327" s="87" t="s">
        <v>7466</v>
      </c>
      <c r="D2327" s="88">
        <v>197</v>
      </c>
      <c r="E2327" s="85" t="s">
        <v>6330</v>
      </c>
      <c r="F2327" s="87">
        <v>505</v>
      </c>
      <c r="G2327" s="37"/>
      <c r="H2327" s="37">
        <f>COUNTIF('(参考)現行システム機能階層一覧'!$E$3:$E$1048576,sheet1!B2327)</f>
        <v>2</v>
      </c>
      <c r="I2327" s="37"/>
      <c r="J2327" s="37"/>
      <c r="K2327" s="37"/>
      <c r="L2327" s="37"/>
    </row>
    <row r="2328" spans="1:12" ht="15.75" customHeight="1">
      <c r="A2328" s="87" t="s">
        <v>3935</v>
      </c>
      <c r="B2328" s="87" t="s">
        <v>7467</v>
      </c>
      <c r="C2328" s="87" t="s">
        <v>7468</v>
      </c>
      <c r="D2328" s="88">
        <v>136</v>
      </c>
      <c r="E2328" s="85" t="s">
        <v>6330</v>
      </c>
      <c r="F2328" s="87">
        <v>31</v>
      </c>
      <c r="G2328" s="37"/>
      <c r="H2328" s="37">
        <f>COUNTIF('(参考)現行システム機能階層一覧'!$E$3:$E$1048576,sheet1!B2328)</f>
        <v>0</v>
      </c>
      <c r="I2328" s="37"/>
      <c r="J2328" s="37"/>
      <c r="K2328" s="37"/>
      <c r="L2328" s="37"/>
    </row>
    <row r="2329" spans="1:12" ht="15.75" customHeight="1">
      <c r="A2329" s="87" t="s">
        <v>3853</v>
      </c>
      <c r="B2329" s="87" t="s">
        <v>7469</v>
      </c>
      <c r="C2329" s="87" t="s">
        <v>7470</v>
      </c>
      <c r="D2329" s="88">
        <v>8</v>
      </c>
      <c r="E2329" s="85" t="s">
        <v>6330</v>
      </c>
      <c r="F2329" s="87">
        <v>31</v>
      </c>
      <c r="G2329" s="37"/>
      <c r="H2329" s="37">
        <f>COUNTIF('(参考)現行システム機能階層一覧'!$E$3:$E$1048576,sheet1!B2329)</f>
        <v>0</v>
      </c>
      <c r="I2329" s="37"/>
      <c r="J2329" s="37"/>
      <c r="K2329" s="37"/>
      <c r="L2329" s="37"/>
    </row>
    <row r="2330" spans="1:12" ht="15.75" customHeight="1">
      <c r="A2330" s="87" t="s">
        <v>3935</v>
      </c>
      <c r="B2330" s="87" t="s">
        <v>7471</v>
      </c>
      <c r="C2330" s="87" t="s">
        <v>7472</v>
      </c>
      <c r="D2330" s="88">
        <v>134</v>
      </c>
      <c r="E2330" s="85" t="s">
        <v>6330</v>
      </c>
      <c r="F2330" s="87">
        <v>1</v>
      </c>
      <c r="G2330" s="37"/>
      <c r="H2330" s="37">
        <f>COUNTIF('(参考)現行システム機能階層一覧'!$E$3:$E$1048576,sheet1!B2330)</f>
        <v>0</v>
      </c>
      <c r="I2330" s="37"/>
      <c r="J2330" s="37"/>
      <c r="K2330" s="37"/>
      <c r="L2330" s="37"/>
    </row>
    <row r="2331" spans="1:12" ht="15.75" customHeight="1">
      <c r="A2331" s="87" t="s">
        <v>3853</v>
      </c>
      <c r="B2331" s="87" t="s">
        <v>7473</v>
      </c>
      <c r="C2331" s="87" t="s">
        <v>7472</v>
      </c>
      <c r="D2331" s="88">
        <v>34</v>
      </c>
      <c r="E2331" s="85" t="s">
        <v>6330</v>
      </c>
      <c r="F2331" s="87">
        <v>1</v>
      </c>
      <c r="G2331" s="37"/>
      <c r="H2331" s="37">
        <f>COUNTIF('(参考)現行システム機能階層一覧'!$E$3:$E$1048576,sheet1!B2331)</f>
        <v>0</v>
      </c>
      <c r="I2331" s="37"/>
      <c r="J2331" s="37"/>
      <c r="K2331" s="37"/>
      <c r="L2331" s="37"/>
    </row>
    <row r="2332" spans="1:12" ht="15.75" customHeight="1">
      <c r="A2332" s="87" t="s">
        <v>3935</v>
      </c>
      <c r="B2332" s="87" t="s">
        <v>7474</v>
      </c>
      <c r="C2332" s="87" t="s">
        <v>7475</v>
      </c>
      <c r="D2332" s="88">
        <v>2834</v>
      </c>
      <c r="E2332" s="85" t="s">
        <v>6330</v>
      </c>
      <c r="F2332" s="87">
        <v>1</v>
      </c>
      <c r="G2332" s="37"/>
      <c r="H2332" s="37">
        <f>COUNTIF('(参考)現行システム機能階層一覧'!$E$3:$E$1048576,sheet1!B2332)</f>
        <v>0</v>
      </c>
      <c r="I2332" s="37"/>
      <c r="J2332" s="37"/>
      <c r="K2332" s="37"/>
      <c r="L2332" s="37"/>
    </row>
    <row r="2333" spans="1:12" ht="15.75" customHeight="1">
      <c r="A2333" s="87" t="s">
        <v>3853</v>
      </c>
      <c r="B2333" s="87" t="s">
        <v>7476</v>
      </c>
      <c r="C2333" s="87" t="s">
        <v>7475</v>
      </c>
      <c r="D2333" s="88">
        <v>169</v>
      </c>
      <c r="E2333" s="85" t="s">
        <v>6330</v>
      </c>
      <c r="F2333" s="87">
        <v>1</v>
      </c>
      <c r="G2333" s="37"/>
      <c r="H2333" s="37">
        <f>COUNTIF('(参考)現行システム機能階層一覧'!$E$3:$E$1048576,sheet1!B2333)</f>
        <v>0</v>
      </c>
      <c r="I2333" s="37"/>
      <c r="J2333" s="37"/>
      <c r="K2333" s="37"/>
      <c r="L2333" s="37"/>
    </row>
    <row r="2334" spans="1:12" ht="15.75" customHeight="1">
      <c r="A2334" s="87" t="s">
        <v>3935</v>
      </c>
      <c r="B2334" s="87" t="s">
        <v>7477</v>
      </c>
      <c r="C2334" s="87" t="s">
        <v>7478</v>
      </c>
      <c r="D2334" s="88">
        <v>512</v>
      </c>
      <c r="E2334" s="85" t="s">
        <v>6330</v>
      </c>
      <c r="F2334" s="87">
        <v>1</v>
      </c>
      <c r="G2334" s="37"/>
      <c r="H2334" s="37">
        <f>COUNTIF('(参考)現行システム機能階層一覧'!$E$3:$E$1048576,sheet1!B2334)</f>
        <v>0</v>
      </c>
      <c r="I2334" s="37"/>
      <c r="J2334" s="37"/>
      <c r="K2334" s="37"/>
      <c r="L2334" s="37"/>
    </row>
    <row r="2335" spans="1:12" ht="15.75" customHeight="1">
      <c r="A2335" s="87" t="s">
        <v>3935</v>
      </c>
      <c r="B2335" s="87" t="s">
        <v>7479</v>
      </c>
      <c r="C2335" s="87" t="s">
        <v>7480</v>
      </c>
      <c r="D2335" s="88">
        <v>442</v>
      </c>
      <c r="E2335" s="85" t="s">
        <v>6330</v>
      </c>
      <c r="F2335" s="87">
        <v>1</v>
      </c>
      <c r="G2335" s="37"/>
      <c r="H2335" s="37">
        <f>COUNTIF('(参考)現行システム機能階層一覧'!$E$3:$E$1048576,sheet1!B2335)</f>
        <v>0</v>
      </c>
      <c r="I2335" s="37"/>
      <c r="J2335" s="37"/>
      <c r="K2335" s="37"/>
      <c r="L2335" s="37"/>
    </row>
    <row r="2336" spans="1:12" ht="15.75" customHeight="1">
      <c r="A2336" s="87" t="s">
        <v>3935</v>
      </c>
      <c r="B2336" s="87" t="s">
        <v>7481</v>
      </c>
      <c r="C2336" s="87" t="s">
        <v>7482</v>
      </c>
      <c r="D2336" s="88">
        <v>83</v>
      </c>
      <c r="E2336" s="85" t="s">
        <v>6330</v>
      </c>
      <c r="F2336" s="87">
        <v>284</v>
      </c>
      <c r="G2336" s="37"/>
      <c r="H2336" s="37">
        <f>COUNTIF('(参考)現行システム機能階層一覧'!$E$3:$E$1048576,sheet1!B2336)</f>
        <v>0</v>
      </c>
      <c r="I2336" s="37"/>
      <c r="J2336" s="37"/>
      <c r="K2336" s="37"/>
      <c r="L2336" s="37"/>
    </row>
    <row r="2337" spans="1:12" ht="15.75" customHeight="1">
      <c r="A2337" s="87" t="s">
        <v>3935</v>
      </c>
      <c r="B2337" s="87" t="s">
        <v>7483</v>
      </c>
      <c r="C2337" s="87" t="s">
        <v>7484</v>
      </c>
      <c r="D2337" s="88">
        <v>87</v>
      </c>
      <c r="E2337" s="85" t="s">
        <v>6330</v>
      </c>
      <c r="F2337" s="87">
        <v>1890</v>
      </c>
      <c r="G2337" s="37"/>
      <c r="H2337" s="37">
        <f>COUNTIF('(参考)現行システム機能階層一覧'!$E$3:$E$1048576,sheet1!B2337)</f>
        <v>0</v>
      </c>
      <c r="I2337" s="37"/>
      <c r="J2337" s="37"/>
      <c r="K2337" s="37"/>
      <c r="L2337" s="37"/>
    </row>
    <row r="2338" spans="1:12" ht="15.75" customHeight="1">
      <c r="A2338" s="87" t="s">
        <v>3935</v>
      </c>
      <c r="B2338" s="87" t="s">
        <v>2802</v>
      </c>
      <c r="C2338" s="87" t="s">
        <v>6449</v>
      </c>
      <c r="D2338" s="88">
        <v>203</v>
      </c>
      <c r="E2338" s="85" t="s">
        <v>6330</v>
      </c>
      <c r="F2338" s="87">
        <v>346</v>
      </c>
      <c r="G2338" s="37"/>
      <c r="H2338" s="37">
        <f>COUNTIF('(参考)現行システム機能階層一覧'!$E$3:$E$1048576,sheet1!B2338)</f>
        <v>4</v>
      </c>
      <c r="I2338" s="37"/>
      <c r="J2338" s="37"/>
      <c r="K2338" s="37"/>
      <c r="L2338" s="37"/>
    </row>
    <row r="2339" spans="1:12" ht="15.75" customHeight="1">
      <c r="A2339" s="87" t="s">
        <v>3853</v>
      </c>
      <c r="B2339" s="87" t="s">
        <v>7485</v>
      </c>
      <c r="C2339" s="87" t="s">
        <v>7486</v>
      </c>
      <c r="D2339" s="88">
        <v>25</v>
      </c>
      <c r="E2339" s="85" t="s">
        <v>6330</v>
      </c>
      <c r="F2339" s="87">
        <v>93</v>
      </c>
      <c r="G2339" s="37"/>
      <c r="H2339" s="37">
        <f>COUNTIF('(参考)現行システム機能階層一覧'!$E$3:$E$1048576,sheet1!B2339)</f>
        <v>0</v>
      </c>
      <c r="I2339" s="37"/>
      <c r="J2339" s="37"/>
      <c r="K2339" s="37"/>
      <c r="L2339" s="37"/>
    </row>
    <row r="2340" spans="1:12" ht="15.75" customHeight="1">
      <c r="A2340" s="87" t="s">
        <v>3935</v>
      </c>
      <c r="B2340" s="87" t="s">
        <v>7487</v>
      </c>
      <c r="C2340" s="87" t="s">
        <v>7488</v>
      </c>
      <c r="D2340" s="88">
        <v>78</v>
      </c>
      <c r="E2340" s="85" t="s">
        <v>6330</v>
      </c>
      <c r="F2340" s="87">
        <v>272</v>
      </c>
      <c r="G2340" s="37"/>
      <c r="H2340" s="37">
        <f>COUNTIF('(参考)現行システム機能階層一覧'!$E$3:$E$1048576,sheet1!B2340)</f>
        <v>0</v>
      </c>
      <c r="I2340" s="37"/>
      <c r="J2340" s="37"/>
      <c r="K2340" s="37"/>
      <c r="L2340" s="37"/>
    </row>
    <row r="2341" spans="1:12" ht="15.75" customHeight="1">
      <c r="A2341" s="87" t="s">
        <v>3853</v>
      </c>
      <c r="B2341" s="87" t="s">
        <v>7489</v>
      </c>
      <c r="C2341" s="87" t="s">
        <v>7488</v>
      </c>
      <c r="D2341" s="88">
        <v>44</v>
      </c>
      <c r="E2341" s="85" t="s">
        <v>6330</v>
      </c>
      <c r="F2341" s="87">
        <v>273</v>
      </c>
      <c r="G2341" s="37"/>
      <c r="H2341" s="37">
        <f>COUNTIF('(参考)現行システム機能階層一覧'!$E$3:$E$1048576,sheet1!B2341)</f>
        <v>0</v>
      </c>
      <c r="I2341" s="37"/>
      <c r="J2341" s="37"/>
      <c r="K2341" s="37"/>
      <c r="L2341" s="37"/>
    </row>
    <row r="2342" spans="1:12" ht="15.75" customHeight="1">
      <c r="A2342" s="87" t="s">
        <v>3935</v>
      </c>
      <c r="B2342" s="87" t="s">
        <v>7490</v>
      </c>
      <c r="C2342" s="87" t="s">
        <v>7491</v>
      </c>
      <c r="D2342" s="88">
        <v>561</v>
      </c>
      <c r="E2342" s="85" t="s">
        <v>6330</v>
      </c>
      <c r="F2342" s="87">
        <v>1302</v>
      </c>
      <c r="G2342" s="37"/>
      <c r="H2342" s="37">
        <f>COUNTIF('(参考)現行システム機能階層一覧'!$E$3:$E$1048576,sheet1!B2342)</f>
        <v>0</v>
      </c>
      <c r="I2342" s="37"/>
      <c r="J2342" s="37"/>
      <c r="K2342" s="37"/>
      <c r="L2342" s="37"/>
    </row>
    <row r="2343" spans="1:12" ht="15.75" customHeight="1">
      <c r="A2343" s="87" t="s">
        <v>3935</v>
      </c>
      <c r="B2343" s="87" t="s">
        <v>7492</v>
      </c>
      <c r="C2343" s="87" t="s">
        <v>7493</v>
      </c>
      <c r="D2343" s="88">
        <v>143</v>
      </c>
      <c r="E2343" s="85" t="s">
        <v>6330</v>
      </c>
      <c r="F2343" s="87">
        <v>1429</v>
      </c>
      <c r="G2343" s="37"/>
      <c r="H2343" s="37">
        <f>COUNTIF('(参考)現行システム機能階層一覧'!$E$3:$E$1048576,sheet1!B2343)</f>
        <v>0</v>
      </c>
      <c r="I2343" s="37"/>
      <c r="J2343" s="37"/>
      <c r="K2343" s="37"/>
      <c r="L2343" s="37"/>
    </row>
    <row r="2344" spans="1:12" ht="15.75" customHeight="1">
      <c r="A2344" s="87" t="s">
        <v>3935</v>
      </c>
      <c r="B2344" s="87" t="s">
        <v>7494</v>
      </c>
      <c r="C2344" s="87" t="s">
        <v>7495</v>
      </c>
      <c r="D2344" s="88">
        <v>178</v>
      </c>
      <c r="E2344" s="85" t="s">
        <v>6330</v>
      </c>
      <c r="F2344" s="87">
        <v>1228</v>
      </c>
      <c r="G2344" s="37"/>
      <c r="H2344" s="37">
        <f>COUNTIF('(参考)現行システム機能階層一覧'!$E$3:$E$1048576,sheet1!B2344)</f>
        <v>0</v>
      </c>
      <c r="I2344" s="37"/>
      <c r="J2344" s="37"/>
      <c r="K2344" s="37"/>
      <c r="L2344" s="37"/>
    </row>
    <row r="2345" spans="1:12" ht="15.75" customHeight="1">
      <c r="A2345" s="87" t="s">
        <v>3935</v>
      </c>
      <c r="B2345" s="87" t="s">
        <v>7496</v>
      </c>
      <c r="C2345" s="87" t="s">
        <v>7497</v>
      </c>
      <c r="D2345" s="88">
        <v>64</v>
      </c>
      <c r="E2345" s="85" t="s">
        <v>6330</v>
      </c>
      <c r="F2345" s="87">
        <v>1896</v>
      </c>
      <c r="G2345" s="37"/>
      <c r="H2345" s="37">
        <f>COUNTIF('(参考)現行システム機能階層一覧'!$E$3:$E$1048576,sheet1!B2345)</f>
        <v>0</v>
      </c>
      <c r="I2345" s="37"/>
      <c r="J2345" s="37"/>
      <c r="K2345" s="37"/>
      <c r="L2345" s="37"/>
    </row>
    <row r="2346" spans="1:12" ht="15.75" customHeight="1">
      <c r="A2346" s="87" t="s">
        <v>3853</v>
      </c>
      <c r="B2346" s="87" t="s">
        <v>7498</v>
      </c>
      <c r="C2346" s="87" t="s">
        <v>7499</v>
      </c>
      <c r="D2346" s="88">
        <v>59</v>
      </c>
      <c r="E2346" s="85" t="s">
        <v>6330</v>
      </c>
      <c r="F2346" s="87">
        <v>1896</v>
      </c>
      <c r="G2346" s="37"/>
      <c r="H2346" s="37">
        <f>COUNTIF('(参考)現行システム機能階層一覧'!$E$3:$E$1048576,sheet1!B2346)</f>
        <v>0</v>
      </c>
      <c r="I2346" s="37"/>
      <c r="J2346" s="37"/>
      <c r="K2346" s="37"/>
      <c r="L2346" s="37"/>
    </row>
    <row r="2347" spans="1:12" ht="15.75" customHeight="1">
      <c r="A2347" s="87" t="s">
        <v>3935</v>
      </c>
      <c r="B2347" s="87" t="s">
        <v>7500</v>
      </c>
      <c r="C2347" s="87" t="s">
        <v>7501</v>
      </c>
      <c r="D2347" s="88">
        <v>63</v>
      </c>
      <c r="E2347" s="85" t="s">
        <v>6330</v>
      </c>
      <c r="F2347" s="87">
        <v>1</v>
      </c>
      <c r="G2347" s="37"/>
      <c r="H2347" s="37">
        <f>COUNTIF('(参考)現行システム機能階層一覧'!$E$3:$E$1048576,sheet1!B2347)</f>
        <v>0</v>
      </c>
      <c r="I2347" s="37"/>
      <c r="J2347" s="37"/>
      <c r="K2347" s="37"/>
      <c r="L2347" s="37"/>
    </row>
    <row r="2348" spans="1:12" ht="15.75" customHeight="1">
      <c r="A2348" s="87" t="s">
        <v>3853</v>
      </c>
      <c r="B2348" s="87" t="s">
        <v>7502</v>
      </c>
      <c r="C2348" s="87" t="s">
        <v>7503</v>
      </c>
      <c r="D2348" s="88">
        <v>67</v>
      </c>
      <c r="E2348" s="85" t="s">
        <v>6330</v>
      </c>
      <c r="F2348" s="87">
        <v>1</v>
      </c>
      <c r="G2348" s="37"/>
      <c r="H2348" s="37">
        <f>COUNTIF('(参考)現行システム機能階層一覧'!$E$3:$E$1048576,sheet1!B2348)</f>
        <v>0</v>
      </c>
      <c r="I2348" s="37"/>
      <c r="J2348" s="37"/>
      <c r="K2348" s="37"/>
      <c r="L2348" s="37"/>
    </row>
    <row r="2349" spans="1:12" ht="15.75" customHeight="1">
      <c r="A2349" s="87" t="s">
        <v>3853</v>
      </c>
      <c r="B2349" s="87" t="s">
        <v>7504</v>
      </c>
      <c r="C2349" s="87" t="s">
        <v>7505</v>
      </c>
      <c r="D2349" s="88">
        <v>24</v>
      </c>
      <c r="E2349" s="85" t="s">
        <v>6330</v>
      </c>
      <c r="F2349" s="87">
        <v>1896</v>
      </c>
      <c r="G2349" s="37"/>
      <c r="H2349" s="37">
        <f>COUNTIF('(参考)現行システム機能階層一覧'!$E$3:$E$1048576,sheet1!B2349)</f>
        <v>0</v>
      </c>
      <c r="I2349" s="37"/>
      <c r="J2349" s="37"/>
      <c r="K2349" s="37"/>
      <c r="L2349" s="37"/>
    </row>
    <row r="2350" spans="1:12" ht="15.75" customHeight="1">
      <c r="A2350" s="87" t="s">
        <v>3935</v>
      </c>
      <c r="B2350" s="87" t="s">
        <v>7506</v>
      </c>
      <c r="C2350" s="87" t="s">
        <v>7507</v>
      </c>
      <c r="D2350" s="88">
        <v>86</v>
      </c>
      <c r="E2350" s="85" t="s">
        <v>6330</v>
      </c>
      <c r="F2350" s="87">
        <v>1896</v>
      </c>
      <c r="G2350" s="37"/>
      <c r="H2350" s="37">
        <f>COUNTIF('(参考)現行システム機能階層一覧'!$E$3:$E$1048576,sheet1!B2350)</f>
        <v>0</v>
      </c>
      <c r="I2350" s="37"/>
      <c r="J2350" s="37"/>
      <c r="K2350" s="37"/>
      <c r="L2350" s="37"/>
    </row>
    <row r="2351" spans="1:12" ht="15.75" customHeight="1">
      <c r="A2351" s="87" t="s">
        <v>3935</v>
      </c>
      <c r="B2351" s="87" t="s">
        <v>7508</v>
      </c>
      <c r="C2351" s="87" t="s">
        <v>7509</v>
      </c>
      <c r="D2351" s="88">
        <v>60</v>
      </c>
      <c r="E2351" s="85" t="s">
        <v>6330</v>
      </c>
      <c r="F2351" s="87">
        <v>1166</v>
      </c>
      <c r="G2351" s="37"/>
      <c r="H2351" s="37">
        <f>COUNTIF('(参考)現行システム機能階層一覧'!$E$3:$E$1048576,sheet1!B2351)</f>
        <v>0</v>
      </c>
      <c r="I2351" s="37"/>
      <c r="J2351" s="37"/>
      <c r="K2351" s="37"/>
      <c r="L2351" s="37"/>
    </row>
    <row r="2352" spans="1:12" ht="15.75" customHeight="1">
      <c r="A2352" s="87" t="s">
        <v>3853</v>
      </c>
      <c r="B2352" s="87" t="s">
        <v>7510</v>
      </c>
      <c r="C2352" s="87" t="s">
        <v>7511</v>
      </c>
      <c r="D2352" s="88">
        <v>71</v>
      </c>
      <c r="E2352" s="85" t="s">
        <v>6330</v>
      </c>
      <c r="F2352" s="87">
        <v>1166</v>
      </c>
      <c r="G2352" s="37"/>
      <c r="H2352" s="37">
        <f>COUNTIF('(参考)現行システム機能階層一覧'!$E$3:$E$1048576,sheet1!B2352)</f>
        <v>0</v>
      </c>
      <c r="I2352" s="37"/>
      <c r="J2352" s="37"/>
      <c r="K2352" s="37"/>
      <c r="L2352" s="37"/>
    </row>
    <row r="2353" spans="1:12" ht="15.75" customHeight="1">
      <c r="A2353" s="87" t="s">
        <v>3935</v>
      </c>
      <c r="B2353" s="87" t="s">
        <v>7512</v>
      </c>
      <c r="C2353" s="87" t="s">
        <v>7513</v>
      </c>
      <c r="D2353" s="88">
        <v>153</v>
      </c>
      <c r="E2353" s="85" t="s">
        <v>6330</v>
      </c>
      <c r="F2353" s="87">
        <v>1230</v>
      </c>
      <c r="G2353" s="37"/>
      <c r="H2353" s="37">
        <f>COUNTIF('(参考)現行システム機能階層一覧'!$E$3:$E$1048576,sheet1!B2353)</f>
        <v>0</v>
      </c>
      <c r="I2353" s="37"/>
      <c r="J2353" s="37"/>
      <c r="K2353" s="37"/>
      <c r="L2353" s="37"/>
    </row>
    <row r="2354" spans="1:12" ht="15.75" customHeight="1">
      <c r="A2354" s="87" t="s">
        <v>3853</v>
      </c>
      <c r="B2354" s="87" t="s">
        <v>7514</v>
      </c>
      <c r="C2354" s="87" t="s">
        <v>7515</v>
      </c>
      <c r="D2354" s="88">
        <v>26</v>
      </c>
      <c r="E2354" s="85" t="s">
        <v>6330</v>
      </c>
      <c r="F2354" s="87">
        <v>630</v>
      </c>
      <c r="G2354" s="37"/>
      <c r="H2354" s="37">
        <f>COUNTIF('(参考)現行システム機能階層一覧'!$E$3:$E$1048576,sheet1!B2354)</f>
        <v>0</v>
      </c>
      <c r="I2354" s="37"/>
      <c r="J2354" s="37"/>
      <c r="K2354" s="37"/>
      <c r="L2354" s="37"/>
    </row>
    <row r="2355" spans="1:12" ht="15.75" customHeight="1">
      <c r="A2355" s="87" t="s">
        <v>3853</v>
      </c>
      <c r="B2355" s="87" t="s">
        <v>7516</v>
      </c>
      <c r="C2355" s="87" t="s">
        <v>7517</v>
      </c>
      <c r="D2355" s="88">
        <v>69</v>
      </c>
      <c r="E2355" s="85" t="s">
        <v>6330</v>
      </c>
      <c r="F2355" s="87">
        <v>660</v>
      </c>
      <c r="G2355" s="37"/>
      <c r="H2355" s="37">
        <f>COUNTIF('(参考)現行システム機能階層一覧'!$E$3:$E$1048576,sheet1!B2355)</f>
        <v>0</v>
      </c>
      <c r="I2355" s="37"/>
      <c r="J2355" s="37"/>
      <c r="K2355" s="37"/>
      <c r="L2355" s="37"/>
    </row>
    <row r="2356" spans="1:12" ht="15.75" customHeight="1">
      <c r="A2356" s="87" t="s">
        <v>3935</v>
      </c>
      <c r="B2356" s="87" t="s">
        <v>7518</v>
      </c>
      <c r="C2356" s="87" t="s">
        <v>7519</v>
      </c>
      <c r="D2356" s="88">
        <v>99</v>
      </c>
      <c r="E2356" s="85" t="s">
        <v>6330</v>
      </c>
      <c r="F2356" s="87">
        <v>1895</v>
      </c>
      <c r="G2356" s="37"/>
      <c r="H2356" s="37">
        <f>COUNTIF('(参考)現行システム機能階層一覧'!$E$3:$E$1048576,sheet1!B2356)</f>
        <v>0</v>
      </c>
      <c r="I2356" s="37"/>
      <c r="J2356" s="37"/>
      <c r="K2356" s="37"/>
      <c r="L2356" s="37"/>
    </row>
    <row r="2357" spans="1:12" ht="15.75" customHeight="1">
      <c r="A2357" s="87" t="s">
        <v>3935</v>
      </c>
      <c r="B2357" s="87" t="s">
        <v>7520</v>
      </c>
      <c r="C2357" s="87" t="s">
        <v>7521</v>
      </c>
      <c r="D2357" s="88">
        <v>91</v>
      </c>
      <c r="E2357" s="85" t="s">
        <v>6330</v>
      </c>
      <c r="F2357" s="87">
        <v>1413</v>
      </c>
      <c r="G2357" s="37"/>
      <c r="H2357" s="37">
        <f>COUNTIF('(参考)現行システム機能階層一覧'!$E$3:$E$1048576,sheet1!B2357)</f>
        <v>0</v>
      </c>
      <c r="I2357" s="37"/>
      <c r="J2357" s="37"/>
      <c r="K2357" s="37"/>
      <c r="L2357" s="37"/>
    </row>
    <row r="2358" spans="1:12" ht="15.75" customHeight="1">
      <c r="A2358" s="87" t="s">
        <v>3935</v>
      </c>
      <c r="B2358" s="87" t="s">
        <v>7522</v>
      </c>
      <c r="C2358" s="87" t="s">
        <v>7523</v>
      </c>
      <c r="D2358" s="88">
        <v>93</v>
      </c>
      <c r="E2358" s="85" t="s">
        <v>6330</v>
      </c>
      <c r="F2358" s="87">
        <v>1336</v>
      </c>
      <c r="G2358" s="37"/>
      <c r="H2358" s="37">
        <f>COUNTIF('(参考)現行システム機能階層一覧'!$E$3:$E$1048576,sheet1!B2358)</f>
        <v>0</v>
      </c>
      <c r="I2358" s="37"/>
      <c r="J2358" s="37"/>
      <c r="K2358" s="37"/>
      <c r="L2358" s="37"/>
    </row>
    <row r="2359" spans="1:12" ht="15.75" customHeight="1">
      <c r="A2359" s="87" t="s">
        <v>3853</v>
      </c>
      <c r="B2359" s="87" t="s">
        <v>7524</v>
      </c>
      <c r="C2359" s="87" t="s">
        <v>7523</v>
      </c>
      <c r="D2359" s="88">
        <v>22</v>
      </c>
      <c r="E2359" s="85" t="s">
        <v>6330</v>
      </c>
      <c r="F2359" s="87">
        <v>1336</v>
      </c>
      <c r="G2359" s="37"/>
      <c r="H2359" s="37">
        <f>COUNTIF('(参考)現行システム機能階層一覧'!$E$3:$E$1048576,sheet1!B2359)</f>
        <v>0</v>
      </c>
      <c r="I2359" s="37"/>
      <c r="J2359" s="37"/>
      <c r="K2359" s="37"/>
      <c r="L2359" s="37"/>
    </row>
    <row r="2360" spans="1:12" ht="15.75" customHeight="1">
      <c r="A2360" s="87" t="s">
        <v>3853</v>
      </c>
      <c r="B2360" s="87" t="s">
        <v>7525</v>
      </c>
      <c r="C2360" s="87" t="s">
        <v>7526</v>
      </c>
      <c r="D2360" s="88">
        <v>46</v>
      </c>
      <c r="E2360" s="85" t="s">
        <v>6330</v>
      </c>
      <c r="F2360" s="87">
        <v>1318</v>
      </c>
      <c r="G2360" s="37"/>
      <c r="H2360" s="37">
        <f>COUNTIF('(参考)現行システム機能階層一覧'!$E$3:$E$1048576,sheet1!B2360)</f>
        <v>0</v>
      </c>
      <c r="I2360" s="37"/>
      <c r="J2360" s="37"/>
      <c r="K2360" s="37"/>
      <c r="L2360" s="37"/>
    </row>
    <row r="2361" spans="1:12" ht="15.75" customHeight="1">
      <c r="A2361" s="87" t="s">
        <v>3853</v>
      </c>
      <c r="B2361" s="87" t="s">
        <v>7527</v>
      </c>
      <c r="C2361" s="87" t="s">
        <v>7528</v>
      </c>
      <c r="D2361" s="88">
        <v>40</v>
      </c>
      <c r="E2361" s="85" t="s">
        <v>6330</v>
      </c>
      <c r="F2361" s="87">
        <v>724</v>
      </c>
      <c r="G2361" s="37"/>
      <c r="H2361" s="37">
        <f>COUNTIF('(参考)現行システム機能階層一覧'!$E$3:$E$1048576,sheet1!B2361)</f>
        <v>0</v>
      </c>
      <c r="I2361" s="37"/>
      <c r="J2361" s="37"/>
      <c r="K2361" s="37"/>
      <c r="L2361" s="37"/>
    </row>
    <row r="2362" spans="1:12" ht="15.75" customHeight="1">
      <c r="A2362" s="87" t="s">
        <v>3935</v>
      </c>
      <c r="B2362" s="87" t="s">
        <v>7529</v>
      </c>
      <c r="C2362" s="87" t="s">
        <v>7530</v>
      </c>
      <c r="D2362" s="88">
        <v>65</v>
      </c>
      <c r="E2362" s="85" t="s">
        <v>6330</v>
      </c>
      <c r="F2362" s="87">
        <v>1645</v>
      </c>
      <c r="G2362" s="37"/>
      <c r="H2362" s="37">
        <f>COUNTIF('(参考)現行システム機能階層一覧'!$E$3:$E$1048576,sheet1!B2362)</f>
        <v>0</v>
      </c>
      <c r="I2362" s="37"/>
      <c r="J2362" s="37"/>
      <c r="K2362" s="37"/>
      <c r="L2362" s="37"/>
    </row>
    <row r="2363" spans="1:12" ht="15.75" customHeight="1">
      <c r="A2363" s="87" t="s">
        <v>3935</v>
      </c>
      <c r="B2363" s="87" t="s">
        <v>7531</v>
      </c>
      <c r="C2363" s="87" t="s">
        <v>7532</v>
      </c>
      <c r="D2363" s="88">
        <v>168</v>
      </c>
      <c r="E2363" s="85" t="s">
        <v>6330</v>
      </c>
      <c r="F2363" s="87">
        <v>82</v>
      </c>
      <c r="G2363" s="37"/>
      <c r="H2363" s="37">
        <f>COUNTIF('(参考)現行システム機能階層一覧'!$E$3:$E$1048576,sheet1!B2363)</f>
        <v>0</v>
      </c>
      <c r="I2363" s="37"/>
      <c r="J2363" s="37"/>
      <c r="K2363" s="37"/>
      <c r="L2363" s="37"/>
    </row>
    <row r="2364" spans="1:12" ht="15.75" customHeight="1">
      <c r="A2364" s="87" t="s">
        <v>3935</v>
      </c>
      <c r="B2364" s="87" t="s">
        <v>7533</v>
      </c>
      <c r="C2364" s="87" t="s">
        <v>7534</v>
      </c>
      <c r="D2364" s="88">
        <v>125</v>
      </c>
      <c r="E2364" s="85" t="s">
        <v>6330</v>
      </c>
      <c r="F2364" s="87">
        <v>1538</v>
      </c>
      <c r="G2364" s="37"/>
      <c r="H2364" s="37">
        <f>COUNTIF('(参考)現行システム機能階層一覧'!$E$3:$E$1048576,sheet1!B2364)</f>
        <v>0</v>
      </c>
      <c r="I2364" s="37"/>
      <c r="J2364" s="37"/>
      <c r="K2364" s="37"/>
      <c r="L2364" s="37"/>
    </row>
    <row r="2365" spans="1:12" ht="15.75" customHeight="1">
      <c r="A2365" s="87" t="s">
        <v>3935</v>
      </c>
      <c r="B2365" s="87" t="s">
        <v>7535</v>
      </c>
      <c r="C2365" s="87" t="s">
        <v>7536</v>
      </c>
      <c r="D2365" s="88">
        <v>125</v>
      </c>
      <c r="E2365" s="85" t="s">
        <v>6330</v>
      </c>
      <c r="F2365" s="87">
        <v>3</v>
      </c>
      <c r="G2365" s="37"/>
      <c r="H2365" s="37">
        <f>COUNTIF('(参考)現行システム機能階層一覧'!$E$3:$E$1048576,sheet1!B2365)</f>
        <v>0</v>
      </c>
      <c r="I2365" s="37"/>
      <c r="J2365" s="37"/>
      <c r="K2365" s="37"/>
      <c r="L2365" s="37"/>
    </row>
    <row r="2366" spans="1:12" ht="15.75" customHeight="1">
      <c r="A2366" s="87" t="s">
        <v>3935</v>
      </c>
      <c r="B2366" s="87" t="s">
        <v>7537</v>
      </c>
      <c r="C2366" s="87" t="s">
        <v>7538</v>
      </c>
      <c r="D2366" s="88">
        <v>104</v>
      </c>
      <c r="E2366" s="85" t="s">
        <v>6330</v>
      </c>
      <c r="F2366" s="87">
        <v>1897</v>
      </c>
      <c r="G2366" s="37"/>
      <c r="H2366" s="37">
        <f>COUNTIF('(参考)現行システム機能階層一覧'!$E$3:$E$1048576,sheet1!B2366)</f>
        <v>0</v>
      </c>
      <c r="I2366" s="37"/>
      <c r="J2366" s="37"/>
      <c r="K2366" s="37"/>
      <c r="L2366" s="37"/>
    </row>
    <row r="2367" spans="1:12" ht="15.75" customHeight="1">
      <c r="A2367" s="87" t="s">
        <v>3853</v>
      </c>
      <c r="B2367" s="87" t="s">
        <v>7539</v>
      </c>
      <c r="C2367" s="87" t="s">
        <v>7540</v>
      </c>
      <c r="D2367" s="88">
        <v>21</v>
      </c>
      <c r="E2367" s="85" t="s">
        <v>6330</v>
      </c>
      <c r="F2367" s="87">
        <v>1897</v>
      </c>
      <c r="G2367" s="37"/>
      <c r="H2367" s="37">
        <f>COUNTIF('(参考)現行システム機能階層一覧'!$E$3:$E$1048576,sheet1!B2367)</f>
        <v>0</v>
      </c>
      <c r="I2367" s="37"/>
      <c r="J2367" s="37"/>
      <c r="K2367" s="37"/>
      <c r="L2367" s="37"/>
    </row>
    <row r="2368" spans="1:12" ht="15.75" customHeight="1">
      <c r="A2368" s="87" t="s">
        <v>3935</v>
      </c>
      <c r="B2368" s="87" t="s">
        <v>7541</v>
      </c>
      <c r="C2368" s="87" t="s">
        <v>7542</v>
      </c>
      <c r="D2368" s="88">
        <v>94</v>
      </c>
      <c r="E2368" s="85" t="s">
        <v>6330</v>
      </c>
      <c r="F2368" s="87">
        <v>167</v>
      </c>
      <c r="G2368" s="37"/>
      <c r="H2368" s="37">
        <f>COUNTIF('(参考)現行システム機能階層一覧'!$E$3:$E$1048576,sheet1!B2368)</f>
        <v>0</v>
      </c>
      <c r="I2368" s="37"/>
      <c r="J2368" s="37"/>
      <c r="K2368" s="37"/>
      <c r="L2368" s="37"/>
    </row>
    <row r="2369" spans="1:12" ht="15.75" customHeight="1">
      <c r="A2369" s="87" t="s">
        <v>3935</v>
      </c>
      <c r="B2369" s="87" t="s">
        <v>7543</v>
      </c>
      <c r="C2369" s="87" t="s">
        <v>7544</v>
      </c>
      <c r="D2369" s="88">
        <v>174</v>
      </c>
      <c r="E2369" s="85" t="s">
        <v>6330</v>
      </c>
      <c r="F2369" s="87">
        <v>269</v>
      </c>
      <c r="G2369" s="37"/>
      <c r="H2369" s="37">
        <f>COUNTIF('(参考)現行システム機能階層一覧'!$E$3:$E$1048576,sheet1!B2369)</f>
        <v>0</v>
      </c>
      <c r="I2369" s="37"/>
      <c r="J2369" s="37"/>
      <c r="K2369" s="37"/>
      <c r="L2369" s="37"/>
    </row>
    <row r="2370" spans="1:12" ht="15.75" customHeight="1">
      <c r="A2370" s="87" t="s">
        <v>3853</v>
      </c>
      <c r="B2370" s="87" t="s">
        <v>7545</v>
      </c>
      <c r="C2370" s="87" t="s">
        <v>4955</v>
      </c>
      <c r="D2370" s="88">
        <v>42</v>
      </c>
      <c r="E2370" s="85" t="s">
        <v>6330</v>
      </c>
      <c r="F2370" s="87">
        <v>14</v>
      </c>
      <c r="G2370" s="37"/>
      <c r="H2370" s="37">
        <f>COUNTIF('(参考)現行システム機能階層一覧'!$E$3:$E$1048576,sheet1!B2370)</f>
        <v>0</v>
      </c>
      <c r="I2370" s="37"/>
      <c r="J2370" s="37"/>
      <c r="K2370" s="37"/>
      <c r="L2370" s="37"/>
    </row>
    <row r="2371" spans="1:12" ht="15.75" customHeight="1">
      <c r="A2371" s="87" t="s">
        <v>3853</v>
      </c>
      <c r="B2371" s="87" t="s">
        <v>7546</v>
      </c>
      <c r="C2371" s="87" t="s">
        <v>7547</v>
      </c>
      <c r="D2371" s="88">
        <v>40</v>
      </c>
      <c r="E2371" s="85" t="s">
        <v>6330</v>
      </c>
      <c r="F2371" s="87">
        <v>33</v>
      </c>
      <c r="G2371" s="37"/>
      <c r="H2371" s="37">
        <f>COUNTIF('(参考)現行システム機能階層一覧'!$E$3:$E$1048576,sheet1!B2371)</f>
        <v>0</v>
      </c>
      <c r="I2371" s="37"/>
      <c r="J2371" s="37"/>
      <c r="K2371" s="37"/>
      <c r="L2371" s="37"/>
    </row>
    <row r="2372" spans="1:12" ht="15.75" customHeight="1">
      <c r="A2372" s="87" t="s">
        <v>3935</v>
      </c>
      <c r="B2372" s="87" t="s">
        <v>7548</v>
      </c>
      <c r="C2372" s="87" t="s">
        <v>7549</v>
      </c>
      <c r="D2372" s="88">
        <v>1096</v>
      </c>
      <c r="E2372" s="85" t="s">
        <v>6330</v>
      </c>
      <c r="F2372" s="87">
        <v>1</v>
      </c>
      <c r="G2372" s="37"/>
      <c r="H2372" s="37">
        <f>COUNTIF('(参考)現行システム機能階層一覧'!$E$3:$E$1048576,sheet1!B2372)</f>
        <v>0</v>
      </c>
      <c r="I2372" s="37"/>
      <c r="J2372" s="37"/>
      <c r="K2372" s="37"/>
      <c r="L2372" s="37"/>
    </row>
    <row r="2373" spans="1:12" ht="15.75" customHeight="1">
      <c r="A2373" s="87" t="s">
        <v>3853</v>
      </c>
      <c r="B2373" s="87" t="s">
        <v>7550</v>
      </c>
      <c r="C2373" s="87" t="s">
        <v>7551</v>
      </c>
      <c r="D2373" s="88">
        <v>123</v>
      </c>
      <c r="E2373" s="85" t="s">
        <v>6330</v>
      </c>
      <c r="F2373" s="87">
        <v>1</v>
      </c>
      <c r="G2373" s="37"/>
      <c r="H2373" s="37">
        <f>COUNTIF('(参考)現行システム機能階層一覧'!$E$3:$E$1048576,sheet1!B2373)</f>
        <v>0</v>
      </c>
      <c r="I2373" s="37"/>
      <c r="J2373" s="37"/>
      <c r="K2373" s="37"/>
      <c r="L2373" s="37"/>
    </row>
    <row r="2374" spans="1:12" ht="15.75" customHeight="1">
      <c r="A2374" s="87" t="s">
        <v>3935</v>
      </c>
      <c r="B2374" s="87" t="s">
        <v>7552</v>
      </c>
      <c r="C2374" s="87" t="s">
        <v>7553</v>
      </c>
      <c r="D2374" s="88">
        <v>712</v>
      </c>
      <c r="E2374" s="85" t="s">
        <v>6330</v>
      </c>
      <c r="F2374" s="87">
        <v>1</v>
      </c>
      <c r="G2374" s="37"/>
      <c r="H2374" s="37">
        <f>COUNTIF('(参考)現行システム機能階層一覧'!$E$3:$E$1048576,sheet1!B2374)</f>
        <v>0</v>
      </c>
      <c r="I2374" s="37"/>
      <c r="J2374" s="37"/>
      <c r="K2374" s="37"/>
      <c r="L2374" s="37"/>
    </row>
    <row r="2375" spans="1:12" ht="15.75" customHeight="1">
      <c r="A2375" s="87" t="s">
        <v>3935</v>
      </c>
      <c r="B2375" s="87" t="s">
        <v>7554</v>
      </c>
      <c r="C2375" s="87" t="s">
        <v>7555</v>
      </c>
      <c r="D2375" s="88">
        <v>714</v>
      </c>
      <c r="E2375" s="85" t="s">
        <v>6330</v>
      </c>
      <c r="F2375" s="87">
        <v>1</v>
      </c>
      <c r="G2375" s="37"/>
      <c r="H2375" s="37">
        <f>COUNTIF('(参考)現行システム機能階層一覧'!$E$3:$E$1048576,sheet1!B2375)</f>
        <v>0</v>
      </c>
      <c r="I2375" s="37"/>
      <c r="J2375" s="37"/>
      <c r="K2375" s="37"/>
      <c r="L2375" s="37"/>
    </row>
    <row r="2376" spans="1:12" ht="15.75" customHeight="1">
      <c r="A2376" s="87" t="s">
        <v>3935</v>
      </c>
      <c r="B2376" s="87" t="s">
        <v>1418</v>
      </c>
      <c r="C2376" s="87" t="s">
        <v>7556</v>
      </c>
      <c r="D2376" s="88">
        <v>444</v>
      </c>
      <c r="E2376" s="85" t="s">
        <v>6330</v>
      </c>
      <c r="F2376" s="87">
        <v>12</v>
      </c>
      <c r="G2376" s="37"/>
      <c r="H2376" s="37">
        <f>COUNTIF('(参考)現行システム機能階層一覧'!$E$3:$E$1048576,sheet1!B2376)</f>
        <v>1</v>
      </c>
      <c r="I2376" s="37"/>
      <c r="J2376" s="37"/>
      <c r="K2376" s="37"/>
      <c r="L2376" s="37"/>
    </row>
    <row r="2377" spans="1:12" ht="15.75" customHeight="1">
      <c r="A2377" s="87" t="s">
        <v>3853</v>
      </c>
      <c r="B2377" s="87" t="s">
        <v>7557</v>
      </c>
      <c r="C2377" s="87" t="s">
        <v>7556</v>
      </c>
      <c r="D2377" s="88">
        <v>12</v>
      </c>
      <c r="E2377" s="85" t="s">
        <v>6330</v>
      </c>
      <c r="F2377" s="87">
        <v>12</v>
      </c>
      <c r="G2377" s="37"/>
      <c r="H2377" s="37">
        <f>COUNTIF('(参考)現行システム機能階層一覧'!$E$3:$E$1048576,sheet1!B2377)</f>
        <v>0</v>
      </c>
      <c r="I2377" s="37"/>
      <c r="J2377" s="37"/>
      <c r="K2377" s="37"/>
      <c r="L2377" s="37"/>
    </row>
    <row r="2378" spans="1:12" ht="15.75" customHeight="1">
      <c r="A2378" s="87" t="s">
        <v>3935</v>
      </c>
      <c r="B2378" s="87" t="s">
        <v>7558</v>
      </c>
      <c r="C2378" s="87" t="s">
        <v>7559</v>
      </c>
      <c r="D2378" s="88">
        <v>519</v>
      </c>
      <c r="E2378" s="85" t="s">
        <v>6330</v>
      </c>
      <c r="F2378" s="87">
        <v>1740</v>
      </c>
      <c r="G2378" s="37"/>
      <c r="H2378" s="37">
        <f>COUNTIF('(参考)現行システム機能階層一覧'!$E$3:$E$1048576,sheet1!B2378)</f>
        <v>0</v>
      </c>
      <c r="I2378" s="37"/>
      <c r="J2378" s="37"/>
      <c r="K2378" s="37"/>
      <c r="L2378" s="37"/>
    </row>
    <row r="2379" spans="1:12" ht="15.75" customHeight="1">
      <c r="A2379" s="87" t="s">
        <v>3935</v>
      </c>
      <c r="B2379" s="87" t="s">
        <v>7560</v>
      </c>
      <c r="C2379" s="87" t="s">
        <v>7561</v>
      </c>
      <c r="D2379" s="88">
        <v>309</v>
      </c>
      <c r="E2379" s="85" t="s">
        <v>6330</v>
      </c>
      <c r="F2379" s="87">
        <v>1230</v>
      </c>
      <c r="G2379" s="37"/>
      <c r="H2379" s="37">
        <f>COUNTIF('(参考)現行システム機能階層一覧'!$E$3:$E$1048576,sheet1!B2379)</f>
        <v>0</v>
      </c>
      <c r="I2379" s="37"/>
      <c r="J2379" s="37"/>
      <c r="K2379" s="37"/>
      <c r="L2379" s="37"/>
    </row>
    <row r="2380" spans="1:12" ht="15.75" customHeight="1">
      <c r="A2380" s="87" t="s">
        <v>3853</v>
      </c>
      <c r="B2380" s="87" t="s">
        <v>7562</v>
      </c>
      <c r="C2380" s="87" t="s">
        <v>7563</v>
      </c>
      <c r="D2380" s="88">
        <v>173</v>
      </c>
      <c r="E2380" s="85" t="s">
        <v>6330</v>
      </c>
      <c r="F2380" s="87">
        <v>660</v>
      </c>
      <c r="G2380" s="37"/>
      <c r="H2380" s="37">
        <f>COUNTIF('(参考)現行システム機能階層一覧'!$E$3:$E$1048576,sheet1!B2380)</f>
        <v>0</v>
      </c>
      <c r="I2380" s="37"/>
      <c r="J2380" s="37"/>
      <c r="K2380" s="37"/>
      <c r="L2380" s="37"/>
    </row>
    <row r="2381" spans="1:12" ht="15.75" customHeight="1">
      <c r="A2381" s="87" t="s">
        <v>3935</v>
      </c>
      <c r="B2381" s="87" t="s">
        <v>7564</v>
      </c>
      <c r="C2381" s="87" t="s">
        <v>7565</v>
      </c>
      <c r="D2381" s="88">
        <v>232</v>
      </c>
      <c r="E2381" s="85" t="s">
        <v>6330</v>
      </c>
      <c r="F2381" s="87">
        <v>1230</v>
      </c>
      <c r="G2381" s="37"/>
      <c r="H2381" s="37">
        <f>COUNTIF('(参考)現行システム機能階層一覧'!$E$3:$E$1048576,sheet1!B2381)</f>
        <v>0</v>
      </c>
      <c r="I2381" s="37"/>
      <c r="J2381" s="37"/>
      <c r="K2381" s="37"/>
      <c r="L2381" s="37"/>
    </row>
    <row r="2382" spans="1:12" ht="15.75" customHeight="1">
      <c r="A2382" s="87" t="s">
        <v>3853</v>
      </c>
      <c r="B2382" s="87" t="s">
        <v>7566</v>
      </c>
      <c r="C2382" s="87" t="s">
        <v>7567</v>
      </c>
      <c r="D2382" s="88">
        <v>21</v>
      </c>
      <c r="E2382" s="85" t="s">
        <v>6330</v>
      </c>
      <c r="F2382" s="87">
        <v>1229</v>
      </c>
      <c r="G2382" s="37"/>
      <c r="H2382" s="37">
        <f>COUNTIF('(参考)現行システム機能階層一覧'!$E$3:$E$1048576,sheet1!B2382)</f>
        <v>0</v>
      </c>
      <c r="I2382" s="37"/>
      <c r="J2382" s="37"/>
      <c r="K2382" s="37"/>
      <c r="L2382" s="37"/>
    </row>
    <row r="2383" spans="1:12" ht="15.75" customHeight="1">
      <c r="A2383" s="87" t="s">
        <v>3935</v>
      </c>
      <c r="B2383" s="87" t="s">
        <v>7568</v>
      </c>
      <c r="C2383" s="87" t="s">
        <v>7569</v>
      </c>
      <c r="D2383" s="88">
        <v>242</v>
      </c>
      <c r="E2383" s="85" t="s">
        <v>6330</v>
      </c>
      <c r="F2383" s="87">
        <v>1230</v>
      </c>
      <c r="G2383" s="37"/>
      <c r="H2383" s="37">
        <f>COUNTIF('(参考)現行システム機能階層一覧'!$E$3:$E$1048576,sheet1!B2383)</f>
        <v>0</v>
      </c>
      <c r="I2383" s="37"/>
      <c r="J2383" s="37"/>
      <c r="K2383" s="37"/>
      <c r="L2383" s="37"/>
    </row>
    <row r="2384" spans="1:12" ht="15.75" customHeight="1">
      <c r="A2384" s="87" t="s">
        <v>3935</v>
      </c>
      <c r="B2384" s="87" t="s">
        <v>7570</v>
      </c>
      <c r="C2384" s="87" t="s">
        <v>7571</v>
      </c>
      <c r="D2384" s="88">
        <v>402</v>
      </c>
      <c r="E2384" s="85" t="s">
        <v>6330</v>
      </c>
      <c r="F2384" s="87">
        <v>1155</v>
      </c>
      <c r="G2384" s="37"/>
      <c r="H2384" s="37">
        <f>COUNTIF('(参考)現行システム機能階層一覧'!$E$3:$E$1048576,sheet1!B2384)</f>
        <v>0</v>
      </c>
      <c r="I2384" s="37"/>
      <c r="J2384" s="37"/>
      <c r="K2384" s="37"/>
      <c r="L2384" s="37"/>
    </row>
    <row r="2385" spans="1:12" ht="15.75" customHeight="1">
      <c r="A2385" s="87" t="s">
        <v>3853</v>
      </c>
      <c r="B2385" s="87" t="s">
        <v>7572</v>
      </c>
      <c r="C2385" s="87" t="s">
        <v>7573</v>
      </c>
      <c r="D2385" s="88">
        <v>160</v>
      </c>
      <c r="E2385" s="85" t="s">
        <v>6330</v>
      </c>
      <c r="F2385" s="87">
        <v>1155</v>
      </c>
      <c r="G2385" s="37"/>
      <c r="H2385" s="37">
        <f>COUNTIF('(参考)現行システム機能階層一覧'!$E$3:$E$1048576,sheet1!B2385)</f>
        <v>0</v>
      </c>
      <c r="I2385" s="37"/>
      <c r="J2385" s="37"/>
      <c r="K2385" s="37"/>
      <c r="L2385" s="37"/>
    </row>
    <row r="2386" spans="1:12" ht="15.75" customHeight="1">
      <c r="A2386" s="87" t="s">
        <v>3935</v>
      </c>
      <c r="B2386" s="87" t="s">
        <v>7574</v>
      </c>
      <c r="C2386" s="87" t="s">
        <v>7575</v>
      </c>
      <c r="D2386" s="88">
        <v>226</v>
      </c>
      <c r="E2386" s="85" t="s">
        <v>6330</v>
      </c>
      <c r="F2386" s="87">
        <v>1155</v>
      </c>
      <c r="G2386" s="37"/>
      <c r="H2386" s="37">
        <f>COUNTIF('(参考)現行システム機能階層一覧'!$E$3:$E$1048576,sheet1!B2386)</f>
        <v>0</v>
      </c>
      <c r="I2386" s="37"/>
      <c r="J2386" s="37"/>
      <c r="K2386" s="37"/>
      <c r="L2386" s="37"/>
    </row>
    <row r="2387" spans="1:12" ht="15.75" customHeight="1">
      <c r="A2387" s="87" t="s">
        <v>3935</v>
      </c>
      <c r="B2387" s="87" t="s">
        <v>7576</v>
      </c>
      <c r="C2387" s="87" t="s">
        <v>7577</v>
      </c>
      <c r="D2387" s="88">
        <v>129</v>
      </c>
      <c r="E2387" s="85" t="s">
        <v>6330</v>
      </c>
      <c r="F2387" s="87">
        <v>1598</v>
      </c>
      <c r="G2387" s="37"/>
      <c r="H2387" s="37">
        <f>COUNTIF('(参考)現行システム機能階層一覧'!$E$3:$E$1048576,sheet1!B2387)</f>
        <v>0</v>
      </c>
      <c r="I2387" s="37"/>
      <c r="J2387" s="37"/>
      <c r="K2387" s="37"/>
      <c r="L2387" s="37"/>
    </row>
    <row r="2388" spans="1:12" ht="15.75" customHeight="1">
      <c r="A2388" s="87" t="s">
        <v>3935</v>
      </c>
      <c r="B2388" s="87" t="s">
        <v>7578</v>
      </c>
      <c r="C2388" s="87" t="s">
        <v>7579</v>
      </c>
      <c r="D2388" s="88">
        <v>101</v>
      </c>
      <c r="E2388" s="85" t="s">
        <v>6330</v>
      </c>
      <c r="F2388" s="87">
        <v>1343</v>
      </c>
      <c r="G2388" s="37"/>
      <c r="H2388" s="37">
        <f>COUNTIF('(参考)現行システム機能階層一覧'!$E$3:$E$1048576,sheet1!B2388)</f>
        <v>0</v>
      </c>
      <c r="I2388" s="37"/>
      <c r="J2388" s="37"/>
      <c r="K2388" s="37"/>
      <c r="L2388" s="37"/>
    </row>
    <row r="2389" spans="1:12" ht="15.75" customHeight="1">
      <c r="A2389" s="87" t="s">
        <v>3935</v>
      </c>
      <c r="B2389" s="87" t="s">
        <v>7580</v>
      </c>
      <c r="C2389" s="87" t="s">
        <v>7581</v>
      </c>
      <c r="D2389" s="88">
        <v>116</v>
      </c>
      <c r="E2389" s="85" t="s">
        <v>6330</v>
      </c>
      <c r="F2389" s="87">
        <v>1290</v>
      </c>
      <c r="G2389" s="37"/>
      <c r="H2389" s="37">
        <f>COUNTIF('(参考)現行システム機能階層一覧'!$E$3:$E$1048576,sheet1!B2389)</f>
        <v>0</v>
      </c>
      <c r="I2389" s="37"/>
      <c r="J2389" s="37"/>
      <c r="K2389" s="37"/>
      <c r="L2389" s="37"/>
    </row>
    <row r="2390" spans="1:12" ht="15.75" customHeight="1">
      <c r="A2390" s="87" t="s">
        <v>3935</v>
      </c>
      <c r="B2390" s="87" t="s">
        <v>7582</v>
      </c>
      <c r="C2390" s="87" t="s">
        <v>7583</v>
      </c>
      <c r="D2390" s="88">
        <v>289</v>
      </c>
      <c r="E2390" s="85" t="s">
        <v>6330</v>
      </c>
      <c r="F2390" s="87">
        <v>1</v>
      </c>
      <c r="G2390" s="37"/>
      <c r="H2390" s="37">
        <f>COUNTIF('(参考)現行システム機能階層一覧'!$E$3:$E$1048576,sheet1!B2390)</f>
        <v>0</v>
      </c>
      <c r="I2390" s="37"/>
      <c r="J2390" s="37"/>
      <c r="K2390" s="37"/>
      <c r="L2390" s="37"/>
    </row>
    <row r="2391" spans="1:12" ht="15.75" customHeight="1">
      <c r="A2391" s="87" t="s">
        <v>3853</v>
      </c>
      <c r="B2391" s="87" t="s">
        <v>7584</v>
      </c>
      <c r="C2391" s="87" t="s">
        <v>7585</v>
      </c>
      <c r="D2391" s="88">
        <v>36</v>
      </c>
      <c r="E2391" s="85" t="s">
        <v>6330</v>
      </c>
      <c r="F2391" s="87">
        <v>1</v>
      </c>
      <c r="G2391" s="37"/>
      <c r="H2391" s="37">
        <f>COUNTIF('(参考)現行システム機能階層一覧'!$E$3:$E$1048576,sheet1!B2391)</f>
        <v>0</v>
      </c>
      <c r="I2391" s="37"/>
      <c r="J2391" s="37"/>
      <c r="K2391" s="37"/>
      <c r="L2391" s="37"/>
    </row>
    <row r="2392" spans="1:12" ht="15.75" customHeight="1">
      <c r="A2392" s="87" t="s">
        <v>3853</v>
      </c>
      <c r="B2392" s="87" t="s">
        <v>7586</v>
      </c>
      <c r="C2392" s="87" t="s">
        <v>7587</v>
      </c>
      <c r="D2392" s="88">
        <v>87</v>
      </c>
      <c r="E2392" s="85" t="s">
        <v>6330</v>
      </c>
      <c r="F2392" s="87">
        <v>1</v>
      </c>
      <c r="G2392" s="37"/>
      <c r="H2392" s="37">
        <f>COUNTIF('(参考)現行システム機能階層一覧'!$E$3:$E$1048576,sheet1!B2392)</f>
        <v>0</v>
      </c>
      <c r="I2392" s="37"/>
      <c r="J2392" s="37"/>
      <c r="K2392" s="37"/>
      <c r="L2392" s="37"/>
    </row>
    <row r="2393" spans="1:12" ht="15.75" customHeight="1">
      <c r="A2393" s="87" t="s">
        <v>3853</v>
      </c>
      <c r="B2393" s="87" t="s">
        <v>7588</v>
      </c>
      <c r="C2393" s="87" t="s">
        <v>7589</v>
      </c>
      <c r="D2393" s="88">
        <v>20</v>
      </c>
      <c r="E2393" s="85" t="s">
        <v>6330</v>
      </c>
      <c r="F2393" s="87">
        <v>1</v>
      </c>
      <c r="G2393" s="37"/>
      <c r="H2393" s="37">
        <f>COUNTIF('(参考)現行システム機能階層一覧'!$E$3:$E$1048576,sheet1!B2393)</f>
        <v>0</v>
      </c>
      <c r="I2393" s="37"/>
      <c r="J2393" s="37"/>
      <c r="K2393" s="37"/>
      <c r="L2393" s="37"/>
    </row>
    <row r="2394" spans="1:12" ht="15.75" customHeight="1">
      <c r="A2394" s="87" t="s">
        <v>3935</v>
      </c>
      <c r="B2394" s="87" t="s">
        <v>7590</v>
      </c>
      <c r="C2394" s="87" t="s">
        <v>7591</v>
      </c>
      <c r="D2394" s="88">
        <v>47</v>
      </c>
      <c r="E2394" s="85" t="s">
        <v>6330</v>
      </c>
      <c r="F2394" s="87">
        <v>1</v>
      </c>
      <c r="G2394" s="37"/>
      <c r="H2394" s="37">
        <f>COUNTIF('(参考)現行システム機能階層一覧'!$E$3:$E$1048576,sheet1!B2394)</f>
        <v>0</v>
      </c>
      <c r="I2394" s="37"/>
      <c r="J2394" s="37"/>
      <c r="K2394" s="37"/>
      <c r="L2394" s="37"/>
    </row>
    <row r="2395" spans="1:12" ht="15.75" customHeight="1">
      <c r="A2395" s="87" t="s">
        <v>3853</v>
      </c>
      <c r="B2395" s="87" t="s">
        <v>7592</v>
      </c>
      <c r="C2395" s="87" t="s">
        <v>7593</v>
      </c>
      <c r="D2395" s="88">
        <v>21</v>
      </c>
      <c r="E2395" s="85" t="s">
        <v>6330</v>
      </c>
      <c r="F2395" s="87">
        <v>1</v>
      </c>
      <c r="G2395" s="37"/>
      <c r="H2395" s="37">
        <f>COUNTIF('(参考)現行システム機能階層一覧'!$E$3:$E$1048576,sheet1!B2395)</f>
        <v>0</v>
      </c>
      <c r="I2395" s="37"/>
      <c r="J2395" s="37"/>
      <c r="K2395" s="37"/>
      <c r="L2395" s="37"/>
    </row>
    <row r="2396" spans="1:12" ht="15.75" customHeight="1">
      <c r="A2396" s="87" t="s">
        <v>3935</v>
      </c>
      <c r="B2396" s="87" t="s">
        <v>7594</v>
      </c>
      <c r="C2396" s="87" t="s">
        <v>7595</v>
      </c>
      <c r="D2396" s="88">
        <v>29</v>
      </c>
      <c r="E2396" s="85" t="s">
        <v>6330</v>
      </c>
      <c r="F2396" s="87">
        <v>1</v>
      </c>
      <c r="G2396" s="37"/>
      <c r="H2396" s="37">
        <f>COUNTIF('(参考)現行システム機能階層一覧'!$E$3:$E$1048576,sheet1!B2396)</f>
        <v>0</v>
      </c>
      <c r="I2396" s="37"/>
      <c r="J2396" s="37"/>
      <c r="K2396" s="37"/>
      <c r="L2396" s="37"/>
    </row>
    <row r="2397" spans="1:12" ht="15.75" customHeight="1">
      <c r="A2397" s="87" t="s">
        <v>3935</v>
      </c>
      <c r="B2397" s="87" t="s">
        <v>7596</v>
      </c>
      <c r="C2397" s="87" t="s">
        <v>7597</v>
      </c>
      <c r="D2397" s="88">
        <v>23</v>
      </c>
      <c r="E2397" s="85" t="s">
        <v>6330</v>
      </c>
      <c r="F2397" s="87">
        <v>1</v>
      </c>
      <c r="G2397" s="37"/>
      <c r="H2397" s="37">
        <f>COUNTIF('(参考)現行システム機能階層一覧'!$E$3:$E$1048576,sheet1!B2397)</f>
        <v>0</v>
      </c>
      <c r="I2397" s="37"/>
      <c r="J2397" s="37"/>
      <c r="K2397" s="37"/>
      <c r="L2397" s="37"/>
    </row>
    <row r="2398" spans="1:12" ht="15.75" customHeight="1">
      <c r="A2398" s="87" t="s">
        <v>3935</v>
      </c>
      <c r="B2398" s="87" t="s">
        <v>7598</v>
      </c>
      <c r="C2398" s="87" t="s">
        <v>7599</v>
      </c>
      <c r="D2398" s="88">
        <v>263</v>
      </c>
      <c r="E2398" s="85" t="s">
        <v>6330</v>
      </c>
      <c r="F2398" s="87">
        <v>1</v>
      </c>
      <c r="G2398" s="37"/>
      <c r="H2398" s="37">
        <f>COUNTIF('(参考)現行システム機能階層一覧'!$E$3:$E$1048576,sheet1!B2398)</f>
        <v>0</v>
      </c>
      <c r="I2398" s="37"/>
      <c r="J2398" s="37"/>
      <c r="K2398" s="37"/>
      <c r="L2398" s="37"/>
    </row>
    <row r="2399" spans="1:12" ht="15.75" customHeight="1">
      <c r="A2399" s="87" t="s">
        <v>3853</v>
      </c>
      <c r="B2399" s="87" t="s">
        <v>7600</v>
      </c>
      <c r="C2399" s="87" t="s">
        <v>7601</v>
      </c>
      <c r="D2399" s="88">
        <v>70</v>
      </c>
      <c r="E2399" s="85" t="s">
        <v>6330</v>
      </c>
      <c r="F2399" s="87">
        <v>1</v>
      </c>
      <c r="G2399" s="37"/>
      <c r="H2399" s="37">
        <f>COUNTIF('(参考)現行システム機能階層一覧'!$E$3:$E$1048576,sheet1!B2399)</f>
        <v>0</v>
      </c>
      <c r="I2399" s="37"/>
      <c r="J2399" s="37"/>
      <c r="K2399" s="37"/>
      <c r="L2399" s="37"/>
    </row>
    <row r="2400" spans="1:12" ht="15.75" customHeight="1">
      <c r="A2400" s="87" t="s">
        <v>3935</v>
      </c>
      <c r="B2400" s="87" t="s">
        <v>7602</v>
      </c>
      <c r="C2400" s="87" t="s">
        <v>7603</v>
      </c>
      <c r="D2400" s="88">
        <v>418</v>
      </c>
      <c r="E2400" s="85" t="s">
        <v>6330</v>
      </c>
      <c r="F2400" s="87">
        <v>1</v>
      </c>
      <c r="G2400" s="37"/>
      <c r="H2400" s="37">
        <f>COUNTIF('(参考)現行システム機能階層一覧'!$E$3:$E$1048576,sheet1!B2400)</f>
        <v>0</v>
      </c>
      <c r="I2400" s="37"/>
      <c r="J2400" s="37"/>
      <c r="K2400" s="37"/>
      <c r="L2400" s="37"/>
    </row>
    <row r="2401" spans="1:12" ht="15.75" customHeight="1">
      <c r="A2401" s="87" t="s">
        <v>3853</v>
      </c>
      <c r="B2401" s="87" t="s">
        <v>7604</v>
      </c>
      <c r="C2401" s="87" t="s">
        <v>7605</v>
      </c>
      <c r="D2401" s="88">
        <v>142</v>
      </c>
      <c r="E2401" s="85" t="s">
        <v>6330</v>
      </c>
      <c r="F2401" s="87">
        <v>1</v>
      </c>
      <c r="G2401" s="37"/>
      <c r="H2401" s="37">
        <f>COUNTIF('(参考)現行システム機能階層一覧'!$E$3:$E$1048576,sheet1!B2401)</f>
        <v>0</v>
      </c>
      <c r="I2401" s="37"/>
      <c r="J2401" s="37"/>
      <c r="K2401" s="37"/>
      <c r="L2401" s="37"/>
    </row>
    <row r="2402" spans="1:12" ht="15.75" customHeight="1">
      <c r="A2402" s="87" t="s">
        <v>3935</v>
      </c>
      <c r="B2402" s="87" t="s">
        <v>7606</v>
      </c>
      <c r="C2402" s="87" t="s">
        <v>7607</v>
      </c>
      <c r="D2402" s="88">
        <v>382</v>
      </c>
      <c r="E2402" s="85" t="s">
        <v>6330</v>
      </c>
      <c r="F2402" s="87">
        <v>1</v>
      </c>
      <c r="G2402" s="37"/>
      <c r="H2402" s="37">
        <f>COUNTIF('(参考)現行システム機能階層一覧'!$E$3:$E$1048576,sheet1!B2402)</f>
        <v>0</v>
      </c>
      <c r="I2402" s="37"/>
      <c r="J2402" s="37"/>
      <c r="K2402" s="37"/>
      <c r="L2402" s="37"/>
    </row>
    <row r="2403" spans="1:12" ht="15.75" customHeight="1">
      <c r="A2403" s="87" t="s">
        <v>3853</v>
      </c>
      <c r="B2403" s="87" t="s">
        <v>7608</v>
      </c>
      <c r="C2403" s="87" t="s">
        <v>7609</v>
      </c>
      <c r="D2403" s="88">
        <v>117</v>
      </c>
      <c r="E2403" s="85" t="s">
        <v>6330</v>
      </c>
      <c r="F2403" s="87">
        <v>1</v>
      </c>
      <c r="G2403" s="37"/>
      <c r="H2403" s="37">
        <f>COUNTIF('(参考)現行システム機能階層一覧'!$E$3:$E$1048576,sheet1!B2403)</f>
        <v>0</v>
      </c>
      <c r="I2403" s="37"/>
      <c r="J2403" s="37"/>
      <c r="K2403" s="37"/>
      <c r="L2403" s="37"/>
    </row>
    <row r="2404" spans="1:12" ht="15.75" customHeight="1">
      <c r="A2404" s="87" t="s">
        <v>3935</v>
      </c>
      <c r="B2404" s="87" t="s">
        <v>7610</v>
      </c>
      <c r="C2404" s="87" t="s">
        <v>7611</v>
      </c>
      <c r="D2404" s="88">
        <v>62</v>
      </c>
      <c r="E2404" s="85" t="s">
        <v>6330</v>
      </c>
      <c r="F2404" s="87">
        <v>1</v>
      </c>
      <c r="G2404" s="37"/>
      <c r="H2404" s="37">
        <f>COUNTIF('(参考)現行システム機能階層一覧'!$E$3:$E$1048576,sheet1!B2404)</f>
        <v>0</v>
      </c>
      <c r="I2404" s="37"/>
      <c r="J2404" s="37"/>
      <c r="K2404" s="37"/>
      <c r="L2404" s="37"/>
    </row>
    <row r="2405" spans="1:12" ht="15.75" customHeight="1">
      <c r="A2405" s="87" t="s">
        <v>3853</v>
      </c>
      <c r="B2405" s="87" t="s">
        <v>7612</v>
      </c>
      <c r="C2405" s="87" t="s">
        <v>7613</v>
      </c>
      <c r="D2405" s="88">
        <v>30</v>
      </c>
      <c r="E2405" s="85" t="s">
        <v>6330</v>
      </c>
      <c r="F2405" s="87">
        <v>1</v>
      </c>
      <c r="G2405" s="37"/>
      <c r="H2405" s="37">
        <f>COUNTIF('(参考)現行システム機能階層一覧'!$E$3:$E$1048576,sheet1!B2405)</f>
        <v>0</v>
      </c>
      <c r="I2405" s="37"/>
      <c r="J2405" s="37"/>
      <c r="K2405" s="37"/>
      <c r="L2405" s="37"/>
    </row>
    <row r="2406" spans="1:12" ht="15.75" customHeight="1">
      <c r="A2406" s="87" t="s">
        <v>3935</v>
      </c>
      <c r="B2406" s="87" t="s">
        <v>7614</v>
      </c>
      <c r="C2406" s="87" t="s">
        <v>7615</v>
      </c>
      <c r="D2406" s="88">
        <v>60</v>
      </c>
      <c r="E2406" s="85" t="s">
        <v>6330</v>
      </c>
      <c r="F2406" s="87">
        <v>1</v>
      </c>
      <c r="G2406" s="37"/>
      <c r="H2406" s="37">
        <f>COUNTIF('(参考)現行システム機能階層一覧'!$E$3:$E$1048576,sheet1!B2406)</f>
        <v>0</v>
      </c>
      <c r="I2406" s="37"/>
      <c r="J2406" s="37"/>
      <c r="K2406" s="37"/>
      <c r="L2406" s="37"/>
    </row>
    <row r="2407" spans="1:12" ht="15.75" customHeight="1">
      <c r="A2407" s="87" t="s">
        <v>3853</v>
      </c>
      <c r="B2407" s="87" t="s">
        <v>7616</v>
      </c>
      <c r="C2407" s="87" t="s">
        <v>7617</v>
      </c>
      <c r="D2407" s="88">
        <v>21</v>
      </c>
      <c r="E2407" s="85" t="s">
        <v>6330</v>
      </c>
      <c r="F2407" s="87">
        <v>1</v>
      </c>
      <c r="G2407" s="37"/>
      <c r="H2407" s="37">
        <f>COUNTIF('(参考)現行システム機能階層一覧'!$E$3:$E$1048576,sheet1!B2407)</f>
        <v>0</v>
      </c>
      <c r="I2407" s="37"/>
      <c r="J2407" s="37"/>
      <c r="K2407" s="37"/>
      <c r="L2407" s="37"/>
    </row>
    <row r="2408" spans="1:12" ht="15.75" customHeight="1">
      <c r="A2408" s="87" t="s">
        <v>3853</v>
      </c>
      <c r="B2408" s="87" t="s">
        <v>7618</v>
      </c>
      <c r="C2408" s="87" t="s">
        <v>7619</v>
      </c>
      <c r="D2408" s="88">
        <v>75</v>
      </c>
      <c r="E2408" s="85" t="s">
        <v>6330</v>
      </c>
      <c r="F2408" s="87">
        <v>1</v>
      </c>
      <c r="G2408" s="37"/>
      <c r="H2408" s="37">
        <f>COUNTIF('(参考)現行システム機能階層一覧'!$E$3:$E$1048576,sheet1!B2408)</f>
        <v>0</v>
      </c>
      <c r="I2408" s="37"/>
      <c r="J2408" s="37"/>
      <c r="K2408" s="37"/>
      <c r="L2408" s="37"/>
    </row>
    <row r="2409" spans="1:12" ht="15.75" customHeight="1">
      <c r="A2409" s="87" t="s">
        <v>3853</v>
      </c>
      <c r="B2409" s="87" t="s">
        <v>7620</v>
      </c>
      <c r="C2409" s="87" t="s">
        <v>7621</v>
      </c>
      <c r="D2409" s="88">
        <v>17</v>
      </c>
      <c r="E2409" s="85" t="s">
        <v>6330</v>
      </c>
      <c r="F2409" s="87">
        <v>1</v>
      </c>
      <c r="G2409" s="37"/>
      <c r="H2409" s="37">
        <f>COUNTIF('(参考)現行システム機能階層一覧'!$E$3:$E$1048576,sheet1!B2409)</f>
        <v>0</v>
      </c>
      <c r="I2409" s="37"/>
      <c r="J2409" s="37"/>
      <c r="K2409" s="37"/>
      <c r="L2409" s="37"/>
    </row>
    <row r="2410" spans="1:12" ht="15.75" customHeight="1">
      <c r="A2410" s="87" t="s">
        <v>3853</v>
      </c>
      <c r="B2410" s="87" t="s">
        <v>7622</v>
      </c>
      <c r="C2410" s="87" t="s">
        <v>7623</v>
      </c>
      <c r="D2410" s="88">
        <v>19</v>
      </c>
      <c r="E2410" s="85" t="s">
        <v>6330</v>
      </c>
      <c r="F2410" s="87">
        <v>1</v>
      </c>
      <c r="G2410" s="37"/>
      <c r="H2410" s="37">
        <f>COUNTIF('(参考)現行システム機能階層一覧'!$E$3:$E$1048576,sheet1!B2410)</f>
        <v>0</v>
      </c>
      <c r="I2410" s="37"/>
      <c r="J2410" s="37"/>
      <c r="K2410" s="37"/>
      <c r="L2410" s="37"/>
    </row>
    <row r="2411" spans="1:12" ht="15.75" customHeight="1">
      <c r="A2411" s="87" t="s">
        <v>3853</v>
      </c>
      <c r="B2411" s="87" t="s">
        <v>7624</v>
      </c>
      <c r="C2411" s="87" t="s">
        <v>7625</v>
      </c>
      <c r="D2411" s="88">
        <v>15</v>
      </c>
      <c r="E2411" s="85" t="s">
        <v>6330</v>
      </c>
      <c r="F2411" s="87">
        <v>1</v>
      </c>
      <c r="G2411" s="37"/>
      <c r="H2411" s="37">
        <f>COUNTIF('(参考)現行システム機能階層一覧'!$E$3:$E$1048576,sheet1!B2411)</f>
        <v>0</v>
      </c>
      <c r="I2411" s="37"/>
      <c r="J2411" s="37"/>
      <c r="K2411" s="37"/>
      <c r="L2411" s="37"/>
    </row>
    <row r="2412" spans="1:12" ht="15.75" customHeight="1">
      <c r="A2412" s="87" t="s">
        <v>3853</v>
      </c>
      <c r="B2412" s="87" t="s">
        <v>7626</v>
      </c>
      <c r="C2412" s="87" t="s">
        <v>7627</v>
      </c>
      <c r="D2412" s="88">
        <v>75</v>
      </c>
      <c r="E2412" s="85" t="s">
        <v>6330</v>
      </c>
      <c r="F2412" s="87">
        <v>1</v>
      </c>
      <c r="G2412" s="37"/>
      <c r="H2412" s="37">
        <f>COUNTIF('(参考)現行システム機能階層一覧'!$E$3:$E$1048576,sheet1!B2412)</f>
        <v>0</v>
      </c>
      <c r="I2412" s="37"/>
      <c r="J2412" s="37"/>
      <c r="K2412" s="37"/>
      <c r="L2412" s="37"/>
    </row>
    <row r="2413" spans="1:12" ht="15.75" customHeight="1">
      <c r="A2413" s="87" t="s">
        <v>3853</v>
      </c>
      <c r="B2413" s="87" t="s">
        <v>7628</v>
      </c>
      <c r="C2413" s="87" t="s">
        <v>7629</v>
      </c>
      <c r="D2413" s="88">
        <v>19</v>
      </c>
      <c r="E2413" s="85" t="s">
        <v>6330</v>
      </c>
      <c r="F2413" s="87">
        <v>1</v>
      </c>
      <c r="G2413" s="37"/>
      <c r="H2413" s="37">
        <f>COUNTIF('(参考)現行システム機能階層一覧'!$E$3:$E$1048576,sheet1!B2413)</f>
        <v>0</v>
      </c>
      <c r="I2413" s="37"/>
      <c r="J2413" s="37"/>
      <c r="K2413" s="37"/>
      <c r="L2413" s="37"/>
    </row>
    <row r="2414" spans="1:12" ht="15.75" customHeight="1">
      <c r="A2414" s="87" t="s">
        <v>3853</v>
      </c>
      <c r="B2414" s="87" t="s">
        <v>7630</v>
      </c>
      <c r="C2414" s="87" t="s">
        <v>7631</v>
      </c>
      <c r="D2414" s="88">
        <v>128</v>
      </c>
      <c r="E2414" s="85" t="s">
        <v>6330</v>
      </c>
      <c r="F2414" s="87">
        <v>1</v>
      </c>
      <c r="G2414" s="37"/>
      <c r="H2414" s="37">
        <f>COUNTIF('(参考)現行システム機能階層一覧'!$E$3:$E$1048576,sheet1!B2414)</f>
        <v>0</v>
      </c>
      <c r="I2414" s="37"/>
      <c r="J2414" s="37"/>
      <c r="K2414" s="37"/>
      <c r="L2414" s="37"/>
    </row>
    <row r="2415" spans="1:12" ht="15.75" customHeight="1">
      <c r="A2415" s="87" t="s">
        <v>3935</v>
      </c>
      <c r="B2415" s="87" t="s">
        <v>7632</v>
      </c>
      <c r="C2415" s="87" t="s">
        <v>7633</v>
      </c>
      <c r="D2415" s="88">
        <v>330</v>
      </c>
      <c r="E2415" s="85" t="s">
        <v>6330</v>
      </c>
      <c r="F2415" s="87">
        <v>27</v>
      </c>
      <c r="G2415" s="37"/>
      <c r="H2415" s="37">
        <f>COUNTIF('(参考)現行システム機能階層一覧'!$E$3:$E$1048576,sheet1!B2415)</f>
        <v>0</v>
      </c>
      <c r="I2415" s="37"/>
      <c r="J2415" s="37"/>
      <c r="K2415" s="37"/>
      <c r="L2415" s="37"/>
    </row>
    <row r="2416" spans="1:12" ht="15.75" customHeight="1">
      <c r="A2416" s="87" t="s">
        <v>3935</v>
      </c>
      <c r="B2416" s="87" t="s">
        <v>7634</v>
      </c>
      <c r="C2416" s="87" t="s">
        <v>7635</v>
      </c>
      <c r="D2416" s="88">
        <v>340</v>
      </c>
      <c r="E2416" s="85" t="s">
        <v>6330</v>
      </c>
      <c r="F2416" s="87">
        <v>10</v>
      </c>
      <c r="G2416" s="37"/>
      <c r="H2416" s="37">
        <f>COUNTIF('(参考)現行システム機能階層一覧'!$E$3:$E$1048576,sheet1!B2416)</f>
        <v>0</v>
      </c>
      <c r="I2416" s="37"/>
      <c r="J2416" s="37"/>
      <c r="K2416" s="37"/>
      <c r="L2416" s="37"/>
    </row>
    <row r="2417" spans="1:12" ht="15.75" customHeight="1">
      <c r="A2417" s="87" t="s">
        <v>3935</v>
      </c>
      <c r="B2417" s="87" t="s">
        <v>7636</v>
      </c>
      <c r="C2417" s="87" t="s">
        <v>7637</v>
      </c>
      <c r="D2417" s="88">
        <v>173</v>
      </c>
      <c r="E2417" s="85" t="s">
        <v>6330</v>
      </c>
      <c r="F2417" s="87">
        <v>10</v>
      </c>
      <c r="G2417" s="37"/>
      <c r="H2417" s="37">
        <f>COUNTIF('(参考)現行システム機能階層一覧'!$E$3:$E$1048576,sheet1!B2417)</f>
        <v>0</v>
      </c>
      <c r="I2417" s="37"/>
      <c r="J2417" s="37"/>
      <c r="K2417" s="37"/>
      <c r="L2417" s="37"/>
    </row>
    <row r="2418" spans="1:12" ht="15.75" customHeight="1">
      <c r="A2418" s="87" t="s">
        <v>3935</v>
      </c>
      <c r="B2418" s="87" t="s">
        <v>7638</v>
      </c>
      <c r="C2418" s="87" t="s">
        <v>7639</v>
      </c>
      <c r="D2418" s="88">
        <v>926</v>
      </c>
      <c r="E2418" s="85" t="s">
        <v>6330</v>
      </c>
      <c r="F2418" s="87">
        <v>33</v>
      </c>
      <c r="G2418" s="37"/>
      <c r="H2418" s="37">
        <f>COUNTIF('(参考)現行システム機能階層一覧'!$E$3:$E$1048576,sheet1!B2418)</f>
        <v>0</v>
      </c>
      <c r="I2418" s="37"/>
      <c r="J2418" s="37"/>
      <c r="K2418" s="37"/>
      <c r="L2418" s="37"/>
    </row>
    <row r="2419" spans="1:12" ht="15.75" customHeight="1">
      <c r="A2419" s="87" t="s">
        <v>3935</v>
      </c>
      <c r="B2419" s="87" t="s">
        <v>1179</v>
      </c>
      <c r="C2419" s="87" t="s">
        <v>6449</v>
      </c>
      <c r="D2419" s="88">
        <v>219</v>
      </c>
      <c r="E2419" s="85" t="s">
        <v>6330</v>
      </c>
      <c r="F2419" s="87">
        <v>38</v>
      </c>
      <c r="G2419" s="37"/>
      <c r="H2419" s="37">
        <f>COUNTIF('(参考)現行システム機能階層一覧'!$E$3:$E$1048576,sheet1!B2419)</f>
        <v>1</v>
      </c>
      <c r="I2419" s="37"/>
      <c r="J2419" s="37"/>
      <c r="K2419" s="37"/>
      <c r="L2419" s="37"/>
    </row>
    <row r="2420" spans="1:12" ht="15.75" customHeight="1">
      <c r="A2420" s="87" t="s">
        <v>3853</v>
      </c>
      <c r="B2420" s="87" t="s">
        <v>7640</v>
      </c>
      <c r="C2420" s="87" t="s">
        <v>7641</v>
      </c>
      <c r="D2420" s="88">
        <v>15</v>
      </c>
      <c r="E2420" s="85" t="s">
        <v>6330</v>
      </c>
      <c r="F2420" s="87">
        <v>38</v>
      </c>
      <c r="G2420" s="37"/>
      <c r="H2420" s="37">
        <f>COUNTIF('(参考)現行システム機能階層一覧'!$E$3:$E$1048576,sheet1!B2420)</f>
        <v>0</v>
      </c>
      <c r="I2420" s="37"/>
      <c r="J2420" s="37"/>
      <c r="K2420" s="37"/>
      <c r="L2420" s="37"/>
    </row>
    <row r="2421" spans="1:12" ht="15.75" customHeight="1">
      <c r="A2421" s="87" t="s">
        <v>3935</v>
      </c>
      <c r="B2421" s="87" t="s">
        <v>1181</v>
      </c>
      <c r="C2421" s="87" t="s">
        <v>6449</v>
      </c>
      <c r="D2421" s="88">
        <v>219</v>
      </c>
      <c r="E2421" s="85" t="s">
        <v>6330</v>
      </c>
      <c r="F2421" s="87">
        <v>19</v>
      </c>
      <c r="G2421" s="37"/>
      <c r="H2421" s="37">
        <f>COUNTIF('(参考)現行システム機能階層一覧'!$E$3:$E$1048576,sheet1!B2421)</f>
        <v>1</v>
      </c>
      <c r="I2421" s="37"/>
      <c r="J2421" s="37"/>
      <c r="K2421" s="37"/>
      <c r="L2421" s="37"/>
    </row>
    <row r="2422" spans="1:12" ht="15.75" customHeight="1">
      <c r="A2422" s="87" t="s">
        <v>3853</v>
      </c>
      <c r="B2422" s="87" t="s">
        <v>7642</v>
      </c>
      <c r="C2422" s="87" t="s">
        <v>7643</v>
      </c>
      <c r="D2422" s="88">
        <v>19</v>
      </c>
      <c r="E2422" s="85" t="s">
        <v>6330</v>
      </c>
      <c r="F2422" s="87">
        <v>19</v>
      </c>
      <c r="G2422" s="37"/>
      <c r="H2422" s="37">
        <f>COUNTIF('(参考)現行システム機能階層一覧'!$E$3:$E$1048576,sheet1!B2422)</f>
        <v>0</v>
      </c>
      <c r="I2422" s="37"/>
      <c r="J2422" s="37"/>
      <c r="K2422" s="37"/>
      <c r="L2422" s="37"/>
    </row>
    <row r="2423" spans="1:12" ht="15.75" customHeight="1">
      <c r="A2423" s="87" t="s">
        <v>3853</v>
      </c>
      <c r="B2423" s="87" t="s">
        <v>7644</v>
      </c>
      <c r="C2423" s="87" t="s">
        <v>7645</v>
      </c>
      <c r="D2423" s="88">
        <v>22</v>
      </c>
      <c r="E2423" s="85" t="s">
        <v>7646</v>
      </c>
      <c r="F2423" s="87">
        <v>2</v>
      </c>
      <c r="G2423" s="37"/>
      <c r="H2423" s="37">
        <f>COUNTIF('(参考)現行システム機能階層一覧'!$E$3:$E$1048576,sheet1!B2423)</f>
        <v>0</v>
      </c>
      <c r="I2423" s="37"/>
      <c r="J2423" s="37"/>
      <c r="K2423" s="37"/>
      <c r="L2423" s="37"/>
    </row>
    <row r="2424" spans="1:12" ht="15.75" customHeight="1">
      <c r="A2424" s="87" t="s">
        <v>3935</v>
      </c>
      <c r="B2424" s="87" t="s">
        <v>7647</v>
      </c>
      <c r="C2424" s="87" t="s">
        <v>7648</v>
      </c>
      <c r="D2424" s="88">
        <v>234</v>
      </c>
      <c r="E2424" s="85" t="s">
        <v>7649</v>
      </c>
      <c r="F2424" s="87">
        <v>871</v>
      </c>
      <c r="G2424" s="37"/>
      <c r="H2424" s="37">
        <f>COUNTIF('(参考)現行システム機能階層一覧'!$E$3:$E$1048576,sheet1!B2424)</f>
        <v>0</v>
      </c>
      <c r="I2424" s="37"/>
      <c r="J2424" s="37"/>
      <c r="K2424" s="37"/>
      <c r="L2424" s="37"/>
    </row>
    <row r="2425" spans="1:12" ht="15.75" customHeight="1">
      <c r="A2425" s="87" t="s">
        <v>3853</v>
      </c>
      <c r="B2425" s="87" t="s">
        <v>7650</v>
      </c>
      <c r="C2425" s="87" t="s">
        <v>7651</v>
      </c>
      <c r="D2425" s="88">
        <v>15</v>
      </c>
      <c r="E2425" s="85" t="s">
        <v>7649</v>
      </c>
      <c r="F2425" s="87">
        <v>871</v>
      </c>
      <c r="G2425" s="37"/>
      <c r="H2425" s="37">
        <f>COUNTIF('(参考)現行システム機能階層一覧'!$E$3:$E$1048576,sheet1!B2425)</f>
        <v>0</v>
      </c>
      <c r="I2425" s="37"/>
      <c r="J2425" s="37"/>
      <c r="K2425" s="37"/>
      <c r="L2425" s="37"/>
    </row>
    <row r="2426" spans="1:12" ht="15.75" customHeight="1">
      <c r="A2426" s="87" t="s">
        <v>3935</v>
      </c>
      <c r="B2426" s="87" t="s">
        <v>7652</v>
      </c>
      <c r="C2426" s="87" t="s">
        <v>7653</v>
      </c>
      <c r="D2426" s="88">
        <v>271</v>
      </c>
      <c r="E2426" s="85" t="s">
        <v>7649</v>
      </c>
      <c r="F2426" s="87">
        <v>273</v>
      </c>
      <c r="G2426" s="37"/>
      <c r="H2426" s="37">
        <f>COUNTIF('(参考)現行システム機能階層一覧'!$E$3:$E$1048576,sheet1!B2426)</f>
        <v>0</v>
      </c>
      <c r="I2426" s="37"/>
      <c r="J2426" s="37"/>
      <c r="K2426" s="37"/>
      <c r="L2426" s="37"/>
    </row>
    <row r="2427" spans="1:12" ht="15.75" customHeight="1">
      <c r="A2427" s="87" t="s">
        <v>3935</v>
      </c>
      <c r="B2427" s="87" t="s">
        <v>2608</v>
      </c>
      <c r="C2427" s="87" t="s">
        <v>7654</v>
      </c>
      <c r="D2427" s="88">
        <v>223</v>
      </c>
      <c r="E2427" s="85" t="s">
        <v>7649</v>
      </c>
      <c r="F2427" s="87">
        <v>120</v>
      </c>
      <c r="G2427" s="37"/>
      <c r="H2427" s="37">
        <f>COUNTIF('(参考)現行システム機能階層一覧'!$E$3:$E$1048576,sheet1!B2427)</f>
        <v>1</v>
      </c>
      <c r="I2427" s="37"/>
      <c r="J2427" s="37"/>
      <c r="K2427" s="37"/>
      <c r="L2427" s="37"/>
    </row>
    <row r="2428" spans="1:12" ht="15.75" customHeight="1">
      <c r="A2428" s="87" t="s">
        <v>3853</v>
      </c>
      <c r="B2428" s="87" t="s">
        <v>7655</v>
      </c>
      <c r="C2428" s="87" t="s">
        <v>7656</v>
      </c>
      <c r="D2428" s="88">
        <v>15</v>
      </c>
      <c r="E2428" s="85" t="s">
        <v>7649</v>
      </c>
      <c r="F2428" s="87">
        <v>120</v>
      </c>
      <c r="G2428" s="37"/>
      <c r="H2428" s="37">
        <f>COUNTIF('(参考)現行システム機能階層一覧'!$E$3:$E$1048576,sheet1!B2428)</f>
        <v>0</v>
      </c>
      <c r="I2428" s="37"/>
      <c r="J2428" s="37"/>
      <c r="K2428" s="37"/>
      <c r="L2428" s="37"/>
    </row>
    <row r="2429" spans="1:12" ht="15.75" customHeight="1">
      <c r="A2429" s="87" t="s">
        <v>3935</v>
      </c>
      <c r="B2429" s="87" t="s">
        <v>3600</v>
      </c>
      <c r="C2429" s="87" t="s">
        <v>7657</v>
      </c>
      <c r="D2429" s="88">
        <v>893</v>
      </c>
      <c r="E2429" s="85" t="s">
        <v>7649</v>
      </c>
      <c r="F2429" s="87">
        <v>1</v>
      </c>
      <c r="G2429" s="37"/>
      <c r="H2429" s="37">
        <f>COUNTIF('(参考)現行システム機能階層一覧'!$E$3:$E$1048576,sheet1!B2429)</f>
        <v>1</v>
      </c>
      <c r="I2429" s="37"/>
      <c r="J2429" s="37"/>
      <c r="K2429" s="37"/>
      <c r="L2429" s="37"/>
    </row>
    <row r="2430" spans="1:12" ht="15.75" customHeight="1">
      <c r="A2430" s="87" t="s">
        <v>3853</v>
      </c>
      <c r="B2430" s="87" t="s">
        <v>7658</v>
      </c>
      <c r="C2430" s="87" t="s">
        <v>7659</v>
      </c>
      <c r="D2430" s="88">
        <v>74</v>
      </c>
      <c r="E2430" s="85" t="s">
        <v>7649</v>
      </c>
      <c r="F2430" s="87">
        <v>1</v>
      </c>
      <c r="G2430" s="37"/>
      <c r="H2430" s="37">
        <f>COUNTIF('(参考)現行システム機能階層一覧'!$E$3:$E$1048576,sheet1!B2430)</f>
        <v>0</v>
      </c>
      <c r="I2430" s="37"/>
      <c r="J2430" s="37"/>
      <c r="K2430" s="37"/>
      <c r="L2430" s="37"/>
    </row>
    <row r="2431" spans="1:12" ht="15.75" customHeight="1">
      <c r="A2431" s="87" t="s">
        <v>3935</v>
      </c>
      <c r="B2431" s="87" t="s">
        <v>7660</v>
      </c>
      <c r="C2431" s="87" t="s">
        <v>7661</v>
      </c>
      <c r="D2431" s="88">
        <v>284</v>
      </c>
      <c r="E2431" s="85" t="s">
        <v>7649</v>
      </c>
      <c r="F2431" s="87">
        <v>1</v>
      </c>
      <c r="G2431" s="37"/>
      <c r="H2431" s="37">
        <f>COUNTIF('(参考)現行システム機能階層一覧'!$E$3:$E$1048576,sheet1!B2431)</f>
        <v>0</v>
      </c>
      <c r="I2431" s="37"/>
      <c r="J2431" s="37"/>
      <c r="K2431" s="37"/>
      <c r="L2431" s="37"/>
    </row>
    <row r="2432" spans="1:12" ht="15.75" customHeight="1">
      <c r="A2432" s="87" t="s">
        <v>3853</v>
      </c>
      <c r="B2432" s="87" t="s">
        <v>7662</v>
      </c>
      <c r="C2432" s="87" t="s">
        <v>7663</v>
      </c>
      <c r="D2432" s="88">
        <v>29</v>
      </c>
      <c r="E2432" s="85" t="s">
        <v>7649</v>
      </c>
      <c r="F2432" s="87">
        <v>1</v>
      </c>
      <c r="G2432" s="37"/>
      <c r="H2432" s="37">
        <f>COUNTIF('(参考)現行システム機能階層一覧'!$E$3:$E$1048576,sheet1!B2432)</f>
        <v>0</v>
      </c>
      <c r="I2432" s="37"/>
      <c r="J2432" s="37"/>
      <c r="K2432" s="37"/>
      <c r="L2432" s="37"/>
    </row>
    <row r="2433" spans="1:12" ht="15.75" customHeight="1">
      <c r="A2433" s="87" t="s">
        <v>3935</v>
      </c>
      <c r="B2433" s="87" t="s">
        <v>3608</v>
      </c>
      <c r="C2433" s="87" t="s">
        <v>7664</v>
      </c>
      <c r="D2433" s="88">
        <v>81</v>
      </c>
      <c r="E2433" s="85" t="s">
        <v>7649</v>
      </c>
      <c r="F2433" s="87">
        <v>1</v>
      </c>
      <c r="G2433" s="37"/>
      <c r="H2433" s="37">
        <f>COUNTIF('(参考)現行システム機能階層一覧'!$E$3:$E$1048576,sheet1!B2433)</f>
        <v>1</v>
      </c>
      <c r="I2433" s="37"/>
      <c r="J2433" s="37"/>
      <c r="K2433" s="37"/>
      <c r="L2433" s="37"/>
    </row>
    <row r="2434" spans="1:12" ht="15.75" customHeight="1">
      <c r="A2434" s="87" t="s">
        <v>3853</v>
      </c>
      <c r="B2434" s="87" t="s">
        <v>7665</v>
      </c>
      <c r="C2434" s="87" t="s">
        <v>7666</v>
      </c>
      <c r="D2434" s="88">
        <v>36</v>
      </c>
      <c r="E2434" s="85" t="s">
        <v>7649</v>
      </c>
      <c r="F2434" s="87">
        <v>1</v>
      </c>
      <c r="G2434" s="37"/>
      <c r="H2434" s="37">
        <f>COUNTIF('(参考)現行システム機能階層一覧'!$E$3:$E$1048576,sheet1!B2434)</f>
        <v>0</v>
      </c>
      <c r="I2434" s="37"/>
      <c r="J2434" s="37"/>
      <c r="K2434" s="37"/>
      <c r="L2434" s="37"/>
    </row>
    <row r="2435" spans="1:12" ht="15.75" customHeight="1">
      <c r="A2435" s="87" t="s">
        <v>3935</v>
      </c>
      <c r="B2435" s="87" t="s">
        <v>7667</v>
      </c>
      <c r="C2435" s="87" t="s">
        <v>7668</v>
      </c>
      <c r="D2435" s="88">
        <v>81</v>
      </c>
      <c r="E2435" s="85" t="s">
        <v>7649</v>
      </c>
      <c r="F2435" s="87">
        <v>1</v>
      </c>
      <c r="G2435" s="37"/>
      <c r="H2435" s="37">
        <f>COUNTIF('(参考)現行システム機能階層一覧'!$E$3:$E$1048576,sheet1!B2435)</f>
        <v>0</v>
      </c>
      <c r="I2435" s="37"/>
      <c r="J2435" s="37"/>
      <c r="K2435" s="37"/>
      <c r="L2435" s="37"/>
    </row>
    <row r="2436" spans="1:12" ht="15.75" customHeight="1">
      <c r="A2436" s="87" t="s">
        <v>3853</v>
      </c>
      <c r="B2436" s="87" t="s">
        <v>7669</v>
      </c>
      <c r="C2436" s="87" t="s">
        <v>7670</v>
      </c>
      <c r="D2436" s="88">
        <v>26</v>
      </c>
      <c r="E2436" s="85" t="s">
        <v>7649</v>
      </c>
      <c r="F2436" s="87">
        <v>1</v>
      </c>
      <c r="G2436" s="37"/>
      <c r="H2436" s="37">
        <f>COUNTIF('(参考)現行システム機能階層一覧'!$E$3:$E$1048576,sheet1!B2436)</f>
        <v>0</v>
      </c>
      <c r="I2436" s="37"/>
      <c r="J2436" s="37"/>
      <c r="K2436" s="37"/>
      <c r="L2436" s="37"/>
    </row>
    <row r="2437" spans="1:12" ht="15.75" customHeight="1">
      <c r="A2437" s="87" t="s">
        <v>3935</v>
      </c>
      <c r="B2437" s="87" t="s">
        <v>7671</v>
      </c>
      <c r="C2437" s="87" t="s">
        <v>7672</v>
      </c>
      <c r="D2437" s="88">
        <v>582</v>
      </c>
      <c r="E2437" s="85" t="s">
        <v>7649</v>
      </c>
      <c r="F2437" s="87">
        <v>1</v>
      </c>
      <c r="G2437" s="37"/>
      <c r="H2437" s="37">
        <f>COUNTIF('(参考)現行システム機能階層一覧'!$E$3:$E$1048576,sheet1!B2437)</f>
        <v>0</v>
      </c>
      <c r="I2437" s="37"/>
      <c r="J2437" s="37"/>
      <c r="K2437" s="37"/>
      <c r="L2437" s="37"/>
    </row>
    <row r="2438" spans="1:12" ht="15.75" customHeight="1">
      <c r="A2438" s="87" t="s">
        <v>3935</v>
      </c>
      <c r="B2438" s="87" t="s">
        <v>7673</v>
      </c>
      <c r="C2438" s="87" t="s">
        <v>7674</v>
      </c>
      <c r="D2438" s="88">
        <v>499</v>
      </c>
      <c r="E2438" s="85" t="s">
        <v>7649</v>
      </c>
      <c r="F2438" s="87">
        <v>1</v>
      </c>
      <c r="G2438" s="37"/>
      <c r="H2438" s="37">
        <f>COUNTIF('(参考)現行システム機能階層一覧'!$E$3:$E$1048576,sheet1!B2438)</f>
        <v>0</v>
      </c>
      <c r="I2438" s="37"/>
      <c r="J2438" s="37"/>
      <c r="K2438" s="37"/>
      <c r="L2438" s="37"/>
    </row>
    <row r="2439" spans="1:12" ht="15.75" customHeight="1">
      <c r="A2439" s="87" t="s">
        <v>3935</v>
      </c>
      <c r="B2439" s="87" t="s">
        <v>7675</v>
      </c>
      <c r="C2439" s="87" t="s">
        <v>7676</v>
      </c>
      <c r="D2439" s="88">
        <v>539</v>
      </c>
      <c r="E2439" s="85" t="s">
        <v>7649</v>
      </c>
      <c r="F2439" s="87">
        <v>1</v>
      </c>
      <c r="G2439" s="37"/>
      <c r="H2439" s="37">
        <f>COUNTIF('(参考)現行システム機能階層一覧'!$E$3:$E$1048576,sheet1!B2439)</f>
        <v>0</v>
      </c>
      <c r="I2439" s="37"/>
      <c r="J2439" s="37"/>
      <c r="K2439" s="37"/>
      <c r="L2439" s="37"/>
    </row>
    <row r="2440" spans="1:12" ht="15.75" customHeight="1">
      <c r="A2440" s="87" t="s">
        <v>3935</v>
      </c>
      <c r="B2440" s="87" t="s">
        <v>7677</v>
      </c>
      <c r="C2440" s="87" t="s">
        <v>7678</v>
      </c>
      <c r="D2440" s="88">
        <v>537</v>
      </c>
      <c r="E2440" s="85" t="s">
        <v>7649</v>
      </c>
      <c r="F2440" s="87">
        <v>1</v>
      </c>
      <c r="G2440" s="37"/>
      <c r="H2440" s="37">
        <f>COUNTIF('(参考)現行システム機能階層一覧'!$E$3:$E$1048576,sheet1!B2440)</f>
        <v>0</v>
      </c>
      <c r="I2440" s="37"/>
      <c r="J2440" s="37"/>
      <c r="K2440" s="37"/>
      <c r="L2440" s="37"/>
    </row>
    <row r="2441" spans="1:12" ht="15.75" customHeight="1">
      <c r="A2441" s="87" t="s">
        <v>3935</v>
      </c>
      <c r="B2441" s="87" t="s">
        <v>7679</v>
      </c>
      <c r="C2441" s="87" t="s">
        <v>7680</v>
      </c>
      <c r="D2441" s="88">
        <v>418</v>
      </c>
      <c r="E2441" s="85" t="s">
        <v>7649</v>
      </c>
      <c r="F2441" s="87">
        <v>1</v>
      </c>
      <c r="G2441" s="37"/>
      <c r="H2441" s="37">
        <f>COUNTIF('(参考)現行システム機能階層一覧'!$E$3:$E$1048576,sheet1!B2441)</f>
        <v>0</v>
      </c>
      <c r="I2441" s="37"/>
      <c r="J2441" s="37"/>
      <c r="K2441" s="37"/>
      <c r="L2441" s="37"/>
    </row>
    <row r="2442" spans="1:12" ht="15.75" customHeight="1">
      <c r="A2442" s="87" t="s">
        <v>3935</v>
      </c>
      <c r="B2442" s="87" t="s">
        <v>7681</v>
      </c>
      <c r="C2442" s="87" t="s">
        <v>7682</v>
      </c>
      <c r="D2442" s="88">
        <v>99</v>
      </c>
      <c r="E2442" s="85" t="s">
        <v>7649</v>
      </c>
      <c r="F2442" s="87">
        <v>1</v>
      </c>
      <c r="G2442" s="37"/>
      <c r="H2442" s="37">
        <f>COUNTIF('(参考)現行システム機能階層一覧'!$E$3:$E$1048576,sheet1!B2442)</f>
        <v>0</v>
      </c>
      <c r="I2442" s="37"/>
      <c r="J2442" s="37"/>
      <c r="K2442" s="37"/>
      <c r="L2442" s="37"/>
    </row>
    <row r="2443" spans="1:12" ht="15.75" customHeight="1">
      <c r="A2443" s="87" t="s">
        <v>3853</v>
      </c>
      <c r="B2443" s="87" t="s">
        <v>7683</v>
      </c>
      <c r="C2443" s="87" t="s">
        <v>7684</v>
      </c>
      <c r="D2443" s="88">
        <v>19</v>
      </c>
      <c r="E2443" s="85" t="s">
        <v>7649</v>
      </c>
      <c r="F2443" s="87">
        <v>1</v>
      </c>
      <c r="G2443" s="37"/>
      <c r="H2443" s="37">
        <f>COUNTIF('(参考)現行システム機能階層一覧'!$E$3:$E$1048576,sheet1!B2443)</f>
        <v>0</v>
      </c>
      <c r="I2443" s="37"/>
      <c r="J2443" s="37"/>
      <c r="K2443" s="37"/>
      <c r="L2443" s="37"/>
    </row>
    <row r="2444" spans="1:12" ht="15.75" customHeight="1">
      <c r="A2444" s="87" t="s">
        <v>3935</v>
      </c>
      <c r="B2444" s="87" t="s">
        <v>7685</v>
      </c>
      <c r="C2444" s="87" t="s">
        <v>7684</v>
      </c>
      <c r="D2444" s="88">
        <v>157</v>
      </c>
      <c r="E2444" s="85" t="s">
        <v>7649</v>
      </c>
      <c r="F2444" s="87">
        <v>1</v>
      </c>
      <c r="G2444" s="37"/>
      <c r="H2444" s="37">
        <f>COUNTIF('(参考)現行システム機能階層一覧'!$E$3:$E$1048576,sheet1!B2444)</f>
        <v>0</v>
      </c>
      <c r="I2444" s="37"/>
      <c r="J2444" s="37"/>
      <c r="K2444" s="37"/>
      <c r="L2444" s="37"/>
    </row>
    <row r="2445" spans="1:12" ht="15.75" customHeight="1">
      <c r="A2445" s="87" t="s">
        <v>3935</v>
      </c>
      <c r="B2445" s="87" t="s">
        <v>7686</v>
      </c>
      <c r="C2445" s="87" t="s">
        <v>7687</v>
      </c>
      <c r="D2445" s="88">
        <v>77</v>
      </c>
      <c r="E2445" s="85" t="s">
        <v>7649</v>
      </c>
      <c r="F2445" s="87">
        <v>1</v>
      </c>
      <c r="G2445" s="37"/>
      <c r="H2445" s="37">
        <f>COUNTIF('(参考)現行システム機能階層一覧'!$E$3:$E$1048576,sheet1!B2445)</f>
        <v>0</v>
      </c>
      <c r="I2445" s="37"/>
      <c r="J2445" s="37"/>
      <c r="K2445" s="37"/>
      <c r="L2445" s="37"/>
    </row>
    <row r="2446" spans="1:12" ht="15.75" customHeight="1">
      <c r="A2446" s="87" t="s">
        <v>3935</v>
      </c>
      <c r="B2446" s="87" t="s">
        <v>7688</v>
      </c>
      <c r="C2446" s="87" t="s">
        <v>7689</v>
      </c>
      <c r="D2446" s="88">
        <v>221</v>
      </c>
      <c r="E2446" s="85" t="s">
        <v>7649</v>
      </c>
      <c r="F2446" s="87">
        <v>1</v>
      </c>
      <c r="G2446" s="37"/>
      <c r="H2446" s="37">
        <f>COUNTIF('(参考)現行システム機能階層一覧'!$E$3:$E$1048576,sheet1!B2446)</f>
        <v>0</v>
      </c>
      <c r="I2446" s="37"/>
      <c r="J2446" s="37"/>
      <c r="K2446" s="37"/>
      <c r="L2446" s="37"/>
    </row>
    <row r="2447" spans="1:12" ht="15.75" customHeight="1">
      <c r="A2447" s="87" t="s">
        <v>3935</v>
      </c>
      <c r="B2447" s="87" t="s">
        <v>7690</v>
      </c>
      <c r="C2447" s="87" t="s">
        <v>7691</v>
      </c>
      <c r="D2447" s="88">
        <v>221</v>
      </c>
      <c r="E2447" s="85" t="s">
        <v>7649</v>
      </c>
      <c r="F2447" s="87">
        <v>1</v>
      </c>
      <c r="G2447" s="37"/>
      <c r="H2447" s="37">
        <f>COUNTIF('(参考)現行システム機能階層一覧'!$E$3:$E$1048576,sheet1!B2447)</f>
        <v>0</v>
      </c>
      <c r="I2447" s="37"/>
      <c r="J2447" s="37"/>
      <c r="K2447" s="37"/>
      <c r="L2447" s="37"/>
    </row>
    <row r="2448" spans="1:12" ht="15.75" customHeight="1">
      <c r="A2448" s="87" t="s">
        <v>3935</v>
      </c>
      <c r="B2448" s="87" t="s">
        <v>7692</v>
      </c>
      <c r="C2448" s="87" t="s">
        <v>7693</v>
      </c>
      <c r="D2448" s="88">
        <v>221</v>
      </c>
      <c r="E2448" s="85" t="s">
        <v>7649</v>
      </c>
      <c r="F2448" s="87">
        <v>1</v>
      </c>
      <c r="G2448" s="37"/>
      <c r="H2448" s="37">
        <f>COUNTIF('(参考)現行システム機能階層一覧'!$E$3:$E$1048576,sheet1!B2448)</f>
        <v>0</v>
      </c>
      <c r="I2448" s="37"/>
      <c r="J2448" s="37"/>
      <c r="K2448" s="37"/>
      <c r="L2448" s="37"/>
    </row>
    <row r="2449" spans="1:12" ht="15.75" customHeight="1">
      <c r="A2449" s="87" t="s">
        <v>3935</v>
      </c>
      <c r="B2449" s="87" t="s">
        <v>3617</v>
      </c>
      <c r="C2449" s="87" t="s">
        <v>7694</v>
      </c>
      <c r="D2449" s="88">
        <v>81</v>
      </c>
      <c r="E2449" s="85" t="s">
        <v>7649</v>
      </c>
      <c r="F2449" s="87">
        <v>1</v>
      </c>
      <c r="G2449" s="37"/>
      <c r="H2449" s="37">
        <f>COUNTIF('(参考)現行システム機能階層一覧'!$E$3:$E$1048576,sheet1!B2449)</f>
        <v>1</v>
      </c>
      <c r="I2449" s="37"/>
      <c r="J2449" s="37"/>
      <c r="K2449" s="37"/>
      <c r="L2449" s="37"/>
    </row>
    <row r="2450" spans="1:12" ht="15.75" customHeight="1">
      <c r="A2450" s="87" t="s">
        <v>3853</v>
      </c>
      <c r="B2450" s="87" t="s">
        <v>7695</v>
      </c>
      <c r="C2450" s="87" t="s">
        <v>7696</v>
      </c>
      <c r="D2450" s="88">
        <v>36</v>
      </c>
      <c r="E2450" s="85" t="s">
        <v>7649</v>
      </c>
      <c r="F2450" s="87">
        <v>1</v>
      </c>
      <c r="G2450" s="37"/>
      <c r="H2450" s="37">
        <f>COUNTIF('(参考)現行システム機能階層一覧'!$E$3:$E$1048576,sheet1!B2450)</f>
        <v>0</v>
      </c>
      <c r="I2450" s="37"/>
      <c r="J2450" s="37"/>
      <c r="K2450" s="37"/>
      <c r="L2450" s="37"/>
    </row>
    <row r="2451" spans="1:12" ht="15.75" customHeight="1">
      <c r="A2451" s="87" t="s">
        <v>3935</v>
      </c>
      <c r="B2451" s="87" t="s">
        <v>3620</v>
      </c>
      <c r="C2451" s="87" t="s">
        <v>7697</v>
      </c>
      <c r="D2451" s="88">
        <v>463</v>
      </c>
      <c r="E2451" s="85" t="s">
        <v>7649</v>
      </c>
      <c r="F2451" s="87">
        <v>1</v>
      </c>
      <c r="G2451" s="37"/>
      <c r="H2451" s="37">
        <f>COUNTIF('(参考)現行システム機能階層一覧'!$E$3:$E$1048576,sheet1!B2451)</f>
        <v>1</v>
      </c>
      <c r="I2451" s="37"/>
      <c r="J2451" s="37"/>
      <c r="K2451" s="37"/>
      <c r="L2451" s="37"/>
    </row>
    <row r="2452" spans="1:12" ht="15.75" customHeight="1">
      <c r="A2452" s="87" t="s">
        <v>3935</v>
      </c>
      <c r="B2452" s="87" t="s">
        <v>3625</v>
      </c>
      <c r="C2452" s="87" t="s">
        <v>7698</v>
      </c>
      <c r="D2452" s="88">
        <v>383</v>
      </c>
      <c r="E2452" s="85" t="s">
        <v>7649</v>
      </c>
      <c r="F2452" s="87">
        <v>1</v>
      </c>
      <c r="G2452" s="37"/>
      <c r="H2452" s="37">
        <f>COUNTIF('(参考)現行システム機能階層一覧'!$E$3:$E$1048576,sheet1!B2452)</f>
        <v>1</v>
      </c>
      <c r="I2452" s="37"/>
      <c r="J2452" s="37"/>
      <c r="K2452" s="37"/>
      <c r="L2452" s="37"/>
    </row>
    <row r="2453" spans="1:12" ht="15.75" customHeight="1">
      <c r="A2453" s="87" t="s">
        <v>3935</v>
      </c>
      <c r="B2453" s="87" t="s">
        <v>3627</v>
      </c>
      <c r="C2453" s="87" t="s">
        <v>7699</v>
      </c>
      <c r="D2453" s="88">
        <v>586</v>
      </c>
      <c r="E2453" s="85" t="s">
        <v>7649</v>
      </c>
      <c r="F2453" s="87">
        <v>1</v>
      </c>
      <c r="G2453" s="37"/>
      <c r="H2453" s="37">
        <f>COUNTIF('(参考)現行システム機能階層一覧'!$E$3:$E$1048576,sheet1!B2453)</f>
        <v>1</v>
      </c>
      <c r="I2453" s="37"/>
      <c r="J2453" s="37"/>
      <c r="K2453" s="37"/>
      <c r="L2453" s="37"/>
    </row>
    <row r="2454" spans="1:12" ht="15.75" customHeight="1">
      <c r="A2454" s="87" t="s">
        <v>3853</v>
      </c>
      <c r="B2454" s="87" t="s">
        <v>7700</v>
      </c>
      <c r="C2454" s="87" t="s">
        <v>7701</v>
      </c>
      <c r="D2454" s="88">
        <v>20</v>
      </c>
      <c r="E2454" s="85" t="s">
        <v>7649</v>
      </c>
      <c r="F2454" s="87">
        <v>1</v>
      </c>
      <c r="G2454" s="37"/>
      <c r="H2454" s="37">
        <f>COUNTIF('(参考)現行システム機能階層一覧'!$E$3:$E$1048576,sheet1!B2454)</f>
        <v>0</v>
      </c>
      <c r="I2454" s="37"/>
      <c r="J2454" s="37"/>
      <c r="K2454" s="37"/>
      <c r="L2454" s="37"/>
    </row>
    <row r="2455" spans="1:12" ht="15.75" customHeight="1">
      <c r="A2455" s="87" t="s">
        <v>3935</v>
      </c>
      <c r="B2455" s="87" t="s">
        <v>3614</v>
      </c>
      <c r="C2455" s="87" t="s">
        <v>7702</v>
      </c>
      <c r="D2455" s="88">
        <v>874</v>
      </c>
      <c r="E2455" s="85" t="s">
        <v>7649</v>
      </c>
      <c r="F2455" s="87">
        <v>1</v>
      </c>
      <c r="G2455" s="37"/>
      <c r="H2455" s="37">
        <f>COUNTIF('(参考)現行システム機能階層一覧'!$E$3:$E$1048576,sheet1!B2455)</f>
        <v>1</v>
      </c>
      <c r="I2455" s="37"/>
      <c r="J2455" s="37"/>
      <c r="K2455" s="37"/>
      <c r="L2455" s="37"/>
    </row>
    <row r="2456" spans="1:12" ht="15.75" customHeight="1">
      <c r="A2456" s="87" t="s">
        <v>3853</v>
      </c>
      <c r="B2456" s="87" t="s">
        <v>7703</v>
      </c>
      <c r="C2456" s="87" t="s">
        <v>3640</v>
      </c>
      <c r="D2456" s="88">
        <v>7</v>
      </c>
      <c r="E2456" s="85" t="s">
        <v>7649</v>
      </c>
      <c r="F2456" s="87">
        <v>1</v>
      </c>
      <c r="G2456" s="37"/>
      <c r="H2456" s="37">
        <f>COUNTIF('(参考)現行システム機能階層一覧'!$E$3:$E$1048576,sheet1!B2456)</f>
        <v>0</v>
      </c>
      <c r="I2456" s="37"/>
      <c r="J2456" s="37"/>
      <c r="K2456" s="37"/>
      <c r="L2456" s="37"/>
    </row>
    <row r="2457" spans="1:12" ht="15.75" customHeight="1">
      <c r="A2457" s="87" t="s">
        <v>3935</v>
      </c>
      <c r="B2457" s="87" t="s">
        <v>3611</v>
      </c>
      <c r="C2457" s="87" t="s">
        <v>3638</v>
      </c>
      <c r="D2457" s="88">
        <v>373</v>
      </c>
      <c r="E2457" s="85" t="s">
        <v>7649</v>
      </c>
      <c r="F2457" s="87">
        <v>1</v>
      </c>
      <c r="G2457" s="37"/>
      <c r="H2457" s="37">
        <f>COUNTIF('(参考)現行システム機能階層一覧'!$E$3:$E$1048576,sheet1!B2457)</f>
        <v>1</v>
      </c>
      <c r="I2457" s="37"/>
      <c r="J2457" s="37"/>
      <c r="K2457" s="37"/>
      <c r="L2457" s="37"/>
    </row>
    <row r="2458" spans="1:12" ht="15.75" customHeight="1">
      <c r="A2458" s="87" t="s">
        <v>3935</v>
      </c>
      <c r="B2458" s="87" t="s">
        <v>3630</v>
      </c>
      <c r="C2458" s="87" t="s">
        <v>7704</v>
      </c>
      <c r="D2458" s="88">
        <v>423</v>
      </c>
      <c r="E2458" s="85" t="s">
        <v>7649</v>
      </c>
      <c r="F2458" s="87">
        <v>1</v>
      </c>
      <c r="G2458" s="37"/>
      <c r="H2458" s="37">
        <f>COUNTIF('(参考)現行システム機能階層一覧'!$E$3:$E$1048576,sheet1!B2458)</f>
        <v>1</v>
      </c>
      <c r="I2458" s="37"/>
      <c r="J2458" s="37"/>
      <c r="K2458" s="37"/>
      <c r="L2458" s="37"/>
    </row>
    <row r="2459" spans="1:12" ht="15.75" customHeight="1">
      <c r="A2459" s="87" t="s">
        <v>3853</v>
      </c>
      <c r="B2459" s="87" t="s">
        <v>7705</v>
      </c>
      <c r="C2459" s="87" t="s">
        <v>7704</v>
      </c>
      <c r="D2459" s="88">
        <v>17</v>
      </c>
      <c r="E2459" s="85" t="s">
        <v>7649</v>
      </c>
      <c r="F2459" s="87">
        <v>1</v>
      </c>
      <c r="G2459" s="37"/>
      <c r="H2459" s="37">
        <f>COUNTIF('(参考)現行システム機能階層一覧'!$E$3:$E$1048576,sheet1!B2459)</f>
        <v>0</v>
      </c>
      <c r="I2459" s="37"/>
      <c r="J2459" s="37"/>
      <c r="K2459" s="37"/>
      <c r="L2459" s="37"/>
    </row>
    <row r="2460" spans="1:12" ht="15.75" customHeight="1">
      <c r="A2460" s="87" t="s">
        <v>3935</v>
      </c>
      <c r="B2460" s="87" t="s">
        <v>3566</v>
      </c>
      <c r="C2460" s="87" t="s">
        <v>7706</v>
      </c>
      <c r="D2460" s="88">
        <v>66</v>
      </c>
      <c r="E2460" s="85" t="s">
        <v>7649</v>
      </c>
      <c r="F2460" s="87">
        <v>31</v>
      </c>
      <c r="G2460" s="37"/>
      <c r="H2460" s="37">
        <f>COUNTIF('(参考)現行システム機能階層一覧'!$E$3:$E$1048576,sheet1!B2460)</f>
        <v>1</v>
      </c>
      <c r="I2460" s="37"/>
      <c r="J2460" s="37"/>
      <c r="K2460" s="37"/>
      <c r="L2460" s="37"/>
    </row>
    <row r="2461" spans="1:12" ht="15.75" customHeight="1">
      <c r="A2461" s="87" t="s">
        <v>3853</v>
      </c>
      <c r="B2461" s="87" t="s">
        <v>7707</v>
      </c>
      <c r="C2461" s="87" t="s">
        <v>7708</v>
      </c>
      <c r="D2461" s="88">
        <v>26</v>
      </c>
      <c r="E2461" s="85" t="s">
        <v>7649</v>
      </c>
      <c r="F2461" s="87">
        <v>31</v>
      </c>
      <c r="G2461" s="37"/>
      <c r="H2461" s="37">
        <f>COUNTIF('(参考)現行システム機能階層一覧'!$E$3:$E$1048576,sheet1!B2461)</f>
        <v>0</v>
      </c>
      <c r="I2461" s="37"/>
      <c r="J2461" s="37"/>
      <c r="K2461" s="37"/>
      <c r="L2461" s="37"/>
    </row>
    <row r="2462" spans="1:12" ht="15.75" customHeight="1">
      <c r="A2462" s="87" t="s">
        <v>3935</v>
      </c>
      <c r="B2462" s="87" t="s">
        <v>7709</v>
      </c>
      <c r="C2462" s="87" t="s">
        <v>7710</v>
      </c>
      <c r="D2462" s="88">
        <v>66</v>
      </c>
      <c r="E2462" s="85" t="s">
        <v>7649</v>
      </c>
      <c r="F2462" s="87">
        <v>31</v>
      </c>
      <c r="G2462" s="37"/>
      <c r="H2462" s="37">
        <f>COUNTIF('(参考)現行システム機能階層一覧'!$E$3:$E$1048576,sheet1!B2462)</f>
        <v>0</v>
      </c>
      <c r="I2462" s="37"/>
      <c r="J2462" s="37"/>
      <c r="K2462" s="37"/>
      <c r="L2462" s="37"/>
    </row>
    <row r="2463" spans="1:12" ht="15.75" customHeight="1">
      <c r="A2463" s="87" t="s">
        <v>3853</v>
      </c>
      <c r="B2463" s="87" t="s">
        <v>7711</v>
      </c>
      <c r="C2463" s="87" t="s">
        <v>7712</v>
      </c>
      <c r="D2463" s="88">
        <v>36</v>
      </c>
      <c r="E2463" s="85" t="s">
        <v>7649</v>
      </c>
      <c r="F2463" s="87">
        <v>31</v>
      </c>
      <c r="G2463" s="37"/>
      <c r="H2463" s="37">
        <f>COUNTIF('(参考)現行システム機能階層一覧'!$E$3:$E$1048576,sheet1!B2463)</f>
        <v>0</v>
      </c>
      <c r="I2463" s="37"/>
      <c r="J2463" s="37"/>
      <c r="K2463" s="37"/>
      <c r="L2463" s="37"/>
    </row>
    <row r="2464" spans="1:12" ht="15.75" customHeight="1">
      <c r="A2464" s="87" t="s">
        <v>3935</v>
      </c>
      <c r="B2464" s="87" t="s">
        <v>7713</v>
      </c>
      <c r="C2464" s="87" t="s">
        <v>7714</v>
      </c>
      <c r="D2464" s="88">
        <v>1000</v>
      </c>
      <c r="E2464" s="85" t="s">
        <v>7649</v>
      </c>
      <c r="F2464" s="87">
        <v>31</v>
      </c>
      <c r="G2464" s="37"/>
      <c r="H2464" s="37">
        <f>COUNTIF('(参考)現行システム機能階層一覧'!$E$3:$E$1048576,sheet1!B2464)</f>
        <v>0</v>
      </c>
      <c r="I2464" s="37"/>
      <c r="J2464" s="37"/>
      <c r="K2464" s="37"/>
      <c r="L2464" s="37"/>
    </row>
    <row r="2465" spans="1:12" ht="15.75" customHeight="1">
      <c r="A2465" s="87" t="s">
        <v>3935</v>
      </c>
      <c r="B2465" s="87" t="s">
        <v>7715</v>
      </c>
      <c r="C2465" s="87" t="s">
        <v>7716</v>
      </c>
      <c r="D2465" s="88">
        <v>1064</v>
      </c>
      <c r="E2465" s="85" t="s">
        <v>7649</v>
      </c>
      <c r="F2465" s="87">
        <v>31</v>
      </c>
      <c r="G2465" s="37"/>
      <c r="H2465" s="37">
        <f>COUNTIF('(参考)現行システム機能階層一覧'!$E$3:$E$1048576,sheet1!B2465)</f>
        <v>0</v>
      </c>
      <c r="I2465" s="37"/>
      <c r="J2465" s="37"/>
      <c r="K2465" s="37"/>
      <c r="L2465" s="37"/>
    </row>
    <row r="2466" spans="1:12" ht="15.75" customHeight="1">
      <c r="A2466" s="87" t="s">
        <v>3935</v>
      </c>
      <c r="B2466" s="87" t="s">
        <v>7717</v>
      </c>
      <c r="C2466" s="87" t="s">
        <v>7718</v>
      </c>
      <c r="D2466" s="88">
        <v>1048</v>
      </c>
      <c r="E2466" s="85" t="s">
        <v>7649</v>
      </c>
      <c r="F2466" s="87">
        <v>2</v>
      </c>
      <c r="G2466" s="37"/>
      <c r="H2466" s="37">
        <f>COUNTIF('(参考)現行システム機能階層一覧'!$E$3:$E$1048576,sheet1!B2466)</f>
        <v>0</v>
      </c>
      <c r="I2466" s="37"/>
      <c r="J2466" s="37"/>
      <c r="K2466" s="37"/>
      <c r="L2466" s="37"/>
    </row>
    <row r="2467" spans="1:12" ht="15.75" customHeight="1">
      <c r="A2467" s="87" t="s">
        <v>3935</v>
      </c>
      <c r="B2467" s="87" t="s">
        <v>7719</v>
      </c>
      <c r="C2467" s="87" t="s">
        <v>7720</v>
      </c>
      <c r="D2467" s="88">
        <v>1064</v>
      </c>
      <c r="E2467" s="85" t="s">
        <v>7649</v>
      </c>
      <c r="F2467" s="87">
        <v>31</v>
      </c>
      <c r="G2467" s="37"/>
      <c r="H2467" s="37">
        <f>COUNTIF('(参考)現行システム機能階層一覧'!$E$3:$E$1048576,sheet1!B2467)</f>
        <v>0</v>
      </c>
      <c r="I2467" s="37"/>
      <c r="J2467" s="37"/>
      <c r="K2467" s="37"/>
      <c r="L2467" s="37"/>
    </row>
    <row r="2468" spans="1:12" ht="15.75" customHeight="1">
      <c r="A2468" s="87" t="s">
        <v>3935</v>
      </c>
      <c r="B2468" s="87" t="s">
        <v>3569</v>
      </c>
      <c r="C2468" s="87" t="s">
        <v>7721</v>
      </c>
      <c r="D2468" s="88">
        <v>325</v>
      </c>
      <c r="E2468" s="85" t="s">
        <v>7649</v>
      </c>
      <c r="F2468" s="87">
        <v>32</v>
      </c>
      <c r="G2468" s="37"/>
      <c r="H2468" s="37">
        <f>COUNTIF('(参考)現行システム機能階層一覧'!$E$3:$E$1048576,sheet1!B2468)</f>
        <v>1</v>
      </c>
      <c r="I2468" s="37"/>
      <c r="J2468" s="37"/>
      <c r="K2468" s="37"/>
      <c r="L2468" s="37"/>
    </row>
    <row r="2469" spans="1:12" ht="15.75" customHeight="1">
      <c r="A2469" s="87" t="s">
        <v>3935</v>
      </c>
      <c r="B2469" s="87" t="s">
        <v>3578</v>
      </c>
      <c r="C2469" s="87" t="s">
        <v>7722</v>
      </c>
      <c r="D2469" s="88">
        <v>317</v>
      </c>
      <c r="E2469" s="85" t="s">
        <v>7649</v>
      </c>
      <c r="F2469" s="87">
        <v>35</v>
      </c>
      <c r="G2469" s="37"/>
      <c r="H2469" s="37">
        <f>COUNTIF('(参考)現行システム機能階層一覧'!$E$3:$E$1048576,sheet1!B2469)</f>
        <v>1</v>
      </c>
      <c r="I2469" s="37"/>
      <c r="J2469" s="37"/>
      <c r="K2469" s="37"/>
      <c r="L2469" s="37"/>
    </row>
    <row r="2470" spans="1:12" ht="15.75" customHeight="1">
      <c r="A2470" s="87" t="s">
        <v>3853</v>
      </c>
      <c r="B2470" s="87" t="s">
        <v>7723</v>
      </c>
      <c r="C2470" s="87" t="s">
        <v>7724</v>
      </c>
      <c r="D2470" s="88">
        <v>72</v>
      </c>
      <c r="E2470" s="85" t="s">
        <v>7649</v>
      </c>
      <c r="F2470" s="87">
        <v>35</v>
      </c>
      <c r="G2470" s="37"/>
      <c r="H2470" s="37">
        <f>COUNTIF('(参考)現行システム機能階層一覧'!$E$3:$E$1048576,sheet1!B2470)</f>
        <v>0</v>
      </c>
      <c r="I2470" s="37"/>
      <c r="J2470" s="37"/>
      <c r="K2470" s="37"/>
      <c r="L2470" s="37"/>
    </row>
    <row r="2471" spans="1:12" ht="15.75" customHeight="1">
      <c r="A2471" s="87" t="s">
        <v>3935</v>
      </c>
      <c r="B2471" s="87" t="s">
        <v>7725</v>
      </c>
      <c r="C2471" s="87" t="s">
        <v>7726</v>
      </c>
      <c r="D2471" s="88">
        <v>236</v>
      </c>
      <c r="E2471" s="85" t="s">
        <v>7649</v>
      </c>
      <c r="F2471" s="87">
        <v>31</v>
      </c>
      <c r="G2471" s="37"/>
      <c r="H2471" s="37">
        <f>COUNTIF('(参考)現行システム機能階層一覧'!$E$3:$E$1048576,sheet1!B2471)</f>
        <v>0</v>
      </c>
      <c r="I2471" s="37"/>
      <c r="J2471" s="37"/>
      <c r="K2471" s="37"/>
      <c r="L2471" s="37"/>
    </row>
    <row r="2472" spans="1:12" ht="15.75" customHeight="1">
      <c r="A2472" s="87" t="s">
        <v>3935</v>
      </c>
      <c r="B2472" s="87" t="s">
        <v>7727</v>
      </c>
      <c r="C2472" s="87" t="s">
        <v>7728</v>
      </c>
      <c r="D2472" s="88">
        <v>205</v>
      </c>
      <c r="E2472" s="85" t="s">
        <v>7649</v>
      </c>
      <c r="F2472" s="87">
        <v>31</v>
      </c>
      <c r="G2472" s="37"/>
      <c r="H2472" s="37">
        <f>COUNTIF('(参考)現行システム機能階層一覧'!$E$3:$E$1048576,sheet1!B2472)</f>
        <v>0</v>
      </c>
      <c r="I2472" s="37"/>
      <c r="J2472" s="37"/>
      <c r="K2472" s="37"/>
      <c r="L2472" s="37"/>
    </row>
    <row r="2473" spans="1:12" ht="15.75" customHeight="1">
      <c r="A2473" s="87" t="s">
        <v>3935</v>
      </c>
      <c r="B2473" s="87" t="s">
        <v>7729</v>
      </c>
      <c r="C2473" s="87" t="s">
        <v>7730</v>
      </c>
      <c r="D2473" s="88">
        <v>273</v>
      </c>
      <c r="E2473" s="85" t="s">
        <v>7649</v>
      </c>
      <c r="F2473" s="87">
        <v>31</v>
      </c>
      <c r="G2473" s="37"/>
      <c r="H2473" s="37">
        <f>COUNTIF('(参考)現行システム機能階層一覧'!$E$3:$E$1048576,sheet1!B2473)</f>
        <v>0</v>
      </c>
      <c r="I2473" s="37"/>
      <c r="J2473" s="37"/>
      <c r="K2473" s="37"/>
      <c r="L2473" s="37"/>
    </row>
    <row r="2474" spans="1:12" ht="15.75" customHeight="1">
      <c r="A2474" s="87" t="s">
        <v>3935</v>
      </c>
      <c r="B2474" s="87" t="s">
        <v>7731</v>
      </c>
      <c r="C2474" s="87" t="s">
        <v>7732</v>
      </c>
      <c r="D2474" s="88">
        <v>273</v>
      </c>
      <c r="E2474" s="85" t="s">
        <v>7649</v>
      </c>
      <c r="F2474" s="87">
        <v>31</v>
      </c>
      <c r="G2474" s="37"/>
      <c r="H2474" s="37">
        <f>COUNTIF('(参考)現行システム機能階層一覧'!$E$3:$E$1048576,sheet1!B2474)</f>
        <v>0</v>
      </c>
      <c r="I2474" s="37"/>
      <c r="J2474" s="37"/>
      <c r="K2474" s="37"/>
      <c r="L2474" s="37"/>
    </row>
    <row r="2475" spans="1:12" ht="15.75" customHeight="1">
      <c r="A2475" s="87" t="s">
        <v>3935</v>
      </c>
      <c r="B2475" s="87" t="s">
        <v>7733</v>
      </c>
      <c r="C2475" s="87" t="s">
        <v>7734</v>
      </c>
      <c r="D2475" s="88">
        <v>272</v>
      </c>
      <c r="E2475" s="85" t="s">
        <v>7649</v>
      </c>
      <c r="F2475" s="87">
        <v>31</v>
      </c>
      <c r="G2475" s="37"/>
      <c r="H2475" s="37">
        <f>COUNTIF('(参考)現行システム機能階層一覧'!$E$3:$E$1048576,sheet1!B2475)</f>
        <v>0</v>
      </c>
      <c r="I2475" s="37"/>
      <c r="J2475" s="37"/>
      <c r="K2475" s="37"/>
      <c r="L2475" s="37"/>
    </row>
    <row r="2476" spans="1:12" ht="15.75" customHeight="1">
      <c r="A2476" s="87" t="s">
        <v>3935</v>
      </c>
      <c r="B2476" s="87" t="s">
        <v>7735</v>
      </c>
      <c r="C2476" s="87" t="s">
        <v>7736</v>
      </c>
      <c r="D2476" s="88">
        <v>271</v>
      </c>
      <c r="E2476" s="85" t="s">
        <v>7649</v>
      </c>
      <c r="F2476" s="87">
        <v>31</v>
      </c>
      <c r="G2476" s="37"/>
      <c r="H2476" s="37">
        <f>COUNTIF('(参考)現行システム機能階層一覧'!$E$3:$E$1048576,sheet1!B2476)</f>
        <v>0</v>
      </c>
      <c r="I2476" s="37"/>
      <c r="J2476" s="37"/>
      <c r="K2476" s="37"/>
      <c r="L2476" s="37"/>
    </row>
    <row r="2477" spans="1:12" ht="15.75" customHeight="1">
      <c r="A2477" s="87" t="s">
        <v>3935</v>
      </c>
      <c r="B2477" s="87" t="s">
        <v>7737</v>
      </c>
      <c r="C2477" s="87" t="s">
        <v>7738</v>
      </c>
      <c r="D2477" s="88">
        <v>271</v>
      </c>
      <c r="E2477" s="85" t="s">
        <v>7649</v>
      </c>
      <c r="F2477" s="87">
        <v>31</v>
      </c>
      <c r="G2477" s="37"/>
      <c r="H2477" s="37">
        <f>COUNTIF('(参考)現行システム機能階層一覧'!$E$3:$E$1048576,sheet1!B2477)</f>
        <v>0</v>
      </c>
      <c r="I2477" s="37"/>
      <c r="J2477" s="37"/>
      <c r="K2477" s="37"/>
      <c r="L2477" s="37"/>
    </row>
    <row r="2478" spans="1:12" ht="15.75" customHeight="1">
      <c r="A2478" s="87" t="s">
        <v>3935</v>
      </c>
      <c r="B2478" s="87" t="s">
        <v>7739</v>
      </c>
      <c r="C2478" s="87" t="s">
        <v>7740</v>
      </c>
      <c r="D2478" s="88">
        <v>271</v>
      </c>
      <c r="E2478" s="85" t="s">
        <v>7649</v>
      </c>
      <c r="F2478" s="87">
        <v>31</v>
      </c>
      <c r="G2478" s="37"/>
      <c r="H2478" s="37">
        <f>COUNTIF('(参考)現行システム機能階層一覧'!$E$3:$E$1048576,sheet1!B2478)</f>
        <v>0</v>
      </c>
      <c r="I2478" s="37"/>
      <c r="J2478" s="37"/>
      <c r="K2478" s="37"/>
      <c r="L2478" s="37"/>
    </row>
    <row r="2479" spans="1:12" ht="15.75" customHeight="1">
      <c r="A2479" s="87" t="s">
        <v>3935</v>
      </c>
      <c r="B2479" s="87" t="s">
        <v>7741</v>
      </c>
      <c r="C2479" s="87" t="s">
        <v>7742</v>
      </c>
      <c r="D2479" s="88">
        <v>273</v>
      </c>
      <c r="E2479" s="85" t="s">
        <v>7649</v>
      </c>
      <c r="F2479" s="87">
        <v>31</v>
      </c>
      <c r="G2479" s="37"/>
      <c r="H2479" s="37">
        <f>COUNTIF('(参考)現行システム機能階層一覧'!$E$3:$E$1048576,sheet1!B2479)</f>
        <v>0</v>
      </c>
      <c r="I2479" s="37"/>
      <c r="J2479" s="37"/>
      <c r="K2479" s="37"/>
      <c r="L2479" s="37"/>
    </row>
    <row r="2480" spans="1:12" ht="15.75" customHeight="1">
      <c r="A2480" s="87" t="s">
        <v>3935</v>
      </c>
      <c r="B2480" s="87" t="s">
        <v>7743</v>
      </c>
      <c r="C2480" s="87" t="s">
        <v>7744</v>
      </c>
      <c r="D2480" s="88">
        <v>842</v>
      </c>
      <c r="E2480" s="85" t="s">
        <v>7649</v>
      </c>
      <c r="F2480" s="87">
        <v>31</v>
      </c>
      <c r="G2480" s="37"/>
      <c r="H2480" s="37">
        <f>COUNTIF('(参考)現行システム機能階層一覧'!$E$3:$E$1048576,sheet1!B2480)</f>
        <v>0</v>
      </c>
      <c r="I2480" s="37"/>
      <c r="J2480" s="37"/>
      <c r="K2480" s="37"/>
      <c r="L2480" s="37"/>
    </row>
    <row r="2481" spans="1:12" ht="15.75" customHeight="1">
      <c r="A2481" s="87" t="s">
        <v>3935</v>
      </c>
      <c r="B2481" s="87" t="s">
        <v>7745</v>
      </c>
      <c r="C2481" s="87" t="s">
        <v>7746</v>
      </c>
      <c r="D2481" s="88">
        <v>1012</v>
      </c>
      <c r="E2481" s="85" t="s">
        <v>7649</v>
      </c>
      <c r="F2481" s="87">
        <v>31</v>
      </c>
      <c r="G2481" s="37"/>
      <c r="H2481" s="37">
        <f>COUNTIF('(参考)現行システム機能階層一覧'!$E$3:$E$1048576,sheet1!B2481)</f>
        <v>0</v>
      </c>
      <c r="I2481" s="37"/>
      <c r="J2481" s="37"/>
      <c r="K2481" s="37"/>
      <c r="L2481" s="37"/>
    </row>
    <row r="2482" spans="1:12" ht="15.75" customHeight="1">
      <c r="A2482" s="87" t="s">
        <v>3935</v>
      </c>
      <c r="B2482" s="87" t="s">
        <v>7747</v>
      </c>
      <c r="C2482" s="87" t="s">
        <v>7748</v>
      </c>
      <c r="D2482" s="88">
        <v>202</v>
      </c>
      <c r="E2482" s="85" t="s">
        <v>7649</v>
      </c>
      <c r="F2482" s="87">
        <v>5</v>
      </c>
      <c r="G2482" s="37"/>
      <c r="H2482" s="37">
        <f>COUNTIF('(参考)現行システム機能階層一覧'!$E$3:$E$1048576,sheet1!B2482)</f>
        <v>0</v>
      </c>
      <c r="I2482" s="37"/>
      <c r="J2482" s="37"/>
      <c r="K2482" s="37"/>
      <c r="L2482" s="37"/>
    </row>
    <row r="2483" spans="1:12" ht="15.75" customHeight="1">
      <c r="A2483" s="87" t="s">
        <v>3935</v>
      </c>
      <c r="B2483" s="87" t="s">
        <v>7749</v>
      </c>
      <c r="C2483" s="87" t="s">
        <v>7750</v>
      </c>
      <c r="D2483" s="88">
        <v>81</v>
      </c>
      <c r="E2483" s="85" t="s">
        <v>7649</v>
      </c>
      <c r="F2483" s="87">
        <v>32</v>
      </c>
      <c r="G2483" s="37"/>
      <c r="H2483" s="37">
        <f>COUNTIF('(参考)現行システム機能階層一覧'!$E$3:$E$1048576,sheet1!B2483)</f>
        <v>0</v>
      </c>
      <c r="I2483" s="37"/>
      <c r="J2483" s="37"/>
      <c r="K2483" s="37"/>
      <c r="L2483" s="37"/>
    </row>
    <row r="2484" spans="1:12" ht="15.75" customHeight="1">
      <c r="A2484" s="87" t="s">
        <v>3935</v>
      </c>
      <c r="B2484" s="87" t="s">
        <v>7751</v>
      </c>
      <c r="C2484" s="87" t="s">
        <v>7752</v>
      </c>
      <c r="D2484" s="88">
        <v>273</v>
      </c>
      <c r="E2484" s="85" t="s">
        <v>7649</v>
      </c>
      <c r="F2484" s="87">
        <v>31</v>
      </c>
      <c r="G2484" s="37"/>
      <c r="H2484" s="37">
        <f>COUNTIF('(参考)現行システム機能階層一覧'!$E$3:$E$1048576,sheet1!B2484)</f>
        <v>0</v>
      </c>
      <c r="I2484" s="37"/>
      <c r="J2484" s="37"/>
      <c r="K2484" s="37"/>
      <c r="L2484" s="37"/>
    </row>
    <row r="2485" spans="1:12" ht="15.75" customHeight="1">
      <c r="A2485" s="87" t="s">
        <v>3935</v>
      </c>
      <c r="B2485" s="87" t="s">
        <v>3587</v>
      </c>
      <c r="C2485" s="87" t="s">
        <v>7753</v>
      </c>
      <c r="D2485" s="88">
        <v>637</v>
      </c>
      <c r="E2485" s="85" t="s">
        <v>7649</v>
      </c>
      <c r="F2485" s="87">
        <v>33</v>
      </c>
      <c r="G2485" s="37"/>
      <c r="H2485" s="37">
        <f>COUNTIF('(参考)現行システム機能階層一覧'!$E$3:$E$1048576,sheet1!B2485)</f>
        <v>1</v>
      </c>
      <c r="I2485" s="37"/>
      <c r="J2485" s="37"/>
      <c r="K2485" s="37"/>
      <c r="L2485" s="37"/>
    </row>
    <row r="2486" spans="1:12" ht="15.75" customHeight="1">
      <c r="A2486" s="87" t="s">
        <v>3935</v>
      </c>
      <c r="B2486" s="87" t="s">
        <v>7754</v>
      </c>
      <c r="C2486" s="87" t="s">
        <v>7755</v>
      </c>
      <c r="D2486" s="88">
        <v>620</v>
      </c>
      <c r="E2486" s="85" t="s">
        <v>7649</v>
      </c>
      <c r="F2486" s="87">
        <v>35</v>
      </c>
      <c r="G2486" s="37"/>
      <c r="H2486" s="37">
        <f>COUNTIF('(参考)現行システム機能階層一覧'!$E$3:$E$1048576,sheet1!B2486)</f>
        <v>0</v>
      </c>
      <c r="I2486" s="37"/>
      <c r="J2486" s="37"/>
      <c r="K2486" s="37"/>
      <c r="L2486" s="37"/>
    </row>
    <row r="2487" spans="1:12" ht="15.75" customHeight="1">
      <c r="A2487" s="87" t="s">
        <v>3853</v>
      </c>
      <c r="B2487" s="87" t="s">
        <v>7756</v>
      </c>
      <c r="C2487" s="87" t="s">
        <v>7757</v>
      </c>
      <c r="D2487" s="88">
        <v>40</v>
      </c>
      <c r="E2487" s="85" t="s">
        <v>7649</v>
      </c>
      <c r="F2487" s="87">
        <v>35</v>
      </c>
      <c r="G2487" s="37"/>
      <c r="H2487" s="37">
        <f>COUNTIF('(参考)現行システム機能階層一覧'!$E$3:$E$1048576,sheet1!B2487)</f>
        <v>0</v>
      </c>
      <c r="I2487" s="37"/>
      <c r="J2487" s="37"/>
      <c r="K2487" s="37"/>
      <c r="L2487" s="37"/>
    </row>
    <row r="2488" spans="1:12" ht="15.75" customHeight="1">
      <c r="A2488" s="87" t="s">
        <v>3935</v>
      </c>
      <c r="B2488" s="87" t="s">
        <v>3572</v>
      </c>
      <c r="C2488" s="87" t="s">
        <v>7758</v>
      </c>
      <c r="D2488" s="88">
        <v>158</v>
      </c>
      <c r="E2488" s="85" t="s">
        <v>7649</v>
      </c>
      <c r="F2488" s="87">
        <v>33</v>
      </c>
      <c r="G2488" s="37"/>
      <c r="H2488" s="37">
        <f>COUNTIF('(参考)現行システム機能階層一覧'!$E$3:$E$1048576,sheet1!B2488)</f>
        <v>1</v>
      </c>
      <c r="I2488" s="37"/>
      <c r="J2488" s="37"/>
      <c r="K2488" s="37"/>
      <c r="L2488" s="37"/>
    </row>
    <row r="2489" spans="1:12" ht="15.75" customHeight="1">
      <c r="A2489" s="87" t="s">
        <v>3935</v>
      </c>
      <c r="B2489" s="87" t="s">
        <v>7759</v>
      </c>
      <c r="C2489" s="87" t="s">
        <v>7760</v>
      </c>
      <c r="D2489" s="88">
        <v>481</v>
      </c>
      <c r="E2489" s="85" t="s">
        <v>7649</v>
      </c>
      <c r="F2489" s="87">
        <v>7</v>
      </c>
      <c r="G2489" s="37"/>
      <c r="H2489" s="37">
        <f>COUNTIF('(参考)現行システム機能階層一覧'!$E$3:$E$1048576,sheet1!B2489)</f>
        <v>0</v>
      </c>
      <c r="I2489" s="37"/>
      <c r="J2489" s="37"/>
      <c r="K2489" s="37"/>
      <c r="L2489" s="37"/>
    </row>
    <row r="2490" spans="1:12" ht="15.75" customHeight="1">
      <c r="A2490" s="87" t="s">
        <v>3853</v>
      </c>
      <c r="B2490" s="87" t="s">
        <v>3575</v>
      </c>
      <c r="C2490" s="87" t="s">
        <v>7761</v>
      </c>
      <c r="D2490" s="88">
        <v>27</v>
      </c>
      <c r="E2490" s="85" t="s">
        <v>7649</v>
      </c>
      <c r="F2490" s="87">
        <v>15</v>
      </c>
      <c r="G2490" s="37"/>
      <c r="H2490" s="37">
        <f>COUNTIF('(参考)現行システム機能階層一覧'!$E$3:$E$1048576,sheet1!B2490)</f>
        <v>1</v>
      </c>
      <c r="I2490" s="37"/>
      <c r="J2490" s="37"/>
      <c r="K2490" s="37"/>
      <c r="L2490" s="37"/>
    </row>
    <row r="2491" spans="1:12" ht="15.75" customHeight="1">
      <c r="A2491" s="87" t="s">
        <v>3853</v>
      </c>
      <c r="B2491" s="87" t="s">
        <v>7762</v>
      </c>
      <c r="C2491" s="87" t="s">
        <v>7763</v>
      </c>
      <c r="D2491" s="88">
        <v>11</v>
      </c>
      <c r="E2491" s="85" t="s">
        <v>7649</v>
      </c>
      <c r="F2491" s="87">
        <v>7</v>
      </c>
      <c r="G2491" s="37"/>
      <c r="H2491" s="37">
        <f>COUNTIF('(参考)現行システム機能階層一覧'!$E$3:$E$1048576,sheet1!B2491)</f>
        <v>0</v>
      </c>
      <c r="I2491" s="37"/>
      <c r="J2491" s="37"/>
      <c r="K2491" s="37"/>
      <c r="L2491" s="37"/>
    </row>
    <row r="2492" spans="1:12" ht="15.75" customHeight="1">
      <c r="A2492" s="87" t="s">
        <v>3935</v>
      </c>
      <c r="B2492" s="87" t="s">
        <v>7764</v>
      </c>
      <c r="C2492" s="87" t="s">
        <v>7765</v>
      </c>
      <c r="D2492" s="88">
        <v>460</v>
      </c>
      <c r="E2492" s="85" t="s">
        <v>7649</v>
      </c>
      <c r="F2492" s="87">
        <v>4</v>
      </c>
      <c r="G2492" s="37"/>
      <c r="H2492" s="37">
        <f>COUNTIF('(参考)現行システム機能階層一覧'!$E$3:$E$1048576,sheet1!B2492)</f>
        <v>0</v>
      </c>
      <c r="I2492" s="37"/>
      <c r="J2492" s="37"/>
      <c r="K2492" s="37"/>
      <c r="L2492" s="37"/>
    </row>
    <row r="2493" spans="1:12" ht="15.75" customHeight="1">
      <c r="A2493" s="87" t="s">
        <v>3853</v>
      </c>
      <c r="B2493" s="87" t="s">
        <v>7766</v>
      </c>
      <c r="C2493" s="87" t="s">
        <v>7765</v>
      </c>
      <c r="D2493" s="88">
        <v>11</v>
      </c>
      <c r="E2493" s="85" t="s">
        <v>7649</v>
      </c>
      <c r="F2493" s="87">
        <v>4</v>
      </c>
      <c r="G2493" s="37"/>
      <c r="H2493" s="37">
        <f>COUNTIF('(参考)現行システム機能階層一覧'!$E$3:$E$1048576,sheet1!B2493)</f>
        <v>0</v>
      </c>
      <c r="I2493" s="37"/>
      <c r="J2493" s="37"/>
      <c r="K2493" s="37"/>
      <c r="L2493" s="37"/>
    </row>
    <row r="2494" spans="1:12" ht="15.75" customHeight="1">
      <c r="A2494" s="87" t="s">
        <v>3935</v>
      </c>
      <c r="B2494" s="87" t="s">
        <v>7767</v>
      </c>
      <c r="C2494" s="87" t="s">
        <v>7768</v>
      </c>
      <c r="D2494" s="88">
        <v>117</v>
      </c>
      <c r="E2494" s="85" t="s">
        <v>7649</v>
      </c>
      <c r="F2494" s="87">
        <v>4</v>
      </c>
      <c r="G2494" s="37"/>
      <c r="H2494" s="37">
        <f>COUNTIF('(参考)現行システム機能階層一覧'!$E$3:$E$1048576,sheet1!B2494)</f>
        <v>0</v>
      </c>
      <c r="I2494" s="37"/>
      <c r="J2494" s="37"/>
      <c r="K2494" s="37"/>
      <c r="L2494" s="37"/>
    </row>
    <row r="2495" spans="1:12" ht="15.75" customHeight="1">
      <c r="A2495" s="87" t="s">
        <v>3935</v>
      </c>
      <c r="B2495" s="87" t="s">
        <v>7769</v>
      </c>
      <c r="C2495" s="87" t="s">
        <v>7770</v>
      </c>
      <c r="D2495" s="88">
        <v>269</v>
      </c>
      <c r="E2495" s="85" t="s">
        <v>7649</v>
      </c>
      <c r="F2495" s="87">
        <v>8</v>
      </c>
      <c r="G2495" s="37"/>
      <c r="H2495" s="37">
        <f>COUNTIF('(参考)現行システム機能階層一覧'!$E$3:$E$1048576,sheet1!B2495)</f>
        <v>0</v>
      </c>
      <c r="I2495" s="37"/>
      <c r="J2495" s="37"/>
      <c r="K2495" s="37"/>
      <c r="L2495" s="37"/>
    </row>
    <row r="2496" spans="1:12" ht="15.75" customHeight="1">
      <c r="A2496" s="87" t="s">
        <v>3935</v>
      </c>
      <c r="B2496" s="87" t="s">
        <v>3581</v>
      </c>
      <c r="C2496" s="87" t="s">
        <v>7771</v>
      </c>
      <c r="D2496" s="88">
        <v>189</v>
      </c>
      <c r="E2496" s="85" t="s">
        <v>7649</v>
      </c>
      <c r="F2496" s="87">
        <v>13</v>
      </c>
      <c r="G2496" s="37"/>
      <c r="H2496" s="37">
        <f>COUNTIF('(参考)現行システム機能階層一覧'!$E$3:$E$1048576,sheet1!B2496)</f>
        <v>1</v>
      </c>
      <c r="I2496" s="37"/>
      <c r="J2496" s="37"/>
      <c r="K2496" s="37"/>
      <c r="L2496" s="37"/>
    </row>
    <row r="2497" spans="1:12" ht="15.75" customHeight="1">
      <c r="A2497" s="87" t="s">
        <v>3853</v>
      </c>
      <c r="B2497" s="87" t="s">
        <v>7772</v>
      </c>
      <c r="C2497" s="87" t="s">
        <v>7773</v>
      </c>
      <c r="D2497" s="88">
        <v>22</v>
      </c>
      <c r="E2497" s="85" t="s">
        <v>7649</v>
      </c>
      <c r="F2497" s="87">
        <v>13</v>
      </c>
      <c r="G2497" s="37"/>
      <c r="H2497" s="37">
        <f>COUNTIF('(参考)現行システム機能階層一覧'!$E$3:$E$1048576,sheet1!B2497)</f>
        <v>0</v>
      </c>
      <c r="I2497" s="37"/>
      <c r="J2497" s="37"/>
      <c r="K2497" s="37"/>
      <c r="L2497" s="37"/>
    </row>
    <row r="2498" spans="1:12" ht="15.75" customHeight="1">
      <c r="A2498" s="87" t="s">
        <v>3935</v>
      </c>
      <c r="B2498" s="87" t="s">
        <v>7774</v>
      </c>
      <c r="C2498" s="87" t="s">
        <v>7773</v>
      </c>
      <c r="D2498" s="88">
        <v>870</v>
      </c>
      <c r="E2498" s="85" t="s">
        <v>7649</v>
      </c>
      <c r="F2498" s="87">
        <v>12</v>
      </c>
      <c r="G2498" s="37"/>
      <c r="H2498" s="37">
        <f>COUNTIF('(参考)現行システム機能階層一覧'!$E$3:$E$1048576,sheet1!B2498)</f>
        <v>0</v>
      </c>
      <c r="I2498" s="37"/>
      <c r="J2498" s="37"/>
      <c r="K2498" s="37"/>
      <c r="L2498" s="37"/>
    </row>
    <row r="2499" spans="1:12" ht="15.75" customHeight="1">
      <c r="A2499" s="87" t="s">
        <v>3935</v>
      </c>
      <c r="B2499" s="87" t="s">
        <v>3603</v>
      </c>
      <c r="C2499" s="87" t="s">
        <v>7775</v>
      </c>
      <c r="D2499" s="88">
        <v>592</v>
      </c>
      <c r="E2499" s="85" t="s">
        <v>7649</v>
      </c>
      <c r="F2499" s="87">
        <v>1</v>
      </c>
      <c r="G2499" s="37"/>
      <c r="H2499" s="37">
        <f>COUNTIF('(参考)現行システム機能階層一覧'!$E$3:$E$1048576,sheet1!B2499)</f>
        <v>1</v>
      </c>
      <c r="I2499" s="37"/>
      <c r="J2499" s="37"/>
      <c r="K2499" s="37"/>
      <c r="L2499" s="37"/>
    </row>
    <row r="2500" spans="1:12" ht="15.75" customHeight="1">
      <c r="A2500" s="87" t="s">
        <v>3935</v>
      </c>
      <c r="B2500" s="87" t="s">
        <v>7776</v>
      </c>
      <c r="C2500" s="87" t="s">
        <v>7777</v>
      </c>
      <c r="D2500" s="88">
        <v>804</v>
      </c>
      <c r="E2500" s="85" t="s">
        <v>7649</v>
      </c>
      <c r="F2500" s="87">
        <v>1</v>
      </c>
      <c r="G2500" s="37"/>
      <c r="H2500" s="37">
        <f>COUNTIF('(参考)現行システム機能階層一覧'!$E$3:$E$1048576,sheet1!B2500)</f>
        <v>0</v>
      </c>
      <c r="I2500" s="37"/>
      <c r="J2500" s="37"/>
      <c r="K2500" s="37"/>
      <c r="L2500" s="37"/>
    </row>
    <row r="2501" spans="1:12" ht="15.75" customHeight="1">
      <c r="A2501" s="87" t="s">
        <v>3853</v>
      </c>
      <c r="B2501" s="87" t="s">
        <v>7778</v>
      </c>
      <c r="C2501" s="87" t="s">
        <v>7779</v>
      </c>
      <c r="D2501" s="88">
        <v>10</v>
      </c>
      <c r="E2501" s="85" t="s">
        <v>7649</v>
      </c>
      <c r="F2501" s="87">
        <v>1</v>
      </c>
      <c r="G2501" s="37"/>
      <c r="H2501" s="37">
        <f>COUNTIF('(参考)現行システム機能階層一覧'!$E$3:$E$1048576,sheet1!B2501)</f>
        <v>0</v>
      </c>
      <c r="I2501" s="37"/>
      <c r="J2501" s="37"/>
      <c r="K2501" s="37"/>
      <c r="L2501" s="37"/>
    </row>
    <row r="2502" spans="1:12" ht="15.75" customHeight="1">
      <c r="A2502" s="87" t="s">
        <v>3935</v>
      </c>
      <c r="B2502" s="87" t="s">
        <v>7780</v>
      </c>
      <c r="C2502" s="87" t="s">
        <v>7781</v>
      </c>
      <c r="D2502" s="88">
        <v>808</v>
      </c>
      <c r="E2502" s="85" t="s">
        <v>7649</v>
      </c>
      <c r="F2502" s="87">
        <v>1</v>
      </c>
      <c r="G2502" s="37"/>
      <c r="H2502" s="37">
        <f>COUNTIF('(参考)現行システム機能階層一覧'!$E$3:$E$1048576,sheet1!B2502)</f>
        <v>0</v>
      </c>
      <c r="I2502" s="37"/>
      <c r="J2502" s="37"/>
      <c r="K2502" s="37"/>
      <c r="L2502" s="37"/>
    </row>
    <row r="2503" spans="1:12" ht="15.75" customHeight="1">
      <c r="A2503" s="87" t="s">
        <v>3853</v>
      </c>
      <c r="B2503" s="87" t="s">
        <v>7782</v>
      </c>
      <c r="C2503" s="87" t="s">
        <v>7781</v>
      </c>
      <c r="D2503" s="88">
        <v>10</v>
      </c>
      <c r="E2503" s="85" t="s">
        <v>7649</v>
      </c>
      <c r="F2503" s="87">
        <v>1</v>
      </c>
      <c r="G2503" s="37"/>
      <c r="H2503" s="37">
        <f>COUNTIF('(参考)現行システム機能階層一覧'!$E$3:$E$1048576,sheet1!B2503)</f>
        <v>0</v>
      </c>
      <c r="I2503" s="37"/>
      <c r="J2503" s="37"/>
      <c r="K2503" s="37"/>
      <c r="L2503" s="37"/>
    </row>
    <row r="2504" spans="1:12" ht="15.75" customHeight="1">
      <c r="A2504" s="87" t="s">
        <v>3935</v>
      </c>
      <c r="B2504" s="87" t="s">
        <v>7783</v>
      </c>
      <c r="C2504" s="87" t="s">
        <v>7784</v>
      </c>
      <c r="D2504" s="88">
        <v>800</v>
      </c>
      <c r="E2504" s="85" t="s">
        <v>7649</v>
      </c>
      <c r="F2504" s="87">
        <v>1</v>
      </c>
      <c r="G2504" s="37"/>
      <c r="H2504" s="37">
        <f>COUNTIF('(参考)現行システム機能階層一覧'!$E$3:$E$1048576,sheet1!B2504)</f>
        <v>0</v>
      </c>
      <c r="I2504" s="37"/>
      <c r="J2504" s="37"/>
      <c r="K2504" s="37"/>
      <c r="L2504" s="37"/>
    </row>
    <row r="2505" spans="1:12" ht="15.75" customHeight="1">
      <c r="A2505" s="87" t="s">
        <v>3935</v>
      </c>
      <c r="B2505" s="87" t="s">
        <v>7785</v>
      </c>
      <c r="C2505" s="87" t="s">
        <v>7786</v>
      </c>
      <c r="D2505" s="88">
        <v>737</v>
      </c>
      <c r="E2505" s="85" t="s">
        <v>7649</v>
      </c>
      <c r="F2505" s="87">
        <v>1</v>
      </c>
      <c r="G2505" s="37"/>
      <c r="H2505" s="37">
        <f>COUNTIF('(参考)現行システム機能階層一覧'!$E$3:$E$1048576,sheet1!B2505)</f>
        <v>0</v>
      </c>
      <c r="I2505" s="37"/>
      <c r="J2505" s="37"/>
      <c r="K2505" s="37"/>
      <c r="L2505" s="37"/>
    </row>
    <row r="2506" spans="1:12" ht="15.75" customHeight="1">
      <c r="A2506" s="87" t="s">
        <v>3935</v>
      </c>
      <c r="B2506" s="87" t="s">
        <v>7787</v>
      </c>
      <c r="C2506" s="87" t="s">
        <v>7788</v>
      </c>
      <c r="D2506" s="88">
        <v>719</v>
      </c>
      <c r="E2506" s="85" t="s">
        <v>7649</v>
      </c>
      <c r="F2506" s="87">
        <v>1</v>
      </c>
      <c r="G2506" s="37"/>
      <c r="H2506" s="37">
        <f>COUNTIF('(参考)現行システム機能階層一覧'!$E$3:$E$1048576,sheet1!B2506)</f>
        <v>0</v>
      </c>
      <c r="I2506" s="37"/>
      <c r="J2506" s="37"/>
      <c r="K2506" s="37"/>
      <c r="L2506" s="37"/>
    </row>
    <row r="2507" spans="1:12" ht="15.75" customHeight="1">
      <c r="A2507" s="87" t="s">
        <v>3935</v>
      </c>
      <c r="B2507" s="87" t="s">
        <v>7789</v>
      </c>
      <c r="C2507" s="87" t="s">
        <v>7790</v>
      </c>
      <c r="D2507" s="88">
        <v>715</v>
      </c>
      <c r="E2507" s="85" t="s">
        <v>7649</v>
      </c>
      <c r="F2507" s="87">
        <v>1</v>
      </c>
      <c r="G2507" s="37"/>
      <c r="H2507" s="37">
        <f>COUNTIF('(参考)現行システム機能階層一覧'!$E$3:$E$1048576,sheet1!B2507)</f>
        <v>0</v>
      </c>
      <c r="I2507" s="37"/>
      <c r="J2507" s="37"/>
      <c r="K2507" s="37"/>
      <c r="L2507" s="37"/>
    </row>
    <row r="2508" spans="1:12" ht="15.75" customHeight="1">
      <c r="A2508" s="87" t="s">
        <v>3935</v>
      </c>
      <c r="B2508" s="87" t="s">
        <v>7791</v>
      </c>
      <c r="C2508" s="87" t="s">
        <v>7792</v>
      </c>
      <c r="D2508" s="88">
        <v>1160</v>
      </c>
      <c r="E2508" s="85" t="s">
        <v>7649</v>
      </c>
      <c r="F2508" s="87">
        <v>1</v>
      </c>
      <c r="G2508" s="37"/>
      <c r="H2508" s="37">
        <f>COUNTIF('(参考)現行システム機能階層一覧'!$E$3:$E$1048576,sheet1!B2508)</f>
        <v>0</v>
      </c>
      <c r="I2508" s="37"/>
      <c r="J2508" s="37"/>
      <c r="K2508" s="37"/>
      <c r="L2508" s="37"/>
    </row>
    <row r="2509" spans="1:12" ht="15.75" customHeight="1">
      <c r="A2509" s="87" t="s">
        <v>3853</v>
      </c>
      <c r="B2509" s="87" t="s">
        <v>7793</v>
      </c>
      <c r="C2509" s="87" t="s">
        <v>7794</v>
      </c>
      <c r="D2509" s="88">
        <v>10</v>
      </c>
      <c r="E2509" s="85" t="s">
        <v>7649</v>
      </c>
      <c r="F2509" s="87">
        <v>1</v>
      </c>
      <c r="G2509" s="37"/>
      <c r="H2509" s="37">
        <f>COUNTIF('(参考)現行システム機能階層一覧'!$E$3:$E$1048576,sheet1!B2509)</f>
        <v>0</v>
      </c>
      <c r="I2509" s="37"/>
      <c r="J2509" s="37"/>
      <c r="K2509" s="37"/>
      <c r="L2509" s="37"/>
    </row>
    <row r="2510" spans="1:12" ht="15.75" customHeight="1">
      <c r="A2510" s="87" t="s">
        <v>3935</v>
      </c>
      <c r="B2510" s="87" t="s">
        <v>7795</v>
      </c>
      <c r="C2510" s="87" t="s">
        <v>7796</v>
      </c>
      <c r="D2510" s="88">
        <v>157</v>
      </c>
      <c r="E2510" s="85" t="s">
        <v>7649</v>
      </c>
      <c r="F2510" s="87">
        <v>1</v>
      </c>
      <c r="G2510" s="37"/>
      <c r="H2510" s="37">
        <f>COUNTIF('(参考)現行システム機能階層一覧'!$E$3:$E$1048576,sheet1!B2510)</f>
        <v>0</v>
      </c>
      <c r="I2510" s="37"/>
      <c r="J2510" s="37"/>
      <c r="K2510" s="37"/>
      <c r="L2510" s="37"/>
    </row>
    <row r="2511" spans="1:12" ht="15.75" customHeight="1">
      <c r="A2511" s="87" t="s">
        <v>3935</v>
      </c>
      <c r="B2511" s="87" t="s">
        <v>7797</v>
      </c>
      <c r="C2511" s="87" t="s">
        <v>7798</v>
      </c>
      <c r="D2511" s="88">
        <v>1201</v>
      </c>
      <c r="E2511" s="85" t="s">
        <v>7649</v>
      </c>
      <c r="F2511" s="87">
        <v>1</v>
      </c>
      <c r="G2511" s="37"/>
      <c r="H2511" s="37">
        <f>COUNTIF('(参考)現行システム機能階層一覧'!$E$3:$E$1048576,sheet1!B2511)</f>
        <v>0</v>
      </c>
      <c r="I2511" s="37"/>
      <c r="J2511" s="37"/>
      <c r="K2511" s="37"/>
      <c r="L2511" s="37"/>
    </row>
    <row r="2512" spans="1:12" ht="15.75" customHeight="1">
      <c r="A2512" s="87" t="s">
        <v>3853</v>
      </c>
      <c r="B2512" s="87" t="s">
        <v>7799</v>
      </c>
      <c r="C2512" s="87" t="s">
        <v>7798</v>
      </c>
      <c r="D2512" s="88">
        <v>10</v>
      </c>
      <c r="E2512" s="85" t="s">
        <v>7649</v>
      </c>
      <c r="F2512" s="87">
        <v>1</v>
      </c>
      <c r="G2512" s="37"/>
      <c r="H2512" s="37">
        <f>COUNTIF('(参考)現行システム機能階層一覧'!$E$3:$E$1048576,sheet1!B2512)</f>
        <v>0</v>
      </c>
      <c r="I2512" s="37"/>
      <c r="J2512" s="37"/>
      <c r="K2512" s="37"/>
      <c r="L2512" s="37"/>
    </row>
    <row r="2513" spans="1:12" ht="15.75" customHeight="1">
      <c r="A2513" s="87" t="s">
        <v>3935</v>
      </c>
      <c r="B2513" s="87" t="s">
        <v>7800</v>
      </c>
      <c r="C2513" s="87" t="s">
        <v>7801</v>
      </c>
      <c r="D2513" s="88">
        <v>1122</v>
      </c>
      <c r="E2513" s="85" t="s">
        <v>7649</v>
      </c>
      <c r="F2513" s="87">
        <v>1</v>
      </c>
      <c r="G2513" s="37"/>
      <c r="H2513" s="37">
        <f>COUNTIF('(参考)現行システム機能階層一覧'!$E$3:$E$1048576,sheet1!B2513)</f>
        <v>0</v>
      </c>
      <c r="I2513" s="37"/>
      <c r="J2513" s="37"/>
      <c r="K2513" s="37"/>
      <c r="L2513" s="37"/>
    </row>
    <row r="2514" spans="1:12" ht="15.75" customHeight="1">
      <c r="A2514" s="87" t="s">
        <v>3853</v>
      </c>
      <c r="B2514" s="87" t="s">
        <v>7802</v>
      </c>
      <c r="C2514" s="87" t="s">
        <v>7803</v>
      </c>
      <c r="D2514" s="88">
        <v>10</v>
      </c>
      <c r="E2514" s="85" t="s">
        <v>7649</v>
      </c>
      <c r="F2514" s="87">
        <v>1</v>
      </c>
      <c r="G2514" s="37"/>
      <c r="H2514" s="37">
        <f>COUNTIF('(参考)現行システム機能階層一覧'!$E$3:$E$1048576,sheet1!B2514)</f>
        <v>0</v>
      </c>
      <c r="I2514" s="37"/>
      <c r="J2514" s="37"/>
      <c r="K2514" s="37"/>
      <c r="L2514" s="37"/>
    </row>
    <row r="2515" spans="1:12" ht="15.75" customHeight="1">
      <c r="A2515" s="87" t="s">
        <v>3935</v>
      </c>
      <c r="B2515" s="87" t="s">
        <v>7804</v>
      </c>
      <c r="C2515" s="87" t="s">
        <v>7805</v>
      </c>
      <c r="D2515" s="88">
        <v>157</v>
      </c>
      <c r="E2515" s="85" t="s">
        <v>7649</v>
      </c>
      <c r="F2515" s="87">
        <v>1</v>
      </c>
      <c r="G2515" s="37"/>
      <c r="H2515" s="37">
        <f>COUNTIF('(参考)現行システム機能階層一覧'!$E$3:$E$1048576,sheet1!B2515)</f>
        <v>0</v>
      </c>
      <c r="I2515" s="37"/>
      <c r="J2515" s="37"/>
      <c r="K2515" s="37"/>
      <c r="L2515" s="37"/>
    </row>
    <row r="2516" spans="1:12" ht="15.75" customHeight="1">
      <c r="A2516" s="87" t="s">
        <v>3935</v>
      </c>
      <c r="B2516" s="87" t="s">
        <v>7806</v>
      </c>
      <c r="C2516" s="87" t="s">
        <v>7807</v>
      </c>
      <c r="D2516" s="88">
        <v>1166</v>
      </c>
      <c r="E2516" s="85" t="s">
        <v>7649</v>
      </c>
      <c r="F2516" s="87">
        <v>1</v>
      </c>
      <c r="G2516" s="37"/>
      <c r="H2516" s="37">
        <f>COUNTIF('(参考)現行システム機能階層一覧'!$E$3:$E$1048576,sheet1!B2516)</f>
        <v>0</v>
      </c>
      <c r="I2516" s="37"/>
      <c r="J2516" s="37"/>
      <c r="K2516" s="37"/>
      <c r="L2516" s="37"/>
    </row>
    <row r="2517" spans="1:12" ht="15.75" customHeight="1">
      <c r="A2517" s="87" t="s">
        <v>3853</v>
      </c>
      <c r="B2517" s="87" t="s">
        <v>7808</v>
      </c>
      <c r="C2517" s="87" t="s">
        <v>7809</v>
      </c>
      <c r="D2517" s="88">
        <v>10</v>
      </c>
      <c r="E2517" s="85" t="s">
        <v>7649</v>
      </c>
      <c r="F2517" s="87">
        <v>1</v>
      </c>
      <c r="G2517" s="37"/>
      <c r="H2517" s="37">
        <f>COUNTIF('(参考)現行システム機能階層一覧'!$E$3:$E$1048576,sheet1!B2517)</f>
        <v>0</v>
      </c>
      <c r="I2517" s="37"/>
      <c r="J2517" s="37"/>
      <c r="K2517" s="37"/>
      <c r="L2517" s="37"/>
    </row>
    <row r="2518" spans="1:12" ht="15.75" customHeight="1">
      <c r="A2518" s="87" t="s">
        <v>3935</v>
      </c>
      <c r="B2518" s="87" t="s">
        <v>7810</v>
      </c>
      <c r="C2518" s="87" t="s">
        <v>7811</v>
      </c>
      <c r="D2518" s="88">
        <v>989</v>
      </c>
      <c r="E2518" s="85" t="s">
        <v>7649</v>
      </c>
      <c r="F2518" s="87">
        <v>1</v>
      </c>
      <c r="G2518" s="37"/>
      <c r="H2518" s="37">
        <f>COUNTIF('(参考)現行システム機能階層一覧'!$E$3:$E$1048576,sheet1!B2518)</f>
        <v>0</v>
      </c>
      <c r="I2518" s="37"/>
      <c r="J2518" s="37"/>
      <c r="K2518" s="37"/>
      <c r="L2518" s="37"/>
    </row>
    <row r="2519" spans="1:12" ht="15.75" customHeight="1">
      <c r="A2519" s="87" t="s">
        <v>3935</v>
      </c>
      <c r="B2519" s="87" t="s">
        <v>7812</v>
      </c>
      <c r="C2519" s="87" t="s">
        <v>7813</v>
      </c>
      <c r="D2519" s="88">
        <v>168</v>
      </c>
      <c r="E2519" s="85" t="s">
        <v>7649</v>
      </c>
      <c r="F2519" s="87">
        <v>1</v>
      </c>
      <c r="G2519" s="37"/>
      <c r="H2519" s="37">
        <f>COUNTIF('(参考)現行システム機能階層一覧'!$E$3:$E$1048576,sheet1!B2519)</f>
        <v>0</v>
      </c>
      <c r="I2519" s="37"/>
      <c r="J2519" s="37"/>
      <c r="K2519" s="37"/>
      <c r="L2519" s="37"/>
    </row>
    <row r="2520" spans="1:12" ht="15.75" customHeight="1">
      <c r="A2520" s="87" t="s">
        <v>3935</v>
      </c>
      <c r="B2520" s="87" t="s">
        <v>7814</v>
      </c>
      <c r="C2520" s="87" t="s">
        <v>7815</v>
      </c>
      <c r="D2520" s="88">
        <v>1036</v>
      </c>
      <c r="E2520" s="85" t="s">
        <v>7649</v>
      </c>
      <c r="F2520" s="87">
        <v>1</v>
      </c>
      <c r="G2520" s="37"/>
      <c r="H2520" s="37">
        <f>COUNTIF('(参考)現行システム機能階層一覧'!$E$3:$E$1048576,sheet1!B2520)</f>
        <v>0</v>
      </c>
      <c r="I2520" s="37"/>
      <c r="J2520" s="37"/>
      <c r="K2520" s="37"/>
      <c r="L2520" s="37"/>
    </row>
    <row r="2521" spans="1:12" ht="15.75" customHeight="1">
      <c r="A2521" s="87" t="s">
        <v>3935</v>
      </c>
      <c r="B2521" s="87" t="s">
        <v>7816</v>
      </c>
      <c r="C2521" s="87" t="s">
        <v>7817</v>
      </c>
      <c r="D2521" s="88">
        <v>508</v>
      </c>
      <c r="E2521" s="85" t="s">
        <v>7649</v>
      </c>
      <c r="F2521" s="87">
        <v>1</v>
      </c>
      <c r="G2521" s="37"/>
      <c r="H2521" s="37">
        <f>COUNTIF('(参考)現行システム機能階層一覧'!$E$3:$E$1048576,sheet1!B2521)</f>
        <v>0</v>
      </c>
      <c r="I2521" s="37"/>
      <c r="J2521" s="37"/>
      <c r="K2521" s="37"/>
      <c r="L2521" s="37"/>
    </row>
    <row r="2522" spans="1:12" ht="15.75" customHeight="1">
      <c r="A2522" s="87" t="s">
        <v>3853</v>
      </c>
      <c r="B2522" s="87" t="s">
        <v>7818</v>
      </c>
      <c r="C2522" s="87" t="s">
        <v>7817</v>
      </c>
      <c r="D2522" s="88">
        <v>10</v>
      </c>
      <c r="E2522" s="85" t="s">
        <v>7649</v>
      </c>
      <c r="F2522" s="87">
        <v>1</v>
      </c>
      <c r="G2522" s="37"/>
      <c r="H2522" s="37">
        <f>COUNTIF('(参考)現行システム機能階層一覧'!$E$3:$E$1048576,sheet1!B2522)</f>
        <v>0</v>
      </c>
      <c r="I2522" s="37"/>
      <c r="J2522" s="37"/>
      <c r="K2522" s="37"/>
      <c r="L2522" s="37"/>
    </row>
    <row r="2523" spans="1:12" ht="15.75" customHeight="1">
      <c r="A2523" s="87" t="s">
        <v>3935</v>
      </c>
      <c r="B2523" s="87" t="s">
        <v>7819</v>
      </c>
      <c r="C2523" s="87" t="s">
        <v>7820</v>
      </c>
      <c r="D2523" s="88">
        <v>688</v>
      </c>
      <c r="E2523" s="85" t="s">
        <v>7649</v>
      </c>
      <c r="F2523" s="87">
        <v>1</v>
      </c>
      <c r="G2523" s="37"/>
      <c r="H2523" s="37">
        <f>COUNTIF('(参考)現行システム機能階層一覧'!$E$3:$E$1048576,sheet1!B2523)</f>
        <v>0</v>
      </c>
      <c r="I2523" s="37"/>
      <c r="J2523" s="37"/>
      <c r="K2523" s="37"/>
      <c r="L2523" s="37"/>
    </row>
    <row r="2524" spans="1:12" ht="15.75" customHeight="1">
      <c r="A2524" s="87" t="s">
        <v>3853</v>
      </c>
      <c r="B2524" s="87" t="s">
        <v>7821</v>
      </c>
      <c r="C2524" s="87" t="s">
        <v>7820</v>
      </c>
      <c r="D2524" s="88">
        <v>10</v>
      </c>
      <c r="E2524" s="85" t="s">
        <v>7649</v>
      </c>
      <c r="F2524" s="87">
        <v>1</v>
      </c>
      <c r="G2524" s="37"/>
      <c r="H2524" s="37">
        <f>COUNTIF('(参考)現行システム機能階層一覧'!$E$3:$E$1048576,sheet1!B2524)</f>
        <v>0</v>
      </c>
      <c r="I2524" s="37"/>
      <c r="J2524" s="37"/>
      <c r="K2524" s="37"/>
      <c r="L2524" s="37"/>
    </row>
    <row r="2525" spans="1:12" ht="15.75" customHeight="1">
      <c r="A2525" s="87" t="s">
        <v>3935</v>
      </c>
      <c r="B2525" s="87" t="s">
        <v>7822</v>
      </c>
      <c r="C2525" s="87" t="s">
        <v>7823</v>
      </c>
      <c r="D2525" s="88">
        <v>323</v>
      </c>
      <c r="E2525" s="85" t="s">
        <v>7649</v>
      </c>
      <c r="F2525" s="87">
        <v>2</v>
      </c>
      <c r="G2525" s="37"/>
      <c r="H2525" s="37">
        <f>COUNTIF('(参考)現行システム機能階層一覧'!$E$3:$E$1048576,sheet1!B2525)</f>
        <v>0</v>
      </c>
      <c r="I2525" s="37"/>
      <c r="J2525" s="37"/>
      <c r="K2525" s="37"/>
      <c r="L2525" s="37"/>
    </row>
    <row r="2526" spans="1:12" ht="15.75" customHeight="1">
      <c r="A2526" s="87" t="s">
        <v>3853</v>
      </c>
      <c r="B2526" s="87" t="s">
        <v>7824</v>
      </c>
      <c r="C2526" s="87" t="s">
        <v>7825</v>
      </c>
      <c r="D2526" s="88">
        <v>16</v>
      </c>
      <c r="E2526" s="85" t="s">
        <v>7649</v>
      </c>
      <c r="F2526" s="87">
        <v>1</v>
      </c>
      <c r="G2526" s="37"/>
      <c r="H2526" s="37">
        <f>COUNTIF('(参考)現行システム機能階層一覧'!$E$3:$E$1048576,sheet1!B2526)</f>
        <v>0</v>
      </c>
      <c r="I2526" s="37"/>
      <c r="J2526" s="37"/>
      <c r="K2526" s="37"/>
      <c r="L2526" s="37"/>
    </row>
    <row r="2527" spans="1:12" ht="15.75" customHeight="1">
      <c r="A2527" s="87" t="s">
        <v>3935</v>
      </c>
      <c r="B2527" s="87" t="s">
        <v>7826</v>
      </c>
      <c r="C2527" s="87" t="s">
        <v>7827</v>
      </c>
      <c r="D2527" s="88">
        <v>267</v>
      </c>
      <c r="E2527" s="85" t="s">
        <v>7649</v>
      </c>
      <c r="F2527" s="87">
        <v>1</v>
      </c>
      <c r="G2527" s="37"/>
      <c r="H2527" s="37">
        <f>COUNTIF('(参考)現行システム機能階層一覧'!$E$3:$E$1048576,sheet1!B2527)</f>
        <v>0</v>
      </c>
      <c r="I2527" s="37"/>
      <c r="J2527" s="37"/>
      <c r="K2527" s="37"/>
      <c r="L2527" s="37"/>
    </row>
    <row r="2528" spans="1:12" ht="15.75" customHeight="1">
      <c r="A2528" s="87" t="s">
        <v>3935</v>
      </c>
      <c r="B2528" s="87" t="s">
        <v>7828</v>
      </c>
      <c r="C2528" s="87" t="s">
        <v>7829</v>
      </c>
      <c r="D2528" s="88">
        <v>141</v>
      </c>
      <c r="E2528" s="85" t="s">
        <v>7649</v>
      </c>
      <c r="F2528" s="87">
        <v>1</v>
      </c>
      <c r="G2528" s="37"/>
      <c r="H2528" s="37">
        <f>COUNTIF('(参考)現行システム機能階層一覧'!$E$3:$E$1048576,sheet1!B2528)</f>
        <v>0</v>
      </c>
      <c r="I2528" s="37"/>
      <c r="J2528" s="37"/>
      <c r="K2528" s="37"/>
      <c r="L2528" s="37"/>
    </row>
    <row r="2529" spans="1:12" ht="15.75" customHeight="1">
      <c r="A2529" s="87" t="s">
        <v>3935</v>
      </c>
      <c r="B2529" s="87" t="s">
        <v>7830</v>
      </c>
      <c r="C2529" s="87" t="s">
        <v>7831</v>
      </c>
      <c r="D2529" s="88">
        <v>240</v>
      </c>
      <c r="E2529" s="85" t="s">
        <v>7649</v>
      </c>
      <c r="F2529" s="87">
        <v>1</v>
      </c>
      <c r="G2529" s="37"/>
      <c r="H2529" s="37">
        <f>COUNTIF('(参考)現行システム機能階層一覧'!$E$3:$E$1048576,sheet1!B2529)</f>
        <v>0</v>
      </c>
      <c r="I2529" s="37"/>
      <c r="J2529" s="37"/>
      <c r="K2529" s="37"/>
      <c r="L2529" s="37"/>
    </row>
    <row r="2530" spans="1:12" ht="15.75" customHeight="1">
      <c r="A2530" s="87" t="s">
        <v>3935</v>
      </c>
      <c r="B2530" s="87" t="s">
        <v>7832</v>
      </c>
      <c r="C2530" s="87" t="s">
        <v>7833</v>
      </c>
      <c r="D2530" s="88">
        <v>264</v>
      </c>
      <c r="E2530" s="85" t="s">
        <v>7649</v>
      </c>
      <c r="F2530" s="87">
        <v>1</v>
      </c>
      <c r="G2530" s="37"/>
      <c r="H2530" s="37">
        <f>COUNTIF('(参考)現行システム機能階層一覧'!$E$3:$E$1048576,sheet1!B2530)</f>
        <v>0</v>
      </c>
      <c r="I2530" s="37"/>
      <c r="J2530" s="37"/>
      <c r="K2530" s="37"/>
      <c r="L2530" s="37"/>
    </row>
    <row r="2531" spans="1:12" ht="15.75" customHeight="1">
      <c r="A2531" s="87" t="s">
        <v>3935</v>
      </c>
      <c r="B2531" s="87" t="s">
        <v>7834</v>
      </c>
      <c r="C2531" s="87" t="s">
        <v>7835</v>
      </c>
      <c r="D2531" s="88">
        <v>264</v>
      </c>
      <c r="E2531" s="85" t="s">
        <v>7649</v>
      </c>
      <c r="F2531" s="87">
        <v>1</v>
      </c>
      <c r="G2531" s="37"/>
      <c r="H2531" s="37">
        <f>COUNTIF('(参考)現行システム機能階層一覧'!$E$3:$E$1048576,sheet1!B2531)</f>
        <v>0</v>
      </c>
      <c r="I2531" s="37"/>
      <c r="J2531" s="37"/>
      <c r="K2531" s="37"/>
      <c r="L2531" s="37"/>
    </row>
    <row r="2532" spans="1:12" ht="15.75" customHeight="1">
      <c r="A2532" s="87" t="s">
        <v>3935</v>
      </c>
      <c r="B2532" s="87" t="s">
        <v>7836</v>
      </c>
      <c r="C2532" s="87" t="s">
        <v>7837</v>
      </c>
      <c r="D2532" s="88">
        <v>242</v>
      </c>
      <c r="E2532" s="85" t="s">
        <v>7649</v>
      </c>
      <c r="F2532" s="87">
        <v>1</v>
      </c>
      <c r="G2532" s="37"/>
      <c r="H2532" s="37">
        <f>COUNTIF('(参考)現行システム機能階層一覧'!$E$3:$E$1048576,sheet1!B2532)</f>
        <v>0</v>
      </c>
      <c r="I2532" s="37"/>
      <c r="J2532" s="37"/>
      <c r="K2532" s="37"/>
      <c r="L2532" s="37"/>
    </row>
    <row r="2533" spans="1:12" ht="15.75" customHeight="1">
      <c r="A2533" s="87" t="s">
        <v>3935</v>
      </c>
      <c r="B2533" s="87" t="s">
        <v>7838</v>
      </c>
      <c r="C2533" s="87" t="s">
        <v>7839</v>
      </c>
      <c r="D2533" s="88">
        <v>196</v>
      </c>
      <c r="E2533" s="85" t="s">
        <v>7649</v>
      </c>
      <c r="F2533" s="87">
        <v>1</v>
      </c>
      <c r="G2533" s="37"/>
      <c r="H2533" s="37">
        <f>COUNTIF('(参考)現行システム機能階層一覧'!$E$3:$E$1048576,sheet1!B2533)</f>
        <v>0</v>
      </c>
      <c r="I2533" s="37"/>
      <c r="J2533" s="37"/>
      <c r="K2533" s="37"/>
      <c r="L2533" s="37"/>
    </row>
    <row r="2534" spans="1:12" ht="15.75" customHeight="1">
      <c r="A2534" s="87" t="s">
        <v>3935</v>
      </c>
      <c r="B2534" s="87" t="s">
        <v>7840</v>
      </c>
      <c r="C2534" s="87" t="s">
        <v>7841</v>
      </c>
      <c r="D2534" s="88">
        <v>157</v>
      </c>
      <c r="E2534" s="85" t="s">
        <v>7649</v>
      </c>
      <c r="F2534" s="87">
        <v>1</v>
      </c>
      <c r="G2534" s="37"/>
      <c r="H2534" s="37">
        <f>COUNTIF('(参考)現行システム機能階層一覧'!$E$3:$E$1048576,sheet1!B2534)</f>
        <v>0</v>
      </c>
      <c r="I2534" s="37"/>
      <c r="J2534" s="37"/>
      <c r="K2534" s="37"/>
      <c r="L2534" s="37"/>
    </row>
    <row r="2535" spans="1:12" ht="15.75" customHeight="1">
      <c r="A2535" s="87" t="s">
        <v>3935</v>
      </c>
      <c r="B2535" s="87" t="s">
        <v>7842</v>
      </c>
      <c r="C2535" s="87" t="s">
        <v>7843</v>
      </c>
      <c r="D2535" s="88">
        <v>489</v>
      </c>
      <c r="E2535" s="85" t="s">
        <v>7649</v>
      </c>
      <c r="F2535" s="87">
        <v>1</v>
      </c>
      <c r="G2535" s="37"/>
      <c r="H2535" s="37">
        <f>COUNTIF('(参考)現行システム機能階層一覧'!$E$3:$E$1048576,sheet1!B2535)</f>
        <v>0</v>
      </c>
      <c r="I2535" s="37"/>
      <c r="J2535" s="37"/>
      <c r="K2535" s="37"/>
      <c r="L2535" s="37"/>
    </row>
    <row r="2536" spans="1:12" ht="15.75" customHeight="1">
      <c r="A2536" s="87" t="s">
        <v>3853</v>
      </c>
      <c r="B2536" s="87" t="s">
        <v>7844</v>
      </c>
      <c r="C2536" s="87" t="s">
        <v>7845</v>
      </c>
      <c r="D2536" s="88">
        <v>21</v>
      </c>
      <c r="E2536" s="85" t="s">
        <v>7649</v>
      </c>
      <c r="F2536" s="87">
        <v>1</v>
      </c>
      <c r="G2536" s="37"/>
      <c r="H2536" s="37">
        <f>COUNTIF('(参考)現行システム機能階層一覧'!$E$3:$E$1048576,sheet1!B2536)</f>
        <v>0</v>
      </c>
      <c r="I2536" s="37"/>
      <c r="J2536" s="37"/>
      <c r="K2536" s="37"/>
      <c r="L2536" s="37"/>
    </row>
    <row r="2537" spans="1:12" ht="15.75" customHeight="1">
      <c r="A2537" s="87" t="s">
        <v>3935</v>
      </c>
      <c r="B2537" s="87" t="s">
        <v>7846</v>
      </c>
      <c r="C2537" s="87" t="s">
        <v>7847</v>
      </c>
      <c r="D2537" s="88">
        <v>198</v>
      </c>
      <c r="E2537" s="85" t="s">
        <v>7649</v>
      </c>
      <c r="F2537" s="87">
        <v>1</v>
      </c>
      <c r="G2537" s="37"/>
      <c r="H2537" s="37">
        <f>COUNTIF('(参考)現行システム機能階層一覧'!$E$3:$E$1048576,sheet1!B2537)</f>
        <v>0</v>
      </c>
      <c r="I2537" s="37"/>
      <c r="J2537" s="37"/>
      <c r="K2537" s="37"/>
      <c r="L2537" s="37"/>
    </row>
    <row r="2538" spans="1:12" ht="15.75" customHeight="1">
      <c r="A2538" s="87" t="s">
        <v>3935</v>
      </c>
      <c r="B2538" s="87" t="s">
        <v>7848</v>
      </c>
      <c r="C2538" s="87" t="s">
        <v>7849</v>
      </c>
      <c r="D2538" s="88">
        <v>242</v>
      </c>
      <c r="E2538" s="85" t="s">
        <v>7649</v>
      </c>
      <c r="F2538" s="87">
        <v>1</v>
      </c>
      <c r="G2538" s="37"/>
      <c r="H2538" s="37">
        <f>COUNTIF('(参考)現行システム機能階層一覧'!$E$3:$E$1048576,sheet1!B2538)</f>
        <v>0</v>
      </c>
      <c r="I2538" s="37"/>
      <c r="J2538" s="37"/>
      <c r="K2538" s="37"/>
      <c r="L2538" s="37"/>
    </row>
    <row r="2539" spans="1:12" ht="15.75" customHeight="1">
      <c r="A2539" s="87" t="s">
        <v>3935</v>
      </c>
      <c r="B2539" s="87" t="s">
        <v>7850</v>
      </c>
      <c r="C2539" s="87" t="s">
        <v>7851</v>
      </c>
      <c r="D2539" s="88">
        <v>522</v>
      </c>
      <c r="E2539" s="85" t="s">
        <v>7649</v>
      </c>
      <c r="F2539" s="87">
        <v>1</v>
      </c>
      <c r="G2539" s="37"/>
      <c r="H2539" s="37">
        <f>COUNTIF('(参考)現行システム機能階層一覧'!$E$3:$E$1048576,sheet1!B2539)</f>
        <v>0</v>
      </c>
      <c r="I2539" s="37"/>
      <c r="J2539" s="37"/>
      <c r="K2539" s="37"/>
      <c r="L2539" s="37"/>
    </row>
    <row r="2540" spans="1:12" ht="15.75" customHeight="1">
      <c r="A2540" s="87" t="s">
        <v>3853</v>
      </c>
      <c r="B2540" s="87" t="s">
        <v>7852</v>
      </c>
      <c r="C2540" s="87" t="s">
        <v>7853</v>
      </c>
      <c r="D2540" s="88">
        <v>21</v>
      </c>
      <c r="E2540" s="85" t="s">
        <v>7649</v>
      </c>
      <c r="F2540" s="87">
        <v>1</v>
      </c>
      <c r="G2540" s="37"/>
      <c r="H2540" s="37">
        <f>COUNTIF('(参考)現行システム機能階層一覧'!$E$3:$E$1048576,sheet1!B2540)</f>
        <v>0</v>
      </c>
      <c r="I2540" s="37"/>
      <c r="J2540" s="37"/>
      <c r="K2540" s="37"/>
      <c r="L2540" s="37"/>
    </row>
    <row r="2541" spans="1:12" ht="15.75" customHeight="1">
      <c r="A2541" s="87" t="s">
        <v>3935</v>
      </c>
      <c r="B2541" s="87" t="s">
        <v>7854</v>
      </c>
      <c r="C2541" s="87" t="s">
        <v>7855</v>
      </c>
      <c r="D2541" s="88">
        <v>294</v>
      </c>
      <c r="E2541" s="85" t="s">
        <v>7649</v>
      </c>
      <c r="F2541" s="87">
        <v>1</v>
      </c>
      <c r="G2541" s="37"/>
      <c r="H2541" s="37">
        <f>COUNTIF('(参考)現行システム機能階層一覧'!$E$3:$E$1048576,sheet1!B2541)</f>
        <v>0</v>
      </c>
      <c r="I2541" s="37"/>
      <c r="J2541" s="37"/>
      <c r="K2541" s="37"/>
      <c r="L2541" s="37"/>
    </row>
    <row r="2542" spans="1:12" ht="15.75" customHeight="1">
      <c r="A2542" s="87" t="s">
        <v>3853</v>
      </c>
      <c r="B2542" s="87" t="s">
        <v>7856</v>
      </c>
      <c r="C2542" s="87" t="s">
        <v>7855</v>
      </c>
      <c r="D2542" s="88">
        <v>10</v>
      </c>
      <c r="E2542" s="85" t="s">
        <v>7649</v>
      </c>
      <c r="F2542" s="87">
        <v>1</v>
      </c>
      <c r="G2542" s="37"/>
      <c r="H2542" s="37">
        <f>COUNTIF('(参考)現行システム機能階層一覧'!$E$3:$E$1048576,sheet1!B2542)</f>
        <v>0</v>
      </c>
      <c r="I2542" s="37"/>
      <c r="J2542" s="37"/>
      <c r="K2542" s="37"/>
      <c r="L2542" s="37"/>
    </row>
    <row r="2543" spans="1:12" ht="15.75" customHeight="1">
      <c r="A2543" s="87" t="s">
        <v>3935</v>
      </c>
      <c r="B2543" s="87" t="s">
        <v>3668</v>
      </c>
      <c r="C2543" s="87" t="s">
        <v>7857</v>
      </c>
      <c r="D2543" s="88">
        <v>185</v>
      </c>
      <c r="E2543" s="85" t="s">
        <v>7649</v>
      </c>
      <c r="F2543" s="87">
        <v>1</v>
      </c>
      <c r="G2543" s="37"/>
      <c r="H2543" s="37">
        <f>COUNTIF('(参考)現行システム機能階層一覧'!$E$3:$E$1048576,sheet1!B2543)</f>
        <v>1</v>
      </c>
      <c r="I2543" s="37"/>
      <c r="J2543" s="37"/>
      <c r="K2543" s="37"/>
      <c r="L2543" s="37"/>
    </row>
    <row r="2544" spans="1:12" ht="15.75" customHeight="1">
      <c r="A2544" s="87" t="s">
        <v>3935</v>
      </c>
      <c r="B2544" s="87" t="s">
        <v>7858</v>
      </c>
      <c r="C2544" s="87" t="s">
        <v>7859</v>
      </c>
      <c r="D2544" s="88">
        <v>108</v>
      </c>
      <c r="E2544" s="85" t="s">
        <v>7649</v>
      </c>
      <c r="F2544" s="87">
        <v>1</v>
      </c>
      <c r="G2544" s="37"/>
      <c r="H2544" s="37">
        <f>COUNTIF('(参考)現行システム機能階層一覧'!$E$3:$E$1048576,sheet1!B2544)</f>
        <v>0</v>
      </c>
      <c r="I2544" s="37"/>
      <c r="J2544" s="37"/>
      <c r="K2544" s="37"/>
      <c r="L2544" s="37"/>
    </row>
    <row r="2545" spans="1:12" ht="15.75" customHeight="1">
      <c r="A2545" s="87" t="s">
        <v>3935</v>
      </c>
      <c r="B2545" s="87" t="s">
        <v>7860</v>
      </c>
      <c r="C2545" s="87" t="s">
        <v>7861</v>
      </c>
      <c r="D2545" s="88">
        <v>129</v>
      </c>
      <c r="E2545" s="85" t="s">
        <v>7649</v>
      </c>
      <c r="F2545" s="87">
        <v>1</v>
      </c>
      <c r="G2545" s="37"/>
      <c r="H2545" s="37">
        <f>COUNTIF('(参考)現行システム機能階層一覧'!$E$3:$E$1048576,sheet1!B2545)</f>
        <v>0</v>
      </c>
      <c r="I2545" s="37"/>
      <c r="J2545" s="37"/>
      <c r="K2545" s="37"/>
      <c r="L2545" s="37"/>
    </row>
    <row r="2546" spans="1:12" ht="15.75" customHeight="1">
      <c r="A2546" s="87" t="s">
        <v>3853</v>
      </c>
      <c r="B2546" s="87" t="s">
        <v>7862</v>
      </c>
      <c r="C2546" s="87" t="s">
        <v>3694</v>
      </c>
      <c r="D2546" s="88">
        <v>50</v>
      </c>
      <c r="E2546" s="85" t="s">
        <v>7649</v>
      </c>
      <c r="F2546" s="87">
        <v>1</v>
      </c>
      <c r="G2546" s="37"/>
      <c r="H2546" s="37">
        <f>COUNTIF('(参考)現行システム機能階層一覧'!$E$3:$E$1048576,sheet1!B2546)</f>
        <v>0</v>
      </c>
      <c r="I2546" s="37"/>
      <c r="J2546" s="37"/>
      <c r="K2546" s="37"/>
      <c r="L2546" s="37"/>
    </row>
    <row r="2547" spans="1:12" ht="15.75" customHeight="1">
      <c r="A2547" s="87" t="s">
        <v>3853</v>
      </c>
      <c r="B2547" s="87" t="s">
        <v>7863</v>
      </c>
      <c r="C2547" s="87" t="s">
        <v>7864</v>
      </c>
      <c r="D2547" s="88">
        <v>263</v>
      </c>
      <c r="E2547" s="85" t="s">
        <v>7649</v>
      </c>
      <c r="F2547" s="87">
        <v>1369</v>
      </c>
      <c r="G2547" s="37"/>
      <c r="H2547" s="37">
        <f>COUNTIF('(参考)現行システム機能階層一覧'!$E$3:$E$1048576,sheet1!B2547)</f>
        <v>0</v>
      </c>
      <c r="I2547" s="37"/>
      <c r="J2547" s="37"/>
      <c r="K2547" s="37"/>
      <c r="L2547" s="37"/>
    </row>
    <row r="2548" spans="1:12" ht="15.75" customHeight="1">
      <c r="A2548" s="87" t="s">
        <v>3853</v>
      </c>
      <c r="B2548" s="87" t="s">
        <v>7865</v>
      </c>
      <c r="C2548" s="87" t="s">
        <v>7866</v>
      </c>
      <c r="D2548" s="88">
        <v>71</v>
      </c>
      <c r="E2548" s="85" t="s">
        <v>7867</v>
      </c>
      <c r="F2548" s="87">
        <v>2</v>
      </c>
      <c r="G2548" s="37"/>
      <c r="H2548" s="37">
        <f>COUNTIF('(参考)現行システム機能階層一覧'!$E$3:$E$1048576,sheet1!B2548)</f>
        <v>0</v>
      </c>
      <c r="I2548" s="37"/>
      <c r="J2548" s="37"/>
      <c r="K2548" s="37"/>
      <c r="L2548" s="37"/>
    </row>
    <row r="2549" spans="1:12" ht="15.75" customHeight="1">
      <c r="A2549" s="87" t="s">
        <v>3935</v>
      </c>
      <c r="B2549" s="87" t="s">
        <v>7868</v>
      </c>
      <c r="C2549" s="87" t="s">
        <v>7869</v>
      </c>
      <c r="D2549" s="88">
        <v>621</v>
      </c>
      <c r="E2549" s="85" t="s">
        <v>7867</v>
      </c>
      <c r="F2549" s="87">
        <v>1886</v>
      </c>
      <c r="G2549" s="37"/>
      <c r="H2549" s="37">
        <f>COUNTIF('(参考)現行システム機能階層一覧'!$E$3:$E$1048576,sheet1!B2549)</f>
        <v>0</v>
      </c>
      <c r="I2549" s="37"/>
      <c r="J2549" s="37"/>
      <c r="K2549" s="37"/>
      <c r="L2549" s="37"/>
    </row>
    <row r="2550" spans="1:12" ht="15.75" customHeight="1">
      <c r="A2550" s="87" t="s">
        <v>3853</v>
      </c>
      <c r="B2550" s="87" t="s">
        <v>7870</v>
      </c>
      <c r="C2550" s="87" t="s">
        <v>7871</v>
      </c>
      <c r="D2550" s="88">
        <v>16</v>
      </c>
      <c r="E2550" s="85" t="s">
        <v>7867</v>
      </c>
      <c r="F2550" s="87">
        <v>1886</v>
      </c>
      <c r="G2550" s="37"/>
      <c r="H2550" s="37">
        <f>COUNTIF('(参考)現行システム機能階層一覧'!$E$3:$E$1048576,sheet1!B2550)</f>
        <v>0</v>
      </c>
      <c r="I2550" s="37"/>
      <c r="J2550" s="37"/>
      <c r="K2550" s="37"/>
      <c r="L2550" s="37"/>
    </row>
    <row r="2551" spans="1:12" ht="15.75" customHeight="1">
      <c r="A2551" s="87" t="s">
        <v>3935</v>
      </c>
      <c r="B2551" s="87" t="s">
        <v>7872</v>
      </c>
      <c r="C2551" s="87" t="s">
        <v>7873</v>
      </c>
      <c r="D2551" s="88">
        <v>119</v>
      </c>
      <c r="E2551" s="85" t="s">
        <v>7867</v>
      </c>
      <c r="F2551" s="87">
        <v>14</v>
      </c>
      <c r="G2551" s="37"/>
      <c r="H2551" s="37">
        <f>COUNTIF('(参考)現行システム機能階層一覧'!$E$3:$E$1048576,sheet1!B2551)</f>
        <v>0</v>
      </c>
      <c r="I2551" s="37"/>
      <c r="J2551" s="37"/>
      <c r="K2551" s="37"/>
      <c r="L2551" s="37"/>
    </row>
    <row r="2552" spans="1:12" ht="15.75" customHeight="1">
      <c r="A2552" s="87" t="s">
        <v>3935</v>
      </c>
      <c r="B2552" s="87" t="s">
        <v>7874</v>
      </c>
      <c r="C2552" s="87" t="s">
        <v>7875</v>
      </c>
      <c r="D2552" s="88">
        <v>119</v>
      </c>
      <c r="E2552" s="85" t="s">
        <v>7867</v>
      </c>
      <c r="F2552" s="87">
        <v>2</v>
      </c>
      <c r="G2552" s="37"/>
      <c r="H2552" s="37">
        <f>COUNTIF('(参考)現行システム機能階層一覧'!$E$3:$E$1048576,sheet1!B2552)</f>
        <v>0</v>
      </c>
      <c r="I2552" s="37"/>
      <c r="J2552" s="37"/>
      <c r="K2552" s="37"/>
      <c r="L2552" s="37"/>
    </row>
    <row r="2553" spans="1:12" ht="15.75" customHeight="1">
      <c r="A2553" s="87" t="s">
        <v>3935</v>
      </c>
      <c r="B2553" s="87" t="s">
        <v>7876</v>
      </c>
      <c r="C2553" s="87" t="s">
        <v>2080</v>
      </c>
      <c r="D2553" s="88">
        <v>116</v>
      </c>
      <c r="E2553" s="85" t="s">
        <v>7867</v>
      </c>
      <c r="F2553" s="87">
        <v>2</v>
      </c>
      <c r="G2553" s="37"/>
      <c r="H2553" s="37">
        <f>COUNTIF('(参考)現行システム機能階層一覧'!$E$3:$E$1048576,sheet1!B2553)</f>
        <v>0</v>
      </c>
      <c r="I2553" s="37"/>
      <c r="J2553" s="37"/>
      <c r="K2553" s="37"/>
      <c r="L2553" s="37"/>
    </row>
    <row r="2554" spans="1:12" ht="15.75" customHeight="1">
      <c r="A2554" s="87" t="s">
        <v>3853</v>
      </c>
      <c r="B2554" s="87" t="s">
        <v>7877</v>
      </c>
      <c r="C2554" s="87" t="s">
        <v>2080</v>
      </c>
      <c r="D2554" s="88">
        <v>57</v>
      </c>
      <c r="E2554" s="85" t="s">
        <v>7867</v>
      </c>
      <c r="F2554" s="87">
        <v>2</v>
      </c>
      <c r="G2554" s="37"/>
      <c r="H2554" s="37">
        <f>COUNTIF('(参考)現行システム機能階層一覧'!$E$3:$E$1048576,sheet1!B2554)</f>
        <v>0</v>
      </c>
      <c r="I2554" s="37"/>
      <c r="J2554" s="37"/>
      <c r="K2554" s="37"/>
      <c r="L2554" s="37"/>
    </row>
    <row r="2555" spans="1:12" ht="15.75" customHeight="1">
      <c r="A2555" s="87" t="s">
        <v>3853</v>
      </c>
      <c r="B2555" s="87" t="s">
        <v>7878</v>
      </c>
      <c r="C2555" s="87" t="s">
        <v>1416</v>
      </c>
      <c r="D2555" s="88">
        <v>21</v>
      </c>
      <c r="E2555" s="85" t="s">
        <v>7879</v>
      </c>
      <c r="F2555" s="87">
        <v>11</v>
      </c>
      <c r="G2555" s="37"/>
      <c r="H2555" s="37">
        <f>COUNTIF('(参考)現行システム機能階層一覧'!$E$3:$E$1048576,sheet1!B2555)</f>
        <v>0</v>
      </c>
      <c r="I2555" s="37"/>
      <c r="J2555" s="37"/>
      <c r="K2555" s="37"/>
      <c r="L2555" s="37"/>
    </row>
    <row r="2556" spans="1:12" ht="15.75" customHeight="1">
      <c r="A2556" s="87" t="s">
        <v>3853</v>
      </c>
      <c r="B2556" s="87" t="s">
        <v>7880</v>
      </c>
      <c r="C2556" s="87" t="s">
        <v>7881</v>
      </c>
      <c r="D2556" s="88">
        <v>64</v>
      </c>
      <c r="E2556" s="85" t="s">
        <v>7879</v>
      </c>
      <c r="F2556" s="87">
        <v>33</v>
      </c>
      <c r="G2556" s="37"/>
      <c r="H2556" s="37">
        <f>COUNTIF('(参考)現行システム機能階層一覧'!$E$3:$E$1048576,sheet1!B2556)</f>
        <v>0</v>
      </c>
      <c r="I2556" s="37"/>
      <c r="J2556" s="37"/>
      <c r="K2556" s="37"/>
      <c r="L2556" s="37"/>
    </row>
    <row r="2557" spans="1:12" ht="15.75" customHeight="1">
      <c r="A2557" s="87" t="s">
        <v>3853</v>
      </c>
      <c r="B2557" s="87" t="s">
        <v>7882</v>
      </c>
      <c r="C2557" s="87" t="s">
        <v>2259</v>
      </c>
      <c r="D2557" s="88">
        <v>31</v>
      </c>
      <c r="E2557" s="85" t="s">
        <v>7879</v>
      </c>
      <c r="F2557" s="87">
        <v>1</v>
      </c>
      <c r="G2557" s="37"/>
      <c r="H2557" s="37">
        <f>COUNTIF('(参考)現行システム機能階層一覧'!$E$3:$E$1048576,sheet1!B2557)</f>
        <v>0</v>
      </c>
      <c r="I2557" s="37"/>
      <c r="J2557" s="37"/>
      <c r="K2557" s="37"/>
      <c r="L2557" s="37"/>
    </row>
    <row r="2558" spans="1:12" ht="15.75" customHeight="1">
      <c r="A2558" s="87" t="s">
        <v>3853</v>
      </c>
      <c r="B2558" s="87" t="s">
        <v>7883</v>
      </c>
      <c r="C2558" s="87" t="s">
        <v>1416</v>
      </c>
      <c r="D2558" s="88">
        <v>27</v>
      </c>
      <c r="E2558" s="85" t="s">
        <v>7879</v>
      </c>
      <c r="F2558" s="87">
        <v>28</v>
      </c>
      <c r="G2558" s="37"/>
      <c r="H2558" s="37">
        <f>COUNTIF('(参考)現行システム機能階層一覧'!$E$3:$E$1048576,sheet1!B2558)</f>
        <v>0</v>
      </c>
      <c r="I2558" s="37"/>
      <c r="J2558" s="37"/>
      <c r="K2558" s="37"/>
      <c r="L2558" s="37"/>
    </row>
    <row r="2559" spans="1:12" ht="15.75" customHeight="1">
      <c r="A2559" s="87" t="s">
        <v>3853</v>
      </c>
      <c r="B2559" s="87" t="s">
        <v>7884</v>
      </c>
      <c r="C2559" s="87" t="s">
        <v>865</v>
      </c>
      <c r="D2559" s="88">
        <v>38</v>
      </c>
      <c r="E2559" s="85" t="s">
        <v>7879</v>
      </c>
      <c r="F2559" s="87">
        <v>25</v>
      </c>
      <c r="G2559" s="37"/>
      <c r="H2559" s="37">
        <f>COUNTIF('(参考)現行システム機能階層一覧'!$E$3:$E$1048576,sheet1!B2559)</f>
        <v>0</v>
      </c>
      <c r="I2559" s="37"/>
      <c r="J2559" s="37"/>
      <c r="K2559" s="37"/>
      <c r="L2559" s="37"/>
    </row>
    <row r="2560" spans="1:12" ht="15.75" customHeight="1">
      <c r="A2560" s="87" t="s">
        <v>3853</v>
      </c>
      <c r="B2560" s="87" t="s">
        <v>7885</v>
      </c>
      <c r="C2560" s="87" t="s">
        <v>7886</v>
      </c>
      <c r="D2560" s="88">
        <v>10</v>
      </c>
      <c r="E2560" s="85" t="s">
        <v>7879</v>
      </c>
      <c r="F2560" s="87">
        <v>1</v>
      </c>
      <c r="G2560" s="37"/>
      <c r="H2560" s="37">
        <f>COUNTIF('(参考)現行システム機能階層一覧'!$E$3:$E$1048576,sheet1!B2560)</f>
        <v>0</v>
      </c>
      <c r="I2560" s="37"/>
      <c r="J2560" s="37"/>
      <c r="K2560" s="37"/>
      <c r="L2560" s="37"/>
    </row>
    <row r="2561" spans="1:12" ht="15.75" customHeight="1">
      <c r="A2561" s="87" t="s">
        <v>3853</v>
      </c>
      <c r="B2561" s="87" t="s">
        <v>7887</v>
      </c>
      <c r="C2561" s="87" t="s">
        <v>7888</v>
      </c>
      <c r="D2561" s="88">
        <v>48</v>
      </c>
      <c r="E2561" s="85" t="s">
        <v>7889</v>
      </c>
      <c r="F2561" s="87">
        <v>1</v>
      </c>
      <c r="G2561" s="37"/>
      <c r="H2561" s="37">
        <f>COUNTIF('(参考)現行システム機能階層一覧'!$E$3:$E$1048576,sheet1!B2561)</f>
        <v>0</v>
      </c>
      <c r="I2561" s="37"/>
      <c r="J2561" s="37"/>
      <c r="K2561" s="37"/>
      <c r="L2561" s="37"/>
    </row>
    <row r="2562" spans="1:12" ht="15.75" customHeight="1">
      <c r="A2562" s="87" t="s">
        <v>3853</v>
      </c>
      <c r="B2562" s="87" t="s">
        <v>7890</v>
      </c>
      <c r="C2562" s="87" t="s">
        <v>1977</v>
      </c>
      <c r="D2562" s="88">
        <v>27</v>
      </c>
      <c r="E2562" s="85" t="s">
        <v>7891</v>
      </c>
      <c r="F2562" s="87">
        <v>2</v>
      </c>
      <c r="G2562" s="37"/>
      <c r="H2562" s="37">
        <f>COUNTIF('(参考)現行システム機能階層一覧'!$E$3:$E$1048576,sheet1!B2562)</f>
        <v>0</v>
      </c>
      <c r="I2562" s="37"/>
      <c r="J2562" s="37"/>
      <c r="K2562" s="37"/>
      <c r="L2562" s="37"/>
    </row>
    <row r="2563" spans="1:12" ht="15.75" customHeight="1">
      <c r="A2563" s="87" t="s">
        <v>3935</v>
      </c>
      <c r="B2563" s="87" t="s">
        <v>366</v>
      </c>
      <c r="C2563" s="87" t="s">
        <v>7892</v>
      </c>
      <c r="D2563" s="88">
        <v>243</v>
      </c>
      <c r="E2563" s="85" t="s">
        <v>7893</v>
      </c>
      <c r="F2563" s="87">
        <v>12</v>
      </c>
      <c r="G2563" s="37"/>
      <c r="H2563" s="37">
        <f>COUNTIF('(参考)現行システム機能階層一覧'!$E$3:$E$1048576,sheet1!B2563)</f>
        <v>1</v>
      </c>
      <c r="I2563" s="37"/>
      <c r="J2563" s="37"/>
      <c r="K2563" s="37"/>
      <c r="L2563" s="37"/>
    </row>
    <row r="2564" spans="1:12" ht="15.75" customHeight="1">
      <c r="A2564" s="87" t="s">
        <v>3935</v>
      </c>
      <c r="B2564" s="87" t="s">
        <v>369</v>
      </c>
      <c r="C2564" s="87" t="s">
        <v>7894</v>
      </c>
      <c r="D2564" s="88">
        <v>242</v>
      </c>
      <c r="E2564" s="85" t="s">
        <v>7893</v>
      </c>
      <c r="F2564" s="87">
        <v>13</v>
      </c>
      <c r="G2564" s="37"/>
      <c r="H2564" s="37">
        <f>COUNTIF('(参考)現行システム機能階層一覧'!$E$3:$E$1048576,sheet1!B2564)</f>
        <v>1</v>
      </c>
      <c r="I2564" s="37"/>
      <c r="J2564" s="37"/>
      <c r="K2564" s="37"/>
      <c r="L2564" s="37"/>
    </row>
    <row r="2565" spans="1:12" ht="15.75" customHeight="1">
      <c r="A2565" s="87" t="s">
        <v>3935</v>
      </c>
      <c r="B2565" s="87" t="s">
        <v>372</v>
      </c>
      <c r="C2565" s="87" t="s">
        <v>7895</v>
      </c>
      <c r="D2565" s="88">
        <v>243</v>
      </c>
      <c r="E2565" s="85" t="s">
        <v>7893</v>
      </c>
      <c r="F2565" s="87">
        <v>4</v>
      </c>
      <c r="G2565" s="37"/>
      <c r="H2565" s="37">
        <f>COUNTIF('(参考)現行システム機能階層一覧'!$E$3:$E$1048576,sheet1!B2565)</f>
        <v>1</v>
      </c>
      <c r="I2565" s="37"/>
      <c r="J2565" s="37"/>
      <c r="K2565" s="37"/>
      <c r="L2565" s="37"/>
    </row>
    <row r="2566" spans="1:12" ht="15.75" customHeight="1">
      <c r="A2566" s="87" t="s">
        <v>3935</v>
      </c>
      <c r="B2566" s="87" t="s">
        <v>294</v>
      </c>
      <c r="C2566" s="87" t="s">
        <v>7896</v>
      </c>
      <c r="D2566" s="88">
        <v>1808</v>
      </c>
      <c r="E2566" s="85" t="s">
        <v>7893</v>
      </c>
      <c r="F2566" s="87">
        <v>1023</v>
      </c>
      <c r="G2566" s="37"/>
      <c r="H2566" s="37">
        <f>COUNTIF('(参考)現行システム機能階層一覧'!$E$3:$E$1048576,sheet1!B2566)</f>
        <v>1</v>
      </c>
      <c r="I2566" s="37"/>
      <c r="J2566" s="37"/>
      <c r="K2566" s="37"/>
      <c r="L2566" s="37"/>
    </row>
    <row r="2567" spans="1:12" ht="15.75" customHeight="1">
      <c r="A2567" s="87" t="s">
        <v>3853</v>
      </c>
      <c r="B2567" s="87" t="s">
        <v>7897</v>
      </c>
      <c r="C2567" s="87" t="s">
        <v>7896</v>
      </c>
      <c r="D2567" s="88">
        <v>22</v>
      </c>
      <c r="E2567" s="85" t="s">
        <v>7893</v>
      </c>
      <c r="F2567" s="87">
        <v>1023</v>
      </c>
      <c r="G2567" s="37"/>
      <c r="H2567" s="37">
        <f>COUNTIF('(参考)現行システム機能階層一覧'!$E$3:$E$1048576,sheet1!B2567)</f>
        <v>0</v>
      </c>
      <c r="I2567" s="37"/>
      <c r="J2567" s="37"/>
      <c r="K2567" s="37"/>
      <c r="L2567" s="37"/>
    </row>
    <row r="2568" spans="1:12" ht="15.75" customHeight="1">
      <c r="A2568" s="87" t="s">
        <v>3935</v>
      </c>
      <c r="B2568" s="87" t="s">
        <v>298</v>
      </c>
      <c r="C2568" s="87" t="s">
        <v>7898</v>
      </c>
      <c r="D2568" s="88">
        <v>1222</v>
      </c>
      <c r="E2568" s="85" t="s">
        <v>7893</v>
      </c>
      <c r="F2568" s="87">
        <v>1329</v>
      </c>
      <c r="G2568" s="37"/>
      <c r="H2568" s="37">
        <f>COUNTIF('(参考)現行システム機能階層一覧'!$E$3:$E$1048576,sheet1!B2568)</f>
        <v>1</v>
      </c>
      <c r="I2568" s="37"/>
      <c r="J2568" s="37"/>
      <c r="K2568" s="37"/>
      <c r="L2568" s="37"/>
    </row>
    <row r="2569" spans="1:12" ht="15.75" customHeight="1">
      <c r="A2569" s="87" t="s">
        <v>3935</v>
      </c>
      <c r="B2569" s="87" t="s">
        <v>354</v>
      </c>
      <c r="C2569" s="87" t="s">
        <v>7899</v>
      </c>
      <c r="D2569" s="88">
        <v>688</v>
      </c>
      <c r="E2569" s="85" t="s">
        <v>7893</v>
      </c>
      <c r="F2569" s="87">
        <v>19</v>
      </c>
      <c r="G2569" s="37"/>
      <c r="H2569" s="37">
        <f>COUNTIF('(参考)現行システム機能階層一覧'!$E$3:$E$1048576,sheet1!B2569)</f>
        <v>1</v>
      </c>
      <c r="I2569" s="37"/>
      <c r="J2569" s="37"/>
      <c r="K2569" s="37"/>
      <c r="L2569" s="37"/>
    </row>
    <row r="2570" spans="1:12" ht="15.75" customHeight="1">
      <c r="A2570" s="87" t="s">
        <v>3935</v>
      </c>
      <c r="B2570" s="87" t="s">
        <v>304</v>
      </c>
      <c r="C2570" s="87" t="s">
        <v>7900</v>
      </c>
      <c r="D2570" s="88">
        <v>471</v>
      </c>
      <c r="E2570" s="85" t="s">
        <v>7893</v>
      </c>
      <c r="F2570" s="87">
        <v>195</v>
      </c>
      <c r="G2570" s="37"/>
      <c r="H2570" s="37">
        <f>COUNTIF('(参考)現行システム機能階層一覧'!$E$3:$E$1048576,sheet1!B2570)</f>
        <v>1</v>
      </c>
      <c r="I2570" s="37"/>
      <c r="J2570" s="37"/>
      <c r="K2570" s="37"/>
      <c r="L2570" s="37"/>
    </row>
    <row r="2571" spans="1:12" ht="15.75" customHeight="1">
      <c r="A2571" s="87" t="s">
        <v>3935</v>
      </c>
      <c r="B2571" s="87" t="s">
        <v>357</v>
      </c>
      <c r="C2571" s="87" t="s">
        <v>7901</v>
      </c>
      <c r="D2571" s="88">
        <v>673</v>
      </c>
      <c r="E2571" s="85" t="s">
        <v>7893</v>
      </c>
      <c r="F2571" s="87">
        <v>3</v>
      </c>
      <c r="G2571" s="37"/>
      <c r="H2571" s="37">
        <f>COUNTIF('(参考)現行システム機能階層一覧'!$E$3:$E$1048576,sheet1!B2571)</f>
        <v>1</v>
      </c>
      <c r="I2571" s="37"/>
      <c r="J2571" s="37"/>
      <c r="K2571" s="37"/>
      <c r="L2571" s="37"/>
    </row>
    <row r="2572" spans="1:12" ht="15.75" customHeight="1">
      <c r="A2572" s="87" t="s">
        <v>3935</v>
      </c>
      <c r="B2572" s="87" t="s">
        <v>375</v>
      </c>
      <c r="C2572" s="87" t="s">
        <v>7902</v>
      </c>
      <c r="D2572" s="88">
        <v>1867</v>
      </c>
      <c r="E2572" s="85" t="s">
        <v>7893</v>
      </c>
      <c r="F2572" s="87">
        <v>12</v>
      </c>
      <c r="G2572" s="37"/>
      <c r="H2572" s="37">
        <f>COUNTIF('(参考)現行システム機能階層一覧'!$E$3:$E$1048576,sheet1!B2572)</f>
        <v>1</v>
      </c>
      <c r="I2572" s="37"/>
      <c r="J2572" s="37"/>
      <c r="K2572" s="37"/>
      <c r="L2572" s="37"/>
    </row>
    <row r="2573" spans="1:12" ht="15.75" customHeight="1">
      <c r="A2573" s="87" t="s">
        <v>3935</v>
      </c>
      <c r="B2573" s="87" t="s">
        <v>360</v>
      </c>
      <c r="C2573" s="87" t="s">
        <v>7903</v>
      </c>
      <c r="D2573" s="88">
        <v>666</v>
      </c>
      <c r="E2573" s="85" t="s">
        <v>7893</v>
      </c>
      <c r="F2573" s="87">
        <v>5</v>
      </c>
      <c r="G2573" s="37"/>
      <c r="H2573" s="37">
        <f>COUNTIF('(参考)現行システム機能階層一覧'!$E$3:$E$1048576,sheet1!B2573)</f>
        <v>1</v>
      </c>
      <c r="I2573" s="37"/>
      <c r="J2573" s="37"/>
      <c r="K2573" s="37"/>
      <c r="L2573" s="37"/>
    </row>
    <row r="2574" spans="1:12" ht="15.75" customHeight="1">
      <c r="A2574" s="87" t="s">
        <v>3935</v>
      </c>
      <c r="B2574" s="87" t="s">
        <v>301</v>
      </c>
      <c r="C2574" s="87" t="s">
        <v>7904</v>
      </c>
      <c r="D2574" s="88">
        <v>872</v>
      </c>
      <c r="E2574" s="85" t="s">
        <v>7893</v>
      </c>
      <c r="F2574" s="87">
        <v>44</v>
      </c>
      <c r="G2574" s="37"/>
      <c r="H2574" s="37">
        <f>COUNTIF('(参考)現行システム機能階層一覧'!$E$3:$E$1048576,sheet1!B2574)</f>
        <v>1</v>
      </c>
      <c r="I2574" s="37"/>
      <c r="J2574" s="37"/>
      <c r="K2574" s="37"/>
      <c r="L2574" s="37"/>
    </row>
    <row r="2575" spans="1:12" ht="15.75" customHeight="1">
      <c r="A2575" s="87" t="s">
        <v>3935</v>
      </c>
      <c r="B2575" s="87" t="s">
        <v>2600</v>
      </c>
      <c r="C2575" s="87" t="s">
        <v>7905</v>
      </c>
      <c r="D2575" s="88">
        <v>669</v>
      </c>
      <c r="E2575" s="85" t="s">
        <v>7893</v>
      </c>
      <c r="F2575" s="87">
        <v>1375</v>
      </c>
      <c r="G2575" s="37"/>
      <c r="H2575" s="37">
        <f>COUNTIF('(参考)現行システム機能階層一覧'!$E$3:$E$1048576,sheet1!B2575)</f>
        <v>1</v>
      </c>
      <c r="I2575" s="37"/>
      <c r="J2575" s="37"/>
      <c r="K2575" s="37"/>
      <c r="L2575" s="37"/>
    </row>
    <row r="2576" spans="1:12" ht="15.75" customHeight="1">
      <c r="A2576" s="87" t="s">
        <v>3935</v>
      </c>
      <c r="B2576" s="87" t="s">
        <v>363</v>
      </c>
      <c r="C2576" s="87" t="s">
        <v>7906</v>
      </c>
      <c r="D2576" s="88">
        <v>613</v>
      </c>
      <c r="E2576" s="85" t="s">
        <v>7893</v>
      </c>
      <c r="F2576" s="87">
        <v>18</v>
      </c>
      <c r="G2576" s="37"/>
      <c r="H2576" s="37">
        <f>COUNTIF('(参考)現行システム機能階層一覧'!$E$3:$E$1048576,sheet1!B2576)</f>
        <v>1</v>
      </c>
      <c r="I2576" s="37"/>
      <c r="J2576" s="37"/>
      <c r="K2576" s="37"/>
      <c r="L2576" s="37"/>
    </row>
    <row r="2577" spans="1:12" ht="15.75" customHeight="1">
      <c r="A2577" s="87" t="s">
        <v>3935</v>
      </c>
      <c r="B2577" s="87" t="s">
        <v>7907</v>
      </c>
      <c r="C2577" s="87" t="s">
        <v>7908</v>
      </c>
      <c r="D2577" s="88">
        <v>711</v>
      </c>
      <c r="E2577" s="85" t="s">
        <v>7893</v>
      </c>
      <c r="F2577" s="87">
        <v>8</v>
      </c>
      <c r="G2577" s="37"/>
      <c r="H2577" s="37">
        <f>COUNTIF('(参考)現行システム機能階層一覧'!$E$3:$E$1048576,sheet1!B2577)</f>
        <v>0</v>
      </c>
      <c r="I2577" s="37"/>
      <c r="J2577" s="37"/>
      <c r="K2577" s="37"/>
      <c r="L2577" s="37"/>
    </row>
    <row r="2578" spans="1:12" ht="15.75" customHeight="1">
      <c r="A2578" s="87" t="s">
        <v>3935</v>
      </c>
      <c r="B2578" s="87" t="s">
        <v>317</v>
      </c>
      <c r="C2578" s="87" t="s">
        <v>318</v>
      </c>
      <c r="D2578" s="88">
        <v>1116</v>
      </c>
      <c r="E2578" s="85" t="s">
        <v>7893</v>
      </c>
      <c r="F2578" s="87">
        <v>371</v>
      </c>
      <c r="G2578" s="37"/>
      <c r="H2578" s="37">
        <f>COUNTIF('(参考)現行システム機能階層一覧'!$E$3:$E$1048576,sheet1!B2578)</f>
        <v>1</v>
      </c>
      <c r="I2578" s="37"/>
      <c r="J2578" s="37"/>
      <c r="K2578" s="37"/>
      <c r="L2578" s="37"/>
    </row>
    <row r="2579" spans="1:12" ht="15.75" customHeight="1">
      <c r="A2579" s="87" t="s">
        <v>3935</v>
      </c>
      <c r="B2579" s="87" t="s">
        <v>326</v>
      </c>
      <c r="C2579" s="87" t="s">
        <v>327</v>
      </c>
      <c r="D2579" s="88">
        <v>528</v>
      </c>
      <c r="E2579" s="85" t="s">
        <v>7893</v>
      </c>
      <c r="F2579" s="87">
        <v>23</v>
      </c>
      <c r="G2579" s="37"/>
      <c r="H2579" s="37">
        <f>COUNTIF('(参考)現行システム機能階層一覧'!$E$3:$E$1048576,sheet1!B2579)</f>
        <v>1</v>
      </c>
      <c r="I2579" s="37"/>
      <c r="J2579" s="37"/>
      <c r="K2579" s="37"/>
      <c r="L2579" s="37"/>
    </row>
    <row r="2580" spans="1:12" ht="15.75" customHeight="1">
      <c r="A2580" s="87" t="s">
        <v>3935</v>
      </c>
      <c r="B2580" s="87" t="s">
        <v>335</v>
      </c>
      <c r="C2580" s="87" t="s">
        <v>7909</v>
      </c>
      <c r="D2580" s="88">
        <v>351</v>
      </c>
      <c r="E2580" s="85" t="s">
        <v>7893</v>
      </c>
      <c r="F2580" s="87">
        <v>136</v>
      </c>
      <c r="G2580" s="37"/>
      <c r="H2580" s="37">
        <f>COUNTIF('(参考)現行システム機能階層一覧'!$E$3:$E$1048576,sheet1!B2580)</f>
        <v>1</v>
      </c>
      <c r="I2580" s="37"/>
      <c r="J2580" s="37"/>
      <c r="K2580" s="37"/>
      <c r="L2580" s="37"/>
    </row>
    <row r="2581" spans="1:12" ht="15.75" customHeight="1">
      <c r="A2581" s="87" t="s">
        <v>3935</v>
      </c>
      <c r="B2581" s="87" t="s">
        <v>332</v>
      </c>
      <c r="C2581" s="87" t="s">
        <v>7910</v>
      </c>
      <c r="D2581" s="88">
        <v>819</v>
      </c>
      <c r="E2581" s="85" t="s">
        <v>7893</v>
      </c>
      <c r="F2581" s="87">
        <v>10</v>
      </c>
      <c r="G2581" s="37"/>
      <c r="H2581" s="37">
        <f>COUNTIF('(参考)現行システム機能階層一覧'!$E$3:$E$1048576,sheet1!B2581)</f>
        <v>1</v>
      </c>
      <c r="I2581" s="37"/>
      <c r="J2581" s="37"/>
      <c r="K2581" s="37"/>
      <c r="L2581" s="37"/>
    </row>
    <row r="2582" spans="1:12" ht="15.75" customHeight="1">
      <c r="A2582" s="87" t="s">
        <v>3935</v>
      </c>
      <c r="B2582" s="87" t="s">
        <v>307</v>
      </c>
      <c r="C2582" s="87" t="s">
        <v>308</v>
      </c>
      <c r="D2582" s="88">
        <v>631</v>
      </c>
      <c r="E2582" s="85" t="s">
        <v>7893</v>
      </c>
      <c r="F2582" s="87">
        <v>13</v>
      </c>
      <c r="G2582" s="37"/>
      <c r="H2582" s="37">
        <f>COUNTIF('(参考)現行システム機能階層一覧'!$E$3:$E$1048576,sheet1!B2582)</f>
        <v>1</v>
      </c>
      <c r="I2582" s="37"/>
      <c r="J2582" s="37"/>
      <c r="K2582" s="37"/>
      <c r="L2582" s="37"/>
    </row>
    <row r="2583" spans="1:12" ht="15.75" customHeight="1">
      <c r="A2583" s="87" t="s">
        <v>3935</v>
      </c>
      <c r="B2583" s="87" t="s">
        <v>313</v>
      </c>
      <c r="C2583" s="87" t="s">
        <v>7911</v>
      </c>
      <c r="D2583" s="88">
        <v>535</v>
      </c>
      <c r="E2583" s="85" t="s">
        <v>7893</v>
      </c>
      <c r="F2583" s="87">
        <v>317</v>
      </c>
      <c r="G2583" s="37"/>
      <c r="H2583" s="37">
        <f>COUNTIF('(参考)現行システム機能階層一覧'!$E$3:$E$1048576,sheet1!B2583)</f>
        <v>1</v>
      </c>
      <c r="I2583" s="37"/>
      <c r="J2583" s="37"/>
      <c r="K2583" s="37"/>
      <c r="L2583" s="37"/>
    </row>
    <row r="2584" spans="1:12" ht="15.75" customHeight="1">
      <c r="A2584" s="87" t="s">
        <v>3935</v>
      </c>
      <c r="B2584" s="87" t="s">
        <v>444</v>
      </c>
      <c r="C2584" s="87" t="s">
        <v>7912</v>
      </c>
      <c r="D2584" s="88">
        <v>230</v>
      </c>
      <c r="E2584" s="85" t="s">
        <v>7893</v>
      </c>
      <c r="F2584" s="87">
        <v>947</v>
      </c>
      <c r="G2584" s="37"/>
      <c r="H2584" s="37">
        <f>COUNTIF('(参考)現行システム機能階層一覧'!$E$3:$E$1048576,sheet1!B2584)</f>
        <v>1</v>
      </c>
      <c r="I2584" s="37"/>
      <c r="J2584" s="37"/>
      <c r="K2584" s="37"/>
      <c r="L2584" s="37"/>
    </row>
    <row r="2585" spans="1:12" ht="15.75" customHeight="1">
      <c r="A2585" s="87" t="s">
        <v>3935</v>
      </c>
      <c r="B2585" s="87" t="s">
        <v>7913</v>
      </c>
      <c r="C2585" s="87" t="s">
        <v>7914</v>
      </c>
      <c r="D2585" s="88">
        <v>1335</v>
      </c>
      <c r="E2585" s="85" t="s">
        <v>7893</v>
      </c>
      <c r="F2585" s="87">
        <v>1</v>
      </c>
      <c r="G2585" s="37"/>
      <c r="H2585" s="37">
        <f>COUNTIF('(参考)現行システム機能階層一覧'!$E$3:$E$1048576,sheet1!B2585)</f>
        <v>0</v>
      </c>
      <c r="I2585" s="37"/>
      <c r="J2585" s="37"/>
      <c r="K2585" s="37"/>
      <c r="L2585" s="37"/>
    </row>
    <row r="2586" spans="1:12" ht="15.75" customHeight="1">
      <c r="A2586" s="87" t="s">
        <v>3853</v>
      </c>
      <c r="B2586" s="87" t="s">
        <v>7915</v>
      </c>
      <c r="C2586" s="87" t="s">
        <v>7914</v>
      </c>
      <c r="D2586" s="88">
        <v>18</v>
      </c>
      <c r="E2586" s="85" t="s">
        <v>7893</v>
      </c>
      <c r="F2586" s="87">
        <v>1</v>
      </c>
      <c r="G2586" s="37"/>
      <c r="H2586" s="37">
        <f>COUNTIF('(参考)現行システム機能階層一覧'!$E$3:$E$1048576,sheet1!B2586)</f>
        <v>0</v>
      </c>
      <c r="I2586" s="37"/>
      <c r="J2586" s="37"/>
      <c r="K2586" s="37"/>
      <c r="L2586" s="37"/>
    </row>
    <row r="2587" spans="1:12" ht="15.75" customHeight="1">
      <c r="A2587" s="87" t="s">
        <v>3935</v>
      </c>
      <c r="B2587" s="87" t="s">
        <v>2623</v>
      </c>
      <c r="C2587" s="87" t="s">
        <v>2658</v>
      </c>
      <c r="D2587" s="88">
        <v>772</v>
      </c>
      <c r="E2587" s="85" t="s">
        <v>7893</v>
      </c>
      <c r="F2587" s="87">
        <v>7</v>
      </c>
      <c r="G2587" s="37"/>
      <c r="H2587" s="37">
        <f>COUNTIF('(参考)現行システム機能階層一覧'!$E$3:$E$1048576,sheet1!B2587)</f>
        <v>1</v>
      </c>
      <c r="I2587" s="37"/>
      <c r="J2587" s="37"/>
      <c r="K2587" s="37"/>
      <c r="L2587" s="37"/>
    </row>
    <row r="2588" spans="1:12" ht="15.75" customHeight="1">
      <c r="A2588" s="87" t="s">
        <v>3935</v>
      </c>
      <c r="B2588" s="87" t="s">
        <v>7916</v>
      </c>
      <c r="C2588" s="87" t="s">
        <v>7917</v>
      </c>
      <c r="D2588" s="88">
        <v>311</v>
      </c>
      <c r="E2588" s="85" t="s">
        <v>7893</v>
      </c>
      <c r="F2588" s="87">
        <v>2</v>
      </c>
      <c r="G2588" s="37"/>
      <c r="H2588" s="37">
        <f>COUNTIF('(参考)現行システム機能階層一覧'!$E$3:$E$1048576,sheet1!B2588)</f>
        <v>0</v>
      </c>
      <c r="I2588" s="37"/>
      <c r="J2588" s="37"/>
      <c r="K2588" s="37"/>
      <c r="L2588" s="37"/>
    </row>
    <row r="2589" spans="1:12" ht="15.75" customHeight="1">
      <c r="A2589" s="87" t="s">
        <v>3935</v>
      </c>
      <c r="B2589" s="87" t="s">
        <v>2627</v>
      </c>
      <c r="C2589" s="87" t="s">
        <v>2661</v>
      </c>
      <c r="D2589" s="88">
        <v>336</v>
      </c>
      <c r="E2589" s="85" t="s">
        <v>7893</v>
      </c>
      <c r="F2589" s="87">
        <v>1</v>
      </c>
      <c r="G2589" s="37"/>
      <c r="H2589" s="37">
        <f>COUNTIF('(参考)現行システム機能階層一覧'!$E$3:$E$1048576,sheet1!B2589)</f>
        <v>1</v>
      </c>
      <c r="I2589" s="37"/>
      <c r="J2589" s="37"/>
      <c r="K2589" s="37"/>
      <c r="L2589" s="37"/>
    </row>
    <row r="2590" spans="1:12" ht="15.75" customHeight="1">
      <c r="A2590" s="87" t="s">
        <v>3935</v>
      </c>
      <c r="B2590" s="87" t="s">
        <v>2630</v>
      </c>
      <c r="C2590" s="87" t="s">
        <v>2664</v>
      </c>
      <c r="D2590" s="88">
        <v>293</v>
      </c>
      <c r="E2590" s="85" t="s">
        <v>7893</v>
      </c>
      <c r="F2590" s="87">
        <v>1</v>
      </c>
      <c r="G2590" s="37"/>
      <c r="H2590" s="37">
        <f>COUNTIF('(参考)現行システム機能階層一覧'!$E$3:$E$1048576,sheet1!B2590)</f>
        <v>1</v>
      </c>
      <c r="I2590" s="37"/>
      <c r="J2590" s="37"/>
      <c r="K2590" s="37"/>
      <c r="L2590" s="37"/>
    </row>
    <row r="2591" spans="1:12" ht="15.75" customHeight="1">
      <c r="A2591" s="87" t="s">
        <v>3935</v>
      </c>
      <c r="B2591" s="87" t="s">
        <v>7918</v>
      </c>
      <c r="C2591" s="87" t="s">
        <v>7919</v>
      </c>
      <c r="D2591" s="88">
        <v>449</v>
      </c>
      <c r="E2591" s="85" t="s">
        <v>7893</v>
      </c>
      <c r="F2591" s="87">
        <v>1</v>
      </c>
      <c r="G2591" s="37"/>
      <c r="H2591" s="37">
        <f>COUNTIF('(参考)現行システム機能階層一覧'!$E$3:$E$1048576,sheet1!B2591)</f>
        <v>0</v>
      </c>
      <c r="I2591" s="37"/>
      <c r="J2591" s="37"/>
      <c r="K2591" s="37"/>
      <c r="L2591" s="37"/>
    </row>
    <row r="2592" spans="1:12" ht="15.75" customHeight="1">
      <c r="A2592" s="87" t="s">
        <v>3853</v>
      </c>
      <c r="B2592" s="87" t="s">
        <v>7920</v>
      </c>
      <c r="C2592" s="87" t="s">
        <v>7919</v>
      </c>
      <c r="D2592" s="88">
        <v>8</v>
      </c>
      <c r="E2592" s="85" t="s">
        <v>7893</v>
      </c>
      <c r="F2592" s="87">
        <v>1</v>
      </c>
      <c r="G2592" s="37"/>
      <c r="H2592" s="37">
        <f>COUNTIF('(参考)現行システム機能階層一覧'!$E$3:$E$1048576,sheet1!B2592)</f>
        <v>0</v>
      </c>
      <c r="I2592" s="37"/>
      <c r="J2592" s="37"/>
      <c r="K2592" s="37"/>
      <c r="L2592" s="37"/>
    </row>
    <row r="2593" spans="1:12" ht="15.75" customHeight="1">
      <c r="A2593" s="87" t="s">
        <v>3935</v>
      </c>
      <c r="B2593" s="87" t="s">
        <v>323</v>
      </c>
      <c r="C2593" s="87" t="s">
        <v>324</v>
      </c>
      <c r="D2593" s="88">
        <v>408</v>
      </c>
      <c r="E2593" s="85" t="s">
        <v>7893</v>
      </c>
      <c r="F2593" s="87">
        <v>75</v>
      </c>
      <c r="G2593" s="37"/>
      <c r="H2593" s="37">
        <f>COUNTIF('(参考)現行システム機能階層一覧'!$E$3:$E$1048576,sheet1!B2593)</f>
        <v>1</v>
      </c>
      <c r="I2593" s="37"/>
      <c r="J2593" s="37"/>
      <c r="K2593" s="37"/>
      <c r="L2593" s="37"/>
    </row>
    <row r="2594" spans="1:12" ht="15.75" customHeight="1">
      <c r="A2594" s="87" t="s">
        <v>3853</v>
      </c>
      <c r="B2594" s="87" t="s">
        <v>7921</v>
      </c>
      <c r="C2594" s="87" t="s">
        <v>7922</v>
      </c>
      <c r="D2594" s="88">
        <v>32</v>
      </c>
      <c r="E2594" s="85" t="s">
        <v>7893</v>
      </c>
      <c r="F2594" s="87">
        <v>66</v>
      </c>
      <c r="G2594" s="37"/>
      <c r="H2594" s="37">
        <f>COUNTIF('(参考)現行システム機能階層一覧'!$E$3:$E$1048576,sheet1!B2594)</f>
        <v>0</v>
      </c>
      <c r="I2594" s="37"/>
      <c r="J2594" s="37"/>
      <c r="K2594" s="37"/>
      <c r="L2594" s="37"/>
    </row>
    <row r="2595" spans="1:12" ht="15.75" customHeight="1">
      <c r="A2595" s="87" t="s">
        <v>3853</v>
      </c>
      <c r="B2595" s="87" t="s">
        <v>7923</v>
      </c>
      <c r="C2595" s="87" t="s">
        <v>345</v>
      </c>
      <c r="D2595" s="88">
        <v>32</v>
      </c>
      <c r="E2595" s="85" t="s">
        <v>7893</v>
      </c>
      <c r="F2595" s="87">
        <v>59</v>
      </c>
      <c r="G2595" s="37"/>
      <c r="H2595" s="37">
        <f>COUNTIF('(参考)現行システム機能階層一覧'!$E$3:$E$1048576,sheet1!B2595)</f>
        <v>0</v>
      </c>
      <c r="I2595" s="37"/>
      <c r="J2595" s="37"/>
      <c r="K2595" s="37"/>
      <c r="L2595" s="37"/>
    </row>
    <row r="2596" spans="1:12" ht="15.75" customHeight="1">
      <c r="A2596" s="87" t="s">
        <v>3853</v>
      </c>
      <c r="B2596" s="87" t="s">
        <v>7924</v>
      </c>
      <c r="C2596" s="87" t="s">
        <v>7925</v>
      </c>
      <c r="D2596" s="88">
        <v>80</v>
      </c>
      <c r="E2596" s="85" t="s">
        <v>7893</v>
      </c>
      <c r="F2596" s="87">
        <v>23</v>
      </c>
      <c r="G2596" s="37"/>
      <c r="H2596" s="37">
        <f>COUNTIF('(参考)現行システム機能階層一覧'!$E$3:$E$1048576,sheet1!B2596)</f>
        <v>0</v>
      </c>
      <c r="I2596" s="37"/>
      <c r="J2596" s="37"/>
      <c r="K2596" s="37"/>
      <c r="L2596" s="37"/>
    </row>
    <row r="2597" spans="1:12" ht="15.75" customHeight="1">
      <c r="A2597" s="87" t="s">
        <v>3853</v>
      </c>
      <c r="B2597" s="87" t="s">
        <v>7926</v>
      </c>
      <c r="C2597" s="87" t="s">
        <v>7925</v>
      </c>
      <c r="D2597" s="88">
        <v>80</v>
      </c>
      <c r="E2597" s="85" t="s">
        <v>7893</v>
      </c>
      <c r="F2597" s="87">
        <v>27</v>
      </c>
      <c r="G2597" s="37"/>
      <c r="H2597" s="37">
        <f>COUNTIF('(参考)現行システム機能階層一覧'!$E$3:$E$1048576,sheet1!B2597)</f>
        <v>0</v>
      </c>
      <c r="I2597" s="37"/>
      <c r="J2597" s="37"/>
      <c r="K2597" s="37"/>
      <c r="L2597" s="37"/>
    </row>
    <row r="2598" spans="1:12" ht="15.75" customHeight="1">
      <c r="A2598" s="87" t="s">
        <v>3935</v>
      </c>
      <c r="B2598" s="87" t="s">
        <v>7927</v>
      </c>
      <c r="C2598" s="87" t="s">
        <v>7928</v>
      </c>
      <c r="D2598" s="88">
        <v>231</v>
      </c>
      <c r="E2598" s="85" t="s">
        <v>7893</v>
      </c>
      <c r="F2598" s="87">
        <v>1</v>
      </c>
      <c r="G2598" s="37"/>
      <c r="H2598" s="37">
        <f>COUNTIF('(参考)現行システム機能階層一覧'!$E$3:$E$1048576,sheet1!B2598)</f>
        <v>0</v>
      </c>
      <c r="I2598" s="37"/>
      <c r="J2598" s="37"/>
      <c r="K2598" s="37"/>
      <c r="L2598" s="37"/>
    </row>
    <row r="2599" spans="1:12" ht="15.75" customHeight="1">
      <c r="A2599" s="87" t="s">
        <v>3935</v>
      </c>
      <c r="B2599" s="87" t="s">
        <v>7929</v>
      </c>
      <c r="C2599" s="87" t="s">
        <v>7930</v>
      </c>
      <c r="D2599" s="88">
        <v>236</v>
      </c>
      <c r="E2599" s="85" t="s">
        <v>7893</v>
      </c>
      <c r="F2599" s="87">
        <v>1</v>
      </c>
      <c r="G2599" s="37"/>
      <c r="H2599" s="37">
        <f>COUNTIF('(参考)現行システム機能階層一覧'!$E$3:$E$1048576,sheet1!B2599)</f>
        <v>0</v>
      </c>
      <c r="I2599" s="37"/>
      <c r="J2599" s="37"/>
      <c r="K2599" s="37"/>
      <c r="L2599" s="37"/>
    </row>
    <row r="2600" spans="1:12" ht="15.75" customHeight="1">
      <c r="A2600" s="87" t="s">
        <v>3935</v>
      </c>
      <c r="B2600" s="87" t="s">
        <v>7931</v>
      </c>
      <c r="C2600" s="87" t="s">
        <v>7932</v>
      </c>
      <c r="D2600" s="88">
        <v>236</v>
      </c>
      <c r="E2600" s="85" t="s">
        <v>7893</v>
      </c>
      <c r="F2600" s="87">
        <v>1</v>
      </c>
      <c r="G2600" s="37"/>
      <c r="H2600" s="37">
        <f>COUNTIF('(参考)現行システム機能階層一覧'!$E$3:$E$1048576,sheet1!B2600)</f>
        <v>0</v>
      </c>
      <c r="I2600" s="37"/>
      <c r="J2600" s="37"/>
      <c r="K2600" s="37"/>
      <c r="L2600" s="37"/>
    </row>
    <row r="2601" spans="1:12" ht="15.75" customHeight="1">
      <c r="A2601" s="87" t="s">
        <v>3935</v>
      </c>
      <c r="B2601" s="87" t="s">
        <v>7933</v>
      </c>
      <c r="C2601" s="87" t="s">
        <v>7934</v>
      </c>
      <c r="D2601" s="88">
        <v>236</v>
      </c>
      <c r="E2601" s="85" t="s">
        <v>7893</v>
      </c>
      <c r="F2601" s="87">
        <v>1</v>
      </c>
      <c r="G2601" s="37"/>
      <c r="H2601" s="37">
        <f>COUNTIF('(参考)現行システム機能階層一覧'!$E$3:$E$1048576,sheet1!B2601)</f>
        <v>0</v>
      </c>
      <c r="I2601" s="37"/>
      <c r="J2601" s="37"/>
      <c r="K2601" s="37"/>
      <c r="L2601" s="37"/>
    </row>
    <row r="2602" spans="1:12" ht="15.75" customHeight="1">
      <c r="A2602" s="87" t="s">
        <v>3935</v>
      </c>
      <c r="B2602" s="87" t="s">
        <v>7935</v>
      </c>
      <c r="C2602" s="87" t="s">
        <v>7936</v>
      </c>
      <c r="D2602" s="88">
        <v>190</v>
      </c>
      <c r="E2602" s="85" t="s">
        <v>7893</v>
      </c>
      <c r="F2602" s="87">
        <v>408</v>
      </c>
      <c r="G2602" s="37"/>
      <c r="H2602" s="37">
        <f>COUNTIF('(参考)現行システム機能階層一覧'!$E$3:$E$1048576,sheet1!B2602)</f>
        <v>0</v>
      </c>
      <c r="I2602" s="37"/>
      <c r="J2602" s="37"/>
      <c r="K2602" s="37"/>
      <c r="L2602" s="37"/>
    </row>
    <row r="2603" spans="1:12" ht="15.75" customHeight="1">
      <c r="A2603" s="87" t="s">
        <v>3935</v>
      </c>
      <c r="B2603" s="87" t="s">
        <v>7937</v>
      </c>
      <c r="C2603" s="87" t="s">
        <v>7938</v>
      </c>
      <c r="D2603" s="88">
        <v>190</v>
      </c>
      <c r="E2603" s="85" t="s">
        <v>7893</v>
      </c>
      <c r="F2603" s="87">
        <v>2</v>
      </c>
      <c r="G2603" s="37"/>
      <c r="H2603" s="37">
        <f>COUNTIF('(参考)現行システム機能階層一覧'!$E$3:$E$1048576,sheet1!B2603)</f>
        <v>0</v>
      </c>
      <c r="I2603" s="37"/>
      <c r="J2603" s="37"/>
      <c r="K2603" s="37"/>
      <c r="L2603" s="37"/>
    </row>
    <row r="2604" spans="1:12" ht="15.75" customHeight="1">
      <c r="A2604" s="87" t="s">
        <v>3935</v>
      </c>
      <c r="B2604" s="87" t="s">
        <v>7939</v>
      </c>
      <c r="C2604" s="87" t="s">
        <v>7940</v>
      </c>
      <c r="D2604" s="88">
        <v>196</v>
      </c>
      <c r="E2604" s="85" t="s">
        <v>7893</v>
      </c>
      <c r="F2604" s="87">
        <v>2</v>
      </c>
      <c r="G2604" s="37"/>
      <c r="H2604" s="37">
        <f>COUNTIF('(参考)現行システム機能階層一覧'!$E$3:$E$1048576,sheet1!B2604)</f>
        <v>0</v>
      </c>
      <c r="I2604" s="37"/>
      <c r="J2604" s="37"/>
      <c r="K2604" s="37"/>
      <c r="L2604" s="37"/>
    </row>
    <row r="2605" spans="1:12" ht="15.75" customHeight="1">
      <c r="A2605" s="87" t="s">
        <v>3935</v>
      </c>
      <c r="B2605" s="87" t="s">
        <v>7941</v>
      </c>
      <c r="C2605" s="87" t="s">
        <v>7942</v>
      </c>
      <c r="D2605" s="88">
        <v>196</v>
      </c>
      <c r="E2605" s="85" t="s">
        <v>7893</v>
      </c>
      <c r="F2605" s="87">
        <v>1</v>
      </c>
      <c r="G2605" s="37"/>
      <c r="H2605" s="37">
        <f>COUNTIF('(参考)現行システム機能階層一覧'!$E$3:$E$1048576,sheet1!B2605)</f>
        <v>0</v>
      </c>
      <c r="I2605" s="37"/>
      <c r="J2605" s="37"/>
      <c r="K2605" s="37"/>
      <c r="L2605" s="37"/>
    </row>
    <row r="2606" spans="1:12" ht="15.75" customHeight="1">
      <c r="A2606" s="87" t="s">
        <v>3935</v>
      </c>
      <c r="B2606" s="87" t="s">
        <v>7943</v>
      </c>
      <c r="C2606" s="87" t="s">
        <v>7944</v>
      </c>
      <c r="D2606" s="88">
        <v>191</v>
      </c>
      <c r="E2606" s="85" t="s">
        <v>7893</v>
      </c>
      <c r="F2606" s="87">
        <v>340</v>
      </c>
      <c r="G2606" s="37"/>
      <c r="H2606" s="37">
        <f>COUNTIF('(参考)現行システム機能階層一覧'!$E$3:$E$1048576,sheet1!B2606)</f>
        <v>0</v>
      </c>
      <c r="I2606" s="37"/>
      <c r="J2606" s="37"/>
      <c r="K2606" s="37"/>
      <c r="L2606" s="37"/>
    </row>
    <row r="2607" spans="1:12" ht="15.75" customHeight="1">
      <c r="A2607" s="87" t="s">
        <v>3935</v>
      </c>
      <c r="B2607" s="87" t="s">
        <v>7945</v>
      </c>
      <c r="C2607" s="87" t="s">
        <v>7946</v>
      </c>
      <c r="D2607" s="88">
        <v>191</v>
      </c>
      <c r="E2607" s="85" t="s">
        <v>7893</v>
      </c>
      <c r="F2607" s="87">
        <v>91</v>
      </c>
      <c r="G2607" s="37"/>
      <c r="H2607" s="37">
        <f>COUNTIF('(参考)現行システム機能階層一覧'!$E$3:$E$1048576,sheet1!B2607)</f>
        <v>0</v>
      </c>
      <c r="I2607" s="37"/>
      <c r="J2607" s="37"/>
      <c r="K2607" s="37"/>
      <c r="L2607" s="37"/>
    </row>
    <row r="2608" spans="1:12" ht="15.75" customHeight="1">
      <c r="A2608" s="87" t="s">
        <v>3935</v>
      </c>
      <c r="B2608" s="87" t="s">
        <v>7947</v>
      </c>
      <c r="C2608" s="87" t="s">
        <v>7948</v>
      </c>
      <c r="D2608" s="88">
        <v>191</v>
      </c>
      <c r="E2608" s="85" t="s">
        <v>7893</v>
      </c>
      <c r="F2608" s="87">
        <v>123</v>
      </c>
      <c r="G2608" s="37"/>
      <c r="H2608" s="37">
        <f>COUNTIF('(参考)現行システム機能階層一覧'!$E$3:$E$1048576,sheet1!B2608)</f>
        <v>0</v>
      </c>
      <c r="I2608" s="37"/>
      <c r="J2608" s="37"/>
      <c r="K2608" s="37"/>
      <c r="L2608" s="37"/>
    </row>
    <row r="2609" spans="1:12" ht="15.75" customHeight="1">
      <c r="A2609" s="87" t="s">
        <v>3935</v>
      </c>
      <c r="B2609" s="87" t="s">
        <v>7949</v>
      </c>
      <c r="C2609" s="87" t="s">
        <v>7950</v>
      </c>
      <c r="D2609" s="88">
        <v>191</v>
      </c>
      <c r="E2609" s="85" t="s">
        <v>7893</v>
      </c>
      <c r="F2609" s="87">
        <v>87</v>
      </c>
      <c r="G2609" s="37"/>
      <c r="H2609" s="37">
        <f>COUNTIF('(参考)現行システム機能階層一覧'!$E$3:$E$1048576,sheet1!B2609)</f>
        <v>0</v>
      </c>
      <c r="I2609" s="37"/>
      <c r="J2609" s="37"/>
      <c r="K2609" s="37"/>
      <c r="L2609" s="37"/>
    </row>
    <row r="2610" spans="1:12" ht="15.75" customHeight="1">
      <c r="A2610" s="87" t="s">
        <v>3935</v>
      </c>
      <c r="B2610" s="87" t="s">
        <v>7951</v>
      </c>
      <c r="C2610" s="87" t="s">
        <v>7952</v>
      </c>
      <c r="D2610" s="88">
        <v>191</v>
      </c>
      <c r="E2610" s="85" t="s">
        <v>7893</v>
      </c>
      <c r="F2610" s="87">
        <v>135</v>
      </c>
      <c r="G2610" s="37"/>
      <c r="H2610" s="37">
        <f>COUNTIF('(参考)現行システム機能階層一覧'!$E$3:$E$1048576,sheet1!B2610)</f>
        <v>0</v>
      </c>
      <c r="I2610" s="37"/>
      <c r="J2610" s="37"/>
      <c r="K2610" s="37"/>
      <c r="L2610" s="37"/>
    </row>
    <row r="2611" spans="1:12" ht="15.75" customHeight="1">
      <c r="A2611" s="87" t="s">
        <v>3935</v>
      </c>
      <c r="B2611" s="87" t="s">
        <v>7953</v>
      </c>
      <c r="C2611" s="87" t="s">
        <v>7954</v>
      </c>
      <c r="D2611" s="88">
        <v>206</v>
      </c>
      <c r="E2611" s="85" t="s">
        <v>7893</v>
      </c>
      <c r="F2611" s="87">
        <v>1215</v>
      </c>
      <c r="G2611" s="37"/>
      <c r="H2611" s="37">
        <f>COUNTIF('(参考)現行システム機能階層一覧'!$E$3:$E$1048576,sheet1!B2611)</f>
        <v>0</v>
      </c>
      <c r="I2611" s="37"/>
      <c r="J2611" s="37"/>
      <c r="K2611" s="37"/>
      <c r="L2611" s="37"/>
    </row>
    <row r="2612" spans="1:12" ht="15.75" customHeight="1">
      <c r="A2612" s="87" t="s">
        <v>3935</v>
      </c>
      <c r="B2612" s="87" t="s">
        <v>7955</v>
      </c>
      <c r="C2612" s="87" t="s">
        <v>7956</v>
      </c>
      <c r="D2612" s="88">
        <v>497</v>
      </c>
      <c r="E2612" s="85" t="s">
        <v>7893</v>
      </c>
      <c r="F2612" s="87">
        <v>1249</v>
      </c>
      <c r="G2612" s="37"/>
      <c r="H2612" s="37">
        <f>COUNTIF('(参考)現行システム機能階層一覧'!$E$3:$E$1048576,sheet1!B2612)</f>
        <v>0</v>
      </c>
      <c r="I2612" s="37"/>
      <c r="J2612" s="37"/>
      <c r="K2612" s="37"/>
      <c r="L2612" s="37"/>
    </row>
    <row r="2613" spans="1:12" ht="15.75" customHeight="1">
      <c r="A2613" s="87" t="s">
        <v>3935</v>
      </c>
      <c r="B2613" s="87" t="s">
        <v>383</v>
      </c>
      <c r="C2613" s="87" t="s">
        <v>7957</v>
      </c>
      <c r="D2613" s="88">
        <v>387</v>
      </c>
      <c r="E2613" s="85" t="s">
        <v>7893</v>
      </c>
      <c r="F2613" s="87">
        <v>1074</v>
      </c>
      <c r="G2613" s="37"/>
      <c r="H2613" s="37">
        <f>COUNTIF('(参考)現行システム機能階層一覧'!$E$3:$E$1048576,sheet1!B2613)</f>
        <v>1</v>
      </c>
      <c r="I2613" s="37"/>
      <c r="J2613" s="37"/>
      <c r="K2613" s="37"/>
      <c r="L2613" s="37"/>
    </row>
    <row r="2614" spans="1:12" ht="15.75" customHeight="1">
      <c r="A2614" s="87" t="s">
        <v>3935</v>
      </c>
      <c r="B2614" s="87" t="s">
        <v>387</v>
      </c>
      <c r="C2614" s="87" t="s">
        <v>7958</v>
      </c>
      <c r="D2614" s="88">
        <v>429</v>
      </c>
      <c r="E2614" s="85" t="s">
        <v>7893</v>
      </c>
      <c r="F2614" s="87">
        <v>1380</v>
      </c>
      <c r="G2614" s="37"/>
      <c r="H2614" s="37">
        <f>COUNTIF('(参考)現行システム機能階層一覧'!$E$3:$E$1048576,sheet1!B2614)</f>
        <v>1</v>
      </c>
      <c r="I2614" s="37"/>
      <c r="J2614" s="37"/>
      <c r="K2614" s="37"/>
      <c r="L2614" s="37"/>
    </row>
    <row r="2615" spans="1:12" ht="15.75" customHeight="1">
      <c r="A2615" s="87" t="s">
        <v>3935</v>
      </c>
      <c r="B2615" s="87" t="s">
        <v>7959</v>
      </c>
      <c r="C2615" s="87" t="s">
        <v>7960</v>
      </c>
      <c r="D2615" s="88">
        <v>237</v>
      </c>
      <c r="E2615" s="85" t="s">
        <v>7893</v>
      </c>
      <c r="F2615" s="87">
        <v>615</v>
      </c>
      <c r="G2615" s="37"/>
      <c r="H2615" s="37">
        <f>COUNTIF('(参考)現行システム機能階層一覧'!$E$3:$E$1048576,sheet1!B2615)</f>
        <v>0</v>
      </c>
      <c r="I2615" s="37"/>
      <c r="J2615" s="37"/>
      <c r="K2615" s="37"/>
      <c r="L2615" s="37"/>
    </row>
    <row r="2616" spans="1:12" ht="15.75" customHeight="1">
      <c r="A2616" s="87" t="s">
        <v>3935</v>
      </c>
      <c r="B2616" s="87" t="s">
        <v>7961</v>
      </c>
      <c r="C2616" s="87" t="s">
        <v>7962</v>
      </c>
      <c r="D2616" s="88">
        <v>344</v>
      </c>
      <c r="E2616" s="85" t="s">
        <v>7893</v>
      </c>
      <c r="F2616" s="87">
        <v>9</v>
      </c>
      <c r="G2616" s="37"/>
      <c r="H2616" s="37">
        <f>COUNTIF('(参考)現行システム機能階層一覧'!$E$3:$E$1048576,sheet1!B2616)</f>
        <v>0</v>
      </c>
      <c r="I2616" s="37"/>
      <c r="J2616" s="37"/>
      <c r="K2616" s="37"/>
      <c r="L2616" s="37"/>
    </row>
    <row r="2617" spans="1:12" ht="15.75" customHeight="1">
      <c r="A2617" s="87" t="s">
        <v>3935</v>
      </c>
      <c r="B2617" s="87" t="s">
        <v>392</v>
      </c>
      <c r="C2617" s="87" t="s">
        <v>7963</v>
      </c>
      <c r="D2617" s="88">
        <v>500</v>
      </c>
      <c r="E2617" s="85" t="s">
        <v>7893</v>
      </c>
      <c r="F2617" s="87">
        <v>1289</v>
      </c>
      <c r="G2617" s="37"/>
      <c r="H2617" s="37">
        <f>COUNTIF('(参考)現行システム機能階層一覧'!$E$3:$E$1048576,sheet1!B2617)</f>
        <v>1</v>
      </c>
      <c r="I2617" s="37"/>
      <c r="J2617" s="37"/>
      <c r="K2617" s="37"/>
      <c r="L2617" s="37"/>
    </row>
    <row r="2618" spans="1:12" ht="15.75" customHeight="1">
      <c r="A2618" s="87" t="s">
        <v>3935</v>
      </c>
      <c r="B2618" s="87" t="s">
        <v>7964</v>
      </c>
      <c r="C2618" s="87" t="s">
        <v>7965</v>
      </c>
      <c r="D2618" s="88">
        <v>324</v>
      </c>
      <c r="E2618" s="85" t="s">
        <v>7893</v>
      </c>
      <c r="F2618" s="87">
        <v>1209</v>
      </c>
      <c r="G2618" s="37"/>
      <c r="H2618" s="37">
        <f>COUNTIF('(参考)現行システム機能階層一覧'!$E$3:$E$1048576,sheet1!B2618)</f>
        <v>0</v>
      </c>
      <c r="I2618" s="37"/>
      <c r="J2618" s="37"/>
      <c r="K2618" s="37"/>
      <c r="L2618" s="37"/>
    </row>
    <row r="2619" spans="1:12" ht="15.75" customHeight="1">
      <c r="A2619" s="87" t="s">
        <v>3935</v>
      </c>
      <c r="B2619" s="87" t="s">
        <v>400</v>
      </c>
      <c r="C2619" s="87" t="s">
        <v>7966</v>
      </c>
      <c r="D2619" s="88">
        <v>281</v>
      </c>
      <c r="E2619" s="85" t="s">
        <v>7893</v>
      </c>
      <c r="F2619" s="87">
        <v>97</v>
      </c>
      <c r="G2619" s="37"/>
      <c r="H2619" s="37">
        <f>COUNTIF('(参考)現行システム機能階層一覧'!$E$3:$E$1048576,sheet1!B2619)</f>
        <v>1</v>
      </c>
      <c r="I2619" s="37"/>
      <c r="J2619" s="37"/>
      <c r="K2619" s="37"/>
      <c r="L2619" s="37"/>
    </row>
    <row r="2620" spans="1:12" ht="15.75" customHeight="1">
      <c r="A2620" s="87" t="s">
        <v>3935</v>
      </c>
      <c r="B2620" s="87" t="s">
        <v>420</v>
      </c>
      <c r="C2620" s="87" t="s">
        <v>7967</v>
      </c>
      <c r="D2620" s="88">
        <v>382</v>
      </c>
      <c r="E2620" s="85" t="s">
        <v>7893</v>
      </c>
      <c r="F2620" s="87">
        <v>70</v>
      </c>
      <c r="G2620" s="37"/>
      <c r="H2620" s="37">
        <f>COUNTIF('(参考)現行システム機能階層一覧'!$E$3:$E$1048576,sheet1!B2620)</f>
        <v>1</v>
      </c>
      <c r="I2620" s="37"/>
      <c r="J2620" s="37"/>
      <c r="K2620" s="37"/>
      <c r="L2620" s="37"/>
    </row>
    <row r="2621" spans="1:12" ht="15.75" customHeight="1">
      <c r="A2621" s="87" t="s">
        <v>3935</v>
      </c>
      <c r="B2621" s="87" t="s">
        <v>454</v>
      </c>
      <c r="C2621" s="87" t="s">
        <v>7968</v>
      </c>
      <c r="D2621" s="88">
        <v>484</v>
      </c>
      <c r="E2621" s="85" t="s">
        <v>7893</v>
      </c>
      <c r="F2621" s="87">
        <v>19</v>
      </c>
      <c r="G2621" s="37"/>
      <c r="H2621" s="37">
        <f>COUNTIF('(参考)現行システム機能階層一覧'!$E$3:$E$1048576,sheet1!B2621)</f>
        <v>1</v>
      </c>
      <c r="I2621" s="37"/>
      <c r="J2621" s="37"/>
      <c r="K2621" s="37"/>
      <c r="L2621" s="37"/>
    </row>
    <row r="2622" spans="1:12" ht="15.75" customHeight="1">
      <c r="A2622" s="87" t="s">
        <v>3935</v>
      </c>
      <c r="B2622" s="87" t="s">
        <v>416</v>
      </c>
      <c r="C2622" s="87" t="s">
        <v>7969</v>
      </c>
      <c r="D2622" s="88">
        <v>284</v>
      </c>
      <c r="E2622" s="85" t="s">
        <v>7893</v>
      </c>
      <c r="F2622" s="87">
        <v>29</v>
      </c>
      <c r="G2622" s="37"/>
      <c r="H2622" s="37">
        <f>COUNTIF('(参考)現行システム機能階層一覧'!$E$3:$E$1048576,sheet1!B2622)</f>
        <v>1</v>
      </c>
      <c r="I2622" s="37"/>
      <c r="J2622" s="37"/>
      <c r="K2622" s="37"/>
      <c r="L2622" s="37"/>
    </row>
    <row r="2623" spans="1:12" ht="15.75" customHeight="1">
      <c r="A2623" s="87" t="s">
        <v>3935</v>
      </c>
      <c r="B2623" s="87" t="s">
        <v>396</v>
      </c>
      <c r="C2623" s="87" t="s">
        <v>7970</v>
      </c>
      <c r="D2623" s="88">
        <v>340</v>
      </c>
      <c r="E2623" s="85" t="s">
        <v>7893</v>
      </c>
      <c r="F2623" s="87">
        <v>243</v>
      </c>
      <c r="G2623" s="37"/>
      <c r="H2623" s="37">
        <f>COUNTIF('(参考)現行システム機能階層一覧'!$E$3:$E$1048576,sheet1!B2623)</f>
        <v>1</v>
      </c>
      <c r="I2623" s="37"/>
      <c r="J2623" s="37"/>
      <c r="K2623" s="37"/>
      <c r="L2623" s="37"/>
    </row>
    <row r="2624" spans="1:12" ht="15.75" customHeight="1">
      <c r="A2624" s="87" t="s">
        <v>3935</v>
      </c>
      <c r="B2624" s="87" t="s">
        <v>412</v>
      </c>
      <c r="C2624" s="87" t="s">
        <v>7971</v>
      </c>
      <c r="D2624" s="88">
        <v>308</v>
      </c>
      <c r="E2624" s="85" t="s">
        <v>7893</v>
      </c>
      <c r="F2624" s="87">
        <v>140</v>
      </c>
      <c r="G2624" s="37"/>
      <c r="H2624" s="37">
        <f>COUNTIF('(参考)現行システム機能階層一覧'!$E$3:$E$1048576,sheet1!B2624)</f>
        <v>1</v>
      </c>
      <c r="I2624" s="37"/>
      <c r="J2624" s="37"/>
      <c r="K2624" s="37"/>
      <c r="L2624" s="37"/>
    </row>
    <row r="2625" spans="1:12" ht="15.75" customHeight="1">
      <c r="A2625" s="87" t="s">
        <v>3935</v>
      </c>
      <c r="B2625" s="87" t="s">
        <v>409</v>
      </c>
      <c r="C2625" s="87" t="s">
        <v>7972</v>
      </c>
      <c r="D2625" s="88">
        <v>352</v>
      </c>
      <c r="E2625" s="85" t="s">
        <v>7893</v>
      </c>
      <c r="F2625" s="87">
        <v>54</v>
      </c>
      <c r="G2625" s="37"/>
      <c r="H2625" s="37">
        <f>COUNTIF('(参考)現行システム機能階層一覧'!$E$3:$E$1048576,sheet1!B2625)</f>
        <v>1</v>
      </c>
      <c r="I2625" s="37"/>
      <c r="J2625" s="37"/>
      <c r="K2625" s="37"/>
      <c r="L2625" s="37"/>
    </row>
    <row r="2626" spans="1:12" ht="15.75" customHeight="1">
      <c r="A2626" s="87" t="s">
        <v>3935</v>
      </c>
      <c r="B2626" s="87" t="s">
        <v>404</v>
      </c>
      <c r="C2626" s="87" t="s">
        <v>7973</v>
      </c>
      <c r="D2626" s="88">
        <v>353</v>
      </c>
      <c r="E2626" s="85" t="s">
        <v>7893</v>
      </c>
      <c r="F2626" s="87">
        <v>224</v>
      </c>
      <c r="G2626" s="37"/>
      <c r="H2626" s="37">
        <f>COUNTIF('(参考)現行システム機能階層一覧'!$E$3:$E$1048576,sheet1!B2626)</f>
        <v>1</v>
      </c>
      <c r="I2626" s="37"/>
      <c r="J2626" s="37"/>
      <c r="K2626" s="37"/>
      <c r="L2626" s="37"/>
    </row>
    <row r="2627" spans="1:12" ht="15.75" customHeight="1">
      <c r="A2627" s="87" t="s">
        <v>3935</v>
      </c>
      <c r="B2627" s="87" t="s">
        <v>439</v>
      </c>
      <c r="C2627" s="87" t="s">
        <v>7974</v>
      </c>
      <c r="D2627" s="88">
        <v>323</v>
      </c>
      <c r="E2627" s="85" t="s">
        <v>7893</v>
      </c>
      <c r="F2627" s="87">
        <v>1</v>
      </c>
      <c r="G2627" s="37"/>
      <c r="H2627" s="37">
        <f>COUNTIF('(参考)現行システム機能階層一覧'!$E$3:$E$1048576,sheet1!B2627)</f>
        <v>1</v>
      </c>
      <c r="I2627" s="37"/>
      <c r="J2627" s="37"/>
      <c r="K2627" s="37"/>
      <c r="L2627" s="37"/>
    </row>
    <row r="2628" spans="1:12" ht="15.75" customHeight="1">
      <c r="A2628" s="87" t="s">
        <v>3935</v>
      </c>
      <c r="B2628" s="87" t="s">
        <v>7975</v>
      </c>
      <c r="C2628" s="87" t="s">
        <v>7976</v>
      </c>
      <c r="D2628" s="88">
        <v>893</v>
      </c>
      <c r="E2628" s="85" t="s">
        <v>7893</v>
      </c>
      <c r="F2628" s="87">
        <v>1</v>
      </c>
      <c r="G2628" s="37"/>
      <c r="H2628" s="37">
        <f>COUNTIF('(参考)現行システム機能階層一覧'!$E$3:$E$1048576,sheet1!B2628)</f>
        <v>0</v>
      </c>
      <c r="I2628" s="37"/>
      <c r="J2628" s="37"/>
      <c r="K2628" s="37"/>
      <c r="L2628" s="37"/>
    </row>
    <row r="2629" spans="1:12" ht="15.75" customHeight="1">
      <c r="A2629" s="87" t="s">
        <v>3853</v>
      </c>
      <c r="B2629" s="87" t="s">
        <v>7977</v>
      </c>
      <c r="C2629" s="87" t="s">
        <v>7978</v>
      </c>
      <c r="D2629" s="88">
        <v>18</v>
      </c>
      <c r="E2629" s="85" t="s">
        <v>7893</v>
      </c>
      <c r="F2629" s="87">
        <v>1</v>
      </c>
      <c r="G2629" s="37"/>
      <c r="H2629" s="37">
        <f>COUNTIF('(参考)現行システム機能階層一覧'!$E$3:$E$1048576,sheet1!B2629)</f>
        <v>0</v>
      </c>
      <c r="I2629" s="37"/>
      <c r="J2629" s="37"/>
      <c r="K2629" s="37"/>
      <c r="L2629" s="37"/>
    </row>
    <row r="2630" spans="1:12" ht="15.75" customHeight="1">
      <c r="A2630" s="87" t="s">
        <v>3935</v>
      </c>
      <c r="B2630" s="87" t="s">
        <v>2634</v>
      </c>
      <c r="C2630" s="87" t="s">
        <v>2667</v>
      </c>
      <c r="D2630" s="88">
        <v>470</v>
      </c>
      <c r="E2630" s="85" t="s">
        <v>7893</v>
      </c>
      <c r="F2630" s="87">
        <v>6</v>
      </c>
      <c r="G2630" s="37"/>
      <c r="H2630" s="37">
        <f>COUNTIF('(参考)現行システム機能階層一覧'!$E$3:$E$1048576,sheet1!B2630)</f>
        <v>1</v>
      </c>
      <c r="I2630" s="37"/>
      <c r="J2630" s="37"/>
      <c r="K2630" s="37"/>
      <c r="L2630" s="37"/>
    </row>
    <row r="2631" spans="1:12" ht="15.75" customHeight="1">
      <c r="A2631" s="87" t="s">
        <v>3935</v>
      </c>
      <c r="B2631" s="87" t="s">
        <v>2637</v>
      </c>
      <c r="C2631" s="87" t="s">
        <v>2670</v>
      </c>
      <c r="D2631" s="88">
        <v>274</v>
      </c>
      <c r="E2631" s="85" t="s">
        <v>7893</v>
      </c>
      <c r="F2631" s="87">
        <v>4</v>
      </c>
      <c r="G2631" s="37"/>
      <c r="H2631" s="37">
        <f>COUNTIF('(参考)現行システム機能階層一覧'!$E$3:$E$1048576,sheet1!B2631)</f>
        <v>1</v>
      </c>
      <c r="I2631" s="37"/>
      <c r="J2631" s="37"/>
      <c r="K2631" s="37"/>
      <c r="L2631" s="37"/>
    </row>
    <row r="2632" spans="1:12" ht="15.75" customHeight="1">
      <c r="A2632" s="87" t="s">
        <v>3935</v>
      </c>
      <c r="B2632" s="87" t="s">
        <v>571</v>
      </c>
      <c r="C2632" s="87" t="s">
        <v>7979</v>
      </c>
      <c r="D2632" s="88">
        <v>534</v>
      </c>
      <c r="E2632" s="85" t="s">
        <v>7893</v>
      </c>
      <c r="F2632" s="87">
        <v>46</v>
      </c>
      <c r="G2632" s="37"/>
      <c r="H2632" s="37">
        <f>COUNTIF('(参考)現行システム機能階層一覧'!$E$3:$E$1048576,sheet1!B2632)</f>
        <v>2</v>
      </c>
      <c r="I2632" s="37"/>
      <c r="J2632" s="37"/>
      <c r="K2632" s="37"/>
      <c r="L2632" s="37"/>
    </row>
    <row r="2633" spans="1:12" ht="15.75" customHeight="1">
      <c r="A2633" s="87" t="s">
        <v>3935</v>
      </c>
      <c r="B2633" s="87" t="s">
        <v>7980</v>
      </c>
      <c r="C2633" s="87" t="s">
        <v>7981</v>
      </c>
      <c r="D2633" s="88">
        <v>2638</v>
      </c>
      <c r="E2633" s="85" t="s">
        <v>7893</v>
      </c>
      <c r="F2633" s="87">
        <v>17</v>
      </c>
      <c r="G2633" s="37"/>
      <c r="H2633" s="37">
        <f>COUNTIF('(参考)現行システム機能階層一覧'!$E$3:$E$1048576,sheet1!B2633)</f>
        <v>0</v>
      </c>
      <c r="I2633" s="37"/>
      <c r="J2633" s="37"/>
      <c r="K2633" s="37"/>
      <c r="L2633" s="37"/>
    </row>
    <row r="2634" spans="1:12" ht="15.75" customHeight="1">
      <c r="A2634" s="87" t="s">
        <v>3935</v>
      </c>
      <c r="B2634" s="87" t="s">
        <v>584</v>
      </c>
      <c r="C2634" s="87" t="s">
        <v>7982</v>
      </c>
      <c r="D2634" s="88">
        <v>286</v>
      </c>
      <c r="E2634" s="85" t="s">
        <v>7893</v>
      </c>
      <c r="F2634" s="87">
        <v>84</v>
      </c>
      <c r="G2634" s="37"/>
      <c r="H2634" s="37">
        <f>COUNTIF('(参考)現行システム機能階層一覧'!$E$3:$E$1048576,sheet1!B2634)</f>
        <v>1</v>
      </c>
      <c r="I2634" s="37"/>
      <c r="J2634" s="37"/>
      <c r="K2634" s="37"/>
      <c r="L2634" s="37"/>
    </row>
    <row r="2635" spans="1:12" ht="15.75" customHeight="1">
      <c r="A2635" s="87" t="s">
        <v>3935</v>
      </c>
      <c r="B2635" s="87" t="s">
        <v>7983</v>
      </c>
      <c r="C2635" s="87" t="s">
        <v>7984</v>
      </c>
      <c r="D2635" s="88">
        <v>336</v>
      </c>
      <c r="E2635" s="85" t="s">
        <v>7893</v>
      </c>
      <c r="F2635" s="87">
        <v>2</v>
      </c>
      <c r="G2635" s="37"/>
      <c r="H2635" s="37">
        <f>COUNTIF('(参考)現行システム機能階層一覧'!$E$3:$E$1048576,sheet1!B2635)</f>
        <v>0</v>
      </c>
      <c r="I2635" s="37"/>
      <c r="J2635" s="37"/>
      <c r="K2635" s="37"/>
      <c r="L2635" s="37"/>
    </row>
    <row r="2636" spans="1:12" ht="15.75" customHeight="1">
      <c r="A2636" s="87" t="s">
        <v>3935</v>
      </c>
      <c r="B2636" s="87" t="s">
        <v>588</v>
      </c>
      <c r="C2636" s="87" t="s">
        <v>589</v>
      </c>
      <c r="D2636" s="88">
        <v>563</v>
      </c>
      <c r="E2636" s="85" t="s">
        <v>7893</v>
      </c>
      <c r="F2636" s="87">
        <v>139</v>
      </c>
      <c r="G2636" s="37"/>
      <c r="H2636" s="37">
        <f>COUNTIF('(参考)現行システム機能階層一覧'!$E$3:$E$1048576,sheet1!B2636)</f>
        <v>1</v>
      </c>
      <c r="I2636" s="37"/>
      <c r="J2636" s="37"/>
      <c r="K2636" s="37"/>
      <c r="L2636" s="37"/>
    </row>
    <row r="2637" spans="1:12" ht="15.75" customHeight="1">
      <c r="A2637" s="87" t="s">
        <v>3853</v>
      </c>
      <c r="B2637" s="87" t="s">
        <v>7985</v>
      </c>
      <c r="C2637" s="87" t="s">
        <v>589</v>
      </c>
      <c r="D2637" s="88">
        <v>12</v>
      </c>
      <c r="E2637" s="85" t="s">
        <v>7893</v>
      </c>
      <c r="F2637" s="87">
        <v>138</v>
      </c>
      <c r="G2637" s="37"/>
      <c r="H2637" s="37">
        <f>COUNTIF('(参考)現行システム機能階層一覧'!$E$3:$E$1048576,sheet1!B2637)</f>
        <v>0</v>
      </c>
      <c r="I2637" s="37"/>
      <c r="J2637" s="37"/>
      <c r="K2637" s="37"/>
      <c r="L2637" s="37"/>
    </row>
    <row r="2638" spans="1:12" ht="15.75" customHeight="1">
      <c r="A2638" s="87" t="s">
        <v>3935</v>
      </c>
      <c r="B2638" s="87" t="s">
        <v>461</v>
      </c>
      <c r="C2638" s="87" t="s">
        <v>7986</v>
      </c>
      <c r="D2638" s="88">
        <v>1064</v>
      </c>
      <c r="E2638" s="85" t="s">
        <v>7893</v>
      </c>
      <c r="F2638" s="87">
        <v>59</v>
      </c>
      <c r="G2638" s="37"/>
      <c r="H2638" s="37">
        <f>COUNTIF('(参考)現行システム機能階層一覧'!$E$3:$E$1048576,sheet1!B2638)</f>
        <v>1</v>
      </c>
      <c r="I2638" s="37"/>
      <c r="J2638" s="37"/>
      <c r="K2638" s="37"/>
      <c r="L2638" s="37"/>
    </row>
    <row r="2639" spans="1:12" ht="15.75" customHeight="1">
      <c r="A2639" s="87" t="s">
        <v>3935</v>
      </c>
      <c r="B2639" s="87" t="s">
        <v>464</v>
      </c>
      <c r="C2639" s="87" t="s">
        <v>7987</v>
      </c>
      <c r="D2639" s="88">
        <v>401</v>
      </c>
      <c r="E2639" s="85" t="s">
        <v>7893</v>
      </c>
      <c r="F2639" s="87">
        <v>42</v>
      </c>
      <c r="G2639" s="37"/>
      <c r="H2639" s="37">
        <f>COUNTIF('(参考)現行システム機能階層一覧'!$E$3:$E$1048576,sheet1!B2639)</f>
        <v>1</v>
      </c>
      <c r="I2639" s="37"/>
      <c r="J2639" s="37"/>
      <c r="K2639" s="37"/>
      <c r="L2639" s="37"/>
    </row>
    <row r="2640" spans="1:12" ht="15.75" customHeight="1">
      <c r="A2640" s="87" t="s">
        <v>3935</v>
      </c>
      <c r="B2640" s="87" t="s">
        <v>487</v>
      </c>
      <c r="C2640" s="87" t="s">
        <v>7988</v>
      </c>
      <c r="D2640" s="88">
        <v>521</v>
      </c>
      <c r="E2640" s="85" t="s">
        <v>7893</v>
      </c>
      <c r="F2640" s="87">
        <v>7</v>
      </c>
      <c r="G2640" s="37"/>
      <c r="H2640" s="37">
        <f>COUNTIF('(参考)現行システム機能階層一覧'!$E$3:$E$1048576,sheet1!B2640)</f>
        <v>1</v>
      </c>
      <c r="I2640" s="37"/>
      <c r="J2640" s="37"/>
      <c r="K2640" s="37"/>
      <c r="L2640" s="37"/>
    </row>
    <row r="2641" spans="1:12" ht="15.75" customHeight="1">
      <c r="A2641" s="87" t="s">
        <v>3853</v>
      </c>
      <c r="B2641" s="87" t="s">
        <v>7989</v>
      </c>
      <c r="C2641" s="87" t="s">
        <v>7990</v>
      </c>
      <c r="D2641" s="88">
        <v>15</v>
      </c>
      <c r="E2641" s="85" t="s">
        <v>7893</v>
      </c>
      <c r="F2641" s="87">
        <v>7</v>
      </c>
      <c r="G2641" s="37"/>
      <c r="H2641" s="37">
        <f>COUNTIF('(参考)現行システム機能階層一覧'!$E$3:$E$1048576,sheet1!B2641)</f>
        <v>0</v>
      </c>
      <c r="I2641" s="37"/>
      <c r="J2641" s="37"/>
      <c r="K2641" s="37"/>
      <c r="L2641" s="37"/>
    </row>
    <row r="2642" spans="1:12" ht="15.75" customHeight="1">
      <c r="A2642" s="87" t="s">
        <v>3935</v>
      </c>
      <c r="B2642" s="87" t="s">
        <v>467</v>
      </c>
      <c r="C2642" s="87" t="s">
        <v>468</v>
      </c>
      <c r="D2642" s="88">
        <v>571</v>
      </c>
      <c r="E2642" s="85" t="s">
        <v>7893</v>
      </c>
      <c r="F2642" s="87">
        <v>221</v>
      </c>
      <c r="G2642" s="37"/>
      <c r="H2642" s="37">
        <f>COUNTIF('(参考)現行システム機能階層一覧'!$E$3:$E$1048576,sheet1!B2642)</f>
        <v>1</v>
      </c>
      <c r="I2642" s="37"/>
      <c r="J2642" s="37"/>
      <c r="K2642" s="37"/>
      <c r="L2642" s="37"/>
    </row>
    <row r="2643" spans="1:12" ht="15.75" customHeight="1">
      <c r="A2643" s="87" t="s">
        <v>3853</v>
      </c>
      <c r="B2643" s="87" t="s">
        <v>7991</v>
      </c>
      <c r="C2643" s="87" t="s">
        <v>468</v>
      </c>
      <c r="D2643" s="88">
        <v>64</v>
      </c>
      <c r="E2643" s="85" t="s">
        <v>7893</v>
      </c>
      <c r="F2643" s="87">
        <v>221</v>
      </c>
      <c r="G2643" s="37"/>
      <c r="H2643" s="37">
        <f>COUNTIF('(参考)現行システム機能階層一覧'!$E$3:$E$1048576,sheet1!B2643)</f>
        <v>0</v>
      </c>
      <c r="I2643" s="37"/>
      <c r="J2643" s="37"/>
      <c r="K2643" s="37"/>
      <c r="L2643" s="37"/>
    </row>
    <row r="2644" spans="1:12" ht="15.75" customHeight="1">
      <c r="A2644" s="87" t="s">
        <v>3935</v>
      </c>
      <c r="B2644" s="87" t="s">
        <v>7992</v>
      </c>
      <c r="C2644" s="87" t="s">
        <v>7993</v>
      </c>
      <c r="D2644" s="88">
        <v>87</v>
      </c>
      <c r="E2644" s="85" t="s">
        <v>7893</v>
      </c>
      <c r="F2644" s="87">
        <v>1</v>
      </c>
      <c r="G2644" s="37"/>
      <c r="H2644" s="37">
        <f>COUNTIF('(参考)現行システム機能階層一覧'!$E$3:$E$1048576,sheet1!B2644)</f>
        <v>0</v>
      </c>
      <c r="I2644" s="37"/>
      <c r="J2644" s="37"/>
      <c r="K2644" s="37"/>
      <c r="L2644" s="37"/>
    </row>
    <row r="2645" spans="1:12" ht="15.75" customHeight="1">
      <c r="A2645" s="87" t="s">
        <v>3853</v>
      </c>
      <c r="B2645" s="87" t="s">
        <v>7994</v>
      </c>
      <c r="C2645" s="87" t="s">
        <v>7995</v>
      </c>
      <c r="D2645" s="88">
        <v>19</v>
      </c>
      <c r="E2645" s="85" t="s">
        <v>7893</v>
      </c>
      <c r="F2645" s="87">
        <v>1</v>
      </c>
      <c r="G2645" s="37"/>
      <c r="H2645" s="37">
        <f>COUNTIF('(参考)現行システム機能階層一覧'!$E$3:$E$1048576,sheet1!B2645)</f>
        <v>0</v>
      </c>
      <c r="I2645" s="37"/>
      <c r="J2645" s="37"/>
      <c r="K2645" s="37"/>
      <c r="L2645" s="37"/>
    </row>
    <row r="2646" spans="1:12" ht="15.75" customHeight="1">
      <c r="A2646" s="87" t="s">
        <v>3935</v>
      </c>
      <c r="B2646" s="87" t="s">
        <v>7996</v>
      </c>
      <c r="C2646" s="87" t="s">
        <v>7997</v>
      </c>
      <c r="D2646" s="88">
        <v>405</v>
      </c>
      <c r="E2646" s="85" t="s">
        <v>7893</v>
      </c>
      <c r="F2646" s="87">
        <v>1</v>
      </c>
      <c r="G2646" s="37"/>
      <c r="H2646" s="37">
        <f>COUNTIF('(参考)現行システム機能階層一覧'!$E$3:$E$1048576,sheet1!B2646)</f>
        <v>0</v>
      </c>
      <c r="I2646" s="37"/>
      <c r="J2646" s="37"/>
      <c r="K2646" s="37"/>
      <c r="L2646" s="37"/>
    </row>
    <row r="2647" spans="1:12" ht="15.75" customHeight="1">
      <c r="A2647" s="87" t="s">
        <v>3935</v>
      </c>
      <c r="B2647" s="87" t="s">
        <v>7998</v>
      </c>
      <c r="C2647" s="87" t="s">
        <v>7999</v>
      </c>
      <c r="D2647" s="88">
        <v>1277</v>
      </c>
      <c r="E2647" s="85" t="s">
        <v>7893</v>
      </c>
      <c r="F2647" s="87">
        <v>1</v>
      </c>
      <c r="G2647" s="37"/>
      <c r="H2647" s="37">
        <f>COUNTIF('(参考)現行システム機能階層一覧'!$E$3:$E$1048576,sheet1!B2647)</f>
        <v>0</v>
      </c>
      <c r="I2647" s="37"/>
      <c r="J2647" s="37"/>
      <c r="K2647" s="37"/>
      <c r="L2647" s="37"/>
    </row>
    <row r="2648" spans="1:12" ht="15.75" customHeight="1">
      <c r="A2648" s="87" t="s">
        <v>3935</v>
      </c>
      <c r="B2648" s="87" t="s">
        <v>758</v>
      </c>
      <c r="C2648" s="87" t="s">
        <v>8000</v>
      </c>
      <c r="D2648" s="88">
        <v>477</v>
      </c>
      <c r="E2648" s="85" t="s">
        <v>7893</v>
      </c>
      <c r="F2648" s="87">
        <v>166</v>
      </c>
      <c r="G2648" s="37"/>
      <c r="H2648" s="37">
        <f>COUNTIF('(参考)現行システム機能階層一覧'!$E$3:$E$1048576,sheet1!B2648)</f>
        <v>1</v>
      </c>
      <c r="I2648" s="37"/>
      <c r="J2648" s="37"/>
      <c r="K2648" s="37"/>
      <c r="L2648" s="37"/>
    </row>
    <row r="2649" spans="1:12" ht="15.75" customHeight="1">
      <c r="A2649" s="87" t="s">
        <v>3935</v>
      </c>
      <c r="B2649" s="87" t="s">
        <v>8001</v>
      </c>
      <c r="C2649" s="87" t="s">
        <v>8002</v>
      </c>
      <c r="D2649" s="88">
        <v>622</v>
      </c>
      <c r="E2649" s="85" t="s">
        <v>7893</v>
      </c>
      <c r="F2649" s="87">
        <v>56</v>
      </c>
      <c r="G2649" s="37"/>
      <c r="H2649" s="37">
        <f>COUNTIF('(参考)現行システム機能階層一覧'!$E$3:$E$1048576,sheet1!B2649)</f>
        <v>0</v>
      </c>
      <c r="I2649" s="37"/>
      <c r="J2649" s="37"/>
      <c r="K2649" s="37"/>
      <c r="L2649" s="37"/>
    </row>
    <row r="2650" spans="1:12" ht="15.75" customHeight="1">
      <c r="A2650" s="87" t="s">
        <v>3935</v>
      </c>
      <c r="B2650" s="87" t="s">
        <v>8003</v>
      </c>
      <c r="C2650" s="87" t="s">
        <v>8004</v>
      </c>
      <c r="D2650" s="88">
        <v>430</v>
      </c>
      <c r="E2650" s="85" t="s">
        <v>7893</v>
      </c>
      <c r="F2650" s="87">
        <v>1</v>
      </c>
      <c r="G2650" s="37"/>
      <c r="H2650" s="37">
        <f>COUNTIF('(参考)現行システム機能階層一覧'!$E$3:$E$1048576,sheet1!B2650)</f>
        <v>0</v>
      </c>
      <c r="I2650" s="37"/>
      <c r="J2650" s="37"/>
      <c r="K2650" s="37"/>
      <c r="L2650" s="37"/>
    </row>
    <row r="2651" spans="1:12" ht="15.75" customHeight="1">
      <c r="A2651" s="87" t="s">
        <v>3935</v>
      </c>
      <c r="B2651" s="87" t="s">
        <v>8005</v>
      </c>
      <c r="C2651" s="87" t="s">
        <v>8006</v>
      </c>
      <c r="D2651" s="88">
        <v>1803</v>
      </c>
      <c r="E2651" s="85" t="s">
        <v>7893</v>
      </c>
      <c r="F2651" s="87">
        <v>1</v>
      </c>
      <c r="G2651" s="37"/>
      <c r="H2651" s="37">
        <f>COUNTIF('(参考)現行システム機能階層一覧'!$E$3:$E$1048576,sheet1!B2651)</f>
        <v>0</v>
      </c>
      <c r="I2651" s="37"/>
      <c r="J2651" s="37"/>
      <c r="K2651" s="37"/>
      <c r="L2651" s="37"/>
    </row>
    <row r="2652" spans="1:12" ht="15.75" customHeight="1">
      <c r="A2652" s="87" t="s">
        <v>3853</v>
      </c>
      <c r="B2652" s="87" t="s">
        <v>8007</v>
      </c>
      <c r="C2652" s="87" t="s">
        <v>8008</v>
      </c>
      <c r="D2652" s="88">
        <v>43</v>
      </c>
      <c r="E2652" s="85" t="s">
        <v>7893</v>
      </c>
      <c r="F2652" s="87">
        <v>1</v>
      </c>
      <c r="G2652" s="37"/>
      <c r="H2652" s="37">
        <f>COUNTIF('(参考)現行システム機能階層一覧'!$E$3:$E$1048576,sheet1!B2652)</f>
        <v>0</v>
      </c>
      <c r="I2652" s="37"/>
      <c r="J2652" s="37"/>
      <c r="K2652" s="37"/>
      <c r="L2652" s="37"/>
    </row>
    <row r="2653" spans="1:12" ht="15.75" customHeight="1">
      <c r="A2653" s="87" t="s">
        <v>3935</v>
      </c>
      <c r="B2653" s="87" t="s">
        <v>8009</v>
      </c>
      <c r="C2653" s="87" t="s">
        <v>8010</v>
      </c>
      <c r="D2653" s="88">
        <v>440</v>
      </c>
      <c r="E2653" s="85" t="s">
        <v>7893</v>
      </c>
      <c r="F2653" s="87">
        <v>1</v>
      </c>
      <c r="G2653" s="37"/>
      <c r="H2653" s="37">
        <f>COUNTIF('(参考)現行システム機能階層一覧'!$E$3:$E$1048576,sheet1!B2653)</f>
        <v>0</v>
      </c>
      <c r="I2653" s="37"/>
      <c r="J2653" s="37"/>
      <c r="K2653" s="37"/>
      <c r="L2653" s="37"/>
    </row>
    <row r="2654" spans="1:12" ht="15.75" customHeight="1">
      <c r="A2654" s="87" t="s">
        <v>3935</v>
      </c>
      <c r="B2654" s="87" t="s">
        <v>8011</v>
      </c>
      <c r="C2654" s="87" t="s">
        <v>8012</v>
      </c>
      <c r="D2654" s="88">
        <v>484</v>
      </c>
      <c r="E2654" s="85" t="s">
        <v>7893</v>
      </c>
      <c r="F2654" s="87">
        <v>1</v>
      </c>
      <c r="G2654" s="37"/>
      <c r="H2654" s="37">
        <f>COUNTIF('(参考)現行システム機能階層一覧'!$E$3:$E$1048576,sheet1!B2654)</f>
        <v>0</v>
      </c>
      <c r="I2654" s="37"/>
      <c r="J2654" s="37"/>
      <c r="K2654" s="37"/>
      <c r="L2654" s="37"/>
    </row>
    <row r="2655" spans="1:12" ht="15.75" customHeight="1">
      <c r="A2655" s="87" t="s">
        <v>3935</v>
      </c>
      <c r="B2655" s="87" t="s">
        <v>612</v>
      </c>
      <c r="C2655" s="87" t="s">
        <v>613</v>
      </c>
      <c r="D2655" s="88">
        <v>2517</v>
      </c>
      <c r="E2655" s="85" t="s">
        <v>7893</v>
      </c>
      <c r="F2655" s="87">
        <v>93</v>
      </c>
      <c r="G2655" s="37"/>
      <c r="H2655" s="37">
        <f>COUNTIF('(参考)現行システム機能階層一覧'!$E$3:$E$1048576,sheet1!B2655)</f>
        <v>1</v>
      </c>
      <c r="I2655" s="37"/>
      <c r="J2655" s="37"/>
      <c r="K2655" s="37"/>
      <c r="L2655" s="37"/>
    </row>
    <row r="2656" spans="1:12" ht="15.75" customHeight="1">
      <c r="A2656" s="87" t="s">
        <v>3853</v>
      </c>
      <c r="B2656" s="87" t="s">
        <v>8013</v>
      </c>
      <c r="C2656" s="87" t="s">
        <v>613</v>
      </c>
      <c r="D2656" s="88">
        <v>10</v>
      </c>
      <c r="E2656" s="85" t="s">
        <v>7893</v>
      </c>
      <c r="F2656" s="87">
        <v>1433</v>
      </c>
      <c r="G2656" s="37"/>
      <c r="H2656" s="37">
        <f>COUNTIF('(参考)現行システム機能階層一覧'!$E$3:$E$1048576,sheet1!B2656)</f>
        <v>0</v>
      </c>
      <c r="I2656" s="37"/>
      <c r="J2656" s="37"/>
      <c r="K2656" s="37"/>
      <c r="L2656" s="37"/>
    </row>
    <row r="2657" spans="1:12" ht="15.75" customHeight="1">
      <c r="A2657" s="87" t="s">
        <v>3935</v>
      </c>
      <c r="B2657" s="87" t="s">
        <v>738</v>
      </c>
      <c r="C2657" s="87" t="s">
        <v>8014</v>
      </c>
      <c r="D2657" s="88">
        <v>1368</v>
      </c>
      <c r="E2657" s="85" t="s">
        <v>7893</v>
      </c>
      <c r="F2657" s="87">
        <v>1396</v>
      </c>
      <c r="G2657" s="37"/>
      <c r="H2657" s="37">
        <f>COUNTIF('(参考)現行システム機能階層一覧'!$E$3:$E$1048576,sheet1!B2657)</f>
        <v>1</v>
      </c>
      <c r="I2657" s="37"/>
      <c r="J2657" s="37"/>
      <c r="K2657" s="37"/>
      <c r="L2657" s="37"/>
    </row>
    <row r="2658" spans="1:12" ht="15.75" customHeight="1">
      <c r="A2658" s="87" t="s">
        <v>3935</v>
      </c>
      <c r="B2658" s="87" t="s">
        <v>8015</v>
      </c>
      <c r="C2658" s="87" t="s">
        <v>8014</v>
      </c>
      <c r="D2658" s="88">
        <v>1359</v>
      </c>
      <c r="E2658" s="85" t="s">
        <v>7893</v>
      </c>
      <c r="F2658" s="87">
        <v>9</v>
      </c>
      <c r="G2658" s="37"/>
      <c r="H2658" s="37">
        <f>COUNTIF('(参考)現行システム機能階層一覧'!$E$3:$E$1048576,sheet1!B2658)</f>
        <v>0</v>
      </c>
      <c r="I2658" s="37"/>
      <c r="J2658" s="37"/>
      <c r="K2658" s="37"/>
      <c r="L2658" s="37"/>
    </row>
    <row r="2659" spans="1:12" ht="15.75" customHeight="1">
      <c r="A2659" s="87" t="s">
        <v>3935</v>
      </c>
      <c r="B2659" s="87" t="s">
        <v>742</v>
      </c>
      <c r="C2659" s="87" t="s">
        <v>8016</v>
      </c>
      <c r="D2659" s="88">
        <v>818</v>
      </c>
      <c r="E2659" s="85" t="s">
        <v>7893</v>
      </c>
      <c r="F2659" s="87">
        <v>1444</v>
      </c>
      <c r="G2659" s="37"/>
      <c r="H2659" s="37">
        <f>COUNTIF('(参考)現行システム機能階層一覧'!$E$3:$E$1048576,sheet1!B2659)</f>
        <v>1</v>
      </c>
      <c r="I2659" s="37"/>
      <c r="J2659" s="37"/>
      <c r="K2659" s="37"/>
      <c r="L2659" s="37"/>
    </row>
    <row r="2660" spans="1:12" ht="15.75" customHeight="1">
      <c r="A2660" s="87" t="s">
        <v>3853</v>
      </c>
      <c r="B2660" s="87" t="s">
        <v>8017</v>
      </c>
      <c r="C2660" s="87" t="s">
        <v>8018</v>
      </c>
      <c r="D2660" s="88">
        <v>12</v>
      </c>
      <c r="E2660" s="85" t="s">
        <v>7893</v>
      </c>
      <c r="F2660" s="87">
        <v>1444</v>
      </c>
      <c r="G2660" s="37"/>
      <c r="H2660" s="37">
        <f>COUNTIF('(参考)現行システム機能階層一覧'!$E$3:$E$1048576,sheet1!B2660)</f>
        <v>0</v>
      </c>
      <c r="I2660" s="37"/>
      <c r="J2660" s="37"/>
      <c r="K2660" s="37"/>
      <c r="L2660" s="37"/>
    </row>
    <row r="2661" spans="1:12" ht="15.75" customHeight="1">
      <c r="A2661" s="87" t="s">
        <v>3853</v>
      </c>
      <c r="B2661" s="87" t="s">
        <v>8019</v>
      </c>
      <c r="C2661" s="87" t="s">
        <v>8020</v>
      </c>
      <c r="D2661" s="88">
        <v>12</v>
      </c>
      <c r="E2661" s="85" t="s">
        <v>7893</v>
      </c>
      <c r="F2661" s="87">
        <v>77</v>
      </c>
      <c r="G2661" s="37"/>
      <c r="H2661" s="37">
        <f>COUNTIF('(参考)現行システム機能階層一覧'!$E$3:$E$1048576,sheet1!B2661)</f>
        <v>0</v>
      </c>
      <c r="I2661" s="37"/>
      <c r="J2661" s="37"/>
      <c r="K2661" s="37"/>
      <c r="L2661" s="37"/>
    </row>
    <row r="2662" spans="1:12" ht="15.75" customHeight="1">
      <c r="A2662" s="87" t="s">
        <v>3935</v>
      </c>
      <c r="B2662" s="87" t="s">
        <v>746</v>
      </c>
      <c r="C2662" s="87" t="s">
        <v>8021</v>
      </c>
      <c r="D2662" s="88">
        <v>812</v>
      </c>
      <c r="E2662" s="85" t="s">
        <v>7893</v>
      </c>
      <c r="F2662" s="87">
        <v>77</v>
      </c>
      <c r="G2662" s="37"/>
      <c r="H2662" s="37">
        <f>COUNTIF('(参考)現行システム機能階層一覧'!$E$3:$E$1048576,sheet1!B2662)</f>
        <v>1</v>
      </c>
      <c r="I2662" s="37"/>
      <c r="J2662" s="37"/>
      <c r="K2662" s="37"/>
      <c r="L2662" s="37"/>
    </row>
    <row r="2663" spans="1:12" ht="15.75" customHeight="1">
      <c r="A2663" s="87" t="s">
        <v>3935</v>
      </c>
      <c r="B2663" s="87" t="s">
        <v>8022</v>
      </c>
      <c r="C2663" s="87" t="s">
        <v>8018</v>
      </c>
      <c r="D2663" s="88">
        <v>1522</v>
      </c>
      <c r="E2663" s="85" t="s">
        <v>7893</v>
      </c>
      <c r="F2663" s="87">
        <v>92</v>
      </c>
      <c r="G2663" s="37"/>
      <c r="H2663" s="37">
        <f>COUNTIF('(参考)現行システム機能階層一覧'!$E$3:$E$1048576,sheet1!B2663)</f>
        <v>0</v>
      </c>
      <c r="I2663" s="37"/>
      <c r="J2663" s="37"/>
      <c r="K2663" s="37"/>
      <c r="L2663" s="37"/>
    </row>
    <row r="2664" spans="1:12" ht="15.75" customHeight="1">
      <c r="A2664" s="87" t="s">
        <v>3935</v>
      </c>
      <c r="B2664" s="87" t="s">
        <v>674</v>
      </c>
      <c r="C2664" s="87" t="s">
        <v>675</v>
      </c>
      <c r="D2664" s="88">
        <v>749</v>
      </c>
      <c r="E2664" s="85" t="s">
        <v>7893</v>
      </c>
      <c r="F2664" s="87">
        <v>4</v>
      </c>
      <c r="G2664" s="37"/>
      <c r="H2664" s="37">
        <f>COUNTIF('(参考)現行システム機能階層一覧'!$E$3:$E$1048576,sheet1!B2664)</f>
        <v>1</v>
      </c>
      <c r="I2664" s="37"/>
      <c r="J2664" s="37"/>
      <c r="K2664" s="37"/>
      <c r="L2664" s="37"/>
    </row>
    <row r="2665" spans="1:12" ht="15.75" customHeight="1">
      <c r="A2665" s="87" t="s">
        <v>3935</v>
      </c>
      <c r="B2665" s="87" t="s">
        <v>8023</v>
      </c>
      <c r="C2665" s="87" t="s">
        <v>8024</v>
      </c>
      <c r="D2665" s="88">
        <v>336</v>
      </c>
      <c r="E2665" s="85" t="s">
        <v>7893</v>
      </c>
      <c r="F2665" s="87">
        <v>1</v>
      </c>
      <c r="G2665" s="37"/>
      <c r="H2665" s="37">
        <f>COUNTIF('(参考)現行システム機能階層一覧'!$E$3:$E$1048576,sheet1!B2665)</f>
        <v>0</v>
      </c>
      <c r="I2665" s="37"/>
      <c r="J2665" s="37"/>
      <c r="K2665" s="37"/>
      <c r="L2665" s="37"/>
    </row>
    <row r="2666" spans="1:12" ht="15.75" customHeight="1">
      <c r="A2666" s="87" t="s">
        <v>3935</v>
      </c>
      <c r="B2666" s="87" t="s">
        <v>8025</v>
      </c>
      <c r="C2666" s="87" t="s">
        <v>8026</v>
      </c>
      <c r="D2666" s="88">
        <v>561</v>
      </c>
      <c r="E2666" s="85" t="s">
        <v>7893</v>
      </c>
      <c r="F2666" s="87">
        <v>1</v>
      </c>
      <c r="G2666" s="37"/>
      <c r="H2666" s="37">
        <f>COUNTIF('(参考)現行システム機能階層一覧'!$E$3:$E$1048576,sheet1!B2666)</f>
        <v>0</v>
      </c>
      <c r="I2666" s="37"/>
      <c r="J2666" s="37"/>
      <c r="K2666" s="37"/>
      <c r="L2666" s="37"/>
    </row>
    <row r="2667" spans="1:12" ht="15.75" customHeight="1">
      <c r="A2667" s="87" t="s">
        <v>3935</v>
      </c>
      <c r="B2667" s="87" t="s">
        <v>616</v>
      </c>
      <c r="C2667" s="87" t="s">
        <v>8027</v>
      </c>
      <c r="D2667" s="88">
        <v>936</v>
      </c>
      <c r="E2667" s="85" t="s">
        <v>7893</v>
      </c>
      <c r="F2667" s="87">
        <v>51</v>
      </c>
      <c r="G2667" s="37"/>
      <c r="H2667" s="37">
        <f>COUNTIF('(参考)現行システム機能階層一覧'!$E$3:$E$1048576,sheet1!B2667)</f>
        <v>1</v>
      </c>
      <c r="I2667" s="37"/>
      <c r="J2667" s="37"/>
      <c r="K2667" s="37"/>
      <c r="L2667" s="37"/>
    </row>
    <row r="2668" spans="1:12" ht="15.75" customHeight="1">
      <c r="A2668" s="87" t="s">
        <v>3935</v>
      </c>
      <c r="B2668" s="87" t="s">
        <v>8028</v>
      </c>
      <c r="C2668" s="87" t="s">
        <v>8029</v>
      </c>
      <c r="D2668" s="88">
        <v>158</v>
      </c>
      <c r="E2668" s="85" t="s">
        <v>7893</v>
      </c>
      <c r="F2668" s="87">
        <v>1</v>
      </c>
      <c r="G2668" s="37"/>
      <c r="H2668" s="37">
        <f>COUNTIF('(参考)現行システム機能階層一覧'!$E$3:$E$1048576,sheet1!B2668)</f>
        <v>0</v>
      </c>
      <c r="I2668" s="37"/>
      <c r="J2668" s="37"/>
      <c r="K2668" s="37"/>
      <c r="L2668" s="37"/>
    </row>
    <row r="2669" spans="1:12" ht="15.75" customHeight="1">
      <c r="A2669" s="87" t="s">
        <v>3935</v>
      </c>
      <c r="B2669" s="87" t="s">
        <v>8030</v>
      </c>
      <c r="C2669" s="87" t="s">
        <v>8031</v>
      </c>
      <c r="D2669" s="88">
        <v>158</v>
      </c>
      <c r="E2669" s="85" t="s">
        <v>7893</v>
      </c>
      <c r="F2669" s="87">
        <v>1</v>
      </c>
      <c r="G2669" s="37"/>
      <c r="H2669" s="37">
        <f>COUNTIF('(参考)現行システム機能階層一覧'!$E$3:$E$1048576,sheet1!B2669)</f>
        <v>0</v>
      </c>
      <c r="I2669" s="37"/>
      <c r="J2669" s="37"/>
      <c r="K2669" s="37"/>
      <c r="L2669" s="37"/>
    </row>
    <row r="2670" spans="1:12" ht="15.75" customHeight="1">
      <c r="A2670" s="87" t="s">
        <v>3935</v>
      </c>
      <c r="B2670" s="87" t="s">
        <v>8032</v>
      </c>
      <c r="C2670" s="87" t="s">
        <v>8033</v>
      </c>
      <c r="D2670" s="88">
        <v>150</v>
      </c>
      <c r="E2670" s="85" t="s">
        <v>7893</v>
      </c>
      <c r="F2670" s="87">
        <v>1</v>
      </c>
      <c r="G2670" s="37"/>
      <c r="H2670" s="37">
        <f>COUNTIF('(参考)現行システム機能階層一覧'!$E$3:$E$1048576,sheet1!B2670)</f>
        <v>0</v>
      </c>
      <c r="I2670" s="37"/>
      <c r="J2670" s="37"/>
      <c r="K2670" s="37"/>
      <c r="L2670" s="37"/>
    </row>
    <row r="2671" spans="1:12" ht="15.75" customHeight="1">
      <c r="A2671" s="87" t="s">
        <v>3935</v>
      </c>
      <c r="B2671" s="87" t="s">
        <v>8034</v>
      </c>
      <c r="C2671" s="87" t="s">
        <v>8035</v>
      </c>
      <c r="D2671" s="88">
        <v>103</v>
      </c>
      <c r="E2671" s="85" t="s">
        <v>7893</v>
      </c>
      <c r="F2671" s="87">
        <v>1</v>
      </c>
      <c r="G2671" s="37"/>
      <c r="H2671" s="37">
        <f>COUNTIF('(参考)現行システム機能階層一覧'!$E$3:$E$1048576,sheet1!B2671)</f>
        <v>0</v>
      </c>
      <c r="I2671" s="37"/>
      <c r="J2671" s="37"/>
      <c r="K2671" s="37"/>
      <c r="L2671" s="37"/>
    </row>
    <row r="2672" spans="1:12" ht="15.75" customHeight="1">
      <c r="A2672" s="87" t="s">
        <v>3935</v>
      </c>
      <c r="B2672" s="87" t="s">
        <v>8036</v>
      </c>
      <c r="C2672" s="87" t="s">
        <v>8037</v>
      </c>
      <c r="D2672" s="88">
        <v>103</v>
      </c>
      <c r="E2672" s="85" t="s">
        <v>7893</v>
      </c>
      <c r="F2672" s="87">
        <v>1</v>
      </c>
      <c r="G2672" s="37"/>
      <c r="H2672" s="37">
        <f>COUNTIF('(参考)現行システム機能階層一覧'!$E$3:$E$1048576,sheet1!B2672)</f>
        <v>0</v>
      </c>
      <c r="I2672" s="37"/>
      <c r="J2672" s="37"/>
      <c r="K2672" s="37"/>
      <c r="L2672" s="37"/>
    </row>
    <row r="2673" spans="1:12" ht="15.75" customHeight="1">
      <c r="A2673" s="87" t="s">
        <v>3935</v>
      </c>
      <c r="B2673" s="87" t="s">
        <v>8038</v>
      </c>
      <c r="C2673" s="87" t="s">
        <v>8039</v>
      </c>
      <c r="D2673" s="88">
        <v>109</v>
      </c>
      <c r="E2673" s="85" t="s">
        <v>7893</v>
      </c>
      <c r="F2673" s="87">
        <v>1</v>
      </c>
      <c r="G2673" s="37"/>
      <c r="H2673" s="37">
        <f>COUNTIF('(参考)現行システム機能階層一覧'!$E$3:$E$1048576,sheet1!B2673)</f>
        <v>0</v>
      </c>
      <c r="I2673" s="37"/>
      <c r="J2673" s="37"/>
      <c r="K2673" s="37"/>
      <c r="L2673" s="37"/>
    </row>
    <row r="2674" spans="1:12" ht="15.75" customHeight="1">
      <c r="A2674" s="87" t="s">
        <v>3935</v>
      </c>
      <c r="B2674" s="87" t="s">
        <v>8040</v>
      </c>
      <c r="C2674" s="87" t="s">
        <v>8041</v>
      </c>
      <c r="D2674" s="88">
        <v>109</v>
      </c>
      <c r="E2674" s="85" t="s">
        <v>7893</v>
      </c>
      <c r="F2674" s="87">
        <v>1</v>
      </c>
      <c r="G2674" s="37"/>
      <c r="H2674" s="37">
        <f>COUNTIF('(参考)現行システム機能階層一覧'!$E$3:$E$1048576,sheet1!B2674)</f>
        <v>0</v>
      </c>
      <c r="I2674" s="37"/>
      <c r="J2674" s="37"/>
      <c r="K2674" s="37"/>
      <c r="L2674" s="37"/>
    </row>
    <row r="2675" spans="1:12" ht="15.75" customHeight="1">
      <c r="A2675" s="87" t="s">
        <v>3935</v>
      </c>
      <c r="B2675" s="87" t="s">
        <v>620</v>
      </c>
      <c r="C2675" s="87" t="s">
        <v>8042</v>
      </c>
      <c r="D2675" s="88">
        <v>606</v>
      </c>
      <c r="E2675" s="85" t="s">
        <v>7893</v>
      </c>
      <c r="F2675" s="87">
        <v>6</v>
      </c>
      <c r="G2675" s="37"/>
      <c r="H2675" s="37">
        <f>COUNTIF('(参考)現行システム機能階層一覧'!$E$3:$E$1048576,sheet1!B2675)</f>
        <v>1</v>
      </c>
      <c r="I2675" s="37"/>
      <c r="J2675" s="37"/>
      <c r="K2675" s="37"/>
      <c r="L2675" s="37"/>
    </row>
    <row r="2676" spans="1:12" ht="15.75" customHeight="1">
      <c r="A2676" s="87" t="s">
        <v>3853</v>
      </c>
      <c r="B2676" s="87" t="s">
        <v>8043</v>
      </c>
      <c r="C2676" s="87" t="s">
        <v>8042</v>
      </c>
      <c r="D2676" s="88">
        <v>59</v>
      </c>
      <c r="E2676" s="85" t="s">
        <v>7893</v>
      </c>
      <c r="F2676" s="87">
        <v>6</v>
      </c>
      <c r="G2676" s="37"/>
      <c r="H2676" s="37">
        <f>COUNTIF('(参考)現行システム機能階層一覧'!$E$3:$E$1048576,sheet1!B2676)</f>
        <v>0</v>
      </c>
      <c r="I2676" s="37"/>
      <c r="J2676" s="37"/>
      <c r="K2676" s="37"/>
      <c r="L2676" s="37"/>
    </row>
    <row r="2677" spans="1:12" ht="15.75" customHeight="1">
      <c r="A2677" s="87" t="s">
        <v>3935</v>
      </c>
      <c r="B2677" s="87" t="s">
        <v>8044</v>
      </c>
      <c r="C2677" s="87" t="s">
        <v>8045</v>
      </c>
      <c r="D2677" s="88">
        <v>348</v>
      </c>
      <c r="E2677" s="85" t="s">
        <v>7893</v>
      </c>
      <c r="F2677" s="87">
        <v>1</v>
      </c>
      <c r="G2677" s="37"/>
      <c r="H2677" s="37">
        <f>COUNTIF('(参考)現行システム機能階層一覧'!$E$3:$E$1048576,sheet1!B2677)</f>
        <v>0</v>
      </c>
      <c r="I2677" s="37"/>
      <c r="J2677" s="37"/>
      <c r="K2677" s="37"/>
      <c r="L2677" s="37"/>
    </row>
    <row r="2678" spans="1:12" ht="15.75" customHeight="1">
      <c r="A2678" s="87" t="s">
        <v>3935</v>
      </c>
      <c r="B2678" s="87" t="s">
        <v>8046</v>
      </c>
      <c r="C2678" s="87" t="s">
        <v>8047</v>
      </c>
      <c r="D2678" s="88">
        <v>320</v>
      </c>
      <c r="E2678" s="85" t="s">
        <v>7893</v>
      </c>
      <c r="F2678" s="87">
        <v>1</v>
      </c>
      <c r="G2678" s="37"/>
      <c r="H2678" s="37">
        <f>COUNTIF('(参考)現行システム機能階層一覧'!$E$3:$E$1048576,sheet1!B2678)</f>
        <v>0</v>
      </c>
      <c r="I2678" s="37"/>
      <c r="J2678" s="37"/>
      <c r="K2678" s="37"/>
      <c r="L2678" s="37"/>
    </row>
    <row r="2679" spans="1:12" ht="15.75" customHeight="1">
      <c r="A2679" s="87" t="s">
        <v>3935</v>
      </c>
      <c r="B2679" s="87" t="s">
        <v>8048</v>
      </c>
      <c r="C2679" s="87" t="s">
        <v>8049</v>
      </c>
      <c r="D2679" s="88">
        <v>136</v>
      </c>
      <c r="E2679" s="85" t="s">
        <v>7893</v>
      </c>
      <c r="F2679" s="87">
        <v>1</v>
      </c>
      <c r="G2679" s="37"/>
      <c r="H2679" s="37">
        <f>COUNTIF('(参考)現行システム機能階層一覧'!$E$3:$E$1048576,sheet1!B2679)</f>
        <v>0</v>
      </c>
      <c r="I2679" s="37"/>
      <c r="J2679" s="37"/>
      <c r="K2679" s="37"/>
      <c r="L2679" s="37"/>
    </row>
    <row r="2680" spans="1:12" ht="15.75" customHeight="1">
      <c r="A2680" s="87" t="s">
        <v>3935</v>
      </c>
      <c r="B2680" s="87" t="s">
        <v>8050</v>
      </c>
      <c r="C2680" s="87" t="s">
        <v>8051</v>
      </c>
      <c r="D2680" s="88">
        <v>126</v>
      </c>
      <c r="E2680" s="85" t="s">
        <v>7893</v>
      </c>
      <c r="F2680" s="87">
        <v>1</v>
      </c>
      <c r="G2680" s="37"/>
      <c r="H2680" s="37">
        <f>COUNTIF('(参考)現行システム機能階層一覧'!$E$3:$E$1048576,sheet1!B2680)</f>
        <v>0</v>
      </c>
      <c r="I2680" s="37"/>
      <c r="J2680" s="37"/>
      <c r="K2680" s="37"/>
      <c r="L2680" s="37"/>
    </row>
    <row r="2681" spans="1:12" ht="15.75" customHeight="1">
      <c r="A2681" s="87" t="s">
        <v>3935</v>
      </c>
      <c r="B2681" s="87" t="s">
        <v>8052</v>
      </c>
      <c r="C2681" s="87" t="s">
        <v>8029</v>
      </c>
      <c r="D2681" s="88">
        <v>124</v>
      </c>
      <c r="E2681" s="85" t="s">
        <v>7893</v>
      </c>
      <c r="F2681" s="87">
        <v>1</v>
      </c>
      <c r="G2681" s="37"/>
      <c r="H2681" s="37">
        <f>COUNTIF('(参考)現行システム機能階層一覧'!$E$3:$E$1048576,sheet1!B2681)</f>
        <v>0</v>
      </c>
      <c r="I2681" s="37"/>
      <c r="J2681" s="37"/>
      <c r="K2681" s="37"/>
      <c r="L2681" s="37"/>
    </row>
    <row r="2682" spans="1:12" ht="15.75" customHeight="1">
      <c r="A2682" s="87" t="s">
        <v>3935</v>
      </c>
      <c r="B2682" s="87" t="s">
        <v>8053</v>
      </c>
      <c r="C2682" s="87" t="s">
        <v>8054</v>
      </c>
      <c r="D2682" s="88">
        <v>131</v>
      </c>
      <c r="E2682" s="85" t="s">
        <v>7893</v>
      </c>
      <c r="F2682" s="87">
        <v>1</v>
      </c>
      <c r="G2682" s="37"/>
      <c r="H2682" s="37">
        <f>COUNTIF('(参考)現行システム機能階層一覧'!$E$3:$E$1048576,sheet1!B2682)</f>
        <v>0</v>
      </c>
      <c r="I2682" s="37"/>
      <c r="J2682" s="37"/>
      <c r="K2682" s="37"/>
      <c r="L2682" s="37"/>
    </row>
    <row r="2683" spans="1:12" ht="15.75" customHeight="1">
      <c r="A2683" s="87" t="s">
        <v>3935</v>
      </c>
      <c r="B2683" s="87" t="s">
        <v>8055</v>
      </c>
      <c r="C2683" s="87" t="s">
        <v>8056</v>
      </c>
      <c r="D2683" s="88">
        <v>143</v>
      </c>
      <c r="E2683" s="85" t="s">
        <v>7893</v>
      </c>
      <c r="F2683" s="87">
        <v>145</v>
      </c>
      <c r="G2683" s="37"/>
      <c r="H2683" s="37">
        <f>COUNTIF('(参考)現行システム機能階層一覧'!$E$3:$E$1048576,sheet1!B2683)</f>
        <v>0</v>
      </c>
      <c r="I2683" s="37"/>
      <c r="J2683" s="37"/>
      <c r="K2683" s="37"/>
      <c r="L2683" s="37"/>
    </row>
    <row r="2684" spans="1:12" ht="15.75" customHeight="1">
      <c r="A2684" s="87" t="s">
        <v>3935</v>
      </c>
      <c r="B2684" s="87" t="s">
        <v>8057</v>
      </c>
      <c r="C2684" s="87" t="s">
        <v>8058</v>
      </c>
      <c r="D2684" s="88">
        <v>331</v>
      </c>
      <c r="E2684" s="85" t="s">
        <v>7893</v>
      </c>
      <c r="F2684" s="87">
        <v>84</v>
      </c>
      <c r="G2684" s="37"/>
      <c r="H2684" s="37">
        <f>COUNTIF('(参考)現行システム機能階層一覧'!$E$3:$E$1048576,sheet1!B2684)</f>
        <v>0</v>
      </c>
      <c r="I2684" s="37"/>
      <c r="J2684" s="37"/>
      <c r="K2684" s="37"/>
      <c r="L2684" s="37"/>
    </row>
    <row r="2685" spans="1:12" ht="15.75" customHeight="1">
      <c r="A2685" s="87" t="s">
        <v>3935</v>
      </c>
      <c r="B2685" s="87" t="s">
        <v>8059</v>
      </c>
      <c r="C2685" s="87" t="s">
        <v>8060</v>
      </c>
      <c r="D2685" s="88">
        <v>164</v>
      </c>
      <c r="E2685" s="85" t="s">
        <v>7893</v>
      </c>
      <c r="F2685" s="87">
        <v>1</v>
      </c>
      <c r="G2685" s="37"/>
      <c r="H2685" s="37">
        <f>COUNTIF('(参考)現行システム機能階層一覧'!$E$3:$E$1048576,sheet1!B2685)</f>
        <v>0</v>
      </c>
      <c r="I2685" s="37"/>
      <c r="J2685" s="37"/>
      <c r="K2685" s="37"/>
      <c r="L2685" s="37"/>
    </row>
    <row r="2686" spans="1:12" ht="15.75" customHeight="1">
      <c r="A2686" s="87" t="s">
        <v>3935</v>
      </c>
      <c r="B2686" s="87" t="s">
        <v>8061</v>
      </c>
      <c r="C2686" s="87" t="s">
        <v>8062</v>
      </c>
      <c r="D2686" s="88">
        <v>136</v>
      </c>
      <c r="E2686" s="85" t="s">
        <v>7893</v>
      </c>
      <c r="F2686" s="87">
        <v>1</v>
      </c>
      <c r="G2686" s="37"/>
      <c r="H2686" s="37">
        <f>COUNTIF('(参考)現行システム機能階層一覧'!$E$3:$E$1048576,sheet1!B2686)</f>
        <v>0</v>
      </c>
      <c r="I2686" s="37"/>
      <c r="J2686" s="37"/>
      <c r="K2686" s="37"/>
      <c r="L2686" s="37"/>
    </row>
    <row r="2687" spans="1:12" ht="15.75" customHeight="1">
      <c r="A2687" s="87" t="s">
        <v>3935</v>
      </c>
      <c r="B2687" s="87" t="s">
        <v>8063</v>
      </c>
      <c r="C2687" s="87" t="s">
        <v>8062</v>
      </c>
      <c r="D2687" s="88">
        <v>168</v>
      </c>
      <c r="E2687" s="85" t="s">
        <v>7893</v>
      </c>
      <c r="F2687" s="87">
        <v>1</v>
      </c>
      <c r="G2687" s="37"/>
      <c r="H2687" s="37">
        <f>COUNTIF('(参考)現行システム機能階層一覧'!$E$3:$E$1048576,sheet1!B2687)</f>
        <v>0</v>
      </c>
      <c r="I2687" s="37"/>
      <c r="J2687" s="37"/>
      <c r="K2687" s="37"/>
      <c r="L2687" s="37"/>
    </row>
    <row r="2688" spans="1:12" ht="15.75" customHeight="1">
      <c r="A2688" s="87" t="s">
        <v>3935</v>
      </c>
      <c r="B2688" s="87" t="s">
        <v>8064</v>
      </c>
      <c r="C2688" s="87" t="s">
        <v>8065</v>
      </c>
      <c r="D2688" s="88">
        <v>124</v>
      </c>
      <c r="E2688" s="85" t="s">
        <v>7893</v>
      </c>
      <c r="F2688" s="87">
        <v>138</v>
      </c>
      <c r="G2688" s="37"/>
      <c r="H2688" s="37">
        <f>COUNTIF('(参考)現行システム機能階層一覧'!$E$3:$E$1048576,sheet1!B2688)</f>
        <v>0</v>
      </c>
      <c r="I2688" s="37"/>
      <c r="J2688" s="37"/>
      <c r="K2688" s="37"/>
      <c r="L2688" s="37"/>
    </row>
    <row r="2689" spans="1:12" ht="15.75" customHeight="1">
      <c r="A2689" s="87" t="s">
        <v>3935</v>
      </c>
      <c r="B2689" s="87" t="s">
        <v>8066</v>
      </c>
      <c r="C2689" s="87" t="s">
        <v>8067</v>
      </c>
      <c r="D2689" s="88">
        <v>113</v>
      </c>
      <c r="E2689" s="85" t="s">
        <v>7893</v>
      </c>
      <c r="F2689" s="87">
        <v>16</v>
      </c>
      <c r="G2689" s="37"/>
      <c r="H2689" s="37">
        <f>COUNTIF('(参考)現行システム機能階層一覧'!$E$3:$E$1048576,sheet1!B2689)</f>
        <v>0</v>
      </c>
      <c r="I2689" s="37"/>
      <c r="J2689" s="37"/>
      <c r="K2689" s="37"/>
      <c r="L2689" s="37"/>
    </row>
    <row r="2690" spans="1:12" ht="15.75" customHeight="1">
      <c r="A2690" s="87" t="s">
        <v>3935</v>
      </c>
      <c r="B2690" s="87" t="s">
        <v>8068</v>
      </c>
      <c r="C2690" s="87" t="s">
        <v>8069</v>
      </c>
      <c r="D2690" s="88">
        <v>113</v>
      </c>
      <c r="E2690" s="85" t="s">
        <v>7893</v>
      </c>
      <c r="F2690" s="87">
        <v>1</v>
      </c>
      <c r="G2690" s="37"/>
      <c r="H2690" s="37">
        <f>COUNTIF('(参考)現行システム機能階層一覧'!$E$3:$E$1048576,sheet1!B2690)</f>
        <v>0</v>
      </c>
      <c r="I2690" s="37"/>
      <c r="J2690" s="37"/>
      <c r="K2690" s="37"/>
      <c r="L2690" s="37"/>
    </row>
    <row r="2691" spans="1:12" ht="15.75" customHeight="1">
      <c r="A2691" s="87" t="s">
        <v>3935</v>
      </c>
      <c r="B2691" s="87" t="s">
        <v>654</v>
      </c>
      <c r="C2691" s="87" t="s">
        <v>8070</v>
      </c>
      <c r="D2691" s="88">
        <v>308</v>
      </c>
      <c r="E2691" s="85" t="s">
        <v>7893</v>
      </c>
      <c r="F2691" s="87">
        <v>323</v>
      </c>
      <c r="G2691" s="37"/>
      <c r="H2691" s="37">
        <f>COUNTIF('(参考)現行システム機能階層一覧'!$E$3:$E$1048576,sheet1!B2691)</f>
        <v>2</v>
      </c>
      <c r="I2691" s="37"/>
      <c r="J2691" s="37"/>
      <c r="K2691" s="37"/>
      <c r="L2691" s="37"/>
    </row>
    <row r="2692" spans="1:12" ht="15.75" customHeight="1">
      <c r="A2692" s="87" t="s">
        <v>3935</v>
      </c>
      <c r="B2692" s="87" t="s">
        <v>867</v>
      </c>
      <c r="C2692" s="87" t="s">
        <v>868</v>
      </c>
      <c r="D2692" s="88">
        <v>607</v>
      </c>
      <c r="E2692" s="85" t="s">
        <v>7893</v>
      </c>
      <c r="F2692" s="87">
        <v>6</v>
      </c>
      <c r="G2692" s="37"/>
      <c r="H2692" s="37">
        <f>COUNTIF('(参考)現行システム機能階層一覧'!$E$3:$E$1048576,sheet1!B2692)</f>
        <v>1</v>
      </c>
      <c r="I2692" s="37"/>
      <c r="J2692" s="37"/>
      <c r="K2692" s="37"/>
      <c r="L2692" s="37"/>
    </row>
    <row r="2693" spans="1:12" ht="15.75" customHeight="1">
      <c r="A2693" s="87" t="s">
        <v>3853</v>
      </c>
      <c r="B2693" s="87" t="s">
        <v>8071</v>
      </c>
      <c r="C2693" s="87" t="s">
        <v>868</v>
      </c>
      <c r="D2693" s="88">
        <v>16</v>
      </c>
      <c r="E2693" s="85" t="s">
        <v>7893</v>
      </c>
      <c r="F2693" s="87">
        <v>6</v>
      </c>
      <c r="G2693" s="37"/>
      <c r="H2693" s="37">
        <f>COUNTIF('(参考)現行システム機能階層一覧'!$E$3:$E$1048576,sheet1!B2693)</f>
        <v>0</v>
      </c>
      <c r="I2693" s="37"/>
      <c r="J2693" s="37"/>
      <c r="K2693" s="37"/>
      <c r="L2693" s="37"/>
    </row>
    <row r="2694" spans="1:12" ht="15.75" customHeight="1">
      <c r="A2694" s="87" t="s">
        <v>3935</v>
      </c>
      <c r="B2694" s="87" t="s">
        <v>870</v>
      </c>
      <c r="C2694" s="87" t="s">
        <v>8072</v>
      </c>
      <c r="D2694" s="88">
        <v>201</v>
      </c>
      <c r="E2694" s="85" t="s">
        <v>7893</v>
      </c>
      <c r="F2694" s="87">
        <v>88</v>
      </c>
      <c r="G2694" s="37"/>
      <c r="H2694" s="37">
        <f>COUNTIF('(参考)現行システム機能階層一覧'!$E$3:$E$1048576,sheet1!B2694)</f>
        <v>1</v>
      </c>
      <c r="I2694" s="37"/>
      <c r="J2694" s="37"/>
      <c r="K2694" s="37"/>
      <c r="L2694" s="37"/>
    </row>
    <row r="2695" spans="1:12" ht="15.75" customHeight="1">
      <c r="A2695" s="87" t="s">
        <v>3853</v>
      </c>
      <c r="B2695" s="87" t="s">
        <v>8073</v>
      </c>
      <c r="C2695" s="87" t="s">
        <v>8074</v>
      </c>
      <c r="D2695" s="88">
        <v>16</v>
      </c>
      <c r="E2695" s="85" t="s">
        <v>7893</v>
      </c>
      <c r="F2695" s="87">
        <v>85</v>
      </c>
      <c r="G2695" s="37"/>
      <c r="H2695" s="37">
        <f>COUNTIF('(参考)現行システム機能階層一覧'!$E$3:$E$1048576,sheet1!B2695)</f>
        <v>0</v>
      </c>
      <c r="I2695" s="37"/>
      <c r="J2695" s="37"/>
      <c r="K2695" s="37"/>
      <c r="L2695" s="37"/>
    </row>
    <row r="2696" spans="1:12" ht="15.75" customHeight="1">
      <c r="A2696" s="87" t="s">
        <v>3935</v>
      </c>
      <c r="B2696" s="87" t="s">
        <v>8075</v>
      </c>
      <c r="C2696" s="87" t="s">
        <v>8076</v>
      </c>
      <c r="D2696" s="88">
        <v>235</v>
      </c>
      <c r="E2696" s="85" t="s">
        <v>7893</v>
      </c>
      <c r="F2696" s="87">
        <v>29</v>
      </c>
      <c r="G2696" s="37"/>
      <c r="H2696" s="37">
        <f>COUNTIF('(参考)現行システム機能階層一覧'!$E$3:$E$1048576,sheet1!B2696)</f>
        <v>0</v>
      </c>
      <c r="I2696" s="37"/>
      <c r="J2696" s="37"/>
      <c r="K2696" s="37"/>
      <c r="L2696" s="37"/>
    </row>
    <row r="2697" spans="1:12" ht="15.75" customHeight="1">
      <c r="A2697" s="87" t="s">
        <v>3853</v>
      </c>
      <c r="B2697" s="87" t="s">
        <v>8077</v>
      </c>
      <c r="C2697" s="87" t="s">
        <v>8074</v>
      </c>
      <c r="D2697" s="88">
        <v>76</v>
      </c>
      <c r="E2697" s="85" t="s">
        <v>7893</v>
      </c>
      <c r="F2697" s="87">
        <v>21</v>
      </c>
      <c r="G2697" s="37"/>
      <c r="H2697" s="37">
        <f>COUNTIF('(参考)現行システム機能階層一覧'!$E$3:$E$1048576,sheet1!B2697)</f>
        <v>0</v>
      </c>
      <c r="I2697" s="37"/>
      <c r="J2697" s="37"/>
      <c r="K2697" s="37"/>
      <c r="L2697" s="37"/>
    </row>
    <row r="2698" spans="1:12" ht="15.75" customHeight="1">
      <c r="A2698" s="87" t="s">
        <v>5206</v>
      </c>
      <c r="B2698" s="87" t="s">
        <v>8078</v>
      </c>
      <c r="C2698" s="87" t="s">
        <v>8076</v>
      </c>
      <c r="D2698" s="88">
        <v>246</v>
      </c>
      <c r="E2698" s="85" t="s">
        <v>7893</v>
      </c>
      <c r="F2698" s="87">
        <v>22</v>
      </c>
      <c r="G2698" s="37"/>
      <c r="H2698" s="37">
        <f>COUNTIF('(参考)現行システム機能階層一覧'!$E$3:$E$1048576,sheet1!B2698)</f>
        <v>0</v>
      </c>
      <c r="I2698" s="37"/>
      <c r="J2698" s="37"/>
      <c r="K2698" s="37"/>
      <c r="L2698" s="37"/>
    </row>
    <row r="2699" spans="1:12" ht="15.75" customHeight="1">
      <c r="A2699" s="87" t="s">
        <v>3935</v>
      </c>
      <c r="B2699" s="87" t="s">
        <v>658</v>
      </c>
      <c r="C2699" s="87" t="s">
        <v>8079</v>
      </c>
      <c r="D2699" s="88">
        <v>405</v>
      </c>
      <c r="E2699" s="85" t="s">
        <v>7893</v>
      </c>
      <c r="F2699" s="87">
        <v>27</v>
      </c>
      <c r="G2699" s="37"/>
      <c r="H2699" s="37">
        <f>COUNTIF('(参考)現行システム機能階層一覧'!$E$3:$E$1048576,sheet1!B2699)</f>
        <v>1</v>
      </c>
      <c r="I2699" s="37"/>
      <c r="J2699" s="37"/>
      <c r="K2699" s="37"/>
      <c r="L2699" s="37"/>
    </row>
    <row r="2700" spans="1:12" ht="15.75" customHeight="1">
      <c r="A2700" s="87" t="s">
        <v>3935</v>
      </c>
      <c r="B2700" s="87" t="s">
        <v>1009</v>
      </c>
      <c r="C2700" s="87" t="s">
        <v>1010</v>
      </c>
      <c r="D2700" s="88">
        <v>580</v>
      </c>
      <c r="E2700" s="85" t="s">
        <v>7893</v>
      </c>
      <c r="F2700" s="87">
        <v>296</v>
      </c>
      <c r="G2700" s="37"/>
      <c r="H2700" s="37">
        <f>COUNTIF('(参考)現行システム機能階層一覧'!$E$3:$E$1048576,sheet1!B2700)</f>
        <v>1</v>
      </c>
      <c r="I2700" s="37"/>
      <c r="J2700" s="37"/>
      <c r="K2700" s="37"/>
      <c r="L2700" s="37"/>
    </row>
    <row r="2701" spans="1:12" ht="15.75" customHeight="1">
      <c r="A2701" s="87" t="s">
        <v>3853</v>
      </c>
      <c r="B2701" s="87" t="s">
        <v>8080</v>
      </c>
      <c r="C2701" s="87" t="s">
        <v>8081</v>
      </c>
      <c r="D2701" s="88">
        <v>12</v>
      </c>
      <c r="E2701" s="85" t="s">
        <v>7893</v>
      </c>
      <c r="F2701" s="87">
        <v>297</v>
      </c>
      <c r="G2701" s="37"/>
      <c r="H2701" s="37">
        <f>COUNTIF('(参考)現行システム機能階層一覧'!$E$3:$E$1048576,sheet1!B2701)</f>
        <v>0</v>
      </c>
      <c r="I2701" s="37"/>
      <c r="J2701" s="37"/>
      <c r="K2701" s="37"/>
      <c r="L2701" s="37"/>
    </row>
    <row r="2702" spans="1:12" ht="15.75" customHeight="1">
      <c r="A2702" s="87" t="s">
        <v>3935</v>
      </c>
      <c r="B2702" s="87" t="s">
        <v>601</v>
      </c>
      <c r="C2702" s="87" t="s">
        <v>8082</v>
      </c>
      <c r="D2702" s="88">
        <v>505</v>
      </c>
      <c r="E2702" s="85" t="s">
        <v>7893</v>
      </c>
      <c r="F2702" s="87">
        <v>37</v>
      </c>
      <c r="G2702" s="37"/>
      <c r="H2702" s="37">
        <f>COUNTIF('(参考)現行システム機能階層一覧'!$E$3:$E$1048576,sheet1!B2702)</f>
        <v>0</v>
      </c>
      <c r="I2702" s="37"/>
      <c r="J2702" s="37"/>
      <c r="K2702" s="37"/>
      <c r="L2702" s="37"/>
    </row>
    <row r="2703" spans="1:12" ht="15.75" customHeight="1">
      <c r="A2703" s="87" t="s">
        <v>3853</v>
      </c>
      <c r="B2703" s="87" t="s">
        <v>596</v>
      </c>
      <c r="C2703" s="87" t="s">
        <v>8083</v>
      </c>
      <c r="D2703" s="88">
        <v>13</v>
      </c>
      <c r="E2703" s="85" t="s">
        <v>7893</v>
      </c>
      <c r="F2703" s="87">
        <v>37</v>
      </c>
      <c r="G2703" s="37"/>
      <c r="H2703" s="37">
        <f>COUNTIF('(参考)現行システム機能階層一覧'!$E$3:$E$1048576,sheet1!B2703)</f>
        <v>1</v>
      </c>
      <c r="I2703" s="37"/>
      <c r="J2703" s="37"/>
      <c r="K2703" s="37"/>
      <c r="L2703" s="37"/>
    </row>
    <row r="2704" spans="1:12" ht="15.75" customHeight="1">
      <c r="A2704" s="87" t="s">
        <v>3935</v>
      </c>
      <c r="B2704" s="87" t="s">
        <v>610</v>
      </c>
      <c r="C2704" s="87" t="s">
        <v>608</v>
      </c>
      <c r="D2704" s="88">
        <v>969</v>
      </c>
      <c r="E2704" s="85" t="s">
        <v>7893</v>
      </c>
      <c r="F2704" s="87">
        <v>5</v>
      </c>
      <c r="G2704" s="37"/>
      <c r="H2704" s="37">
        <f>COUNTIF('(参考)現行システム機能階層一覧'!$E$3:$E$1048576,sheet1!B2704)</f>
        <v>0</v>
      </c>
      <c r="I2704" s="37"/>
      <c r="J2704" s="37"/>
      <c r="K2704" s="37"/>
      <c r="L2704" s="37"/>
    </row>
    <row r="2705" spans="1:12" ht="15.75" customHeight="1">
      <c r="A2705" s="87" t="s">
        <v>3853</v>
      </c>
      <c r="B2705" s="87" t="s">
        <v>607</v>
      </c>
      <c r="C2705" s="87" t="s">
        <v>608</v>
      </c>
      <c r="D2705" s="88">
        <v>12</v>
      </c>
      <c r="E2705" s="85" t="s">
        <v>7893</v>
      </c>
      <c r="F2705" s="87">
        <v>5</v>
      </c>
      <c r="G2705" s="37"/>
      <c r="H2705" s="37">
        <f>COUNTIF('(参考)現行システム機能階層一覧'!$E$3:$E$1048576,sheet1!B2705)</f>
        <v>1</v>
      </c>
      <c r="I2705" s="37"/>
      <c r="J2705" s="37"/>
      <c r="K2705" s="37"/>
      <c r="L2705" s="37"/>
    </row>
    <row r="2706" spans="1:12" ht="15.75" customHeight="1">
      <c r="A2706" s="87" t="s">
        <v>3935</v>
      </c>
      <c r="B2706" s="87" t="s">
        <v>1032</v>
      </c>
      <c r="C2706" s="87" t="s">
        <v>8084</v>
      </c>
      <c r="D2706" s="88">
        <v>744</v>
      </c>
      <c r="E2706" s="85" t="s">
        <v>7893</v>
      </c>
      <c r="F2706" s="87">
        <v>17</v>
      </c>
      <c r="G2706" s="37"/>
      <c r="H2706" s="37">
        <f>COUNTIF('(参考)現行システム機能階層一覧'!$E$3:$E$1048576,sheet1!B2706)</f>
        <v>1</v>
      </c>
      <c r="I2706" s="37"/>
      <c r="J2706" s="37"/>
      <c r="K2706" s="37"/>
      <c r="L2706" s="37"/>
    </row>
    <row r="2707" spans="1:12" ht="15.75" customHeight="1">
      <c r="A2707" s="87" t="s">
        <v>3853</v>
      </c>
      <c r="B2707" s="87" t="s">
        <v>8085</v>
      </c>
      <c r="C2707" s="87" t="s">
        <v>1033</v>
      </c>
      <c r="D2707" s="88">
        <v>24</v>
      </c>
      <c r="E2707" s="85" t="s">
        <v>7893</v>
      </c>
      <c r="F2707" s="87">
        <v>17</v>
      </c>
      <c r="G2707" s="37"/>
      <c r="H2707" s="37">
        <f>COUNTIF('(参考)現行システム機能階層一覧'!$E$3:$E$1048576,sheet1!B2707)</f>
        <v>0</v>
      </c>
      <c r="I2707" s="37"/>
      <c r="J2707" s="37"/>
      <c r="K2707" s="37"/>
      <c r="L2707" s="37"/>
    </row>
    <row r="2708" spans="1:12" ht="15.75" customHeight="1">
      <c r="A2708" s="87" t="s">
        <v>3935</v>
      </c>
      <c r="B2708" s="87" t="s">
        <v>8086</v>
      </c>
      <c r="C2708" s="87" t="s">
        <v>8087</v>
      </c>
      <c r="D2708" s="88">
        <v>556</v>
      </c>
      <c r="E2708" s="85" t="s">
        <v>7893</v>
      </c>
      <c r="F2708" s="87">
        <v>3</v>
      </c>
      <c r="G2708" s="37"/>
      <c r="H2708" s="37">
        <f>COUNTIF('(参考)現行システム機能階層一覧'!$E$3:$E$1048576,sheet1!B2708)</f>
        <v>0</v>
      </c>
      <c r="I2708" s="37"/>
      <c r="J2708" s="37"/>
      <c r="K2708" s="37"/>
      <c r="L2708" s="37"/>
    </row>
    <row r="2709" spans="1:12" ht="15.75" customHeight="1">
      <c r="A2709" s="87" t="s">
        <v>3935</v>
      </c>
      <c r="B2709" s="87" t="s">
        <v>1035</v>
      </c>
      <c r="C2709" s="87" t="s">
        <v>8088</v>
      </c>
      <c r="D2709" s="88">
        <v>616</v>
      </c>
      <c r="E2709" s="85" t="s">
        <v>7893</v>
      </c>
      <c r="F2709" s="87">
        <v>13</v>
      </c>
      <c r="G2709" s="37"/>
      <c r="H2709" s="37">
        <f>COUNTIF('(参考)現行システム機能階層一覧'!$E$3:$E$1048576,sheet1!B2709)</f>
        <v>1</v>
      </c>
      <c r="I2709" s="37"/>
      <c r="J2709" s="37"/>
      <c r="K2709" s="37"/>
      <c r="L2709" s="37"/>
    </row>
    <row r="2710" spans="1:12" ht="15.75" customHeight="1">
      <c r="A2710" s="87" t="s">
        <v>3853</v>
      </c>
      <c r="B2710" s="87" t="s">
        <v>8089</v>
      </c>
      <c r="C2710" s="87" t="s">
        <v>1036</v>
      </c>
      <c r="D2710" s="88">
        <v>12</v>
      </c>
      <c r="E2710" s="85" t="s">
        <v>7893</v>
      </c>
      <c r="F2710" s="87">
        <v>13</v>
      </c>
      <c r="G2710" s="37"/>
      <c r="H2710" s="37">
        <f>COUNTIF('(参考)現行システム機能階層一覧'!$E$3:$E$1048576,sheet1!B2710)</f>
        <v>0</v>
      </c>
      <c r="I2710" s="37"/>
      <c r="J2710" s="37"/>
      <c r="K2710" s="37"/>
      <c r="L2710" s="37"/>
    </row>
    <row r="2711" spans="1:12" ht="15.75" customHeight="1">
      <c r="A2711" s="87" t="s">
        <v>3935</v>
      </c>
      <c r="B2711" s="87" t="s">
        <v>8090</v>
      </c>
      <c r="C2711" s="87" t="s">
        <v>1036</v>
      </c>
      <c r="D2711" s="88">
        <v>229</v>
      </c>
      <c r="E2711" s="85" t="s">
        <v>7893</v>
      </c>
      <c r="F2711" s="87">
        <v>3</v>
      </c>
      <c r="G2711" s="37"/>
      <c r="H2711" s="37">
        <f>COUNTIF('(参考)現行システム機能階層一覧'!$E$3:$E$1048576,sheet1!B2711)</f>
        <v>0</v>
      </c>
      <c r="I2711" s="37"/>
      <c r="J2711" s="37"/>
      <c r="K2711" s="37"/>
      <c r="L2711" s="37"/>
    </row>
    <row r="2712" spans="1:12" ht="15.75" customHeight="1">
      <c r="A2712" s="87" t="s">
        <v>3935</v>
      </c>
      <c r="B2712" s="87" t="s">
        <v>575</v>
      </c>
      <c r="C2712" s="87" t="s">
        <v>576</v>
      </c>
      <c r="D2712" s="88">
        <v>1629</v>
      </c>
      <c r="E2712" s="85" t="s">
        <v>7893</v>
      </c>
      <c r="F2712" s="87">
        <v>134</v>
      </c>
      <c r="G2712" s="37"/>
      <c r="H2712" s="37">
        <f>COUNTIF('(参考)現行システム機能階層一覧'!$E$3:$E$1048576,sheet1!B2712)</f>
        <v>1</v>
      </c>
      <c r="I2712" s="37"/>
      <c r="J2712" s="37"/>
      <c r="K2712" s="37"/>
      <c r="L2712" s="37"/>
    </row>
    <row r="2713" spans="1:12" ht="15.75" customHeight="1">
      <c r="A2713" s="87" t="s">
        <v>3935</v>
      </c>
      <c r="B2713" s="87" t="s">
        <v>606</v>
      </c>
      <c r="C2713" s="87" t="s">
        <v>8091</v>
      </c>
      <c r="D2713" s="88">
        <v>1370</v>
      </c>
      <c r="E2713" s="85" t="s">
        <v>7893</v>
      </c>
      <c r="F2713" s="87">
        <v>39</v>
      </c>
      <c r="G2713" s="37"/>
      <c r="H2713" s="37">
        <f>COUNTIF('(参考)現行システム機能階層一覧'!$E$3:$E$1048576,sheet1!B2713)</f>
        <v>1</v>
      </c>
      <c r="I2713" s="37"/>
      <c r="J2713" s="37"/>
      <c r="K2713" s="37"/>
      <c r="L2713" s="37"/>
    </row>
    <row r="2714" spans="1:12" ht="15.75" customHeight="1">
      <c r="A2714" s="87" t="s">
        <v>3853</v>
      </c>
      <c r="B2714" s="87" t="s">
        <v>602</v>
      </c>
      <c r="C2714" s="87" t="s">
        <v>8091</v>
      </c>
      <c r="D2714" s="88">
        <v>54</v>
      </c>
      <c r="E2714" s="85" t="s">
        <v>7893</v>
      </c>
      <c r="F2714" s="87">
        <v>48</v>
      </c>
      <c r="G2714" s="37"/>
      <c r="H2714" s="37">
        <f>COUNTIF('(参考)現行システム機能階層一覧'!$E$3:$E$1048576,sheet1!B2714)</f>
        <v>1</v>
      </c>
      <c r="I2714" s="37"/>
      <c r="J2714" s="37"/>
      <c r="K2714" s="37"/>
      <c r="L2714" s="37"/>
    </row>
    <row r="2715" spans="1:12" ht="15.75" customHeight="1">
      <c r="A2715" s="87" t="s">
        <v>3935</v>
      </c>
      <c r="B2715" s="87" t="s">
        <v>8092</v>
      </c>
      <c r="C2715" s="87" t="s">
        <v>8093</v>
      </c>
      <c r="D2715" s="88">
        <v>80</v>
      </c>
      <c r="E2715" s="85" t="s">
        <v>7893</v>
      </c>
      <c r="F2715" s="87">
        <v>1</v>
      </c>
      <c r="G2715" s="37"/>
      <c r="H2715" s="37">
        <f>COUNTIF('(参考)現行システム機能階層一覧'!$E$3:$E$1048576,sheet1!B2715)</f>
        <v>0</v>
      </c>
      <c r="I2715" s="37"/>
      <c r="J2715" s="37"/>
      <c r="K2715" s="37"/>
      <c r="L2715" s="37"/>
    </row>
    <row r="2716" spans="1:12" ht="15.75" customHeight="1">
      <c r="A2716" s="87" t="s">
        <v>3853</v>
      </c>
      <c r="B2716" s="87" t="s">
        <v>8094</v>
      </c>
      <c r="C2716" s="87" t="s">
        <v>8091</v>
      </c>
      <c r="D2716" s="88">
        <v>20</v>
      </c>
      <c r="E2716" s="85" t="s">
        <v>7893</v>
      </c>
      <c r="F2716" s="87">
        <v>1</v>
      </c>
      <c r="G2716" s="37"/>
      <c r="H2716" s="37">
        <f>COUNTIF('(参考)現行システム機能階層一覧'!$E$3:$E$1048576,sheet1!B2716)</f>
        <v>0</v>
      </c>
      <c r="I2716" s="37"/>
      <c r="J2716" s="37"/>
      <c r="K2716" s="37"/>
      <c r="L2716" s="37"/>
    </row>
    <row r="2717" spans="1:12" ht="15.75" customHeight="1">
      <c r="A2717" s="87" t="s">
        <v>3935</v>
      </c>
      <c r="B2717" s="87" t="s">
        <v>8095</v>
      </c>
      <c r="C2717" s="87" t="s">
        <v>1926</v>
      </c>
      <c r="D2717" s="88">
        <v>755</v>
      </c>
      <c r="E2717" s="85" t="s">
        <v>7893</v>
      </c>
      <c r="F2717" s="87">
        <v>42</v>
      </c>
      <c r="G2717" s="37"/>
      <c r="H2717" s="37">
        <f>COUNTIF('(参考)現行システム機能階層一覧'!$E$3:$E$1048576,sheet1!B2717)</f>
        <v>0</v>
      </c>
      <c r="I2717" s="37"/>
      <c r="J2717" s="37"/>
      <c r="K2717" s="37"/>
      <c r="L2717" s="37"/>
    </row>
    <row r="2718" spans="1:12" ht="15.75" customHeight="1">
      <c r="A2718" s="87" t="s">
        <v>3853</v>
      </c>
      <c r="B2718" s="87" t="s">
        <v>1922</v>
      </c>
      <c r="C2718" s="87" t="s">
        <v>1926</v>
      </c>
      <c r="D2718" s="88">
        <v>16</v>
      </c>
      <c r="E2718" s="85" t="s">
        <v>7893</v>
      </c>
      <c r="F2718" s="87">
        <v>42</v>
      </c>
      <c r="G2718" s="37"/>
      <c r="H2718" s="37">
        <f>COUNTIF('(参考)現行システム機能階層一覧'!$E$3:$E$1048576,sheet1!B2718)</f>
        <v>1</v>
      </c>
      <c r="I2718" s="37"/>
      <c r="J2718" s="37"/>
      <c r="K2718" s="37"/>
      <c r="L2718" s="37"/>
    </row>
    <row r="2719" spans="1:12" ht="15.75" customHeight="1">
      <c r="A2719" s="87" t="s">
        <v>3935</v>
      </c>
      <c r="B2719" s="87" t="s">
        <v>1919</v>
      </c>
      <c r="C2719" s="87" t="s">
        <v>1920</v>
      </c>
      <c r="D2719" s="88">
        <v>846</v>
      </c>
      <c r="E2719" s="85" t="s">
        <v>7893</v>
      </c>
      <c r="F2719" s="87">
        <v>98</v>
      </c>
      <c r="G2719" s="37"/>
      <c r="H2719" s="37">
        <f>COUNTIF('(参考)現行システム機能階層一覧'!$E$3:$E$1048576,sheet1!B2719)</f>
        <v>0</v>
      </c>
      <c r="I2719" s="37"/>
      <c r="J2719" s="37"/>
      <c r="K2719" s="37"/>
      <c r="L2719" s="37"/>
    </row>
    <row r="2720" spans="1:12" ht="15.75" customHeight="1">
      <c r="A2720" s="87" t="s">
        <v>3853</v>
      </c>
      <c r="B2720" s="87" t="s">
        <v>1917</v>
      </c>
      <c r="C2720" s="87" t="s">
        <v>1920</v>
      </c>
      <c r="D2720" s="88">
        <v>15</v>
      </c>
      <c r="E2720" s="85" t="s">
        <v>7893</v>
      </c>
      <c r="F2720" s="87">
        <v>98</v>
      </c>
      <c r="G2720" s="37"/>
      <c r="H2720" s="37">
        <f>COUNTIF('(参考)現行システム機能階層一覧'!$E$3:$E$1048576,sheet1!B2720)</f>
        <v>1</v>
      </c>
      <c r="I2720" s="37"/>
      <c r="J2720" s="37"/>
      <c r="K2720" s="37"/>
      <c r="L2720" s="37"/>
    </row>
    <row r="2721" spans="1:12" ht="15.75" customHeight="1">
      <c r="A2721" s="87" t="s">
        <v>3935</v>
      </c>
      <c r="B2721" s="87" t="s">
        <v>8096</v>
      </c>
      <c r="C2721" s="87" t="s">
        <v>8097</v>
      </c>
      <c r="D2721" s="88">
        <v>970</v>
      </c>
      <c r="E2721" s="85" t="s">
        <v>7893</v>
      </c>
      <c r="F2721" s="87">
        <v>61</v>
      </c>
      <c r="G2721" s="37"/>
      <c r="H2721" s="37">
        <f>COUNTIF('(参考)現行システム機能階層一覧'!$E$3:$E$1048576,sheet1!B2721)</f>
        <v>0</v>
      </c>
      <c r="I2721" s="37"/>
      <c r="J2721" s="37"/>
      <c r="K2721" s="37"/>
      <c r="L2721" s="37"/>
    </row>
    <row r="2722" spans="1:12" ht="15.75" customHeight="1">
      <c r="A2722" s="87" t="s">
        <v>3853</v>
      </c>
      <c r="B2722" s="87" t="s">
        <v>8098</v>
      </c>
      <c r="C2722" s="87" t="s">
        <v>8097</v>
      </c>
      <c r="D2722" s="88">
        <v>19</v>
      </c>
      <c r="E2722" s="85" t="s">
        <v>7893</v>
      </c>
      <c r="F2722" s="87">
        <v>61</v>
      </c>
      <c r="G2722" s="37"/>
      <c r="H2722" s="37">
        <f>COUNTIF('(参考)現行システム機能階層一覧'!$E$3:$E$1048576,sheet1!B2722)</f>
        <v>0</v>
      </c>
      <c r="I2722" s="37"/>
      <c r="J2722" s="37"/>
      <c r="K2722" s="37"/>
      <c r="L2722" s="37"/>
    </row>
    <row r="2723" spans="1:12" ht="15.75" customHeight="1">
      <c r="A2723" s="87" t="s">
        <v>3935</v>
      </c>
      <c r="B2723" s="87" t="s">
        <v>320</v>
      </c>
      <c r="C2723" s="87" t="s">
        <v>8099</v>
      </c>
      <c r="D2723" s="88">
        <v>210</v>
      </c>
      <c r="E2723" s="85" t="s">
        <v>7893</v>
      </c>
      <c r="F2723" s="87">
        <v>71</v>
      </c>
      <c r="G2723" s="37"/>
      <c r="H2723" s="37">
        <f>COUNTIF('(参考)現行システム機能階層一覧'!$E$3:$E$1048576,sheet1!B2723)</f>
        <v>1</v>
      </c>
      <c r="I2723" s="37"/>
      <c r="J2723" s="37"/>
      <c r="K2723" s="37"/>
      <c r="L2723" s="37"/>
    </row>
    <row r="2724" spans="1:12" ht="15.75" customHeight="1">
      <c r="A2724" s="87" t="s">
        <v>3853</v>
      </c>
      <c r="B2724" s="87" t="s">
        <v>8100</v>
      </c>
      <c r="C2724" s="87" t="s">
        <v>8101</v>
      </c>
      <c r="D2724" s="88">
        <v>19</v>
      </c>
      <c r="E2724" s="85" t="s">
        <v>7893</v>
      </c>
      <c r="F2724" s="87">
        <v>56</v>
      </c>
      <c r="G2724" s="37"/>
      <c r="H2724" s="37">
        <f>COUNTIF('(参考)現行システム機能階層一覧'!$E$3:$E$1048576,sheet1!B2724)</f>
        <v>0</v>
      </c>
      <c r="I2724" s="37"/>
      <c r="J2724" s="37"/>
      <c r="K2724" s="37"/>
      <c r="L2724" s="37"/>
    </row>
    <row r="2725" spans="1:12" ht="15.75" customHeight="1">
      <c r="A2725" s="87" t="s">
        <v>3853</v>
      </c>
      <c r="B2725" s="87" t="s">
        <v>8102</v>
      </c>
      <c r="C2725" s="87" t="s">
        <v>8103</v>
      </c>
      <c r="D2725" s="88">
        <v>12</v>
      </c>
      <c r="E2725" s="85" t="s">
        <v>7893</v>
      </c>
      <c r="F2725" s="87">
        <v>61</v>
      </c>
      <c r="G2725" s="37"/>
      <c r="H2725" s="37">
        <f>COUNTIF('(参考)現行システム機能階層一覧'!$E$3:$E$1048576,sheet1!B2725)</f>
        <v>0</v>
      </c>
      <c r="I2725" s="37"/>
      <c r="J2725" s="37"/>
      <c r="K2725" s="37"/>
      <c r="L2725" s="37"/>
    </row>
    <row r="2726" spans="1:12" ht="15.75" customHeight="1">
      <c r="A2726" s="87" t="s">
        <v>3935</v>
      </c>
      <c r="B2726" s="87" t="s">
        <v>329</v>
      </c>
      <c r="C2726" s="87" t="s">
        <v>8104</v>
      </c>
      <c r="D2726" s="88">
        <v>513</v>
      </c>
      <c r="E2726" s="85" t="s">
        <v>7893</v>
      </c>
      <c r="F2726" s="87">
        <v>19</v>
      </c>
      <c r="G2726" s="37"/>
      <c r="H2726" s="37">
        <f>COUNTIF('(参考)現行システム機能階層一覧'!$E$3:$E$1048576,sheet1!B2726)</f>
        <v>1</v>
      </c>
      <c r="I2726" s="37"/>
      <c r="J2726" s="37"/>
      <c r="K2726" s="37"/>
      <c r="L2726" s="37"/>
    </row>
    <row r="2727" spans="1:12" ht="15.75" customHeight="1">
      <c r="A2727" s="87" t="s">
        <v>3853</v>
      </c>
      <c r="B2727" s="87" t="s">
        <v>8105</v>
      </c>
      <c r="C2727" s="87" t="s">
        <v>8104</v>
      </c>
      <c r="D2727" s="88">
        <v>32</v>
      </c>
      <c r="E2727" s="85" t="s">
        <v>7893</v>
      </c>
      <c r="F2727" s="87">
        <v>10</v>
      </c>
      <c r="G2727" s="37"/>
      <c r="H2727" s="37">
        <f>COUNTIF('(参考)現行システム機能階層一覧'!$E$3:$E$1048576,sheet1!B2727)</f>
        <v>0</v>
      </c>
      <c r="I2727" s="37"/>
      <c r="J2727" s="37"/>
      <c r="K2727" s="37"/>
      <c r="L2727" s="37"/>
    </row>
    <row r="2728" spans="1:12" ht="15.75" customHeight="1">
      <c r="A2728" s="87" t="s">
        <v>3853</v>
      </c>
      <c r="B2728" s="87" t="s">
        <v>8106</v>
      </c>
      <c r="C2728" s="87" t="s">
        <v>8107</v>
      </c>
      <c r="D2728" s="88">
        <v>10</v>
      </c>
      <c r="E2728" s="85" t="s">
        <v>7893</v>
      </c>
      <c r="F2728" s="87">
        <v>1</v>
      </c>
      <c r="G2728" s="37"/>
      <c r="H2728" s="37">
        <f>COUNTIF('(参考)現行システム機能階層一覧'!$E$3:$E$1048576,sheet1!B2728)</f>
        <v>0</v>
      </c>
      <c r="I2728" s="37"/>
      <c r="J2728" s="37"/>
      <c r="K2728" s="37"/>
      <c r="L2728" s="37"/>
    </row>
    <row r="2729" spans="1:12" ht="15.75" customHeight="1">
      <c r="A2729" s="87" t="s">
        <v>3935</v>
      </c>
      <c r="B2729" s="87" t="s">
        <v>8108</v>
      </c>
      <c r="C2729" s="87" t="s">
        <v>8109</v>
      </c>
      <c r="D2729" s="88">
        <v>227</v>
      </c>
      <c r="E2729" s="85" t="s">
        <v>7893</v>
      </c>
      <c r="F2729" s="87">
        <v>1</v>
      </c>
      <c r="G2729" s="37"/>
      <c r="H2729" s="37">
        <f>COUNTIF('(参考)現行システム機能階層一覧'!$E$3:$E$1048576,sheet1!B2729)</f>
        <v>0</v>
      </c>
      <c r="I2729" s="37"/>
      <c r="J2729" s="37"/>
      <c r="K2729" s="37"/>
      <c r="L2729" s="37"/>
    </row>
    <row r="2730" spans="1:12" ht="15.75" customHeight="1">
      <c r="A2730" s="87" t="s">
        <v>3935</v>
      </c>
      <c r="B2730" s="87" t="s">
        <v>338</v>
      </c>
      <c r="C2730" s="87" t="s">
        <v>8110</v>
      </c>
      <c r="D2730" s="88">
        <v>327</v>
      </c>
      <c r="E2730" s="85" t="s">
        <v>7893</v>
      </c>
      <c r="F2730" s="87">
        <v>39</v>
      </c>
      <c r="G2730" s="37"/>
      <c r="H2730" s="37">
        <f>COUNTIF('(参考)現行システム機能階層一覧'!$E$3:$E$1048576,sheet1!B2730)</f>
        <v>1</v>
      </c>
      <c r="I2730" s="37"/>
      <c r="J2730" s="37"/>
      <c r="K2730" s="37"/>
      <c r="L2730" s="37"/>
    </row>
    <row r="2731" spans="1:12" ht="15.75" customHeight="1">
      <c r="A2731" s="87" t="s">
        <v>3935</v>
      </c>
      <c r="B2731" s="87" t="s">
        <v>8111</v>
      </c>
      <c r="C2731" s="87" t="s">
        <v>8112</v>
      </c>
      <c r="D2731" s="88">
        <v>147</v>
      </c>
      <c r="E2731" s="85" t="s">
        <v>7893</v>
      </c>
      <c r="F2731" s="87">
        <v>2</v>
      </c>
      <c r="G2731" s="37"/>
      <c r="H2731" s="37">
        <f>COUNTIF('(参考)現行システム機能階層一覧'!$E$3:$E$1048576,sheet1!B2731)</f>
        <v>0</v>
      </c>
      <c r="I2731" s="37"/>
      <c r="J2731" s="37"/>
      <c r="K2731" s="37"/>
      <c r="L2731" s="37"/>
    </row>
    <row r="2732" spans="1:12" ht="15.75" customHeight="1">
      <c r="A2732" s="87" t="s">
        <v>3935</v>
      </c>
      <c r="B2732" s="87" t="s">
        <v>8113</v>
      </c>
      <c r="C2732" s="87" t="s">
        <v>8114</v>
      </c>
      <c r="D2732" s="88">
        <v>310</v>
      </c>
      <c r="E2732" s="85" t="s">
        <v>7893</v>
      </c>
      <c r="F2732" s="87">
        <v>1</v>
      </c>
      <c r="G2732" s="37"/>
      <c r="H2732" s="37">
        <f>COUNTIF('(参考)現行システム機能階層一覧'!$E$3:$E$1048576,sheet1!B2732)</f>
        <v>0</v>
      </c>
      <c r="I2732" s="37"/>
      <c r="J2732" s="37"/>
      <c r="K2732" s="37"/>
      <c r="L2732" s="37"/>
    </row>
    <row r="2733" spans="1:12" ht="15.75" customHeight="1">
      <c r="A2733" s="87" t="s">
        <v>3935</v>
      </c>
      <c r="B2733" s="87" t="s">
        <v>891</v>
      </c>
      <c r="C2733" s="87" t="s">
        <v>8115</v>
      </c>
      <c r="D2733" s="88">
        <v>296</v>
      </c>
      <c r="E2733" s="85" t="s">
        <v>7893</v>
      </c>
      <c r="F2733" s="87">
        <v>3</v>
      </c>
      <c r="G2733" s="37"/>
      <c r="H2733" s="37">
        <f>COUNTIF('(参考)現行システム機能階層一覧'!$E$3:$E$1048576,sheet1!B2733)</f>
        <v>1</v>
      </c>
      <c r="I2733" s="37"/>
      <c r="J2733" s="37"/>
      <c r="K2733" s="37"/>
      <c r="L2733" s="37"/>
    </row>
    <row r="2734" spans="1:12" ht="15.75" customHeight="1">
      <c r="A2734" s="87" t="s">
        <v>3853</v>
      </c>
      <c r="B2734" s="87" t="s">
        <v>8116</v>
      </c>
      <c r="C2734" s="87" t="s">
        <v>892</v>
      </c>
      <c r="D2734" s="88">
        <v>22</v>
      </c>
      <c r="E2734" s="85" t="s">
        <v>7893</v>
      </c>
      <c r="F2734" s="87">
        <v>3</v>
      </c>
      <c r="G2734" s="37"/>
      <c r="H2734" s="37">
        <f>COUNTIF('(参考)現行システム機能階層一覧'!$E$3:$E$1048576,sheet1!B2734)</f>
        <v>0</v>
      </c>
      <c r="I2734" s="37"/>
      <c r="J2734" s="37"/>
      <c r="K2734" s="37"/>
      <c r="L2734" s="37"/>
    </row>
    <row r="2735" spans="1:12" ht="15.75" customHeight="1">
      <c r="A2735" s="87" t="s">
        <v>3935</v>
      </c>
      <c r="B2735" s="87" t="s">
        <v>477</v>
      </c>
      <c r="C2735" s="87" t="s">
        <v>8117</v>
      </c>
      <c r="D2735" s="88">
        <v>197</v>
      </c>
      <c r="E2735" s="85" t="s">
        <v>7893</v>
      </c>
      <c r="F2735" s="87">
        <v>4</v>
      </c>
      <c r="G2735" s="37"/>
      <c r="H2735" s="37">
        <f>COUNTIF('(参考)現行システム機能階層一覧'!$E$3:$E$1048576,sheet1!B2735)</f>
        <v>1</v>
      </c>
      <c r="I2735" s="37"/>
      <c r="J2735" s="37"/>
      <c r="K2735" s="37"/>
      <c r="L2735" s="37"/>
    </row>
    <row r="2736" spans="1:12" ht="15.75" customHeight="1">
      <c r="A2736" s="87" t="s">
        <v>3853</v>
      </c>
      <c r="B2736" s="87" t="s">
        <v>8118</v>
      </c>
      <c r="C2736" s="87" t="s">
        <v>8117</v>
      </c>
      <c r="D2736" s="88">
        <v>31</v>
      </c>
      <c r="E2736" s="85" t="s">
        <v>7893</v>
      </c>
      <c r="F2736" s="87">
        <v>4</v>
      </c>
      <c r="G2736" s="37"/>
      <c r="H2736" s="37">
        <f>COUNTIF('(参考)現行システム機能階層一覧'!$E$3:$E$1048576,sheet1!B2736)</f>
        <v>0</v>
      </c>
      <c r="I2736" s="37"/>
      <c r="J2736" s="37"/>
      <c r="K2736" s="37"/>
      <c r="L2736" s="37"/>
    </row>
    <row r="2737" spans="1:12" ht="15.75" customHeight="1">
      <c r="A2737" s="87" t="s">
        <v>3935</v>
      </c>
      <c r="B2737" s="87" t="s">
        <v>888</v>
      </c>
      <c r="C2737" s="87" t="s">
        <v>8119</v>
      </c>
      <c r="D2737" s="88">
        <v>251</v>
      </c>
      <c r="E2737" s="85" t="s">
        <v>7893</v>
      </c>
      <c r="F2737" s="87">
        <v>10</v>
      </c>
      <c r="G2737" s="37"/>
      <c r="H2737" s="37">
        <f>COUNTIF('(参考)現行システム機能階層一覧'!$E$3:$E$1048576,sheet1!B2737)</f>
        <v>1</v>
      </c>
      <c r="I2737" s="37"/>
      <c r="J2737" s="37"/>
      <c r="K2737" s="37"/>
      <c r="L2737" s="37"/>
    </row>
    <row r="2738" spans="1:12" ht="15.75" customHeight="1">
      <c r="A2738" s="87" t="s">
        <v>3853</v>
      </c>
      <c r="B2738" s="87" t="s">
        <v>8120</v>
      </c>
      <c r="C2738" s="87" t="s">
        <v>8119</v>
      </c>
      <c r="D2738" s="88">
        <v>22</v>
      </c>
      <c r="E2738" s="85" t="s">
        <v>7893</v>
      </c>
      <c r="F2738" s="87">
        <v>10</v>
      </c>
      <c r="G2738" s="37"/>
      <c r="H2738" s="37">
        <f>COUNTIF('(参考)現行システム機能階層一覧'!$E$3:$E$1048576,sheet1!B2738)</f>
        <v>0</v>
      </c>
      <c r="I2738" s="37"/>
      <c r="J2738" s="37"/>
      <c r="K2738" s="37"/>
      <c r="L2738" s="37"/>
    </row>
    <row r="2739" spans="1:12" ht="15.75" customHeight="1">
      <c r="A2739" s="87" t="s">
        <v>3935</v>
      </c>
      <c r="B2739" s="87" t="s">
        <v>583</v>
      </c>
      <c r="C2739" s="87" t="s">
        <v>8121</v>
      </c>
      <c r="D2739" s="88">
        <v>354</v>
      </c>
      <c r="E2739" s="85" t="s">
        <v>7893</v>
      </c>
      <c r="F2739" s="87">
        <v>64</v>
      </c>
      <c r="G2739" s="37"/>
      <c r="H2739" s="37">
        <f>COUNTIF('(参考)現行システム機能階層一覧'!$E$3:$E$1048576,sheet1!B2739)</f>
        <v>0</v>
      </c>
      <c r="I2739" s="37"/>
      <c r="J2739" s="37"/>
      <c r="K2739" s="37"/>
      <c r="L2739" s="37"/>
    </row>
    <row r="2740" spans="1:12" ht="15.75" customHeight="1">
      <c r="A2740" s="87" t="s">
        <v>3853</v>
      </c>
      <c r="B2740" s="87" t="s">
        <v>8122</v>
      </c>
      <c r="C2740" s="87" t="s">
        <v>8123</v>
      </c>
      <c r="D2740" s="88">
        <v>88</v>
      </c>
      <c r="E2740" s="85" t="s">
        <v>7893</v>
      </c>
      <c r="F2740" s="87">
        <v>64</v>
      </c>
      <c r="G2740" s="37"/>
      <c r="H2740" s="37">
        <f>COUNTIF('(参考)現行システム機能階層一覧'!$E$3:$E$1048576,sheet1!B2740)</f>
        <v>0</v>
      </c>
      <c r="I2740" s="37"/>
      <c r="J2740" s="37"/>
      <c r="K2740" s="37"/>
      <c r="L2740" s="37"/>
    </row>
    <row r="2741" spans="1:12" ht="15.75" customHeight="1">
      <c r="A2741" s="87" t="s">
        <v>3935</v>
      </c>
      <c r="B2741" s="87" t="s">
        <v>8124</v>
      </c>
      <c r="C2741" s="87" t="s">
        <v>8125</v>
      </c>
      <c r="D2741" s="88">
        <v>759</v>
      </c>
      <c r="E2741" s="85" t="s">
        <v>7893</v>
      </c>
      <c r="F2741" s="87">
        <v>3</v>
      </c>
      <c r="G2741" s="37"/>
      <c r="H2741" s="37">
        <f>COUNTIF('(参考)現行システム機能階層一覧'!$E$3:$E$1048576,sheet1!B2741)</f>
        <v>0</v>
      </c>
      <c r="I2741" s="37"/>
      <c r="J2741" s="37"/>
      <c r="K2741" s="37"/>
      <c r="L2741" s="37"/>
    </row>
    <row r="2742" spans="1:12" ht="15.75" customHeight="1">
      <c r="A2742" s="87" t="s">
        <v>3935</v>
      </c>
      <c r="B2742" s="87" t="s">
        <v>709</v>
      </c>
      <c r="C2742" s="87" t="s">
        <v>8126</v>
      </c>
      <c r="D2742" s="88">
        <v>177</v>
      </c>
      <c r="E2742" s="85" t="s">
        <v>7893</v>
      </c>
      <c r="F2742" s="87">
        <v>788</v>
      </c>
      <c r="G2742" s="37"/>
      <c r="H2742" s="37">
        <f>COUNTIF('(参考)現行システム機能階層一覧'!$E$3:$E$1048576,sheet1!B2742)</f>
        <v>1</v>
      </c>
      <c r="I2742" s="37"/>
      <c r="J2742" s="37"/>
      <c r="K2742" s="37"/>
      <c r="L2742" s="37"/>
    </row>
    <row r="2743" spans="1:12" ht="15.75" customHeight="1">
      <c r="A2743" s="87" t="s">
        <v>3853</v>
      </c>
      <c r="B2743" s="87" t="s">
        <v>8127</v>
      </c>
      <c r="C2743" s="87" t="s">
        <v>8128</v>
      </c>
      <c r="D2743" s="88">
        <v>48</v>
      </c>
      <c r="E2743" s="85" t="s">
        <v>7893</v>
      </c>
      <c r="F2743" s="87">
        <v>788</v>
      </c>
      <c r="G2743" s="37"/>
      <c r="H2743" s="37">
        <f>COUNTIF('(参考)現行システム機能階層一覧'!$E$3:$E$1048576,sheet1!B2743)</f>
        <v>0</v>
      </c>
      <c r="I2743" s="37"/>
      <c r="J2743" s="37"/>
      <c r="K2743" s="37"/>
      <c r="L2743" s="37"/>
    </row>
    <row r="2744" spans="1:12" ht="15.75" customHeight="1">
      <c r="A2744" s="87" t="s">
        <v>3935</v>
      </c>
      <c r="B2744" s="87" t="s">
        <v>8129</v>
      </c>
      <c r="C2744" s="87" t="s">
        <v>8130</v>
      </c>
      <c r="D2744" s="88">
        <v>758</v>
      </c>
      <c r="E2744" s="85" t="s">
        <v>7893</v>
      </c>
      <c r="F2744" s="87">
        <v>145</v>
      </c>
      <c r="G2744" s="37"/>
      <c r="H2744" s="37">
        <f>COUNTIF('(参考)現行システム機能階層一覧'!$E$3:$E$1048576,sheet1!B2744)</f>
        <v>0</v>
      </c>
      <c r="I2744" s="37"/>
      <c r="J2744" s="37"/>
      <c r="K2744" s="37"/>
      <c r="L2744" s="37"/>
    </row>
    <row r="2745" spans="1:12" ht="15.75" customHeight="1">
      <c r="A2745" s="87" t="s">
        <v>3935</v>
      </c>
      <c r="B2745" s="87" t="s">
        <v>714</v>
      </c>
      <c r="C2745" s="87" t="s">
        <v>8131</v>
      </c>
      <c r="D2745" s="88">
        <v>181</v>
      </c>
      <c r="E2745" s="85" t="s">
        <v>7893</v>
      </c>
      <c r="F2745" s="87">
        <v>550</v>
      </c>
      <c r="G2745" s="37"/>
      <c r="H2745" s="37">
        <f>COUNTIF('(参考)現行システム機能階層一覧'!$E$3:$E$1048576,sheet1!B2745)</f>
        <v>1</v>
      </c>
      <c r="I2745" s="37"/>
      <c r="J2745" s="37"/>
      <c r="K2745" s="37"/>
      <c r="L2745" s="37"/>
    </row>
    <row r="2746" spans="1:12" ht="15.75" customHeight="1">
      <c r="A2746" s="87" t="s">
        <v>3853</v>
      </c>
      <c r="B2746" s="87" t="s">
        <v>8132</v>
      </c>
      <c r="C2746" s="87" t="s">
        <v>8133</v>
      </c>
      <c r="D2746" s="88">
        <v>60</v>
      </c>
      <c r="E2746" s="85" t="s">
        <v>7893</v>
      </c>
      <c r="F2746" s="87">
        <v>550</v>
      </c>
      <c r="G2746" s="37"/>
      <c r="H2746" s="37">
        <f>COUNTIF('(参考)現行システム機能階層一覧'!$E$3:$E$1048576,sheet1!B2746)</f>
        <v>0</v>
      </c>
      <c r="I2746" s="37"/>
      <c r="J2746" s="37"/>
      <c r="K2746" s="37"/>
      <c r="L2746" s="37"/>
    </row>
    <row r="2747" spans="1:12" ht="15.75" customHeight="1">
      <c r="A2747" s="87" t="s">
        <v>3935</v>
      </c>
      <c r="B2747" s="87" t="s">
        <v>8134</v>
      </c>
      <c r="C2747" s="87" t="s">
        <v>8135</v>
      </c>
      <c r="D2747" s="88">
        <v>692</v>
      </c>
      <c r="E2747" s="85" t="s">
        <v>7893</v>
      </c>
      <c r="F2747" s="87">
        <v>129</v>
      </c>
      <c r="G2747" s="37"/>
      <c r="H2747" s="37">
        <f>COUNTIF('(参考)現行システム機能階層一覧'!$E$3:$E$1048576,sheet1!B2747)</f>
        <v>0</v>
      </c>
      <c r="I2747" s="37"/>
      <c r="J2747" s="37"/>
      <c r="K2747" s="37"/>
      <c r="L2747" s="37"/>
    </row>
    <row r="2748" spans="1:12" ht="15.75" customHeight="1">
      <c r="A2748" s="87" t="s">
        <v>3935</v>
      </c>
      <c r="B2748" s="87" t="s">
        <v>624</v>
      </c>
      <c r="C2748" s="87" t="s">
        <v>8136</v>
      </c>
      <c r="D2748" s="88">
        <v>282</v>
      </c>
      <c r="E2748" s="85" t="s">
        <v>7893</v>
      </c>
      <c r="F2748" s="87">
        <v>82</v>
      </c>
      <c r="G2748" s="37"/>
      <c r="H2748" s="37">
        <f>COUNTIF('(参考)現行システム機能階層一覧'!$E$3:$E$1048576,sheet1!B2748)</f>
        <v>1</v>
      </c>
      <c r="I2748" s="37"/>
      <c r="J2748" s="37"/>
      <c r="K2748" s="37"/>
      <c r="L2748" s="37"/>
    </row>
    <row r="2749" spans="1:12" ht="15.75" customHeight="1">
      <c r="A2749" s="87" t="s">
        <v>3935</v>
      </c>
      <c r="B2749" s="87" t="s">
        <v>721</v>
      </c>
      <c r="C2749" s="87" t="s">
        <v>8137</v>
      </c>
      <c r="D2749" s="88">
        <v>263</v>
      </c>
      <c r="E2749" s="85" t="s">
        <v>7893</v>
      </c>
      <c r="F2749" s="87">
        <v>842</v>
      </c>
      <c r="G2749" s="37"/>
      <c r="H2749" s="37">
        <f>COUNTIF('(参考)現行システム機能階層一覧'!$E$3:$E$1048576,sheet1!B2749)</f>
        <v>1</v>
      </c>
      <c r="I2749" s="37"/>
      <c r="J2749" s="37"/>
      <c r="K2749" s="37"/>
      <c r="L2749" s="37"/>
    </row>
    <row r="2750" spans="1:12" ht="15.75" customHeight="1">
      <c r="A2750" s="87" t="s">
        <v>3853</v>
      </c>
      <c r="B2750" s="87" t="s">
        <v>8138</v>
      </c>
      <c r="C2750" s="87" t="s">
        <v>8139</v>
      </c>
      <c r="D2750" s="88">
        <v>75</v>
      </c>
      <c r="E2750" s="85" t="s">
        <v>7893</v>
      </c>
      <c r="F2750" s="87">
        <v>842</v>
      </c>
      <c r="G2750" s="37"/>
      <c r="H2750" s="37">
        <f>COUNTIF('(参考)現行システム機能階層一覧'!$E$3:$E$1048576,sheet1!B2750)</f>
        <v>0</v>
      </c>
      <c r="I2750" s="37"/>
      <c r="J2750" s="37"/>
      <c r="K2750" s="37"/>
      <c r="L2750" s="37"/>
    </row>
    <row r="2751" spans="1:12" ht="15.75" customHeight="1">
      <c r="A2751" s="87" t="s">
        <v>3935</v>
      </c>
      <c r="B2751" s="87" t="s">
        <v>8140</v>
      </c>
      <c r="C2751" s="87" t="s">
        <v>8141</v>
      </c>
      <c r="D2751" s="88">
        <v>596</v>
      </c>
      <c r="E2751" s="85" t="s">
        <v>7893</v>
      </c>
      <c r="F2751" s="87">
        <v>121</v>
      </c>
      <c r="G2751" s="37"/>
      <c r="H2751" s="37">
        <f>COUNTIF('(参考)現行システム機能階層一覧'!$E$3:$E$1048576,sheet1!B2751)</f>
        <v>0</v>
      </c>
      <c r="I2751" s="37"/>
      <c r="J2751" s="37"/>
      <c r="K2751" s="37"/>
      <c r="L2751" s="37"/>
    </row>
    <row r="2752" spans="1:12" ht="15.75" customHeight="1">
      <c r="A2752" s="87" t="s">
        <v>3935</v>
      </c>
      <c r="B2752" s="87" t="s">
        <v>725</v>
      </c>
      <c r="C2752" s="87" t="s">
        <v>8142</v>
      </c>
      <c r="D2752" s="88">
        <v>263</v>
      </c>
      <c r="E2752" s="85" t="s">
        <v>7893</v>
      </c>
      <c r="F2752" s="87">
        <v>760</v>
      </c>
      <c r="G2752" s="37"/>
      <c r="H2752" s="37">
        <f>COUNTIF('(参考)現行システム機能階層一覧'!$E$3:$E$1048576,sheet1!B2752)</f>
        <v>1</v>
      </c>
      <c r="I2752" s="37"/>
      <c r="J2752" s="37"/>
      <c r="K2752" s="37"/>
      <c r="L2752" s="37"/>
    </row>
    <row r="2753" spans="1:12" ht="15.75" customHeight="1">
      <c r="A2753" s="87" t="s">
        <v>3853</v>
      </c>
      <c r="B2753" s="87" t="s">
        <v>8143</v>
      </c>
      <c r="C2753" s="87" t="s">
        <v>8144</v>
      </c>
      <c r="D2753" s="88">
        <v>72</v>
      </c>
      <c r="E2753" s="85" t="s">
        <v>7893</v>
      </c>
      <c r="F2753" s="87">
        <v>760</v>
      </c>
      <c r="G2753" s="37"/>
      <c r="H2753" s="37">
        <f>COUNTIF('(参考)現行システム機能階層一覧'!$E$3:$E$1048576,sheet1!B2753)</f>
        <v>0</v>
      </c>
      <c r="I2753" s="37"/>
      <c r="J2753" s="37"/>
      <c r="K2753" s="37"/>
      <c r="L2753" s="37"/>
    </row>
    <row r="2754" spans="1:12" ht="15.75" customHeight="1">
      <c r="A2754" s="87" t="s">
        <v>3935</v>
      </c>
      <c r="B2754" s="87" t="s">
        <v>8145</v>
      </c>
      <c r="C2754" s="87" t="s">
        <v>8146</v>
      </c>
      <c r="D2754" s="88">
        <v>500</v>
      </c>
      <c r="E2754" s="85" t="s">
        <v>7893</v>
      </c>
      <c r="F2754" s="87">
        <v>109</v>
      </c>
      <c r="G2754" s="37"/>
      <c r="H2754" s="37">
        <f>COUNTIF('(参考)現行システム機能階層一覧'!$E$3:$E$1048576,sheet1!B2754)</f>
        <v>0</v>
      </c>
      <c r="I2754" s="37"/>
      <c r="J2754" s="37"/>
      <c r="K2754" s="37"/>
      <c r="L2754" s="37"/>
    </row>
    <row r="2755" spans="1:12" ht="15.75" customHeight="1">
      <c r="A2755" s="87" t="s">
        <v>3935</v>
      </c>
      <c r="B2755" s="87" t="s">
        <v>729</v>
      </c>
      <c r="C2755" s="87" t="s">
        <v>8147</v>
      </c>
      <c r="D2755" s="88">
        <v>281</v>
      </c>
      <c r="E2755" s="85" t="s">
        <v>7893</v>
      </c>
      <c r="F2755" s="87">
        <v>14</v>
      </c>
      <c r="G2755" s="37"/>
      <c r="H2755" s="37">
        <f>COUNTIF('(参考)現行システム機能階層一覧'!$E$3:$E$1048576,sheet1!B2755)</f>
        <v>1</v>
      </c>
      <c r="I2755" s="37"/>
      <c r="J2755" s="37"/>
      <c r="K2755" s="37"/>
      <c r="L2755" s="37"/>
    </row>
    <row r="2756" spans="1:12" ht="15.75" customHeight="1">
      <c r="A2756" s="87" t="s">
        <v>3935</v>
      </c>
      <c r="B2756" s="87" t="s">
        <v>8148</v>
      </c>
      <c r="C2756" s="87" t="s">
        <v>8149</v>
      </c>
      <c r="D2756" s="88">
        <v>481</v>
      </c>
      <c r="E2756" s="85" t="s">
        <v>7893</v>
      </c>
      <c r="F2756" s="87">
        <v>1</v>
      </c>
      <c r="G2756" s="37"/>
      <c r="H2756" s="37">
        <f>COUNTIF('(参考)現行システム機能階層一覧'!$E$3:$E$1048576,sheet1!B2756)</f>
        <v>0</v>
      </c>
      <c r="I2756" s="37"/>
      <c r="J2756" s="37"/>
      <c r="K2756" s="37"/>
      <c r="L2756" s="37"/>
    </row>
    <row r="2757" spans="1:12" ht="15.75" customHeight="1">
      <c r="A2757" s="87" t="s">
        <v>3853</v>
      </c>
      <c r="B2757" s="87" t="s">
        <v>8150</v>
      </c>
      <c r="C2757" s="87" t="s">
        <v>8149</v>
      </c>
      <c r="D2757" s="88">
        <v>13</v>
      </c>
      <c r="E2757" s="85" t="s">
        <v>7893</v>
      </c>
      <c r="F2757" s="87">
        <v>1</v>
      </c>
      <c r="G2757" s="37"/>
      <c r="H2757" s="37">
        <f>COUNTIF('(参考)現行システム機能階層一覧'!$E$3:$E$1048576,sheet1!B2757)</f>
        <v>0</v>
      </c>
      <c r="I2757" s="37"/>
      <c r="J2757" s="37"/>
      <c r="K2757" s="37"/>
      <c r="L2757" s="37"/>
    </row>
    <row r="2758" spans="1:12" ht="15.75" customHeight="1">
      <c r="A2758" s="87" t="s">
        <v>3935</v>
      </c>
      <c r="B2758" s="87" t="s">
        <v>8151</v>
      </c>
      <c r="C2758" s="87" t="s">
        <v>8152</v>
      </c>
      <c r="D2758" s="88">
        <v>1180</v>
      </c>
      <c r="E2758" s="85" t="s">
        <v>7893</v>
      </c>
      <c r="F2758" s="87">
        <v>6</v>
      </c>
      <c r="G2758" s="37"/>
      <c r="H2758" s="37">
        <f>COUNTIF('(参考)現行システム機能階層一覧'!$E$3:$E$1048576,sheet1!B2758)</f>
        <v>0</v>
      </c>
      <c r="I2758" s="37"/>
      <c r="J2758" s="37"/>
      <c r="K2758" s="37"/>
      <c r="L2758" s="37"/>
    </row>
    <row r="2759" spans="1:12" ht="15.75" customHeight="1">
      <c r="A2759" s="87" t="s">
        <v>3853</v>
      </c>
      <c r="B2759" s="87" t="s">
        <v>8153</v>
      </c>
      <c r="C2759" s="87" t="s">
        <v>8152</v>
      </c>
      <c r="D2759" s="88">
        <v>13</v>
      </c>
      <c r="E2759" s="85" t="s">
        <v>7893</v>
      </c>
      <c r="F2759" s="87">
        <v>6</v>
      </c>
      <c r="G2759" s="37"/>
      <c r="H2759" s="37">
        <f>COUNTIF('(参考)現行システム機能階層一覧'!$E$3:$E$1048576,sheet1!B2759)</f>
        <v>0</v>
      </c>
      <c r="I2759" s="37"/>
      <c r="J2759" s="37"/>
      <c r="K2759" s="37"/>
      <c r="L2759" s="37"/>
    </row>
    <row r="2760" spans="1:12" ht="15.75" customHeight="1">
      <c r="A2760" s="87" t="s">
        <v>3935</v>
      </c>
      <c r="B2760" s="87" t="s">
        <v>1012</v>
      </c>
      <c r="C2760" s="87" t="s">
        <v>8084</v>
      </c>
      <c r="D2760" s="88">
        <v>592</v>
      </c>
      <c r="E2760" s="85" t="s">
        <v>7893</v>
      </c>
      <c r="F2760" s="87">
        <v>46</v>
      </c>
      <c r="G2760" s="37"/>
      <c r="H2760" s="37">
        <f>COUNTIF('(参考)現行システム機能階層一覧'!$E$3:$E$1048576,sheet1!B2760)</f>
        <v>1</v>
      </c>
      <c r="I2760" s="37"/>
      <c r="J2760" s="37"/>
      <c r="K2760" s="37"/>
      <c r="L2760" s="37"/>
    </row>
    <row r="2761" spans="1:12" ht="15.75" customHeight="1">
      <c r="A2761" s="87" t="s">
        <v>3853</v>
      </c>
      <c r="B2761" s="87" t="s">
        <v>8154</v>
      </c>
      <c r="C2761" s="87" t="s">
        <v>1033</v>
      </c>
      <c r="D2761" s="88">
        <v>26</v>
      </c>
      <c r="E2761" s="85" t="s">
        <v>7893</v>
      </c>
      <c r="F2761" s="87">
        <v>46</v>
      </c>
      <c r="G2761" s="37"/>
      <c r="H2761" s="37">
        <f>COUNTIF('(参考)現行システム機能階層一覧'!$E$3:$E$1048576,sheet1!B2761)</f>
        <v>0</v>
      </c>
      <c r="I2761" s="37"/>
      <c r="J2761" s="37"/>
      <c r="K2761" s="37"/>
      <c r="L2761" s="37"/>
    </row>
    <row r="2762" spans="1:12" ht="15.75" customHeight="1">
      <c r="A2762" s="87" t="s">
        <v>3935</v>
      </c>
      <c r="B2762" s="87" t="s">
        <v>8155</v>
      </c>
      <c r="C2762" s="87" t="s">
        <v>8156</v>
      </c>
      <c r="D2762" s="88">
        <v>681</v>
      </c>
      <c r="E2762" s="85" t="s">
        <v>7893</v>
      </c>
      <c r="F2762" s="87">
        <v>16</v>
      </c>
      <c r="G2762" s="37"/>
      <c r="H2762" s="37">
        <f>COUNTIF('(参考)現行システム機能階層一覧'!$E$3:$E$1048576,sheet1!B2762)</f>
        <v>0</v>
      </c>
      <c r="I2762" s="37"/>
      <c r="J2762" s="37"/>
      <c r="K2762" s="37"/>
      <c r="L2762" s="37"/>
    </row>
    <row r="2763" spans="1:12" ht="15.75" customHeight="1">
      <c r="A2763" s="87" t="s">
        <v>3935</v>
      </c>
      <c r="B2763" s="87" t="s">
        <v>8157</v>
      </c>
      <c r="C2763" s="87" t="s">
        <v>8156</v>
      </c>
      <c r="D2763" s="88">
        <v>565</v>
      </c>
      <c r="E2763" s="85" t="s">
        <v>7893</v>
      </c>
      <c r="F2763" s="87">
        <v>2</v>
      </c>
      <c r="G2763" s="37"/>
      <c r="H2763" s="37">
        <f>COUNTIF('(参考)現行システム機能階層一覧'!$E$3:$E$1048576,sheet1!B2763)</f>
        <v>0</v>
      </c>
      <c r="I2763" s="37"/>
      <c r="J2763" s="37"/>
      <c r="K2763" s="37"/>
      <c r="L2763" s="37"/>
    </row>
    <row r="2764" spans="1:12" ht="15.75" customHeight="1">
      <c r="A2764" s="87" t="s">
        <v>3935</v>
      </c>
      <c r="B2764" s="87" t="s">
        <v>8158</v>
      </c>
      <c r="C2764" s="87" t="s">
        <v>8159</v>
      </c>
      <c r="D2764" s="88">
        <v>570</v>
      </c>
      <c r="E2764" s="85" t="s">
        <v>7893</v>
      </c>
      <c r="F2764" s="87">
        <v>177</v>
      </c>
      <c r="G2764" s="37"/>
      <c r="H2764" s="37">
        <f>COUNTIF('(参考)現行システム機能階層一覧'!$E$3:$E$1048576,sheet1!B2764)</f>
        <v>0</v>
      </c>
      <c r="I2764" s="37"/>
      <c r="J2764" s="37"/>
      <c r="K2764" s="37"/>
      <c r="L2764" s="37"/>
    </row>
    <row r="2765" spans="1:12" ht="15.75" customHeight="1">
      <c r="A2765" s="87" t="s">
        <v>3853</v>
      </c>
      <c r="B2765" s="87" t="s">
        <v>8160</v>
      </c>
      <c r="C2765" s="87" t="s">
        <v>8161</v>
      </c>
      <c r="D2765" s="88">
        <v>9</v>
      </c>
      <c r="E2765" s="85" t="s">
        <v>7893</v>
      </c>
      <c r="F2765" s="87">
        <v>177</v>
      </c>
      <c r="G2765" s="37"/>
      <c r="H2765" s="37">
        <f>COUNTIF('(参考)現行システム機能階層一覧'!$E$3:$E$1048576,sheet1!B2765)</f>
        <v>0</v>
      </c>
      <c r="I2765" s="37"/>
      <c r="J2765" s="37"/>
      <c r="K2765" s="37"/>
      <c r="L2765" s="37"/>
    </row>
    <row r="2766" spans="1:12" ht="15.75" customHeight="1">
      <c r="A2766" s="87" t="s">
        <v>3935</v>
      </c>
      <c r="B2766" s="87" t="s">
        <v>8162</v>
      </c>
      <c r="C2766" s="87" t="s">
        <v>8161</v>
      </c>
      <c r="D2766" s="88">
        <v>641</v>
      </c>
      <c r="E2766" s="85" t="s">
        <v>7893</v>
      </c>
      <c r="F2766" s="87">
        <v>12</v>
      </c>
      <c r="G2766" s="37"/>
      <c r="H2766" s="37">
        <f>COUNTIF('(参考)現行システム機能階層一覧'!$E$3:$E$1048576,sheet1!B2766)</f>
        <v>0</v>
      </c>
      <c r="I2766" s="37"/>
      <c r="J2766" s="37"/>
      <c r="K2766" s="37"/>
      <c r="L2766" s="37"/>
    </row>
    <row r="2767" spans="1:12" ht="15.75" customHeight="1">
      <c r="A2767" s="87" t="s">
        <v>3853</v>
      </c>
      <c r="B2767" s="87" t="s">
        <v>8163</v>
      </c>
      <c r="C2767" s="87" t="s">
        <v>772</v>
      </c>
      <c r="D2767" s="88">
        <v>37</v>
      </c>
      <c r="E2767" s="85" t="s">
        <v>7893</v>
      </c>
      <c r="F2767" s="87">
        <v>94</v>
      </c>
      <c r="G2767" s="37"/>
      <c r="H2767" s="37">
        <f>COUNTIF('(参考)現行システム機能階層一覧'!$E$3:$E$1048576,sheet1!B2767)</f>
        <v>0</v>
      </c>
      <c r="I2767" s="37"/>
      <c r="J2767" s="37"/>
      <c r="K2767" s="37"/>
      <c r="L2767" s="37"/>
    </row>
    <row r="2768" spans="1:12" ht="15.75" customHeight="1">
      <c r="A2768" s="87" t="s">
        <v>3935</v>
      </c>
      <c r="B2768" s="87" t="s">
        <v>894</v>
      </c>
      <c r="C2768" s="87" t="s">
        <v>8164</v>
      </c>
      <c r="D2768" s="88">
        <v>465</v>
      </c>
      <c r="E2768" s="85" t="s">
        <v>7893</v>
      </c>
      <c r="F2768" s="87">
        <v>10</v>
      </c>
      <c r="G2768" s="37"/>
      <c r="H2768" s="37">
        <f>COUNTIF('(参考)現行システム機能階層一覧'!$E$3:$E$1048576,sheet1!B2768)</f>
        <v>1</v>
      </c>
      <c r="I2768" s="37"/>
      <c r="J2768" s="37"/>
      <c r="K2768" s="37"/>
      <c r="L2768" s="37"/>
    </row>
    <row r="2769" spans="1:12" ht="15.75" customHeight="1">
      <c r="A2769" s="87" t="s">
        <v>3853</v>
      </c>
      <c r="B2769" s="87" t="s">
        <v>8165</v>
      </c>
      <c r="C2769" s="87" t="s">
        <v>8166</v>
      </c>
      <c r="D2769" s="88">
        <v>60</v>
      </c>
      <c r="E2769" s="85" t="s">
        <v>7893</v>
      </c>
      <c r="F2769" s="87">
        <v>10</v>
      </c>
      <c r="G2769" s="37"/>
      <c r="H2769" s="37">
        <f>COUNTIF('(参考)現行システム機能階層一覧'!$E$3:$E$1048576,sheet1!B2769)</f>
        <v>0</v>
      </c>
      <c r="I2769" s="37"/>
      <c r="J2769" s="37"/>
      <c r="K2769" s="37"/>
      <c r="L2769" s="37"/>
    </row>
    <row r="2770" spans="1:12" ht="15.75" customHeight="1">
      <c r="A2770" s="87" t="s">
        <v>3935</v>
      </c>
      <c r="B2770" s="87" t="s">
        <v>8167</v>
      </c>
      <c r="C2770" s="87" t="s">
        <v>481</v>
      </c>
      <c r="D2770" s="88">
        <v>565</v>
      </c>
      <c r="E2770" s="85" t="s">
        <v>7893</v>
      </c>
      <c r="F2770" s="87">
        <v>6</v>
      </c>
      <c r="G2770" s="37"/>
      <c r="H2770" s="37">
        <f>COUNTIF('(参考)現行システム機能階層一覧'!$E$3:$E$1048576,sheet1!B2770)</f>
        <v>0</v>
      </c>
      <c r="I2770" s="37"/>
      <c r="J2770" s="37"/>
      <c r="K2770" s="37"/>
      <c r="L2770" s="37"/>
    </row>
    <row r="2771" spans="1:12" ht="15.75" customHeight="1">
      <c r="A2771" s="87" t="s">
        <v>3853</v>
      </c>
      <c r="B2771" s="87" t="s">
        <v>8168</v>
      </c>
      <c r="C2771" s="87" t="s">
        <v>481</v>
      </c>
      <c r="D2771" s="88">
        <v>29</v>
      </c>
      <c r="E2771" s="85" t="s">
        <v>7893</v>
      </c>
      <c r="F2771" s="87">
        <v>6</v>
      </c>
      <c r="G2771" s="37"/>
      <c r="H2771" s="37">
        <f>COUNTIF('(参考)現行システム機能階層一覧'!$E$3:$E$1048576,sheet1!B2771)</f>
        <v>0</v>
      </c>
      <c r="I2771" s="37"/>
      <c r="J2771" s="37"/>
      <c r="K2771" s="37"/>
      <c r="L2771" s="37"/>
    </row>
    <row r="2772" spans="1:12" ht="15.75" customHeight="1">
      <c r="A2772" s="87" t="s">
        <v>3935</v>
      </c>
      <c r="B2772" s="87" t="s">
        <v>8169</v>
      </c>
      <c r="C2772" s="87" t="s">
        <v>484</v>
      </c>
      <c r="D2772" s="88">
        <v>714</v>
      </c>
      <c r="E2772" s="85" t="s">
        <v>7893</v>
      </c>
      <c r="F2772" s="87">
        <v>6</v>
      </c>
      <c r="G2772" s="37"/>
      <c r="H2772" s="37">
        <f>COUNTIF('(参考)現行システム機能階層一覧'!$E$3:$E$1048576,sheet1!B2772)</f>
        <v>0</v>
      </c>
      <c r="I2772" s="37"/>
      <c r="J2772" s="37"/>
      <c r="K2772" s="37"/>
      <c r="L2772" s="37"/>
    </row>
    <row r="2773" spans="1:12" ht="15.75" customHeight="1">
      <c r="A2773" s="87" t="s">
        <v>3853</v>
      </c>
      <c r="B2773" s="87" t="s">
        <v>8170</v>
      </c>
      <c r="C2773" s="87" t="s">
        <v>484</v>
      </c>
      <c r="D2773" s="88">
        <v>30</v>
      </c>
      <c r="E2773" s="85" t="s">
        <v>7893</v>
      </c>
      <c r="F2773" s="87">
        <v>6</v>
      </c>
      <c r="G2773" s="37"/>
      <c r="H2773" s="37">
        <f>COUNTIF('(参考)現行システム機能階層一覧'!$E$3:$E$1048576,sheet1!B2773)</f>
        <v>0</v>
      </c>
      <c r="I2773" s="37"/>
      <c r="J2773" s="37"/>
      <c r="K2773" s="37"/>
      <c r="L2773" s="37"/>
    </row>
    <row r="2774" spans="1:12" ht="15.75" customHeight="1">
      <c r="A2774" s="87" t="s">
        <v>3935</v>
      </c>
      <c r="B2774" s="87" t="s">
        <v>690</v>
      </c>
      <c r="C2774" s="87" t="s">
        <v>691</v>
      </c>
      <c r="D2774" s="88">
        <v>952</v>
      </c>
      <c r="E2774" s="85" t="s">
        <v>7893</v>
      </c>
      <c r="F2774" s="87">
        <v>23</v>
      </c>
      <c r="G2774" s="37"/>
      <c r="H2774" s="37">
        <f>COUNTIF('(参考)現行システム機能階層一覧'!$E$3:$E$1048576,sheet1!B2774)</f>
        <v>1</v>
      </c>
      <c r="I2774" s="37"/>
      <c r="J2774" s="37"/>
      <c r="K2774" s="37"/>
      <c r="L2774" s="37"/>
    </row>
    <row r="2775" spans="1:12" ht="15.75" customHeight="1">
      <c r="A2775" s="87" t="s">
        <v>3853</v>
      </c>
      <c r="B2775" s="87" t="s">
        <v>8171</v>
      </c>
      <c r="C2775" s="87" t="s">
        <v>691</v>
      </c>
      <c r="D2775" s="88">
        <v>20</v>
      </c>
      <c r="E2775" s="85" t="s">
        <v>7893</v>
      </c>
      <c r="F2775" s="87">
        <v>23</v>
      </c>
      <c r="G2775" s="37"/>
      <c r="H2775" s="37">
        <f>COUNTIF('(参考)現行システム機能階層一覧'!$E$3:$E$1048576,sheet1!B2775)</f>
        <v>0</v>
      </c>
      <c r="I2775" s="37"/>
      <c r="J2775" s="37"/>
      <c r="K2775" s="37"/>
      <c r="L2775" s="37"/>
    </row>
    <row r="2776" spans="1:12" ht="15.75" customHeight="1">
      <c r="A2776" s="87" t="s">
        <v>3935</v>
      </c>
      <c r="B2776" s="87" t="s">
        <v>686</v>
      </c>
      <c r="C2776" s="87" t="s">
        <v>687</v>
      </c>
      <c r="D2776" s="88">
        <v>445</v>
      </c>
      <c r="E2776" s="85" t="s">
        <v>7893</v>
      </c>
      <c r="F2776" s="87">
        <v>195</v>
      </c>
      <c r="G2776" s="37"/>
      <c r="H2776" s="37">
        <f>COUNTIF('(参考)現行システム機能階層一覧'!$E$3:$E$1048576,sheet1!B2776)</f>
        <v>1</v>
      </c>
      <c r="I2776" s="37"/>
      <c r="J2776" s="37"/>
      <c r="K2776" s="37"/>
      <c r="L2776" s="37"/>
    </row>
    <row r="2777" spans="1:12" ht="15.75" customHeight="1">
      <c r="A2777" s="87" t="s">
        <v>3853</v>
      </c>
      <c r="B2777" s="87" t="s">
        <v>8172</v>
      </c>
      <c r="C2777" s="87" t="s">
        <v>8173</v>
      </c>
      <c r="D2777" s="88">
        <v>39</v>
      </c>
      <c r="E2777" s="85" t="s">
        <v>7893</v>
      </c>
      <c r="F2777" s="87">
        <v>195</v>
      </c>
      <c r="G2777" s="37"/>
      <c r="H2777" s="37">
        <f>COUNTIF('(参考)現行システム機能階層一覧'!$E$3:$E$1048576,sheet1!B2777)</f>
        <v>0</v>
      </c>
      <c r="I2777" s="37"/>
      <c r="J2777" s="37"/>
      <c r="K2777" s="37"/>
      <c r="L2777" s="37"/>
    </row>
    <row r="2778" spans="1:12" ht="15.75" customHeight="1">
      <c r="A2778" s="87" t="s">
        <v>3935</v>
      </c>
      <c r="B2778" s="87" t="s">
        <v>897</v>
      </c>
      <c r="C2778" s="87" t="s">
        <v>898</v>
      </c>
      <c r="D2778" s="88">
        <v>1119</v>
      </c>
      <c r="E2778" s="85" t="s">
        <v>7893</v>
      </c>
      <c r="F2778" s="87">
        <v>3</v>
      </c>
      <c r="G2778" s="37"/>
      <c r="H2778" s="37">
        <f>COUNTIF('(参考)現行システム機能階層一覧'!$E$3:$E$1048576,sheet1!B2778)</f>
        <v>1</v>
      </c>
      <c r="I2778" s="37"/>
      <c r="J2778" s="37"/>
      <c r="K2778" s="37"/>
      <c r="L2778" s="37"/>
    </row>
    <row r="2779" spans="1:12" ht="15.75" customHeight="1">
      <c r="A2779" s="87" t="s">
        <v>3853</v>
      </c>
      <c r="B2779" s="87" t="s">
        <v>8174</v>
      </c>
      <c r="C2779" s="87" t="s">
        <v>898</v>
      </c>
      <c r="D2779" s="88">
        <v>72</v>
      </c>
      <c r="E2779" s="85" t="s">
        <v>7893</v>
      </c>
      <c r="F2779" s="87">
        <v>100</v>
      </c>
      <c r="G2779" s="37"/>
      <c r="H2779" s="37">
        <f>COUNTIF('(参考)現行システム機能階層一覧'!$E$3:$E$1048576,sheet1!B2779)</f>
        <v>0</v>
      </c>
      <c r="I2779" s="37"/>
      <c r="J2779" s="37"/>
      <c r="K2779" s="37"/>
      <c r="L2779" s="37"/>
    </row>
    <row r="2780" spans="1:12" ht="15.75" customHeight="1">
      <c r="A2780" s="87" t="s">
        <v>3935</v>
      </c>
      <c r="B2780" s="87" t="s">
        <v>8175</v>
      </c>
      <c r="C2780" s="87" t="s">
        <v>3293</v>
      </c>
      <c r="D2780" s="88">
        <v>1694</v>
      </c>
      <c r="E2780" s="85" t="s">
        <v>7893</v>
      </c>
      <c r="F2780" s="87">
        <v>1</v>
      </c>
      <c r="G2780" s="37"/>
      <c r="H2780" s="37">
        <f>COUNTIF('(参考)現行システム機能階層一覧'!$E$3:$E$1048576,sheet1!B2780)</f>
        <v>0</v>
      </c>
      <c r="I2780" s="37"/>
      <c r="J2780" s="37"/>
      <c r="K2780" s="37"/>
      <c r="L2780" s="37"/>
    </row>
    <row r="2781" spans="1:12" ht="15.75" customHeight="1">
      <c r="A2781" s="87" t="s">
        <v>3853</v>
      </c>
      <c r="B2781" s="87" t="s">
        <v>8176</v>
      </c>
      <c r="C2781" s="87" t="s">
        <v>3293</v>
      </c>
      <c r="D2781" s="88">
        <v>27</v>
      </c>
      <c r="E2781" s="85" t="s">
        <v>7893</v>
      </c>
      <c r="F2781" s="87">
        <v>1</v>
      </c>
      <c r="G2781" s="37"/>
      <c r="H2781" s="37">
        <f>COUNTIF('(参考)現行システム機能階層一覧'!$E$3:$E$1048576,sheet1!B2781)</f>
        <v>0</v>
      </c>
      <c r="I2781" s="37"/>
      <c r="J2781" s="37"/>
      <c r="K2781" s="37"/>
      <c r="L2781" s="37"/>
    </row>
    <row r="2782" spans="1:12" ht="15.75" customHeight="1">
      <c r="A2782" s="87" t="s">
        <v>3935</v>
      </c>
      <c r="B2782" s="87" t="s">
        <v>8177</v>
      </c>
      <c r="C2782" s="87" t="s">
        <v>1015</v>
      </c>
      <c r="D2782" s="88">
        <v>1886</v>
      </c>
      <c r="E2782" s="85" t="s">
        <v>7893</v>
      </c>
      <c r="F2782" s="87">
        <v>1</v>
      </c>
      <c r="G2782" s="37"/>
      <c r="H2782" s="37">
        <f>COUNTIF('(参考)現行システム機能階層一覧'!$E$3:$E$1048576,sheet1!B2782)</f>
        <v>0</v>
      </c>
      <c r="I2782" s="37"/>
      <c r="J2782" s="37"/>
      <c r="K2782" s="37"/>
      <c r="L2782" s="37"/>
    </row>
    <row r="2783" spans="1:12" ht="15.75" customHeight="1">
      <c r="A2783" s="87" t="s">
        <v>3853</v>
      </c>
      <c r="B2783" s="87" t="s">
        <v>8178</v>
      </c>
      <c r="C2783" s="87" t="s">
        <v>1033</v>
      </c>
      <c r="D2783" s="88">
        <v>39</v>
      </c>
      <c r="E2783" s="85" t="s">
        <v>7893</v>
      </c>
      <c r="F2783" s="87">
        <v>1</v>
      </c>
      <c r="G2783" s="37"/>
      <c r="H2783" s="37">
        <f>COUNTIF('(参考)現行システム機能階層一覧'!$E$3:$E$1048576,sheet1!B2783)</f>
        <v>0</v>
      </c>
      <c r="I2783" s="37"/>
      <c r="J2783" s="37"/>
      <c r="K2783" s="37"/>
      <c r="L2783" s="37"/>
    </row>
    <row r="2784" spans="1:12" ht="15.75" customHeight="1">
      <c r="A2784" s="87" t="s">
        <v>3935</v>
      </c>
      <c r="B2784" s="87" t="s">
        <v>8179</v>
      </c>
      <c r="C2784" s="87" t="s">
        <v>8180</v>
      </c>
      <c r="D2784" s="88">
        <v>300</v>
      </c>
      <c r="E2784" s="85" t="s">
        <v>7893</v>
      </c>
      <c r="F2784" s="87">
        <v>1</v>
      </c>
      <c r="G2784" s="37"/>
      <c r="H2784" s="37">
        <f>COUNTIF('(参考)現行システム機能階層一覧'!$E$3:$E$1048576,sheet1!B2784)</f>
        <v>0</v>
      </c>
      <c r="I2784" s="37"/>
      <c r="J2784" s="37"/>
      <c r="K2784" s="37"/>
      <c r="L2784" s="37"/>
    </row>
    <row r="2785" spans="1:12" ht="15.75" customHeight="1">
      <c r="A2785" s="87" t="s">
        <v>3935</v>
      </c>
      <c r="B2785" s="87" t="s">
        <v>670</v>
      </c>
      <c r="C2785" s="87" t="s">
        <v>671</v>
      </c>
      <c r="D2785" s="88">
        <v>493</v>
      </c>
      <c r="E2785" s="85" t="s">
        <v>7893</v>
      </c>
      <c r="F2785" s="87">
        <v>48</v>
      </c>
      <c r="G2785" s="37"/>
      <c r="H2785" s="37">
        <f>COUNTIF('(参考)現行システム機能階層一覧'!$E$3:$E$1048576,sheet1!B2785)</f>
        <v>1</v>
      </c>
      <c r="I2785" s="37"/>
      <c r="J2785" s="37"/>
      <c r="K2785" s="37"/>
      <c r="L2785" s="37"/>
    </row>
    <row r="2786" spans="1:12" ht="15.75" customHeight="1">
      <c r="A2786" s="87" t="s">
        <v>3853</v>
      </c>
      <c r="B2786" s="87" t="s">
        <v>8181</v>
      </c>
      <c r="C2786" s="87" t="s">
        <v>8182</v>
      </c>
      <c r="D2786" s="88">
        <v>71</v>
      </c>
      <c r="E2786" s="85" t="s">
        <v>7893</v>
      </c>
      <c r="F2786" s="87">
        <v>48</v>
      </c>
      <c r="G2786" s="37"/>
      <c r="H2786" s="37">
        <f>COUNTIF('(参考)現行システム機能階層一覧'!$E$3:$E$1048576,sheet1!B2786)</f>
        <v>0</v>
      </c>
      <c r="I2786" s="37"/>
      <c r="J2786" s="37"/>
      <c r="K2786" s="37"/>
      <c r="L2786" s="37"/>
    </row>
    <row r="2787" spans="1:12" ht="15.75" customHeight="1">
      <c r="A2787" s="87" t="s">
        <v>3935</v>
      </c>
      <c r="B2787" s="87" t="s">
        <v>8183</v>
      </c>
      <c r="C2787" s="87" t="s">
        <v>8184</v>
      </c>
      <c r="D2787" s="88">
        <v>63</v>
      </c>
      <c r="E2787" s="85" t="s">
        <v>7893</v>
      </c>
      <c r="F2787" s="87">
        <v>3</v>
      </c>
      <c r="G2787" s="37"/>
      <c r="H2787" s="37">
        <f>COUNTIF('(参考)現行システム機能階層一覧'!$E$3:$E$1048576,sheet1!B2787)</f>
        <v>0</v>
      </c>
      <c r="I2787" s="37"/>
      <c r="J2787" s="37"/>
      <c r="K2787" s="37"/>
      <c r="L2787" s="37"/>
    </row>
    <row r="2788" spans="1:12" ht="15.75" customHeight="1">
      <c r="A2788" s="87" t="s">
        <v>3853</v>
      </c>
      <c r="B2788" s="87" t="s">
        <v>8185</v>
      </c>
      <c r="C2788" s="87" t="s">
        <v>8182</v>
      </c>
      <c r="D2788" s="88">
        <v>23</v>
      </c>
      <c r="E2788" s="85" t="s">
        <v>7893</v>
      </c>
      <c r="F2788" s="87">
        <v>3</v>
      </c>
      <c r="G2788" s="37"/>
      <c r="H2788" s="37">
        <f>COUNTIF('(参考)現行システム機能階層一覧'!$E$3:$E$1048576,sheet1!B2788)</f>
        <v>0</v>
      </c>
      <c r="I2788" s="37"/>
      <c r="J2788" s="37"/>
      <c r="K2788" s="37"/>
      <c r="L2788" s="37"/>
    </row>
    <row r="2789" spans="1:12" ht="15.75" customHeight="1">
      <c r="A2789" s="87" t="s">
        <v>3935</v>
      </c>
      <c r="B2789" s="87" t="s">
        <v>8186</v>
      </c>
      <c r="C2789" s="87" t="s">
        <v>8184</v>
      </c>
      <c r="D2789" s="88">
        <v>76</v>
      </c>
      <c r="E2789" s="85" t="s">
        <v>7893</v>
      </c>
      <c r="F2789" s="87">
        <v>3</v>
      </c>
      <c r="G2789" s="37"/>
      <c r="H2789" s="37">
        <f>COUNTIF('(参考)現行システム機能階層一覧'!$E$3:$E$1048576,sheet1!B2789)</f>
        <v>0</v>
      </c>
      <c r="I2789" s="37"/>
      <c r="J2789" s="37"/>
      <c r="K2789" s="37"/>
      <c r="L2789" s="37"/>
    </row>
    <row r="2790" spans="1:12" ht="15.75" customHeight="1">
      <c r="A2790" s="87" t="s">
        <v>3935</v>
      </c>
      <c r="B2790" s="87" t="s">
        <v>8187</v>
      </c>
      <c r="C2790" s="87" t="s">
        <v>8188</v>
      </c>
      <c r="D2790" s="88">
        <v>513</v>
      </c>
      <c r="E2790" s="85" t="s">
        <v>7893</v>
      </c>
      <c r="F2790" s="87">
        <v>2</v>
      </c>
      <c r="G2790" s="37"/>
      <c r="H2790" s="37">
        <f>COUNTIF('(参考)現行システム機能階層一覧'!$E$3:$E$1048576,sheet1!B2790)</f>
        <v>0</v>
      </c>
      <c r="I2790" s="37"/>
      <c r="J2790" s="37"/>
      <c r="K2790" s="37"/>
      <c r="L2790" s="37"/>
    </row>
    <row r="2791" spans="1:12" ht="15.75" customHeight="1">
      <c r="A2791" s="87" t="s">
        <v>3853</v>
      </c>
      <c r="B2791" s="87" t="s">
        <v>8189</v>
      </c>
      <c r="C2791" s="87" t="s">
        <v>8188</v>
      </c>
      <c r="D2791" s="88">
        <v>22</v>
      </c>
      <c r="E2791" s="85" t="s">
        <v>7893</v>
      </c>
      <c r="F2791" s="87">
        <v>2</v>
      </c>
      <c r="G2791" s="37"/>
      <c r="H2791" s="37">
        <f>COUNTIF('(参考)現行システム機能階層一覧'!$E$3:$E$1048576,sheet1!B2791)</f>
        <v>0</v>
      </c>
      <c r="I2791" s="37"/>
      <c r="J2791" s="37"/>
      <c r="K2791" s="37"/>
      <c r="L2791" s="37"/>
    </row>
    <row r="2792" spans="1:12" ht="15.75" customHeight="1">
      <c r="A2792" s="87" t="s">
        <v>3935</v>
      </c>
      <c r="B2792" s="87" t="s">
        <v>678</v>
      </c>
      <c r="C2792" s="87" t="s">
        <v>8190</v>
      </c>
      <c r="D2792" s="88">
        <v>568</v>
      </c>
      <c r="E2792" s="85" t="s">
        <v>7893</v>
      </c>
      <c r="F2792" s="87">
        <v>10</v>
      </c>
      <c r="G2792" s="37"/>
      <c r="H2792" s="37">
        <f>COUNTIF('(参考)現行システム機能階層一覧'!$E$3:$E$1048576,sheet1!B2792)</f>
        <v>1</v>
      </c>
      <c r="I2792" s="37"/>
      <c r="J2792" s="37"/>
      <c r="K2792" s="37"/>
      <c r="L2792" s="37"/>
    </row>
    <row r="2793" spans="1:12" ht="15.75" customHeight="1">
      <c r="A2793" s="87" t="s">
        <v>3853</v>
      </c>
      <c r="B2793" s="87" t="s">
        <v>8191</v>
      </c>
      <c r="C2793" s="87" t="s">
        <v>8190</v>
      </c>
      <c r="D2793" s="88">
        <v>12</v>
      </c>
      <c r="E2793" s="85" t="s">
        <v>7893</v>
      </c>
      <c r="F2793" s="87">
        <v>10</v>
      </c>
      <c r="G2793" s="37"/>
      <c r="H2793" s="37">
        <f>COUNTIF('(参考)現行システム機能階層一覧'!$E$3:$E$1048576,sheet1!B2793)</f>
        <v>0</v>
      </c>
      <c r="I2793" s="37"/>
      <c r="J2793" s="37"/>
      <c r="K2793" s="37"/>
      <c r="L2793" s="37"/>
    </row>
    <row r="2794" spans="1:12" ht="15.75" customHeight="1">
      <c r="A2794" s="87" t="s">
        <v>3935</v>
      </c>
      <c r="B2794" s="87" t="s">
        <v>682</v>
      </c>
      <c r="C2794" s="87" t="s">
        <v>8192</v>
      </c>
      <c r="D2794" s="88">
        <v>1122</v>
      </c>
      <c r="E2794" s="85" t="s">
        <v>7893</v>
      </c>
      <c r="F2794" s="87">
        <v>17</v>
      </c>
      <c r="G2794" s="37"/>
      <c r="H2794" s="37">
        <f>COUNTIF('(参考)現行システム機能階層一覧'!$E$3:$E$1048576,sheet1!B2794)</f>
        <v>1</v>
      </c>
      <c r="I2794" s="37"/>
      <c r="J2794" s="37"/>
      <c r="K2794" s="37"/>
      <c r="L2794" s="37"/>
    </row>
    <row r="2795" spans="1:12" ht="15.75" customHeight="1">
      <c r="A2795" s="87" t="s">
        <v>3853</v>
      </c>
      <c r="B2795" s="87" t="s">
        <v>8193</v>
      </c>
      <c r="C2795" s="87" t="s">
        <v>683</v>
      </c>
      <c r="D2795" s="88">
        <v>26</v>
      </c>
      <c r="E2795" s="85" t="s">
        <v>7893</v>
      </c>
      <c r="F2795" s="87">
        <v>18</v>
      </c>
      <c r="G2795" s="37"/>
      <c r="H2795" s="37">
        <f>COUNTIF('(参考)現行システム機能階層一覧'!$E$3:$E$1048576,sheet1!B2795)</f>
        <v>0</v>
      </c>
      <c r="I2795" s="37"/>
      <c r="J2795" s="37"/>
      <c r="K2795" s="37"/>
      <c r="L2795" s="37"/>
    </row>
    <row r="2796" spans="1:12" ht="15.75" customHeight="1">
      <c r="A2796" s="87" t="s">
        <v>3853</v>
      </c>
      <c r="B2796" s="87" t="s">
        <v>8194</v>
      </c>
      <c r="C2796" s="87" t="s">
        <v>8195</v>
      </c>
      <c r="D2796" s="88">
        <v>39</v>
      </c>
      <c r="E2796" s="85" t="s">
        <v>7893</v>
      </c>
      <c r="F2796" s="87">
        <v>4</v>
      </c>
      <c r="G2796" s="37"/>
      <c r="H2796" s="37">
        <f>COUNTIF('(参考)現行システム機能階層一覧'!$E$3:$E$1048576,sheet1!B2796)</f>
        <v>0</v>
      </c>
      <c r="I2796" s="37"/>
      <c r="J2796" s="37"/>
      <c r="K2796" s="37"/>
      <c r="L2796" s="37"/>
    </row>
    <row r="2797" spans="1:12" ht="15.75" customHeight="1">
      <c r="A2797" s="87" t="s">
        <v>3935</v>
      </c>
      <c r="B2797" s="87" t="s">
        <v>8196</v>
      </c>
      <c r="C2797" s="87" t="s">
        <v>8197</v>
      </c>
      <c r="D2797" s="88">
        <v>839</v>
      </c>
      <c r="E2797" s="85" t="s">
        <v>7893</v>
      </c>
      <c r="F2797" s="87">
        <v>1359</v>
      </c>
      <c r="G2797" s="37"/>
      <c r="H2797" s="37">
        <f>COUNTIF('(参考)現行システム機能階層一覧'!$E$3:$E$1048576,sheet1!B2797)</f>
        <v>0</v>
      </c>
      <c r="I2797" s="37"/>
      <c r="J2797" s="37"/>
      <c r="K2797" s="37"/>
      <c r="L2797" s="37"/>
    </row>
    <row r="2798" spans="1:12" ht="15.75" customHeight="1">
      <c r="A2798" s="87" t="s">
        <v>3853</v>
      </c>
      <c r="B2798" s="87" t="s">
        <v>8198</v>
      </c>
      <c r="C2798" s="87" t="s">
        <v>8199</v>
      </c>
      <c r="D2798" s="88">
        <v>31</v>
      </c>
      <c r="E2798" s="85" t="s">
        <v>7893</v>
      </c>
      <c r="F2798" s="87">
        <v>1359</v>
      </c>
      <c r="G2798" s="37"/>
      <c r="H2798" s="37">
        <f>COUNTIF('(参考)現行システム機能階層一覧'!$E$3:$E$1048576,sheet1!B2798)</f>
        <v>0</v>
      </c>
      <c r="I2798" s="37"/>
      <c r="J2798" s="37"/>
      <c r="K2798" s="37"/>
      <c r="L2798" s="37"/>
    </row>
    <row r="2799" spans="1:12" ht="15.75" customHeight="1">
      <c r="A2799" s="87" t="s">
        <v>3853</v>
      </c>
      <c r="B2799" s="87" t="s">
        <v>8200</v>
      </c>
      <c r="C2799" s="87" t="s">
        <v>8201</v>
      </c>
      <c r="D2799" s="88">
        <v>49</v>
      </c>
      <c r="E2799" s="85" t="s">
        <v>7893</v>
      </c>
      <c r="F2799" s="87">
        <v>1355</v>
      </c>
      <c r="G2799" s="37"/>
      <c r="H2799" s="37">
        <f>COUNTIF('(参考)現行システム機能階層一覧'!$E$3:$E$1048576,sheet1!B2799)</f>
        <v>0</v>
      </c>
      <c r="I2799" s="37"/>
      <c r="J2799" s="37"/>
      <c r="K2799" s="37"/>
      <c r="L2799" s="37"/>
    </row>
    <row r="2800" spans="1:12" ht="15.75" customHeight="1">
      <c r="A2800" s="87" t="s">
        <v>3935</v>
      </c>
      <c r="B2800" s="87" t="s">
        <v>791</v>
      </c>
      <c r="C2800" s="87" t="s">
        <v>8202</v>
      </c>
      <c r="D2800" s="88">
        <v>677</v>
      </c>
      <c r="E2800" s="85" t="s">
        <v>7893</v>
      </c>
      <c r="F2800" s="87">
        <v>1004</v>
      </c>
      <c r="G2800" s="37"/>
      <c r="H2800" s="37">
        <f>COUNTIF('(参考)現行システム機能階層一覧'!$E$3:$E$1048576,sheet1!B2800)</f>
        <v>1</v>
      </c>
      <c r="I2800" s="37"/>
      <c r="J2800" s="37"/>
      <c r="K2800" s="37"/>
      <c r="L2800" s="37"/>
    </row>
    <row r="2801" spans="1:12" ht="15.75" customHeight="1">
      <c r="A2801" s="87" t="s">
        <v>3853</v>
      </c>
      <c r="B2801" s="87" t="s">
        <v>8203</v>
      </c>
      <c r="C2801" s="87" t="s">
        <v>8202</v>
      </c>
      <c r="D2801" s="88">
        <v>12</v>
      </c>
      <c r="E2801" s="85" t="s">
        <v>7893</v>
      </c>
      <c r="F2801" s="87">
        <v>1004</v>
      </c>
      <c r="G2801" s="37"/>
      <c r="H2801" s="37">
        <f>COUNTIF('(参考)現行システム機能階層一覧'!$E$3:$E$1048576,sheet1!B2801)</f>
        <v>0</v>
      </c>
      <c r="I2801" s="37"/>
      <c r="J2801" s="37"/>
      <c r="K2801" s="37"/>
      <c r="L2801" s="37"/>
    </row>
    <row r="2802" spans="1:12" ht="15.75" customHeight="1">
      <c r="A2802" s="87" t="s">
        <v>3935</v>
      </c>
      <c r="B2802" s="87" t="s">
        <v>698</v>
      </c>
      <c r="C2802" s="87" t="s">
        <v>8204</v>
      </c>
      <c r="D2802" s="88">
        <v>980</v>
      </c>
      <c r="E2802" s="85" t="s">
        <v>7893</v>
      </c>
      <c r="F2802" s="87">
        <v>4</v>
      </c>
      <c r="G2802" s="37"/>
      <c r="H2802" s="37">
        <f>COUNTIF('(参考)現行システム機能階層一覧'!$E$3:$E$1048576,sheet1!B2802)</f>
        <v>1</v>
      </c>
      <c r="I2802" s="37"/>
      <c r="J2802" s="37"/>
      <c r="K2802" s="37"/>
      <c r="L2802" s="37"/>
    </row>
    <row r="2803" spans="1:12" ht="15.75" customHeight="1">
      <c r="A2803" s="87" t="s">
        <v>3853</v>
      </c>
      <c r="B2803" s="87" t="s">
        <v>8205</v>
      </c>
      <c r="C2803" s="87" t="s">
        <v>8204</v>
      </c>
      <c r="D2803" s="88">
        <v>39</v>
      </c>
      <c r="E2803" s="85" t="s">
        <v>7893</v>
      </c>
      <c r="F2803" s="87">
        <v>4</v>
      </c>
      <c r="G2803" s="37"/>
      <c r="H2803" s="37">
        <f>COUNTIF('(参考)現行システム機能階層一覧'!$E$3:$E$1048576,sheet1!B2803)</f>
        <v>0</v>
      </c>
      <c r="I2803" s="37"/>
      <c r="J2803" s="37"/>
      <c r="K2803" s="37"/>
      <c r="L2803" s="37"/>
    </row>
    <row r="2804" spans="1:12" ht="15.75" customHeight="1">
      <c r="A2804" s="87" t="s">
        <v>3935</v>
      </c>
      <c r="B2804" s="87" t="s">
        <v>3454</v>
      </c>
      <c r="C2804" s="87" t="s">
        <v>3481</v>
      </c>
      <c r="D2804" s="88">
        <v>107</v>
      </c>
      <c r="E2804" s="85" t="s">
        <v>7893</v>
      </c>
      <c r="F2804" s="87">
        <v>7</v>
      </c>
      <c r="G2804" s="37"/>
      <c r="H2804" s="37">
        <f>COUNTIF('(参考)現行システム機能階層一覧'!$E$3:$E$1048576,sheet1!B2804)</f>
        <v>1</v>
      </c>
      <c r="I2804" s="37"/>
      <c r="J2804" s="37"/>
      <c r="K2804" s="37"/>
      <c r="L2804" s="37"/>
    </row>
    <row r="2805" spans="1:12" ht="15.75" customHeight="1">
      <c r="A2805" s="87" t="s">
        <v>3853</v>
      </c>
      <c r="B2805" s="87" t="s">
        <v>8206</v>
      </c>
      <c r="C2805" s="87" t="s">
        <v>3481</v>
      </c>
      <c r="D2805" s="88">
        <v>97</v>
      </c>
      <c r="E2805" s="85" t="s">
        <v>7893</v>
      </c>
      <c r="F2805" s="87">
        <v>7</v>
      </c>
      <c r="G2805" s="37"/>
      <c r="H2805" s="37">
        <f>COUNTIF('(参考)現行システム機能階層一覧'!$E$3:$E$1048576,sheet1!B2805)</f>
        <v>0</v>
      </c>
      <c r="I2805" s="37"/>
      <c r="J2805" s="37"/>
      <c r="K2805" s="37"/>
      <c r="L2805" s="37"/>
    </row>
    <row r="2806" spans="1:12" ht="15.75" customHeight="1">
      <c r="A2806" s="87" t="s">
        <v>5206</v>
      </c>
      <c r="B2806" s="87" t="s">
        <v>491</v>
      </c>
      <c r="C2806" s="87" t="s">
        <v>8207</v>
      </c>
      <c r="D2806" s="88">
        <v>15697</v>
      </c>
      <c r="E2806" s="85" t="s">
        <v>7893</v>
      </c>
      <c r="F2806" s="87">
        <v>94</v>
      </c>
      <c r="G2806" s="37"/>
      <c r="H2806" s="37">
        <f>COUNTIF('(参考)現行システム機能階層一覧'!$E$3:$E$1048576,sheet1!B2806)</f>
        <v>2</v>
      </c>
      <c r="I2806" s="37"/>
      <c r="J2806" s="37"/>
      <c r="K2806" s="37"/>
      <c r="L2806" s="37"/>
    </row>
    <row r="2807" spans="1:12" ht="15.75" customHeight="1">
      <c r="A2807" s="87" t="s">
        <v>3853</v>
      </c>
      <c r="B2807" s="87" t="s">
        <v>8208</v>
      </c>
      <c r="C2807" s="87" t="s">
        <v>104</v>
      </c>
      <c r="D2807" s="88">
        <v>57</v>
      </c>
      <c r="E2807" s="85" t="s">
        <v>7893</v>
      </c>
      <c r="F2807" s="87">
        <v>1459</v>
      </c>
      <c r="G2807" s="37"/>
      <c r="H2807" s="37">
        <f>COUNTIF('(参考)現行システム機能階層一覧'!$E$3:$E$1048576,sheet1!B2807)</f>
        <v>0</v>
      </c>
      <c r="I2807" s="37"/>
      <c r="J2807" s="37"/>
      <c r="K2807" s="37"/>
      <c r="L2807" s="37"/>
    </row>
    <row r="2808" spans="1:12" ht="15.75" customHeight="1">
      <c r="A2808" s="87" t="s">
        <v>3935</v>
      </c>
      <c r="B2808" s="87" t="s">
        <v>8209</v>
      </c>
      <c r="C2808" s="87" t="s">
        <v>8210</v>
      </c>
      <c r="D2808" s="88">
        <v>1455</v>
      </c>
      <c r="E2808" s="85" t="s">
        <v>7893</v>
      </c>
      <c r="F2808" s="87">
        <v>1894</v>
      </c>
      <c r="G2808" s="37"/>
      <c r="H2808" s="37">
        <f>COUNTIF('(参考)現行システム機能階層一覧'!$E$3:$E$1048576,sheet1!B2808)</f>
        <v>0</v>
      </c>
      <c r="I2808" s="37"/>
      <c r="J2808" s="37"/>
      <c r="K2808" s="37"/>
      <c r="L2808" s="37"/>
    </row>
    <row r="2809" spans="1:12" ht="15.75" customHeight="1">
      <c r="A2809" s="87" t="s">
        <v>3935</v>
      </c>
      <c r="B2809" s="87" t="s">
        <v>8211</v>
      </c>
      <c r="C2809" s="87" t="s">
        <v>8212</v>
      </c>
      <c r="D2809" s="88">
        <v>333</v>
      </c>
      <c r="E2809" s="85" t="s">
        <v>7893</v>
      </c>
      <c r="F2809" s="87">
        <v>1460</v>
      </c>
      <c r="G2809" s="37"/>
      <c r="H2809" s="37">
        <f>COUNTIF('(参考)現行システム機能階層一覧'!$E$3:$E$1048576,sheet1!B2809)</f>
        <v>0</v>
      </c>
      <c r="I2809" s="37"/>
      <c r="J2809" s="37"/>
      <c r="K2809" s="37"/>
      <c r="L2809" s="37"/>
    </row>
    <row r="2810" spans="1:12" ht="15.75" customHeight="1">
      <c r="A2810" s="87" t="s">
        <v>3935</v>
      </c>
      <c r="B2810" s="87" t="s">
        <v>8213</v>
      </c>
      <c r="C2810" s="87" t="s">
        <v>8214</v>
      </c>
      <c r="D2810" s="88">
        <v>1301</v>
      </c>
      <c r="E2810" s="85" t="s">
        <v>7893</v>
      </c>
      <c r="F2810" s="87">
        <v>1896</v>
      </c>
      <c r="G2810" s="37"/>
      <c r="H2810" s="37">
        <f>COUNTIF('(参考)現行システム機能階層一覧'!$E$3:$E$1048576,sheet1!B2810)</f>
        <v>0</v>
      </c>
      <c r="I2810" s="37"/>
      <c r="J2810" s="37"/>
      <c r="K2810" s="37"/>
      <c r="L2810" s="37"/>
    </row>
    <row r="2811" spans="1:12" ht="15.75" customHeight="1">
      <c r="A2811" s="87" t="s">
        <v>3935</v>
      </c>
      <c r="B2811" s="87" t="s">
        <v>8215</v>
      </c>
      <c r="C2811" s="87" t="s">
        <v>8216</v>
      </c>
      <c r="D2811" s="88">
        <v>1051</v>
      </c>
      <c r="E2811" s="85" t="s">
        <v>7893</v>
      </c>
      <c r="F2811" s="87">
        <v>350</v>
      </c>
      <c r="G2811" s="37"/>
      <c r="H2811" s="37">
        <f>COUNTIF('(参考)現行システム機能階層一覧'!$E$3:$E$1048576,sheet1!B2811)</f>
        <v>0</v>
      </c>
      <c r="I2811" s="37"/>
      <c r="J2811" s="37"/>
      <c r="K2811" s="37"/>
      <c r="L2811" s="37"/>
    </row>
    <row r="2812" spans="1:12" ht="15.75" customHeight="1">
      <c r="A2812" s="87" t="s">
        <v>3935</v>
      </c>
      <c r="B2812" s="87" t="s">
        <v>8217</v>
      </c>
      <c r="C2812" s="87" t="s">
        <v>8218</v>
      </c>
      <c r="D2812" s="88">
        <v>83</v>
      </c>
      <c r="E2812" s="85" t="s">
        <v>7893</v>
      </c>
      <c r="F2812" s="87">
        <v>1896</v>
      </c>
      <c r="G2812" s="37"/>
      <c r="H2812" s="37">
        <f>COUNTIF('(参考)現行システム機能階層一覧'!$E$3:$E$1048576,sheet1!B2812)</f>
        <v>0</v>
      </c>
      <c r="I2812" s="37"/>
      <c r="J2812" s="37"/>
      <c r="K2812" s="37"/>
      <c r="L2812" s="37"/>
    </row>
    <row r="2813" spans="1:12" ht="15.75" customHeight="1">
      <c r="A2813" s="87" t="s">
        <v>3853</v>
      </c>
      <c r="B2813" s="87" t="s">
        <v>8219</v>
      </c>
      <c r="C2813" s="87" t="s">
        <v>8218</v>
      </c>
      <c r="D2813" s="88">
        <v>12</v>
      </c>
      <c r="E2813" s="85" t="s">
        <v>7893</v>
      </c>
      <c r="F2813" s="87">
        <v>1896</v>
      </c>
      <c r="G2813" s="37"/>
      <c r="H2813" s="37">
        <f>COUNTIF('(参考)現行システム機能階層一覧'!$E$3:$E$1048576,sheet1!B2813)</f>
        <v>0</v>
      </c>
      <c r="I2813" s="37"/>
      <c r="J2813" s="37"/>
      <c r="K2813" s="37"/>
      <c r="L2813" s="37"/>
    </row>
    <row r="2814" spans="1:12" ht="15.75" customHeight="1">
      <c r="A2814" s="87" t="s">
        <v>5206</v>
      </c>
      <c r="B2814" s="87" t="s">
        <v>498</v>
      </c>
      <c r="C2814" s="87" t="s">
        <v>8220</v>
      </c>
      <c r="D2814" s="88">
        <v>15746</v>
      </c>
      <c r="E2814" s="85" t="s">
        <v>7893</v>
      </c>
      <c r="F2814" s="87">
        <v>74</v>
      </c>
      <c r="G2814" s="37"/>
      <c r="H2814" s="37">
        <f>COUNTIF('(参考)現行システム機能階層一覧'!$E$3:$E$1048576,sheet1!B2814)</f>
        <v>1</v>
      </c>
      <c r="I2814" s="37"/>
      <c r="J2814" s="37"/>
      <c r="K2814" s="37"/>
      <c r="L2814" s="37"/>
    </row>
    <row r="2815" spans="1:12" ht="15.75" customHeight="1">
      <c r="A2815" s="87" t="s">
        <v>3853</v>
      </c>
      <c r="B2815" s="87" t="s">
        <v>8221</v>
      </c>
      <c r="C2815" s="87" t="s">
        <v>104</v>
      </c>
      <c r="D2815" s="88">
        <v>57</v>
      </c>
      <c r="E2815" s="85" t="s">
        <v>7893</v>
      </c>
      <c r="F2815" s="87">
        <v>504</v>
      </c>
      <c r="G2815" s="37"/>
      <c r="H2815" s="37">
        <f>COUNTIF('(参考)現行システム機能階層一覧'!$E$3:$E$1048576,sheet1!B2815)</f>
        <v>0</v>
      </c>
      <c r="I2815" s="37"/>
      <c r="J2815" s="37"/>
      <c r="K2815" s="37"/>
      <c r="L2815" s="37"/>
    </row>
    <row r="2816" spans="1:12" ht="15.75" customHeight="1">
      <c r="A2816" s="87" t="s">
        <v>3935</v>
      </c>
      <c r="B2816" s="87" t="s">
        <v>503</v>
      </c>
      <c r="C2816" s="87" t="s">
        <v>8222</v>
      </c>
      <c r="D2816" s="88">
        <v>750</v>
      </c>
      <c r="E2816" s="85" t="s">
        <v>7893</v>
      </c>
      <c r="F2816" s="87">
        <v>966</v>
      </c>
      <c r="G2816" s="37"/>
      <c r="H2816" s="37">
        <f>COUNTIF('(参考)現行システム機能階層一覧'!$E$3:$E$1048576,sheet1!B2816)</f>
        <v>2</v>
      </c>
      <c r="I2816" s="37"/>
      <c r="J2816" s="37"/>
      <c r="K2816" s="37"/>
      <c r="L2816" s="37"/>
    </row>
    <row r="2817" spans="1:12" ht="15.75" customHeight="1">
      <c r="A2817" s="87" t="s">
        <v>5206</v>
      </c>
      <c r="B2817" s="87" t="s">
        <v>510</v>
      </c>
      <c r="C2817" s="87" t="s">
        <v>8223</v>
      </c>
      <c r="D2817" s="88">
        <v>4639</v>
      </c>
      <c r="E2817" s="85" t="s">
        <v>7893</v>
      </c>
      <c r="F2817" s="87">
        <v>93</v>
      </c>
      <c r="G2817" s="37"/>
      <c r="H2817" s="37">
        <f>COUNTIF('(参考)現行システム機能階層一覧'!$E$3:$E$1048576,sheet1!B2817)</f>
        <v>2</v>
      </c>
      <c r="I2817" s="37"/>
      <c r="J2817" s="37"/>
      <c r="K2817" s="37"/>
      <c r="L2817" s="37"/>
    </row>
    <row r="2818" spans="1:12" ht="15.75" customHeight="1">
      <c r="A2818" s="87" t="s">
        <v>3853</v>
      </c>
      <c r="B2818" s="87" t="s">
        <v>8224</v>
      </c>
      <c r="C2818" s="87" t="s">
        <v>8225</v>
      </c>
      <c r="D2818" s="88">
        <v>57</v>
      </c>
      <c r="E2818" s="85" t="s">
        <v>7893</v>
      </c>
      <c r="F2818" s="87">
        <v>1446</v>
      </c>
      <c r="G2818" s="37"/>
      <c r="H2818" s="37">
        <f>COUNTIF('(参考)現行システム機能階層一覧'!$E$3:$E$1048576,sheet1!B2818)</f>
        <v>0</v>
      </c>
      <c r="I2818" s="37"/>
      <c r="J2818" s="37"/>
      <c r="K2818" s="37"/>
      <c r="L2818" s="37"/>
    </row>
    <row r="2819" spans="1:12" ht="15.75" customHeight="1">
      <c r="A2819" s="87" t="s">
        <v>3935</v>
      </c>
      <c r="B2819" s="87" t="s">
        <v>520</v>
      </c>
      <c r="C2819" s="87" t="s">
        <v>8226</v>
      </c>
      <c r="D2819" s="88">
        <v>2522</v>
      </c>
      <c r="E2819" s="85" t="s">
        <v>7893</v>
      </c>
      <c r="F2819" s="87">
        <v>802</v>
      </c>
      <c r="G2819" s="37"/>
      <c r="H2819" s="37">
        <f>COUNTIF('(参考)現行システム機能階層一覧'!$E$3:$E$1048576,sheet1!B2819)</f>
        <v>1</v>
      </c>
      <c r="I2819" s="37"/>
      <c r="J2819" s="37"/>
      <c r="K2819" s="37"/>
      <c r="L2819" s="37"/>
    </row>
    <row r="2820" spans="1:12" ht="15.75" customHeight="1">
      <c r="A2820" s="87" t="s">
        <v>3853</v>
      </c>
      <c r="B2820" s="87" t="s">
        <v>8227</v>
      </c>
      <c r="C2820" s="87" t="s">
        <v>8226</v>
      </c>
      <c r="D2820" s="88">
        <v>29</v>
      </c>
      <c r="E2820" s="85" t="s">
        <v>7893</v>
      </c>
      <c r="F2820" s="87">
        <v>802</v>
      </c>
      <c r="G2820" s="37"/>
      <c r="H2820" s="37">
        <f>COUNTIF('(参考)現行システム機能階層一覧'!$E$3:$E$1048576,sheet1!B2820)</f>
        <v>0</v>
      </c>
      <c r="I2820" s="37"/>
      <c r="J2820" s="37"/>
      <c r="K2820" s="37"/>
      <c r="L2820" s="37"/>
    </row>
    <row r="2821" spans="1:12" ht="15.75" customHeight="1">
      <c r="A2821" s="87" t="s">
        <v>3935</v>
      </c>
      <c r="B2821" s="87" t="s">
        <v>524</v>
      </c>
      <c r="C2821" s="87" t="s">
        <v>8228</v>
      </c>
      <c r="D2821" s="88">
        <v>1969</v>
      </c>
      <c r="E2821" s="85" t="s">
        <v>7893</v>
      </c>
      <c r="F2821" s="87">
        <v>549</v>
      </c>
      <c r="G2821" s="37"/>
      <c r="H2821" s="37">
        <f>COUNTIF('(参考)現行システム機能階層一覧'!$E$3:$E$1048576,sheet1!B2821)</f>
        <v>1</v>
      </c>
      <c r="I2821" s="37"/>
      <c r="J2821" s="37"/>
      <c r="K2821" s="37"/>
      <c r="L2821" s="37"/>
    </row>
    <row r="2822" spans="1:12" ht="15.75" customHeight="1">
      <c r="A2822" s="87" t="s">
        <v>3853</v>
      </c>
      <c r="B2822" s="87" t="s">
        <v>8229</v>
      </c>
      <c r="C2822" s="87" t="s">
        <v>8228</v>
      </c>
      <c r="D2822" s="88">
        <v>17</v>
      </c>
      <c r="E2822" s="85" t="s">
        <v>7893</v>
      </c>
      <c r="F2822" s="87">
        <v>549</v>
      </c>
      <c r="G2822" s="37"/>
      <c r="H2822" s="37">
        <f>COUNTIF('(参考)現行システム機能階層一覧'!$E$3:$E$1048576,sheet1!B2822)</f>
        <v>0</v>
      </c>
      <c r="I2822" s="37"/>
      <c r="J2822" s="37"/>
      <c r="K2822" s="37"/>
      <c r="L2822" s="37"/>
    </row>
    <row r="2823" spans="1:12" ht="15.75" customHeight="1">
      <c r="A2823" s="87" t="s">
        <v>3935</v>
      </c>
      <c r="B2823" s="87" t="s">
        <v>528</v>
      </c>
      <c r="C2823" s="87" t="s">
        <v>529</v>
      </c>
      <c r="D2823" s="88">
        <v>512</v>
      </c>
      <c r="E2823" s="85" t="s">
        <v>7893</v>
      </c>
      <c r="F2823" s="87">
        <v>844</v>
      </c>
      <c r="G2823" s="37"/>
      <c r="H2823" s="37">
        <f>COUNTIF('(参考)現行システム機能階層一覧'!$E$3:$E$1048576,sheet1!B2823)</f>
        <v>1</v>
      </c>
      <c r="I2823" s="37"/>
      <c r="J2823" s="37"/>
      <c r="K2823" s="37"/>
      <c r="L2823" s="37"/>
    </row>
    <row r="2824" spans="1:12" ht="15.75" customHeight="1">
      <c r="A2824" s="87" t="s">
        <v>5206</v>
      </c>
      <c r="B2824" s="87" t="s">
        <v>630</v>
      </c>
      <c r="C2824" s="87" t="s">
        <v>631</v>
      </c>
      <c r="D2824" s="88">
        <v>9567</v>
      </c>
      <c r="E2824" s="85" t="s">
        <v>7893</v>
      </c>
      <c r="F2824" s="87">
        <v>1349</v>
      </c>
      <c r="G2824" s="37"/>
      <c r="H2824" s="37">
        <f>COUNTIF('(参考)現行システム機能階層一覧'!$E$3:$E$1048576,sheet1!B2824)</f>
        <v>1</v>
      </c>
      <c r="I2824" s="37"/>
      <c r="J2824" s="37"/>
      <c r="K2824" s="37"/>
      <c r="L2824" s="37"/>
    </row>
    <row r="2825" spans="1:12" ht="15.75" customHeight="1">
      <c r="A2825" s="87" t="s">
        <v>3853</v>
      </c>
      <c r="B2825" s="87" t="s">
        <v>8230</v>
      </c>
      <c r="C2825" s="87" t="s">
        <v>631</v>
      </c>
      <c r="D2825" s="88">
        <v>51</v>
      </c>
      <c r="E2825" s="85" t="s">
        <v>7893</v>
      </c>
      <c r="F2825" s="87">
        <v>1440</v>
      </c>
      <c r="G2825" s="37"/>
      <c r="H2825" s="37">
        <f>COUNTIF('(参考)現行システム機能階層一覧'!$E$3:$E$1048576,sheet1!B2825)</f>
        <v>0</v>
      </c>
      <c r="I2825" s="37"/>
      <c r="J2825" s="37"/>
      <c r="K2825" s="37"/>
      <c r="L2825" s="37"/>
    </row>
    <row r="2826" spans="1:12" ht="15.75" customHeight="1">
      <c r="A2826" s="87" t="s">
        <v>3935</v>
      </c>
      <c r="B2826" s="87" t="s">
        <v>705</v>
      </c>
      <c r="C2826" s="87" t="s">
        <v>8231</v>
      </c>
      <c r="D2826" s="88">
        <v>1857</v>
      </c>
      <c r="E2826" s="85" t="s">
        <v>7893</v>
      </c>
      <c r="F2826" s="87">
        <v>1001</v>
      </c>
      <c r="G2826" s="37"/>
      <c r="H2826" s="37">
        <f>COUNTIF('(参考)現行システム機能階層一覧'!$E$3:$E$1048576,sheet1!B2826)</f>
        <v>1</v>
      </c>
      <c r="I2826" s="37"/>
      <c r="J2826" s="37"/>
      <c r="K2826" s="37"/>
      <c r="L2826" s="37"/>
    </row>
    <row r="2827" spans="1:12" ht="15.75" customHeight="1">
      <c r="A2827" s="87" t="s">
        <v>5206</v>
      </c>
      <c r="B2827" s="87" t="s">
        <v>734</v>
      </c>
      <c r="C2827" s="87" t="s">
        <v>735</v>
      </c>
      <c r="D2827" s="88">
        <v>4413</v>
      </c>
      <c r="E2827" s="85" t="s">
        <v>7893</v>
      </c>
      <c r="F2827" s="87">
        <v>1442</v>
      </c>
      <c r="G2827" s="37"/>
      <c r="H2827" s="37">
        <f>COUNTIF('(参考)現行システム機能階層一覧'!$E$3:$E$1048576,sheet1!B2827)</f>
        <v>1</v>
      </c>
      <c r="I2827" s="37"/>
      <c r="J2827" s="37"/>
      <c r="K2827" s="37"/>
      <c r="L2827" s="37"/>
    </row>
    <row r="2828" spans="1:12" ht="15.75" customHeight="1">
      <c r="A2828" s="87" t="s">
        <v>3853</v>
      </c>
      <c r="B2828" s="87" t="s">
        <v>8232</v>
      </c>
      <c r="C2828" s="87" t="s">
        <v>735</v>
      </c>
      <c r="D2828" s="88">
        <v>17</v>
      </c>
      <c r="E2828" s="85" t="s">
        <v>7893</v>
      </c>
      <c r="F2828" s="87">
        <v>1442</v>
      </c>
      <c r="G2828" s="37"/>
      <c r="H2828" s="37">
        <f>COUNTIF('(参考)現行システム機能階層一覧'!$E$3:$E$1048576,sheet1!B2828)</f>
        <v>0</v>
      </c>
      <c r="I2828" s="37"/>
      <c r="J2828" s="37"/>
      <c r="K2828" s="37"/>
      <c r="L2828" s="37"/>
    </row>
    <row r="2829" spans="1:12" ht="15.75" customHeight="1">
      <c r="A2829" s="87" t="s">
        <v>3935</v>
      </c>
      <c r="B2829" s="87" t="s">
        <v>638</v>
      </c>
      <c r="C2829" s="87" t="s">
        <v>8233</v>
      </c>
      <c r="D2829" s="88">
        <v>3389</v>
      </c>
      <c r="E2829" s="85" t="s">
        <v>7893</v>
      </c>
      <c r="F2829" s="87">
        <v>691</v>
      </c>
      <c r="G2829" s="37"/>
      <c r="H2829" s="37">
        <f>COUNTIF('(参考)現行システム機能階層一覧'!$E$3:$E$1048576,sheet1!B2829)</f>
        <v>1</v>
      </c>
      <c r="I2829" s="37"/>
      <c r="J2829" s="37"/>
      <c r="K2829" s="37"/>
      <c r="L2829" s="37"/>
    </row>
    <row r="2830" spans="1:12" ht="15.75" customHeight="1">
      <c r="A2830" s="87" t="s">
        <v>3853</v>
      </c>
      <c r="B2830" s="87" t="s">
        <v>8234</v>
      </c>
      <c r="C2830" s="87" t="s">
        <v>639</v>
      </c>
      <c r="D2830" s="88">
        <v>13</v>
      </c>
      <c r="E2830" s="85" t="s">
        <v>7893</v>
      </c>
      <c r="F2830" s="87">
        <v>691</v>
      </c>
      <c r="G2830" s="37"/>
      <c r="H2830" s="37">
        <f>COUNTIF('(参考)現行システム機能階層一覧'!$E$3:$E$1048576,sheet1!B2830)</f>
        <v>0</v>
      </c>
      <c r="I2830" s="37"/>
      <c r="J2830" s="37"/>
      <c r="K2830" s="37"/>
      <c r="L2830" s="37"/>
    </row>
    <row r="2831" spans="1:12" ht="15.75" customHeight="1">
      <c r="A2831" s="87" t="s">
        <v>5206</v>
      </c>
      <c r="B2831" s="87" t="s">
        <v>642</v>
      </c>
      <c r="C2831" s="87" t="s">
        <v>8235</v>
      </c>
      <c r="D2831" s="88">
        <v>8722</v>
      </c>
      <c r="E2831" s="85" t="s">
        <v>7893</v>
      </c>
      <c r="F2831" s="87">
        <v>24</v>
      </c>
      <c r="G2831" s="37"/>
      <c r="H2831" s="37">
        <f>COUNTIF('(参考)現行システム機能階層一覧'!$E$3:$E$1048576,sheet1!B2831)</f>
        <v>1</v>
      </c>
      <c r="I2831" s="37"/>
      <c r="J2831" s="37"/>
      <c r="K2831" s="37"/>
      <c r="L2831" s="37"/>
    </row>
    <row r="2832" spans="1:12" ht="15.75" customHeight="1">
      <c r="A2832" s="87" t="s">
        <v>3853</v>
      </c>
      <c r="B2832" s="87" t="s">
        <v>8236</v>
      </c>
      <c r="C2832" s="87" t="s">
        <v>643</v>
      </c>
      <c r="D2832" s="88">
        <v>25</v>
      </c>
      <c r="E2832" s="85" t="s">
        <v>7893</v>
      </c>
      <c r="F2832" s="87">
        <v>24</v>
      </c>
      <c r="G2832" s="37"/>
      <c r="H2832" s="37">
        <f>COUNTIF('(参考)現行システム機能階層一覧'!$E$3:$E$1048576,sheet1!B2832)</f>
        <v>0</v>
      </c>
      <c r="I2832" s="37"/>
      <c r="J2832" s="37"/>
      <c r="K2832" s="37"/>
      <c r="L2832" s="37"/>
    </row>
    <row r="2833" spans="1:12" ht="15.75" customHeight="1">
      <c r="A2833" s="87" t="s">
        <v>5206</v>
      </c>
      <c r="B2833" s="87" t="s">
        <v>780</v>
      </c>
      <c r="C2833" s="87" t="s">
        <v>8237</v>
      </c>
      <c r="D2833" s="88">
        <v>7996</v>
      </c>
      <c r="E2833" s="85" t="s">
        <v>7893</v>
      </c>
      <c r="F2833" s="87">
        <v>89</v>
      </c>
      <c r="G2833" s="37"/>
      <c r="H2833" s="37">
        <f>COUNTIF('(参考)現行システム機能階層一覧'!$E$3:$E$1048576,sheet1!B2833)</f>
        <v>1</v>
      </c>
      <c r="I2833" s="37"/>
      <c r="J2833" s="37"/>
      <c r="K2833" s="37"/>
      <c r="L2833" s="37"/>
    </row>
    <row r="2834" spans="1:12" ht="15.75" customHeight="1">
      <c r="A2834" s="87" t="s">
        <v>3853</v>
      </c>
      <c r="B2834" s="87" t="s">
        <v>8238</v>
      </c>
      <c r="C2834" s="87" t="s">
        <v>781</v>
      </c>
      <c r="D2834" s="88">
        <v>25</v>
      </c>
      <c r="E2834" s="85" t="s">
        <v>7893</v>
      </c>
      <c r="F2834" s="87">
        <v>1097</v>
      </c>
      <c r="G2834" s="37"/>
      <c r="H2834" s="37">
        <f>COUNTIF('(参考)現行システム機能階層一覧'!$E$3:$E$1048576,sheet1!B2834)</f>
        <v>0</v>
      </c>
      <c r="I2834" s="37"/>
      <c r="J2834" s="37"/>
      <c r="K2834" s="37"/>
      <c r="L2834" s="37"/>
    </row>
    <row r="2835" spans="1:12" ht="15.75" customHeight="1">
      <c r="A2835" s="87" t="s">
        <v>3935</v>
      </c>
      <c r="B2835" s="87" t="s">
        <v>8239</v>
      </c>
      <c r="C2835" s="87" t="s">
        <v>8240</v>
      </c>
      <c r="D2835" s="88">
        <v>696</v>
      </c>
      <c r="E2835" s="85" t="s">
        <v>7893</v>
      </c>
      <c r="F2835" s="87">
        <v>96</v>
      </c>
      <c r="G2835" s="37"/>
      <c r="H2835" s="37">
        <f>COUNTIF('(参考)現行システム機能階層一覧'!$E$3:$E$1048576,sheet1!B2835)</f>
        <v>0</v>
      </c>
      <c r="I2835" s="37"/>
      <c r="J2835" s="37"/>
      <c r="K2835" s="37"/>
      <c r="L2835" s="37"/>
    </row>
    <row r="2836" spans="1:12" ht="15.75" customHeight="1">
      <c r="A2836" s="87" t="s">
        <v>3935</v>
      </c>
      <c r="B2836" s="87" t="s">
        <v>8241</v>
      </c>
      <c r="C2836" s="87" t="s">
        <v>8242</v>
      </c>
      <c r="D2836" s="88">
        <v>681</v>
      </c>
      <c r="E2836" s="85" t="s">
        <v>7893</v>
      </c>
      <c r="F2836" s="87">
        <v>1027</v>
      </c>
      <c r="G2836" s="37"/>
      <c r="H2836" s="37">
        <f>COUNTIF('(参考)現行システム機能階層一覧'!$E$3:$E$1048576,sheet1!B2836)</f>
        <v>0</v>
      </c>
      <c r="I2836" s="37"/>
      <c r="J2836" s="37"/>
      <c r="K2836" s="37"/>
      <c r="L2836" s="37"/>
    </row>
    <row r="2837" spans="1:12" ht="15.75" customHeight="1">
      <c r="A2837" s="87" t="s">
        <v>5206</v>
      </c>
      <c r="B2837" s="87" t="s">
        <v>8243</v>
      </c>
      <c r="C2837" s="87" t="s">
        <v>8244</v>
      </c>
      <c r="D2837" s="88">
        <v>7995</v>
      </c>
      <c r="E2837" s="85" t="s">
        <v>7893</v>
      </c>
      <c r="F2837" s="87">
        <v>127</v>
      </c>
      <c r="G2837" s="37"/>
      <c r="H2837" s="37">
        <f>COUNTIF('(参考)現行システム機能階層一覧'!$E$3:$E$1048576,sheet1!B2837)</f>
        <v>0</v>
      </c>
      <c r="I2837" s="37"/>
      <c r="J2837" s="37"/>
      <c r="K2837" s="37"/>
      <c r="L2837" s="37"/>
    </row>
    <row r="2838" spans="1:12" ht="15.75" customHeight="1">
      <c r="A2838" s="87" t="s">
        <v>3853</v>
      </c>
      <c r="B2838" s="87" t="s">
        <v>8245</v>
      </c>
      <c r="C2838" s="87" t="s">
        <v>8246</v>
      </c>
      <c r="D2838" s="88">
        <v>25</v>
      </c>
      <c r="E2838" s="85" t="s">
        <v>7893</v>
      </c>
      <c r="F2838" s="87">
        <v>127</v>
      </c>
      <c r="G2838" s="37"/>
      <c r="H2838" s="37">
        <f>COUNTIF('(参考)現行システム機能階層一覧'!$E$3:$E$1048576,sheet1!B2838)</f>
        <v>0</v>
      </c>
      <c r="I2838" s="37"/>
      <c r="J2838" s="37"/>
      <c r="K2838" s="37"/>
      <c r="L2838" s="37"/>
    </row>
    <row r="2839" spans="1:12" ht="15.75" customHeight="1">
      <c r="A2839" s="87" t="s">
        <v>3935</v>
      </c>
      <c r="B2839" s="87" t="s">
        <v>783</v>
      </c>
      <c r="C2839" s="87" t="s">
        <v>784</v>
      </c>
      <c r="D2839" s="88">
        <v>673</v>
      </c>
      <c r="E2839" s="85" t="s">
        <v>7893</v>
      </c>
      <c r="F2839" s="87">
        <v>135</v>
      </c>
      <c r="G2839" s="37"/>
      <c r="H2839" s="37">
        <f>COUNTIF('(参考)現行システム機能階層一覧'!$E$3:$E$1048576,sheet1!B2839)</f>
        <v>1</v>
      </c>
      <c r="I2839" s="37"/>
      <c r="J2839" s="37"/>
      <c r="K2839" s="37"/>
      <c r="L2839" s="37"/>
    </row>
    <row r="2840" spans="1:12" ht="15.75" customHeight="1">
      <c r="A2840" s="87" t="s">
        <v>3935</v>
      </c>
      <c r="B2840" s="87" t="s">
        <v>786</v>
      </c>
      <c r="C2840" s="87" t="s">
        <v>787</v>
      </c>
      <c r="D2840" s="88">
        <v>2806</v>
      </c>
      <c r="E2840" s="85" t="s">
        <v>7893</v>
      </c>
      <c r="F2840" s="87">
        <v>1010</v>
      </c>
      <c r="G2840" s="37"/>
      <c r="H2840" s="37">
        <f>COUNTIF('(参考)現行システム機能階層一覧'!$E$3:$E$1048576,sheet1!B2840)</f>
        <v>2</v>
      </c>
      <c r="I2840" s="37"/>
      <c r="J2840" s="37"/>
      <c r="K2840" s="37"/>
      <c r="L2840" s="37"/>
    </row>
    <row r="2841" spans="1:12" ht="15.75" customHeight="1">
      <c r="A2841" s="87" t="s">
        <v>3853</v>
      </c>
      <c r="B2841" s="87" t="s">
        <v>8247</v>
      </c>
      <c r="C2841" s="87" t="s">
        <v>787</v>
      </c>
      <c r="D2841" s="88">
        <v>33</v>
      </c>
      <c r="E2841" s="85" t="s">
        <v>7893</v>
      </c>
      <c r="F2841" s="87">
        <v>1010</v>
      </c>
      <c r="G2841" s="37"/>
      <c r="H2841" s="37">
        <f>COUNTIF('(参考)現行システム機能階層一覧'!$E$3:$E$1048576,sheet1!B2841)</f>
        <v>0</v>
      </c>
      <c r="I2841" s="37"/>
      <c r="J2841" s="37"/>
      <c r="K2841" s="37"/>
      <c r="L2841" s="37"/>
    </row>
    <row r="2842" spans="1:12" ht="15.75" customHeight="1">
      <c r="A2842" s="87" t="s">
        <v>3935</v>
      </c>
      <c r="B2842" s="87" t="s">
        <v>1965</v>
      </c>
      <c r="C2842" s="87" t="s">
        <v>1684</v>
      </c>
      <c r="D2842" s="88">
        <v>7168</v>
      </c>
      <c r="E2842" s="85" t="s">
        <v>7893</v>
      </c>
      <c r="F2842" s="87">
        <v>3</v>
      </c>
      <c r="G2842" s="37"/>
      <c r="H2842" s="37">
        <f>COUNTIF('(参考)現行システム機能階層一覧'!$E$3:$E$1048576,sheet1!B2842)</f>
        <v>1</v>
      </c>
      <c r="I2842" s="37"/>
      <c r="J2842" s="37"/>
      <c r="K2842" s="37"/>
      <c r="L2842" s="37"/>
    </row>
    <row r="2843" spans="1:12" ht="15.75" customHeight="1">
      <c r="A2843" s="87" t="s">
        <v>3935</v>
      </c>
      <c r="B2843" s="87" t="s">
        <v>536</v>
      </c>
      <c r="C2843" s="87" t="s">
        <v>8248</v>
      </c>
      <c r="D2843" s="88">
        <v>1355</v>
      </c>
      <c r="E2843" s="85" t="s">
        <v>7893</v>
      </c>
      <c r="F2843" s="87">
        <v>1048</v>
      </c>
      <c r="G2843" s="37"/>
      <c r="H2843" s="37">
        <f>COUNTIF('(参考)現行システム機能階層一覧'!$E$3:$E$1048576,sheet1!B2843)</f>
        <v>1</v>
      </c>
      <c r="I2843" s="37"/>
      <c r="J2843" s="37"/>
      <c r="K2843" s="37"/>
      <c r="L2843" s="37"/>
    </row>
    <row r="2844" spans="1:12" ht="15.75" customHeight="1">
      <c r="A2844" s="87" t="s">
        <v>3853</v>
      </c>
      <c r="B2844" s="87" t="s">
        <v>8249</v>
      </c>
      <c r="C2844" s="87" t="s">
        <v>8250</v>
      </c>
      <c r="D2844" s="88">
        <v>27</v>
      </c>
      <c r="E2844" s="85" t="s">
        <v>7893</v>
      </c>
      <c r="F2844" s="87">
        <v>1048</v>
      </c>
      <c r="G2844" s="37"/>
      <c r="H2844" s="37">
        <f>COUNTIF('(参考)現行システム機能階層一覧'!$E$3:$E$1048576,sheet1!B2844)</f>
        <v>0</v>
      </c>
      <c r="I2844" s="37"/>
      <c r="J2844" s="37"/>
      <c r="K2844" s="37"/>
      <c r="L2844" s="37"/>
    </row>
    <row r="2845" spans="1:12" ht="15.75" customHeight="1">
      <c r="A2845" s="87" t="s">
        <v>3935</v>
      </c>
      <c r="B2845" s="87" t="s">
        <v>540</v>
      </c>
      <c r="C2845" s="87" t="s">
        <v>8251</v>
      </c>
      <c r="D2845" s="88">
        <v>1976</v>
      </c>
      <c r="E2845" s="85" t="s">
        <v>7893</v>
      </c>
      <c r="F2845" s="87">
        <v>1395</v>
      </c>
      <c r="G2845" s="37"/>
      <c r="H2845" s="37">
        <f>COUNTIF('(参考)現行システム機能階層一覧'!$E$3:$E$1048576,sheet1!B2845)</f>
        <v>2</v>
      </c>
      <c r="I2845" s="37"/>
      <c r="J2845" s="37"/>
      <c r="K2845" s="37"/>
      <c r="L2845" s="37"/>
    </row>
    <row r="2846" spans="1:12" ht="15.75" customHeight="1">
      <c r="A2846" s="87" t="s">
        <v>3853</v>
      </c>
      <c r="B2846" s="87" t="s">
        <v>8252</v>
      </c>
      <c r="C2846" s="87" t="s">
        <v>8253</v>
      </c>
      <c r="D2846" s="88">
        <v>27</v>
      </c>
      <c r="E2846" s="85" t="s">
        <v>7893</v>
      </c>
      <c r="F2846" s="87">
        <v>907</v>
      </c>
      <c r="G2846" s="37"/>
      <c r="H2846" s="37">
        <f>COUNTIF('(参考)現行システム機能階層一覧'!$E$3:$E$1048576,sheet1!B2846)</f>
        <v>0</v>
      </c>
      <c r="I2846" s="37"/>
      <c r="J2846" s="37"/>
      <c r="K2846" s="37"/>
      <c r="L2846" s="37"/>
    </row>
    <row r="2847" spans="1:12" ht="15.75" customHeight="1">
      <c r="A2847" s="87" t="s">
        <v>3935</v>
      </c>
      <c r="B2847" s="87" t="s">
        <v>532</v>
      </c>
      <c r="C2847" s="87" t="s">
        <v>8254</v>
      </c>
      <c r="D2847" s="88">
        <v>2213</v>
      </c>
      <c r="E2847" s="85" t="s">
        <v>7893</v>
      </c>
      <c r="F2847" s="87">
        <v>57</v>
      </c>
      <c r="G2847" s="37"/>
      <c r="H2847" s="37">
        <f>COUNTIF('(参考)現行システム機能階層一覧'!$E$3:$E$1048576,sheet1!B2847)</f>
        <v>2</v>
      </c>
      <c r="I2847" s="37"/>
      <c r="J2847" s="37"/>
      <c r="K2847" s="37"/>
      <c r="L2847" s="37"/>
    </row>
    <row r="2848" spans="1:12" ht="15.75" customHeight="1">
      <c r="A2848" s="87" t="s">
        <v>3853</v>
      </c>
      <c r="B2848" s="87" t="s">
        <v>8255</v>
      </c>
      <c r="C2848" s="87" t="s">
        <v>533</v>
      </c>
      <c r="D2848" s="88">
        <v>17</v>
      </c>
      <c r="E2848" s="85" t="s">
        <v>7893</v>
      </c>
      <c r="F2848" s="87">
        <v>1216</v>
      </c>
      <c r="G2848" s="37"/>
      <c r="H2848" s="37">
        <f>COUNTIF('(参考)現行システム機能階層一覧'!$E$3:$E$1048576,sheet1!B2848)</f>
        <v>0</v>
      </c>
      <c r="I2848" s="37"/>
      <c r="J2848" s="37"/>
      <c r="K2848" s="37"/>
      <c r="L2848" s="37"/>
    </row>
    <row r="2849" spans="1:12" ht="15.75" customHeight="1">
      <c r="A2849" s="87" t="s">
        <v>3935</v>
      </c>
      <c r="B2849" s="87" t="s">
        <v>8256</v>
      </c>
      <c r="C2849" s="87" t="s">
        <v>8257</v>
      </c>
      <c r="D2849" s="88">
        <v>379</v>
      </c>
      <c r="E2849" s="85" t="s">
        <v>7893</v>
      </c>
      <c r="F2849" s="87">
        <v>1441</v>
      </c>
      <c r="G2849" s="37"/>
      <c r="H2849" s="37">
        <f>COUNTIF('(参考)現行システム機能階層一覧'!$E$3:$E$1048576,sheet1!B2849)</f>
        <v>0</v>
      </c>
      <c r="I2849" s="37"/>
      <c r="J2849" s="37"/>
      <c r="K2849" s="37"/>
      <c r="L2849" s="37"/>
    </row>
    <row r="2850" spans="1:12" ht="15.75" customHeight="1">
      <c r="A2850" s="87" t="s">
        <v>3935</v>
      </c>
      <c r="B2850" s="87" t="s">
        <v>8258</v>
      </c>
      <c r="C2850" s="87" t="s">
        <v>8259</v>
      </c>
      <c r="D2850" s="88">
        <v>502</v>
      </c>
      <c r="E2850" s="85" t="s">
        <v>7893</v>
      </c>
      <c r="F2850" s="87">
        <v>1441</v>
      </c>
      <c r="G2850" s="37"/>
      <c r="H2850" s="37">
        <f>COUNTIF('(参考)現行システム機能階層一覧'!$E$3:$E$1048576,sheet1!B2850)</f>
        <v>0</v>
      </c>
      <c r="I2850" s="37"/>
      <c r="J2850" s="37"/>
      <c r="K2850" s="37"/>
      <c r="L2850" s="37"/>
    </row>
    <row r="2851" spans="1:12" ht="15.75" customHeight="1">
      <c r="A2851" s="87" t="s">
        <v>3935</v>
      </c>
      <c r="B2851" s="87" t="s">
        <v>718</v>
      </c>
      <c r="C2851" s="87" t="s">
        <v>8260</v>
      </c>
      <c r="D2851" s="88">
        <v>2233</v>
      </c>
      <c r="E2851" s="85" t="s">
        <v>7893</v>
      </c>
      <c r="F2851" s="87">
        <v>923</v>
      </c>
      <c r="G2851" s="37"/>
      <c r="H2851" s="37">
        <f>COUNTIF('(参考)現行システム機能階層一覧'!$E$3:$E$1048576,sheet1!B2851)</f>
        <v>1</v>
      </c>
      <c r="I2851" s="37"/>
      <c r="J2851" s="37"/>
      <c r="K2851" s="37"/>
      <c r="L2851" s="37"/>
    </row>
    <row r="2852" spans="1:12" ht="15.75" customHeight="1">
      <c r="A2852" s="87" t="s">
        <v>3853</v>
      </c>
      <c r="B2852" s="87" t="s">
        <v>8261</v>
      </c>
      <c r="C2852" s="87" t="s">
        <v>8262</v>
      </c>
      <c r="D2852" s="88">
        <v>13</v>
      </c>
      <c r="E2852" s="85" t="s">
        <v>7893</v>
      </c>
      <c r="F2852" s="87">
        <v>923</v>
      </c>
      <c r="G2852" s="37"/>
      <c r="H2852" s="37">
        <f>COUNTIF('(参考)現行システム機能階層一覧'!$E$3:$E$1048576,sheet1!B2852)</f>
        <v>0</v>
      </c>
      <c r="I2852" s="37"/>
      <c r="J2852" s="37"/>
      <c r="K2852" s="37"/>
      <c r="L2852" s="37"/>
    </row>
    <row r="2853" spans="1:12" ht="15.75" customHeight="1">
      <c r="A2853" s="87" t="s">
        <v>3935</v>
      </c>
      <c r="B2853" s="87" t="s">
        <v>634</v>
      </c>
      <c r="C2853" s="87" t="s">
        <v>8263</v>
      </c>
      <c r="D2853" s="88">
        <v>2202</v>
      </c>
      <c r="E2853" s="85" t="s">
        <v>7893</v>
      </c>
      <c r="F2853" s="87">
        <v>142</v>
      </c>
      <c r="G2853" s="37"/>
      <c r="H2853" s="37">
        <f>COUNTIF('(参考)現行システム機能階層一覧'!$E$3:$E$1048576,sheet1!B2853)</f>
        <v>1</v>
      </c>
      <c r="I2853" s="37"/>
      <c r="J2853" s="37"/>
      <c r="K2853" s="37"/>
      <c r="L2853" s="37"/>
    </row>
    <row r="2854" spans="1:12" ht="15.75" customHeight="1">
      <c r="A2854" s="87" t="s">
        <v>3853</v>
      </c>
      <c r="B2854" s="87" t="s">
        <v>8264</v>
      </c>
      <c r="C2854" s="87" t="s">
        <v>635</v>
      </c>
      <c r="D2854" s="88">
        <v>13</v>
      </c>
      <c r="E2854" s="85" t="s">
        <v>7893</v>
      </c>
      <c r="F2854" s="87">
        <v>142</v>
      </c>
      <c r="G2854" s="37"/>
      <c r="H2854" s="37">
        <f>COUNTIF('(参考)現行システム機能階層一覧'!$E$3:$E$1048576,sheet1!B2854)</f>
        <v>0</v>
      </c>
      <c r="I2854" s="37"/>
      <c r="J2854" s="37"/>
      <c r="K2854" s="37"/>
      <c r="L2854" s="37"/>
    </row>
    <row r="2855" spans="1:12" ht="15.75" customHeight="1">
      <c r="A2855" s="87" t="s">
        <v>3935</v>
      </c>
      <c r="B2855" s="87" t="s">
        <v>646</v>
      </c>
      <c r="C2855" s="87" t="s">
        <v>8265</v>
      </c>
      <c r="D2855" s="88">
        <v>964</v>
      </c>
      <c r="E2855" s="85" t="s">
        <v>7893</v>
      </c>
      <c r="F2855" s="87">
        <v>8</v>
      </c>
      <c r="G2855" s="37"/>
      <c r="H2855" s="37">
        <f>COUNTIF('(参考)現行システム機能階層一覧'!$E$3:$E$1048576,sheet1!B2855)</f>
        <v>1</v>
      </c>
      <c r="I2855" s="37"/>
      <c r="J2855" s="37"/>
      <c r="K2855" s="37"/>
      <c r="L2855" s="37"/>
    </row>
    <row r="2856" spans="1:12" ht="15.75" customHeight="1">
      <c r="A2856" s="87" t="s">
        <v>3935</v>
      </c>
      <c r="B2856" s="87" t="s">
        <v>8266</v>
      </c>
      <c r="C2856" s="87" t="s">
        <v>8267</v>
      </c>
      <c r="D2856" s="88">
        <v>866</v>
      </c>
      <c r="E2856" s="85" t="s">
        <v>7893</v>
      </c>
      <c r="F2856" s="87">
        <v>74</v>
      </c>
      <c r="G2856" s="37"/>
      <c r="H2856" s="37">
        <f>COUNTIF('(参考)現行システム機能階層一覧'!$E$3:$E$1048576,sheet1!B2856)</f>
        <v>0</v>
      </c>
      <c r="I2856" s="37"/>
      <c r="J2856" s="37"/>
      <c r="K2856" s="37"/>
      <c r="L2856" s="37"/>
    </row>
    <row r="2857" spans="1:12" ht="15.75" customHeight="1">
      <c r="A2857" s="87" t="s">
        <v>3935</v>
      </c>
      <c r="B2857" s="87" t="s">
        <v>8268</v>
      </c>
      <c r="C2857" s="87" t="s">
        <v>8269</v>
      </c>
      <c r="D2857" s="88">
        <v>2529</v>
      </c>
      <c r="E2857" s="85" t="s">
        <v>7893</v>
      </c>
      <c r="F2857" s="87">
        <v>8</v>
      </c>
      <c r="G2857" s="37"/>
      <c r="H2857" s="37">
        <f>COUNTIF('(参考)現行システム機能階層一覧'!$E$3:$E$1048576,sheet1!B2857)</f>
        <v>0</v>
      </c>
      <c r="I2857" s="37"/>
      <c r="J2857" s="37"/>
      <c r="K2857" s="37"/>
      <c r="L2857" s="37"/>
    </row>
    <row r="2858" spans="1:12" ht="15.75" customHeight="1">
      <c r="A2858" s="87" t="s">
        <v>3935</v>
      </c>
      <c r="B2858" s="87" t="s">
        <v>650</v>
      </c>
      <c r="C2858" s="87" t="s">
        <v>8270</v>
      </c>
      <c r="D2858" s="88">
        <v>990</v>
      </c>
      <c r="E2858" s="85" t="s">
        <v>7893</v>
      </c>
      <c r="F2858" s="87">
        <v>99</v>
      </c>
      <c r="G2858" s="37"/>
      <c r="H2858" s="37">
        <f>COUNTIF('(参考)現行システム機能階層一覧'!$E$3:$E$1048576,sheet1!B2858)</f>
        <v>2</v>
      </c>
      <c r="I2858" s="37"/>
      <c r="J2858" s="37"/>
      <c r="K2858" s="37"/>
      <c r="L2858" s="37"/>
    </row>
    <row r="2859" spans="1:12" ht="15.75" customHeight="1">
      <c r="A2859" s="87" t="s">
        <v>3935</v>
      </c>
      <c r="B2859" s="87" t="s">
        <v>544</v>
      </c>
      <c r="C2859" s="87" t="s">
        <v>8271</v>
      </c>
      <c r="D2859" s="88">
        <v>662</v>
      </c>
      <c r="E2859" s="85" t="s">
        <v>7893</v>
      </c>
      <c r="F2859" s="87">
        <v>1108</v>
      </c>
      <c r="G2859" s="37"/>
      <c r="H2859" s="37">
        <f>COUNTIF('(参考)現行システム機能階層一覧'!$E$3:$E$1048576,sheet1!B2859)</f>
        <v>1</v>
      </c>
      <c r="I2859" s="37"/>
      <c r="J2859" s="37"/>
      <c r="K2859" s="37"/>
      <c r="L2859" s="37"/>
    </row>
    <row r="2860" spans="1:12" ht="15.75" customHeight="1">
      <c r="A2860" s="87" t="s">
        <v>3935</v>
      </c>
      <c r="B2860" s="87" t="s">
        <v>548</v>
      </c>
      <c r="C2860" s="87" t="s">
        <v>8271</v>
      </c>
      <c r="D2860" s="88">
        <v>690</v>
      </c>
      <c r="E2860" s="85" t="s">
        <v>7893</v>
      </c>
      <c r="F2860" s="87">
        <v>1320</v>
      </c>
      <c r="G2860" s="37"/>
      <c r="H2860" s="37">
        <f>COUNTIF('(参考)現行システム機能階層一覧'!$E$3:$E$1048576,sheet1!B2860)</f>
        <v>1</v>
      </c>
      <c r="I2860" s="37"/>
      <c r="J2860" s="37"/>
      <c r="K2860" s="37"/>
      <c r="L2860" s="37"/>
    </row>
    <row r="2861" spans="1:12" ht="15.75" customHeight="1">
      <c r="A2861" s="87" t="s">
        <v>3935</v>
      </c>
      <c r="B2861" s="87" t="s">
        <v>555</v>
      </c>
      <c r="C2861" s="87" t="s">
        <v>8271</v>
      </c>
      <c r="D2861" s="88">
        <v>2232</v>
      </c>
      <c r="E2861" s="85" t="s">
        <v>7893</v>
      </c>
      <c r="F2861" s="87">
        <v>1342</v>
      </c>
      <c r="G2861" s="37"/>
      <c r="H2861" s="37">
        <f>COUNTIF('(参考)現行システム機能階層一覧'!$E$3:$E$1048576,sheet1!B2861)</f>
        <v>1</v>
      </c>
      <c r="I2861" s="37"/>
      <c r="J2861" s="37"/>
      <c r="K2861" s="37"/>
      <c r="L2861" s="37"/>
    </row>
    <row r="2862" spans="1:12" ht="15.75" customHeight="1">
      <c r="A2862" s="87" t="s">
        <v>3935</v>
      </c>
      <c r="B2862" s="87" t="s">
        <v>762</v>
      </c>
      <c r="C2862" s="87" t="s">
        <v>8272</v>
      </c>
      <c r="D2862" s="88">
        <v>690</v>
      </c>
      <c r="E2862" s="85" t="s">
        <v>7893</v>
      </c>
      <c r="F2862" s="87">
        <v>1484</v>
      </c>
      <c r="G2862" s="37"/>
      <c r="H2862" s="37">
        <f>COUNTIF('(参考)現行システム機能階層一覧'!$E$3:$E$1048576,sheet1!B2862)</f>
        <v>1</v>
      </c>
      <c r="I2862" s="37"/>
      <c r="J2862" s="37"/>
      <c r="K2862" s="37"/>
      <c r="L2862" s="37"/>
    </row>
    <row r="2863" spans="1:12" ht="15.75" customHeight="1">
      <c r="A2863" s="87" t="s">
        <v>3935</v>
      </c>
      <c r="B2863" s="87" t="s">
        <v>8273</v>
      </c>
      <c r="C2863" s="87" t="s">
        <v>8274</v>
      </c>
      <c r="D2863" s="88">
        <v>343</v>
      </c>
      <c r="E2863" s="85" t="s">
        <v>7893</v>
      </c>
      <c r="F2863" s="87">
        <v>1548</v>
      </c>
      <c r="G2863" s="37"/>
      <c r="H2863" s="37">
        <f>COUNTIF('(参考)現行システム機能階層一覧'!$E$3:$E$1048576,sheet1!B2863)</f>
        <v>0</v>
      </c>
      <c r="I2863" s="37"/>
      <c r="J2863" s="37"/>
      <c r="K2863" s="37"/>
      <c r="L2863" s="37"/>
    </row>
    <row r="2864" spans="1:12" ht="15.75" customHeight="1">
      <c r="A2864" s="87" t="s">
        <v>3935</v>
      </c>
      <c r="B2864" s="87" t="s">
        <v>754</v>
      </c>
      <c r="C2864" s="87" t="s">
        <v>755</v>
      </c>
      <c r="D2864" s="88">
        <v>357</v>
      </c>
      <c r="E2864" s="85" t="s">
        <v>7893</v>
      </c>
      <c r="F2864" s="87">
        <v>340</v>
      </c>
      <c r="G2864" s="37"/>
      <c r="H2864" s="37">
        <f>COUNTIF('(参考)現行システム機能階層一覧'!$E$3:$E$1048576,sheet1!B2864)</f>
        <v>1</v>
      </c>
      <c r="I2864" s="37"/>
      <c r="J2864" s="37"/>
      <c r="K2864" s="37"/>
      <c r="L2864" s="37"/>
    </row>
    <row r="2865" spans="1:12" ht="15.75" customHeight="1">
      <c r="A2865" s="87" t="s">
        <v>3935</v>
      </c>
      <c r="B2865" s="87" t="s">
        <v>8275</v>
      </c>
      <c r="C2865" s="87" t="s">
        <v>8276</v>
      </c>
      <c r="D2865" s="88">
        <v>206</v>
      </c>
      <c r="E2865" s="85" t="s">
        <v>7893</v>
      </c>
      <c r="F2865" s="87">
        <v>66</v>
      </c>
      <c r="G2865" s="37"/>
      <c r="H2865" s="37">
        <f>COUNTIF('(参考)現行システム機能階層一覧'!$E$3:$E$1048576,sheet1!B2865)</f>
        <v>0</v>
      </c>
      <c r="I2865" s="37"/>
      <c r="J2865" s="37"/>
      <c r="K2865" s="37"/>
      <c r="L2865" s="37"/>
    </row>
    <row r="2866" spans="1:12" ht="15.75" customHeight="1">
      <c r="A2866" s="87" t="s">
        <v>3935</v>
      </c>
      <c r="B2866" s="87" t="s">
        <v>1953</v>
      </c>
      <c r="C2866" s="87" t="s">
        <v>8277</v>
      </c>
      <c r="D2866" s="88">
        <v>885</v>
      </c>
      <c r="E2866" s="85" t="s">
        <v>7893</v>
      </c>
      <c r="F2866" s="87">
        <v>1647</v>
      </c>
      <c r="G2866" s="37"/>
      <c r="H2866" s="37">
        <f>COUNTIF('(参考)現行システム機能階層一覧'!$E$3:$E$1048576,sheet1!B2866)</f>
        <v>2</v>
      </c>
      <c r="I2866" s="37"/>
      <c r="J2866" s="37"/>
      <c r="K2866" s="37"/>
      <c r="L2866" s="37"/>
    </row>
    <row r="2867" spans="1:12" ht="15.75" customHeight="1">
      <c r="A2867" s="87" t="s">
        <v>3935</v>
      </c>
      <c r="B2867" s="87" t="s">
        <v>8278</v>
      </c>
      <c r="C2867" s="87" t="s">
        <v>8277</v>
      </c>
      <c r="D2867" s="88">
        <v>878</v>
      </c>
      <c r="E2867" s="85" t="s">
        <v>7893</v>
      </c>
      <c r="F2867" s="87">
        <v>2</v>
      </c>
      <c r="G2867" s="37"/>
      <c r="H2867" s="37">
        <f>COUNTIF('(参考)現行システム機能階層一覧'!$E$3:$E$1048576,sheet1!B2867)</f>
        <v>0</v>
      </c>
      <c r="I2867" s="37"/>
      <c r="J2867" s="37"/>
      <c r="K2867" s="37"/>
      <c r="L2867" s="37"/>
    </row>
    <row r="2868" spans="1:12" ht="15.75" customHeight="1">
      <c r="A2868" s="87" t="s">
        <v>3935</v>
      </c>
      <c r="B2868" s="87" t="s">
        <v>8279</v>
      </c>
      <c r="C2868" s="87" t="s">
        <v>8280</v>
      </c>
      <c r="D2868" s="88">
        <v>665</v>
      </c>
      <c r="E2868" s="85" t="s">
        <v>7893</v>
      </c>
      <c r="F2868" s="87">
        <v>1258</v>
      </c>
      <c r="G2868" s="37"/>
      <c r="H2868" s="37">
        <f>COUNTIF('(参考)現行システム機能階層一覧'!$E$3:$E$1048576,sheet1!B2868)</f>
        <v>0</v>
      </c>
      <c r="I2868" s="37"/>
      <c r="J2868" s="37"/>
      <c r="K2868" s="37"/>
      <c r="L2868" s="37"/>
    </row>
    <row r="2869" spans="1:12" ht="15.75" customHeight="1">
      <c r="A2869" s="87" t="s">
        <v>3853</v>
      </c>
      <c r="B2869" s="87" t="s">
        <v>8281</v>
      </c>
      <c r="C2869" s="87" t="s">
        <v>8282</v>
      </c>
      <c r="D2869" s="88">
        <v>51</v>
      </c>
      <c r="E2869" s="85" t="s">
        <v>7893</v>
      </c>
      <c r="F2869" s="87">
        <v>1258</v>
      </c>
      <c r="G2869" s="37"/>
      <c r="H2869" s="37">
        <f>COUNTIF('(参考)現行システム機能階層一覧'!$E$3:$E$1048576,sheet1!B2869)</f>
        <v>0</v>
      </c>
      <c r="I2869" s="37"/>
      <c r="J2869" s="37"/>
      <c r="K2869" s="37"/>
      <c r="L2869" s="37"/>
    </row>
    <row r="2870" spans="1:12" ht="15.75" customHeight="1">
      <c r="A2870" s="87" t="s">
        <v>3935</v>
      </c>
      <c r="B2870" s="87" t="s">
        <v>424</v>
      </c>
      <c r="C2870" s="87" t="s">
        <v>425</v>
      </c>
      <c r="D2870" s="88">
        <v>89</v>
      </c>
      <c r="E2870" s="85" t="s">
        <v>7893</v>
      </c>
      <c r="F2870" s="87">
        <v>762</v>
      </c>
      <c r="G2870" s="37"/>
      <c r="H2870" s="37">
        <f>COUNTIF('(参考)現行システム機能階層一覧'!$E$3:$E$1048576,sheet1!B2870)</f>
        <v>2</v>
      </c>
      <c r="I2870" s="37"/>
      <c r="J2870" s="37"/>
      <c r="K2870" s="37"/>
      <c r="L2870" s="37"/>
    </row>
    <row r="2871" spans="1:12" ht="15.75" customHeight="1">
      <c r="A2871" s="87" t="s">
        <v>3935</v>
      </c>
      <c r="B2871" s="87" t="s">
        <v>766</v>
      </c>
      <c r="C2871" s="87" t="s">
        <v>767</v>
      </c>
      <c r="D2871" s="88">
        <v>457</v>
      </c>
      <c r="E2871" s="85" t="s">
        <v>7893</v>
      </c>
      <c r="F2871" s="87">
        <v>1441</v>
      </c>
      <c r="G2871" s="37"/>
      <c r="H2871" s="37">
        <f>COUNTIF('(参考)現行システム機能階層一覧'!$E$3:$E$1048576,sheet1!B2871)</f>
        <v>1</v>
      </c>
      <c r="I2871" s="37"/>
      <c r="J2871" s="37"/>
      <c r="K2871" s="37"/>
      <c r="L2871" s="37"/>
    </row>
    <row r="2872" spans="1:12" ht="15.75" customHeight="1">
      <c r="A2872" s="87" t="s">
        <v>3935</v>
      </c>
      <c r="B2872" s="87" t="s">
        <v>8283</v>
      </c>
      <c r="C2872" s="87" t="s">
        <v>8284</v>
      </c>
      <c r="D2872" s="88">
        <v>558</v>
      </c>
      <c r="E2872" s="85" t="s">
        <v>7893</v>
      </c>
      <c r="F2872" s="87">
        <v>231</v>
      </c>
      <c r="G2872" s="37"/>
      <c r="H2872" s="37">
        <f>COUNTIF('(参考)現行システム機能階層一覧'!$E$3:$E$1048576,sheet1!B2872)</f>
        <v>0</v>
      </c>
      <c r="I2872" s="37"/>
      <c r="J2872" s="37"/>
      <c r="K2872" s="37"/>
      <c r="L2872" s="37"/>
    </row>
    <row r="2873" spans="1:12" ht="15.75" customHeight="1">
      <c r="A2873" s="87" t="s">
        <v>3853</v>
      </c>
      <c r="B2873" s="87" t="s">
        <v>8285</v>
      </c>
      <c r="C2873" s="87" t="s">
        <v>8286</v>
      </c>
      <c r="D2873" s="88">
        <v>48</v>
      </c>
      <c r="E2873" s="85" t="s">
        <v>7893</v>
      </c>
      <c r="F2873" s="87">
        <v>1709</v>
      </c>
      <c r="G2873" s="37"/>
      <c r="H2873" s="37">
        <f>COUNTIF('(参考)現行システム機能階層一覧'!$E$3:$E$1048576,sheet1!B2873)</f>
        <v>0</v>
      </c>
      <c r="I2873" s="37"/>
      <c r="J2873" s="37"/>
      <c r="K2873" s="37"/>
      <c r="L2873" s="37"/>
    </row>
    <row r="2874" spans="1:12" ht="15.75" customHeight="1">
      <c r="A2874" s="87" t="s">
        <v>3935</v>
      </c>
      <c r="B2874" s="87" t="s">
        <v>8287</v>
      </c>
      <c r="C2874" s="87" t="s">
        <v>8288</v>
      </c>
      <c r="D2874" s="88">
        <v>267</v>
      </c>
      <c r="E2874" s="85" t="s">
        <v>7893</v>
      </c>
      <c r="F2874" s="87">
        <v>275</v>
      </c>
      <c r="G2874" s="37"/>
      <c r="H2874" s="37">
        <f>COUNTIF('(参考)現行システム機能階層一覧'!$E$3:$E$1048576,sheet1!B2874)</f>
        <v>0</v>
      </c>
      <c r="I2874" s="37"/>
      <c r="J2874" s="37"/>
      <c r="K2874" s="37"/>
      <c r="L2874" s="37"/>
    </row>
    <row r="2875" spans="1:12" ht="15.75" customHeight="1">
      <c r="A2875" s="87" t="s">
        <v>3935</v>
      </c>
      <c r="B2875" s="87" t="s">
        <v>563</v>
      </c>
      <c r="C2875" s="87" t="s">
        <v>8289</v>
      </c>
      <c r="D2875" s="88">
        <v>418</v>
      </c>
      <c r="E2875" s="85" t="s">
        <v>7893</v>
      </c>
      <c r="F2875" s="87">
        <v>946</v>
      </c>
      <c r="G2875" s="37"/>
      <c r="H2875" s="37">
        <f>COUNTIF('(参考)現行システム機能階層一覧'!$E$3:$E$1048576,sheet1!B2875)</f>
        <v>1</v>
      </c>
      <c r="I2875" s="37"/>
      <c r="J2875" s="37"/>
      <c r="K2875" s="37"/>
      <c r="L2875" s="37"/>
    </row>
    <row r="2876" spans="1:12" ht="15.75" customHeight="1">
      <c r="A2876" s="87" t="s">
        <v>3935</v>
      </c>
      <c r="B2876" s="87" t="s">
        <v>8290</v>
      </c>
      <c r="C2876" s="87" t="s">
        <v>8291</v>
      </c>
      <c r="D2876" s="88">
        <v>572</v>
      </c>
      <c r="E2876" s="85" t="s">
        <v>7893</v>
      </c>
      <c r="F2876" s="87">
        <v>382</v>
      </c>
      <c r="G2876" s="37"/>
      <c r="H2876" s="37">
        <f>COUNTIF('(参考)現行システム機能階層一覧'!$E$3:$E$1048576,sheet1!B2876)</f>
        <v>0</v>
      </c>
      <c r="I2876" s="37"/>
      <c r="J2876" s="37"/>
      <c r="K2876" s="37"/>
      <c r="L2876" s="37"/>
    </row>
    <row r="2877" spans="1:12" ht="15.75" customHeight="1">
      <c r="A2877" s="87" t="s">
        <v>3935</v>
      </c>
      <c r="B2877" s="87" t="s">
        <v>567</v>
      </c>
      <c r="C2877" s="87" t="s">
        <v>8292</v>
      </c>
      <c r="D2877" s="88">
        <v>493</v>
      </c>
      <c r="E2877" s="85" t="s">
        <v>7893</v>
      </c>
      <c r="F2877" s="87">
        <v>114</v>
      </c>
      <c r="G2877" s="37"/>
      <c r="H2877" s="37">
        <f>COUNTIF('(参考)現行システム機能階層一覧'!$E$3:$E$1048576,sheet1!B2877)</f>
        <v>1</v>
      </c>
      <c r="I2877" s="37"/>
      <c r="J2877" s="37"/>
      <c r="K2877" s="37"/>
      <c r="L2877" s="37"/>
    </row>
    <row r="2878" spans="1:12" ht="15.75" customHeight="1">
      <c r="A2878" s="87" t="s">
        <v>3935</v>
      </c>
      <c r="B2878" s="87" t="s">
        <v>8293</v>
      </c>
      <c r="C2878" s="87" t="s">
        <v>8294</v>
      </c>
      <c r="D2878" s="88">
        <v>412</v>
      </c>
      <c r="E2878" s="85" t="s">
        <v>7893</v>
      </c>
      <c r="F2878" s="87">
        <v>769</v>
      </c>
      <c r="G2878" s="37"/>
      <c r="H2878" s="37">
        <f>COUNTIF('(参考)現行システム機能階層一覧'!$E$3:$E$1048576,sheet1!B2878)</f>
        <v>0</v>
      </c>
      <c r="I2878" s="37"/>
      <c r="J2878" s="37"/>
      <c r="K2878" s="37"/>
      <c r="L2878" s="37"/>
    </row>
    <row r="2879" spans="1:12" ht="15.75" customHeight="1">
      <c r="A2879" s="87" t="s">
        <v>3935</v>
      </c>
      <c r="B2879" s="87" t="s">
        <v>662</v>
      </c>
      <c r="C2879" s="87" t="s">
        <v>8295</v>
      </c>
      <c r="D2879" s="88">
        <v>392</v>
      </c>
      <c r="E2879" s="85" t="s">
        <v>7893</v>
      </c>
      <c r="F2879" s="87">
        <v>302</v>
      </c>
      <c r="G2879" s="37"/>
      <c r="H2879" s="37">
        <f>COUNTIF('(参考)現行システム機能階層一覧'!$E$3:$E$1048576,sheet1!B2879)</f>
        <v>1</v>
      </c>
      <c r="I2879" s="37"/>
      <c r="J2879" s="37"/>
      <c r="K2879" s="37"/>
      <c r="L2879" s="37"/>
    </row>
    <row r="2880" spans="1:12" ht="15.75" customHeight="1">
      <c r="A2880" s="87" t="s">
        <v>3935</v>
      </c>
      <c r="B2880" s="87" t="s">
        <v>8296</v>
      </c>
      <c r="C2880" s="87" t="s">
        <v>8297</v>
      </c>
      <c r="D2880" s="88">
        <v>552</v>
      </c>
      <c r="E2880" s="85" t="s">
        <v>7893</v>
      </c>
      <c r="F2880" s="87">
        <v>1106</v>
      </c>
      <c r="G2880" s="37"/>
      <c r="H2880" s="37">
        <f>COUNTIF('(参考)現行システム機能階層一覧'!$E$3:$E$1048576,sheet1!B2880)</f>
        <v>0</v>
      </c>
      <c r="I2880" s="37"/>
      <c r="J2880" s="37"/>
      <c r="K2880" s="37"/>
      <c r="L2880" s="37"/>
    </row>
    <row r="2881" spans="1:12" ht="15.75" customHeight="1">
      <c r="A2881" s="87" t="s">
        <v>3935</v>
      </c>
      <c r="B2881" s="87" t="s">
        <v>8298</v>
      </c>
      <c r="C2881" s="87" t="s">
        <v>8299</v>
      </c>
      <c r="D2881" s="88">
        <v>1116</v>
      </c>
      <c r="E2881" s="85" t="s">
        <v>7893</v>
      </c>
      <c r="F2881" s="87">
        <v>79</v>
      </c>
      <c r="G2881" s="37"/>
      <c r="H2881" s="37">
        <f>COUNTIF('(参考)現行システム機能階層一覧'!$E$3:$E$1048576,sheet1!B2881)</f>
        <v>0</v>
      </c>
      <c r="I2881" s="37"/>
      <c r="J2881" s="37"/>
      <c r="K2881" s="37"/>
      <c r="L2881" s="37"/>
    </row>
    <row r="2882" spans="1:12" ht="15.75" customHeight="1">
      <c r="A2882" s="87" t="s">
        <v>3853</v>
      </c>
      <c r="B2882" s="87" t="s">
        <v>8300</v>
      </c>
      <c r="C2882" s="87" t="s">
        <v>667</v>
      </c>
      <c r="D2882" s="88">
        <v>23</v>
      </c>
      <c r="E2882" s="85" t="s">
        <v>7893</v>
      </c>
      <c r="F2882" s="87">
        <v>79</v>
      </c>
      <c r="G2882" s="37"/>
      <c r="H2882" s="37">
        <f>COUNTIF('(参考)現行システム機能階層一覧'!$E$3:$E$1048576,sheet1!B2882)</f>
        <v>0</v>
      </c>
      <c r="I2882" s="37"/>
      <c r="J2882" s="37"/>
      <c r="K2882" s="37"/>
      <c r="L2882" s="37"/>
    </row>
    <row r="2883" spans="1:12" ht="15.75" customHeight="1">
      <c r="A2883" s="87" t="s">
        <v>3935</v>
      </c>
      <c r="B2883" s="87" t="s">
        <v>666</v>
      </c>
      <c r="C2883" s="87" t="s">
        <v>8301</v>
      </c>
      <c r="D2883" s="88">
        <v>670</v>
      </c>
      <c r="E2883" s="85" t="s">
        <v>7893</v>
      </c>
      <c r="F2883" s="87">
        <v>190</v>
      </c>
      <c r="G2883" s="37"/>
      <c r="H2883" s="37">
        <f>COUNTIF('(参考)現行システム機能階層一覧'!$E$3:$E$1048576,sheet1!B2883)</f>
        <v>1</v>
      </c>
      <c r="I2883" s="37"/>
      <c r="J2883" s="37"/>
      <c r="K2883" s="37"/>
      <c r="L2883" s="37"/>
    </row>
    <row r="2884" spans="1:12" ht="15.75" customHeight="1">
      <c r="A2884" s="87" t="s">
        <v>3935</v>
      </c>
      <c r="B2884" s="87" t="s">
        <v>694</v>
      </c>
      <c r="C2884" s="87" t="s">
        <v>8302</v>
      </c>
      <c r="D2884" s="88">
        <v>512</v>
      </c>
      <c r="E2884" s="85" t="s">
        <v>7893</v>
      </c>
      <c r="F2884" s="87">
        <v>110</v>
      </c>
      <c r="G2884" s="37"/>
      <c r="H2884" s="37">
        <f>COUNTIF('(参考)現行システム機能階層一覧'!$E$3:$E$1048576,sheet1!B2884)</f>
        <v>1</v>
      </c>
      <c r="I2884" s="37"/>
      <c r="J2884" s="37"/>
      <c r="K2884" s="37"/>
      <c r="L2884" s="37"/>
    </row>
    <row r="2885" spans="1:12" ht="15.75" customHeight="1">
      <c r="A2885" s="87" t="s">
        <v>3935</v>
      </c>
      <c r="B2885" s="87" t="s">
        <v>8303</v>
      </c>
      <c r="C2885" s="87" t="s">
        <v>8304</v>
      </c>
      <c r="D2885" s="88">
        <v>79</v>
      </c>
      <c r="E2885" s="85" t="s">
        <v>7893</v>
      </c>
      <c r="F2885" s="87">
        <v>1</v>
      </c>
      <c r="G2885" s="37"/>
      <c r="H2885" s="37">
        <f>COUNTIF('(参考)現行システム機能階層一覧'!$E$3:$E$1048576,sheet1!B2885)</f>
        <v>0</v>
      </c>
      <c r="I2885" s="37"/>
      <c r="J2885" s="37"/>
      <c r="K2885" s="37"/>
      <c r="L2885" s="37"/>
    </row>
    <row r="2886" spans="1:12" ht="15.75" customHeight="1">
      <c r="A2886" s="87" t="s">
        <v>3853</v>
      </c>
      <c r="B2886" s="87" t="s">
        <v>8305</v>
      </c>
      <c r="C2886" s="87" t="s">
        <v>8306</v>
      </c>
      <c r="D2886" s="88">
        <v>11</v>
      </c>
      <c r="E2886" s="85" t="s">
        <v>7893</v>
      </c>
      <c r="F2886" s="87">
        <v>1</v>
      </c>
      <c r="G2886" s="37"/>
      <c r="H2886" s="37">
        <f>COUNTIF('(参考)現行システム機能階層一覧'!$E$3:$E$1048576,sheet1!B2886)</f>
        <v>0</v>
      </c>
      <c r="I2886" s="37"/>
      <c r="J2886" s="37"/>
      <c r="K2886" s="37"/>
      <c r="L2886" s="37"/>
    </row>
    <row r="2887" spans="1:12" ht="15.75" customHeight="1">
      <c r="A2887" s="87" t="s">
        <v>3853</v>
      </c>
      <c r="B2887" s="87" t="s">
        <v>8307</v>
      </c>
      <c r="C2887" s="87" t="s">
        <v>8308</v>
      </c>
      <c r="D2887" s="88">
        <v>83</v>
      </c>
      <c r="E2887" s="85" t="s">
        <v>7893</v>
      </c>
      <c r="F2887" s="87">
        <v>277</v>
      </c>
      <c r="G2887" s="37"/>
      <c r="H2887" s="37">
        <f>COUNTIF('(参考)現行システム機能階層一覧'!$E$3:$E$1048576,sheet1!B2887)</f>
        <v>0</v>
      </c>
      <c r="I2887" s="37"/>
      <c r="J2887" s="37"/>
      <c r="K2887" s="37"/>
      <c r="L2887" s="37"/>
    </row>
    <row r="2888" spans="1:12" ht="15.75" customHeight="1">
      <c r="A2888" s="87" t="s">
        <v>3935</v>
      </c>
      <c r="B2888" s="87" t="s">
        <v>8309</v>
      </c>
      <c r="C2888" s="87" t="s">
        <v>8310</v>
      </c>
      <c r="D2888" s="88">
        <v>404</v>
      </c>
      <c r="E2888" s="85" t="s">
        <v>7893</v>
      </c>
      <c r="F2888" s="87">
        <v>60</v>
      </c>
      <c r="G2888" s="37"/>
      <c r="H2888" s="37">
        <f>COUNTIF('(参考)現行システム機能階層一覧'!$E$3:$E$1048576,sheet1!B2888)</f>
        <v>0</v>
      </c>
      <c r="I2888" s="37"/>
      <c r="J2888" s="37"/>
      <c r="K2888" s="37"/>
      <c r="L2888" s="37"/>
    </row>
    <row r="2889" spans="1:12" ht="15.75" customHeight="1">
      <c r="A2889" s="87" t="s">
        <v>3935</v>
      </c>
      <c r="B2889" s="87" t="s">
        <v>341</v>
      </c>
      <c r="C2889" s="87" t="s">
        <v>8311</v>
      </c>
      <c r="D2889" s="88">
        <v>576</v>
      </c>
      <c r="E2889" s="85" t="s">
        <v>7893</v>
      </c>
      <c r="F2889" s="87">
        <v>314</v>
      </c>
      <c r="G2889" s="37"/>
      <c r="H2889" s="37">
        <f>COUNTIF('(参考)現行システム機能階層一覧'!$E$3:$E$1048576,sheet1!B2889)</f>
        <v>2</v>
      </c>
      <c r="I2889" s="37"/>
      <c r="J2889" s="37"/>
      <c r="K2889" s="37"/>
      <c r="L2889" s="37"/>
    </row>
    <row r="2890" spans="1:12" ht="15.75" customHeight="1">
      <c r="A2890" s="87" t="s">
        <v>3935</v>
      </c>
      <c r="B2890" s="87" t="s">
        <v>798</v>
      </c>
      <c r="C2890" s="87" t="s">
        <v>8312</v>
      </c>
      <c r="D2890" s="88">
        <v>243</v>
      </c>
      <c r="E2890" s="85" t="s">
        <v>7893</v>
      </c>
      <c r="F2890" s="87">
        <v>295</v>
      </c>
      <c r="G2890" s="37"/>
      <c r="H2890" s="37">
        <f>COUNTIF('(参考)現行システム機能階層一覧'!$E$3:$E$1048576,sheet1!B2890)</f>
        <v>1</v>
      </c>
      <c r="I2890" s="37"/>
      <c r="J2890" s="37"/>
      <c r="K2890" s="37"/>
      <c r="L2890" s="37"/>
    </row>
    <row r="2891" spans="1:12" ht="15.75" customHeight="1">
      <c r="A2891" s="87" t="s">
        <v>3853</v>
      </c>
      <c r="B2891" s="87" t="s">
        <v>8313</v>
      </c>
      <c r="C2891" s="87" t="s">
        <v>799</v>
      </c>
      <c r="D2891" s="88">
        <v>81</v>
      </c>
      <c r="E2891" s="85" t="s">
        <v>7893</v>
      </c>
      <c r="F2891" s="87">
        <v>295</v>
      </c>
      <c r="G2891" s="37"/>
      <c r="H2891" s="37">
        <f>COUNTIF('(参考)現行システム機能階層一覧'!$E$3:$E$1048576,sheet1!B2891)</f>
        <v>0</v>
      </c>
      <c r="I2891" s="37"/>
      <c r="J2891" s="37"/>
      <c r="K2891" s="37"/>
      <c r="L2891" s="37"/>
    </row>
    <row r="2892" spans="1:12" ht="15.75" customHeight="1">
      <c r="A2892" s="87" t="s">
        <v>3935</v>
      </c>
      <c r="B2892" s="87" t="s">
        <v>8314</v>
      </c>
      <c r="C2892" s="87" t="s">
        <v>8315</v>
      </c>
      <c r="D2892" s="88">
        <v>228</v>
      </c>
      <c r="E2892" s="85" t="s">
        <v>7893</v>
      </c>
      <c r="F2892" s="87">
        <v>23</v>
      </c>
      <c r="G2892" s="37"/>
      <c r="H2892" s="37">
        <f>COUNTIF('(参考)現行システム機能階層一覧'!$E$3:$E$1048576,sheet1!B2892)</f>
        <v>0</v>
      </c>
      <c r="I2892" s="37"/>
      <c r="J2892" s="37"/>
      <c r="K2892" s="37"/>
      <c r="L2892" s="37"/>
    </row>
    <row r="2893" spans="1:12" ht="15.75" customHeight="1">
      <c r="A2893" s="87" t="s">
        <v>3935</v>
      </c>
      <c r="B2893" s="87" t="s">
        <v>8316</v>
      </c>
      <c r="C2893" s="87" t="s">
        <v>8317</v>
      </c>
      <c r="D2893" s="88">
        <v>74</v>
      </c>
      <c r="E2893" s="85" t="s">
        <v>7893</v>
      </c>
      <c r="F2893" s="87">
        <v>23</v>
      </c>
      <c r="G2893" s="37"/>
      <c r="H2893" s="37">
        <f>COUNTIF('(参考)現行システム機能階層一覧'!$E$3:$E$1048576,sheet1!B2893)</f>
        <v>0</v>
      </c>
      <c r="I2893" s="37"/>
      <c r="J2893" s="37"/>
      <c r="K2893" s="37"/>
      <c r="L2893" s="37"/>
    </row>
    <row r="2894" spans="1:12" ht="15.75" customHeight="1">
      <c r="A2894" s="87" t="s">
        <v>3935</v>
      </c>
      <c r="B2894" s="87" t="s">
        <v>8318</v>
      </c>
      <c r="C2894" s="87" t="s">
        <v>8319</v>
      </c>
      <c r="D2894" s="88">
        <v>228</v>
      </c>
      <c r="E2894" s="85" t="s">
        <v>7893</v>
      </c>
      <c r="F2894" s="87">
        <v>10</v>
      </c>
      <c r="G2894" s="37"/>
      <c r="H2894" s="37">
        <f>COUNTIF('(参考)現行システム機能階層一覧'!$E$3:$E$1048576,sheet1!B2894)</f>
        <v>0</v>
      </c>
      <c r="I2894" s="37"/>
      <c r="J2894" s="37"/>
      <c r="K2894" s="37"/>
      <c r="L2894" s="37"/>
    </row>
    <row r="2895" spans="1:12" ht="15.75" customHeight="1">
      <c r="A2895" s="87" t="s">
        <v>3935</v>
      </c>
      <c r="B2895" s="87" t="s">
        <v>8320</v>
      </c>
      <c r="C2895" s="87" t="s">
        <v>8321</v>
      </c>
      <c r="D2895" s="88">
        <v>271</v>
      </c>
      <c r="E2895" s="85" t="s">
        <v>7893</v>
      </c>
      <c r="F2895" s="87">
        <v>16</v>
      </c>
      <c r="G2895" s="37"/>
      <c r="H2895" s="37">
        <f>COUNTIF('(参考)現行システム機能階層一覧'!$E$3:$E$1048576,sheet1!B2895)</f>
        <v>0</v>
      </c>
      <c r="I2895" s="37"/>
      <c r="J2895" s="37"/>
      <c r="K2895" s="37"/>
      <c r="L2895" s="37"/>
    </row>
    <row r="2896" spans="1:12" ht="15.75" customHeight="1">
      <c r="A2896" s="87" t="s">
        <v>3935</v>
      </c>
      <c r="B2896" s="87" t="s">
        <v>801</v>
      </c>
      <c r="C2896" s="87" t="s">
        <v>8322</v>
      </c>
      <c r="D2896" s="88">
        <v>471</v>
      </c>
      <c r="E2896" s="85" t="s">
        <v>7893</v>
      </c>
      <c r="F2896" s="87">
        <v>41</v>
      </c>
      <c r="G2896" s="37"/>
      <c r="H2896" s="37">
        <f>COUNTIF('(参考)現行システム機能階層一覧'!$E$3:$E$1048576,sheet1!B2896)</f>
        <v>1</v>
      </c>
      <c r="I2896" s="37"/>
      <c r="J2896" s="37"/>
      <c r="K2896" s="37"/>
      <c r="L2896" s="37"/>
    </row>
    <row r="2897" spans="1:12" ht="15.75" customHeight="1">
      <c r="A2897" s="87" t="s">
        <v>3853</v>
      </c>
      <c r="B2897" s="87" t="s">
        <v>8323</v>
      </c>
      <c r="C2897" s="87" t="s">
        <v>802</v>
      </c>
      <c r="D2897" s="88">
        <v>85</v>
      </c>
      <c r="E2897" s="85" t="s">
        <v>7893</v>
      </c>
      <c r="F2897" s="87">
        <v>41</v>
      </c>
      <c r="G2897" s="37"/>
      <c r="H2897" s="37">
        <f>COUNTIF('(参考)現行システム機能階層一覧'!$E$3:$E$1048576,sheet1!B2897)</f>
        <v>0</v>
      </c>
      <c r="I2897" s="37"/>
      <c r="J2897" s="37"/>
      <c r="K2897" s="37"/>
      <c r="L2897" s="37"/>
    </row>
    <row r="2898" spans="1:12" ht="15.75" customHeight="1">
      <c r="A2898" s="87" t="s">
        <v>3935</v>
      </c>
      <c r="B2898" s="87" t="s">
        <v>8324</v>
      </c>
      <c r="C2898" s="87" t="s">
        <v>8325</v>
      </c>
      <c r="D2898" s="88">
        <v>258</v>
      </c>
      <c r="E2898" s="85" t="s">
        <v>7893</v>
      </c>
      <c r="F2898" s="87">
        <v>8</v>
      </c>
      <c r="G2898" s="37"/>
      <c r="H2898" s="37">
        <f>COUNTIF('(参考)現行システム機能階層一覧'!$E$3:$E$1048576,sheet1!B2898)</f>
        <v>0</v>
      </c>
      <c r="I2898" s="37"/>
      <c r="J2898" s="37"/>
      <c r="K2898" s="37"/>
      <c r="L2898" s="37"/>
    </row>
    <row r="2899" spans="1:12" ht="15.75" customHeight="1">
      <c r="A2899" s="87" t="s">
        <v>3935</v>
      </c>
      <c r="B2899" s="87" t="s">
        <v>8326</v>
      </c>
      <c r="C2899" s="87" t="s">
        <v>8327</v>
      </c>
      <c r="D2899" s="88">
        <v>258</v>
      </c>
      <c r="E2899" s="85" t="s">
        <v>7893</v>
      </c>
      <c r="F2899" s="87">
        <v>8</v>
      </c>
      <c r="G2899" s="37"/>
      <c r="H2899" s="37">
        <f>COUNTIF('(参考)現行システム機能階層一覧'!$E$3:$E$1048576,sheet1!B2899)</f>
        <v>0</v>
      </c>
      <c r="I2899" s="37"/>
      <c r="J2899" s="37"/>
      <c r="K2899" s="37"/>
      <c r="L2899" s="37"/>
    </row>
    <row r="2900" spans="1:12" ht="15.75" customHeight="1">
      <c r="A2900" s="87" t="s">
        <v>3935</v>
      </c>
      <c r="B2900" s="87" t="s">
        <v>8328</v>
      </c>
      <c r="C2900" s="87" t="s">
        <v>8329</v>
      </c>
      <c r="D2900" s="88">
        <v>211</v>
      </c>
      <c r="E2900" s="85" t="s">
        <v>7893</v>
      </c>
      <c r="F2900" s="87">
        <v>5</v>
      </c>
      <c r="G2900" s="37"/>
      <c r="H2900" s="37">
        <f>COUNTIF('(参考)現行システム機能階層一覧'!$E$3:$E$1048576,sheet1!B2900)</f>
        <v>0</v>
      </c>
      <c r="I2900" s="37"/>
      <c r="J2900" s="37"/>
      <c r="K2900" s="37"/>
      <c r="L2900" s="37"/>
    </row>
    <row r="2901" spans="1:12" ht="15.75" customHeight="1">
      <c r="A2901" s="87" t="s">
        <v>3935</v>
      </c>
      <c r="B2901" s="87" t="s">
        <v>8330</v>
      </c>
      <c r="C2901" s="87" t="s">
        <v>8331</v>
      </c>
      <c r="D2901" s="88">
        <v>210</v>
      </c>
      <c r="E2901" s="85" t="s">
        <v>7893</v>
      </c>
      <c r="F2901" s="87">
        <v>3</v>
      </c>
      <c r="G2901" s="37"/>
      <c r="H2901" s="37">
        <f>COUNTIF('(参考)現行システム機能階層一覧'!$E$3:$E$1048576,sheet1!B2901)</f>
        <v>0</v>
      </c>
      <c r="I2901" s="37"/>
      <c r="J2901" s="37"/>
      <c r="K2901" s="37"/>
      <c r="L2901" s="37"/>
    </row>
    <row r="2902" spans="1:12" ht="15.75" customHeight="1">
      <c r="A2902" s="87" t="s">
        <v>3935</v>
      </c>
      <c r="B2902" s="87" t="s">
        <v>8332</v>
      </c>
      <c r="C2902" s="87" t="s">
        <v>8333</v>
      </c>
      <c r="D2902" s="88">
        <v>260</v>
      </c>
      <c r="E2902" s="85" t="s">
        <v>7893</v>
      </c>
      <c r="F2902" s="87">
        <v>7</v>
      </c>
      <c r="G2902" s="37"/>
      <c r="H2902" s="37">
        <f>COUNTIF('(参考)現行システム機能階層一覧'!$E$3:$E$1048576,sheet1!B2902)</f>
        <v>0</v>
      </c>
      <c r="I2902" s="37"/>
      <c r="J2902" s="37"/>
      <c r="K2902" s="37"/>
      <c r="L2902" s="37"/>
    </row>
    <row r="2903" spans="1:12" ht="15.75" customHeight="1">
      <c r="A2903" s="87" t="s">
        <v>3935</v>
      </c>
      <c r="B2903" s="87" t="s">
        <v>8334</v>
      </c>
      <c r="C2903" s="87" t="s">
        <v>8335</v>
      </c>
      <c r="D2903" s="88">
        <v>200</v>
      </c>
      <c r="E2903" s="85" t="s">
        <v>7893</v>
      </c>
      <c r="F2903" s="87">
        <v>7</v>
      </c>
      <c r="G2903" s="37"/>
      <c r="H2903" s="37">
        <f>COUNTIF('(参考)現行システム機能階層一覧'!$E$3:$E$1048576,sheet1!B2903)</f>
        <v>0</v>
      </c>
      <c r="I2903" s="37"/>
      <c r="J2903" s="37"/>
      <c r="K2903" s="37"/>
      <c r="L2903" s="37"/>
    </row>
    <row r="2904" spans="1:12" ht="15.75" customHeight="1">
      <c r="A2904" s="87" t="s">
        <v>3935</v>
      </c>
      <c r="B2904" s="87" t="s">
        <v>8336</v>
      </c>
      <c r="C2904" s="87" t="s">
        <v>8337</v>
      </c>
      <c r="D2904" s="88">
        <v>155</v>
      </c>
      <c r="E2904" s="85" t="s">
        <v>7893</v>
      </c>
      <c r="F2904" s="87">
        <v>4</v>
      </c>
      <c r="G2904" s="37"/>
      <c r="H2904" s="37">
        <f>COUNTIF('(参考)現行システム機能階層一覧'!$E$3:$E$1048576,sheet1!B2904)</f>
        <v>0</v>
      </c>
      <c r="I2904" s="37"/>
      <c r="J2904" s="37"/>
      <c r="K2904" s="37"/>
      <c r="L2904" s="37"/>
    </row>
    <row r="2905" spans="1:12" ht="15.75" customHeight="1">
      <c r="A2905" s="87" t="s">
        <v>3935</v>
      </c>
      <c r="B2905" s="87" t="s">
        <v>804</v>
      </c>
      <c r="C2905" s="87" t="s">
        <v>8338</v>
      </c>
      <c r="D2905" s="88">
        <v>204</v>
      </c>
      <c r="E2905" s="85" t="s">
        <v>7893</v>
      </c>
      <c r="F2905" s="87">
        <v>25</v>
      </c>
      <c r="G2905" s="37"/>
      <c r="H2905" s="37">
        <f>COUNTIF('(参考)現行システム機能階層一覧'!$E$3:$E$1048576,sheet1!B2905)</f>
        <v>1</v>
      </c>
      <c r="I2905" s="37"/>
      <c r="J2905" s="37"/>
      <c r="K2905" s="37"/>
      <c r="L2905" s="37"/>
    </row>
    <row r="2906" spans="1:12" ht="15.75" customHeight="1">
      <c r="A2906" s="87" t="s">
        <v>3853</v>
      </c>
      <c r="B2906" s="87" t="s">
        <v>8339</v>
      </c>
      <c r="C2906" s="87" t="s">
        <v>8340</v>
      </c>
      <c r="D2906" s="88">
        <v>104</v>
      </c>
      <c r="E2906" s="85" t="s">
        <v>7893</v>
      </c>
      <c r="F2906" s="87">
        <v>25</v>
      </c>
      <c r="G2906" s="37"/>
      <c r="H2906" s="37">
        <f>COUNTIF('(参考)現行システム機能階層一覧'!$E$3:$E$1048576,sheet1!B2906)</f>
        <v>0</v>
      </c>
      <c r="I2906" s="37"/>
      <c r="J2906" s="37"/>
      <c r="K2906" s="37"/>
      <c r="L2906" s="37"/>
    </row>
    <row r="2907" spans="1:12" ht="15.75" customHeight="1">
      <c r="A2907" s="87" t="s">
        <v>3935</v>
      </c>
      <c r="B2907" s="87" t="s">
        <v>8341</v>
      </c>
      <c r="C2907" s="87" t="s">
        <v>8342</v>
      </c>
      <c r="D2907" s="88">
        <v>343</v>
      </c>
      <c r="E2907" s="85" t="s">
        <v>7893</v>
      </c>
      <c r="F2907" s="87">
        <v>10</v>
      </c>
      <c r="G2907" s="37"/>
      <c r="H2907" s="37">
        <f>COUNTIF('(参考)現行システム機能階層一覧'!$E$3:$E$1048576,sheet1!B2907)</f>
        <v>0</v>
      </c>
      <c r="I2907" s="37"/>
      <c r="J2907" s="37"/>
      <c r="K2907" s="37"/>
      <c r="L2907" s="37"/>
    </row>
    <row r="2908" spans="1:12" ht="15.75" customHeight="1">
      <c r="A2908" s="87" t="s">
        <v>3935</v>
      </c>
      <c r="B2908" s="87" t="s">
        <v>8343</v>
      </c>
      <c r="C2908" s="87" t="s">
        <v>8344</v>
      </c>
      <c r="D2908" s="88">
        <v>308</v>
      </c>
      <c r="E2908" s="85" t="s">
        <v>7893</v>
      </c>
      <c r="F2908" s="87">
        <v>10</v>
      </c>
      <c r="G2908" s="37"/>
      <c r="H2908" s="37">
        <f>COUNTIF('(参考)現行システム機能階層一覧'!$E$3:$E$1048576,sheet1!B2908)</f>
        <v>0</v>
      </c>
      <c r="I2908" s="37"/>
      <c r="J2908" s="37"/>
      <c r="K2908" s="37"/>
      <c r="L2908" s="37"/>
    </row>
    <row r="2909" spans="1:12" ht="15.75" customHeight="1">
      <c r="A2909" s="87" t="s">
        <v>3935</v>
      </c>
      <c r="B2909" s="87" t="s">
        <v>807</v>
      </c>
      <c r="C2909" s="87" t="s">
        <v>8345</v>
      </c>
      <c r="D2909" s="88">
        <v>188</v>
      </c>
      <c r="E2909" s="85" t="s">
        <v>7893</v>
      </c>
      <c r="F2909" s="87">
        <v>180</v>
      </c>
      <c r="G2909" s="37"/>
      <c r="H2909" s="37">
        <f>COUNTIF('(参考)現行システム機能階層一覧'!$E$3:$E$1048576,sheet1!B2909)</f>
        <v>1</v>
      </c>
      <c r="I2909" s="37"/>
      <c r="J2909" s="37"/>
      <c r="K2909" s="37"/>
      <c r="L2909" s="37"/>
    </row>
    <row r="2910" spans="1:12" ht="15.75" customHeight="1">
      <c r="A2910" s="87" t="s">
        <v>3853</v>
      </c>
      <c r="B2910" s="87" t="s">
        <v>8346</v>
      </c>
      <c r="C2910" s="87" t="s">
        <v>808</v>
      </c>
      <c r="D2910" s="88">
        <v>69</v>
      </c>
      <c r="E2910" s="85" t="s">
        <v>7893</v>
      </c>
      <c r="F2910" s="87">
        <v>180</v>
      </c>
      <c r="G2910" s="37"/>
      <c r="H2910" s="37">
        <f>COUNTIF('(参考)現行システム機能階層一覧'!$E$3:$E$1048576,sheet1!B2910)</f>
        <v>0</v>
      </c>
      <c r="I2910" s="37"/>
      <c r="J2910" s="37"/>
      <c r="K2910" s="37"/>
      <c r="L2910" s="37"/>
    </row>
    <row r="2911" spans="1:12" ht="15.75" customHeight="1">
      <c r="A2911" s="87" t="s">
        <v>3935</v>
      </c>
      <c r="B2911" s="87" t="s">
        <v>8347</v>
      </c>
      <c r="C2911" s="87" t="s">
        <v>8348</v>
      </c>
      <c r="D2911" s="88">
        <v>1008</v>
      </c>
      <c r="E2911" s="85" t="s">
        <v>7893</v>
      </c>
      <c r="F2911" s="87">
        <v>126</v>
      </c>
      <c r="G2911" s="37"/>
      <c r="H2911" s="37">
        <f>COUNTIF('(参考)現行システム機能階層一覧'!$E$3:$E$1048576,sheet1!B2911)</f>
        <v>0</v>
      </c>
      <c r="I2911" s="37"/>
      <c r="J2911" s="37"/>
      <c r="K2911" s="37"/>
      <c r="L2911" s="37"/>
    </row>
    <row r="2912" spans="1:12" ht="15.75" customHeight="1">
      <c r="A2912" s="87" t="s">
        <v>3935</v>
      </c>
      <c r="B2912" s="87" t="s">
        <v>810</v>
      </c>
      <c r="C2912" s="87" t="s">
        <v>8349</v>
      </c>
      <c r="D2912" s="88">
        <v>238</v>
      </c>
      <c r="E2912" s="85" t="s">
        <v>7893</v>
      </c>
      <c r="F2912" s="87">
        <v>538</v>
      </c>
      <c r="G2912" s="37"/>
      <c r="H2912" s="37">
        <f>COUNTIF('(参考)現行システム機能階層一覧'!$E$3:$E$1048576,sheet1!B2912)</f>
        <v>1</v>
      </c>
      <c r="I2912" s="37"/>
      <c r="J2912" s="37"/>
      <c r="K2912" s="37"/>
      <c r="L2912" s="37"/>
    </row>
    <row r="2913" spans="1:12" ht="15.75" customHeight="1">
      <c r="A2913" s="87" t="s">
        <v>3853</v>
      </c>
      <c r="B2913" s="87" t="s">
        <v>8350</v>
      </c>
      <c r="C2913" s="87" t="s">
        <v>811</v>
      </c>
      <c r="D2913" s="88">
        <v>77</v>
      </c>
      <c r="E2913" s="85" t="s">
        <v>7893</v>
      </c>
      <c r="F2913" s="87">
        <v>538</v>
      </c>
      <c r="G2913" s="37"/>
      <c r="H2913" s="37">
        <f>COUNTIF('(参考)現行システム機能階層一覧'!$E$3:$E$1048576,sheet1!B2913)</f>
        <v>0</v>
      </c>
      <c r="I2913" s="37"/>
      <c r="J2913" s="37"/>
      <c r="K2913" s="37"/>
      <c r="L2913" s="37"/>
    </row>
    <row r="2914" spans="1:12" ht="15.75" customHeight="1">
      <c r="A2914" s="87" t="s">
        <v>3935</v>
      </c>
      <c r="B2914" s="87" t="s">
        <v>8351</v>
      </c>
      <c r="C2914" s="87" t="s">
        <v>8352</v>
      </c>
      <c r="D2914" s="88">
        <v>306</v>
      </c>
      <c r="E2914" s="85" t="s">
        <v>7893</v>
      </c>
      <c r="F2914" s="87">
        <v>439</v>
      </c>
      <c r="G2914" s="37"/>
      <c r="H2914" s="37">
        <f>COUNTIF('(参考)現行システム機能階層一覧'!$E$3:$E$1048576,sheet1!B2914)</f>
        <v>0</v>
      </c>
      <c r="I2914" s="37"/>
      <c r="J2914" s="37"/>
      <c r="K2914" s="37"/>
      <c r="L2914" s="37"/>
    </row>
    <row r="2915" spans="1:12" ht="15.75" customHeight="1">
      <c r="A2915" s="87" t="s">
        <v>3935</v>
      </c>
      <c r="B2915" s="87" t="s">
        <v>8353</v>
      </c>
      <c r="C2915" s="87" t="s">
        <v>8354</v>
      </c>
      <c r="D2915" s="88">
        <v>533</v>
      </c>
      <c r="E2915" s="85" t="s">
        <v>7893</v>
      </c>
      <c r="F2915" s="87">
        <v>439</v>
      </c>
      <c r="G2915" s="37"/>
      <c r="H2915" s="37">
        <f>COUNTIF('(参考)現行システム機能階層一覧'!$E$3:$E$1048576,sheet1!B2915)</f>
        <v>0</v>
      </c>
      <c r="I2915" s="37"/>
      <c r="J2915" s="37"/>
      <c r="K2915" s="37"/>
      <c r="L2915" s="37"/>
    </row>
    <row r="2916" spans="1:12" ht="15.75" customHeight="1">
      <c r="A2916" s="87" t="s">
        <v>3935</v>
      </c>
      <c r="B2916" s="87" t="s">
        <v>813</v>
      </c>
      <c r="C2916" s="87" t="s">
        <v>8355</v>
      </c>
      <c r="D2916" s="88">
        <v>205</v>
      </c>
      <c r="E2916" s="85" t="s">
        <v>7893</v>
      </c>
      <c r="F2916" s="87">
        <v>1174</v>
      </c>
      <c r="G2916" s="37"/>
      <c r="H2916" s="37">
        <f>COUNTIF('(参考)現行システム機能階層一覧'!$E$3:$E$1048576,sheet1!B2916)</f>
        <v>1</v>
      </c>
      <c r="I2916" s="37"/>
      <c r="J2916" s="37"/>
      <c r="K2916" s="37"/>
      <c r="L2916" s="37"/>
    </row>
    <row r="2917" spans="1:12" ht="15.75" customHeight="1">
      <c r="A2917" s="87" t="s">
        <v>3853</v>
      </c>
      <c r="B2917" s="87" t="s">
        <v>8356</v>
      </c>
      <c r="C2917" s="87" t="s">
        <v>814</v>
      </c>
      <c r="D2917" s="88">
        <v>75</v>
      </c>
      <c r="E2917" s="85" t="s">
        <v>7893</v>
      </c>
      <c r="F2917" s="87">
        <v>1174</v>
      </c>
      <c r="G2917" s="37"/>
      <c r="H2917" s="37">
        <f>COUNTIF('(参考)現行システム機能階層一覧'!$E$3:$E$1048576,sheet1!B2917)</f>
        <v>0</v>
      </c>
      <c r="I2917" s="37"/>
      <c r="J2917" s="37"/>
      <c r="K2917" s="37"/>
      <c r="L2917" s="37"/>
    </row>
    <row r="2918" spans="1:12" ht="15.75" customHeight="1">
      <c r="A2918" s="87" t="s">
        <v>3935</v>
      </c>
      <c r="B2918" s="87" t="s">
        <v>8357</v>
      </c>
      <c r="C2918" s="87" t="s">
        <v>8358</v>
      </c>
      <c r="D2918" s="88">
        <v>344</v>
      </c>
      <c r="E2918" s="85" t="s">
        <v>7893</v>
      </c>
      <c r="F2918" s="87">
        <v>1039</v>
      </c>
      <c r="G2918" s="37"/>
      <c r="H2918" s="37">
        <f>COUNTIF('(参考)現行システム機能階層一覧'!$E$3:$E$1048576,sheet1!B2918)</f>
        <v>0</v>
      </c>
      <c r="I2918" s="37"/>
      <c r="J2918" s="37"/>
      <c r="K2918" s="37"/>
      <c r="L2918" s="37"/>
    </row>
    <row r="2919" spans="1:12" ht="15.75" customHeight="1">
      <c r="A2919" s="87" t="s">
        <v>3935</v>
      </c>
      <c r="B2919" s="87" t="s">
        <v>8359</v>
      </c>
      <c r="C2919" s="87" t="s">
        <v>8360</v>
      </c>
      <c r="D2919" s="88">
        <v>256</v>
      </c>
      <c r="E2919" s="85" t="s">
        <v>7893</v>
      </c>
      <c r="F2919" s="87">
        <v>976</v>
      </c>
      <c r="G2919" s="37"/>
      <c r="H2919" s="37">
        <f>COUNTIF('(参考)現行システム機能階層一覧'!$E$3:$E$1048576,sheet1!B2919)</f>
        <v>0</v>
      </c>
      <c r="I2919" s="37"/>
      <c r="J2919" s="37"/>
      <c r="K2919" s="37"/>
      <c r="L2919" s="37"/>
    </row>
    <row r="2920" spans="1:12" ht="15.75" customHeight="1">
      <c r="A2920" s="87" t="s">
        <v>3935</v>
      </c>
      <c r="B2920" s="87" t="s">
        <v>8361</v>
      </c>
      <c r="C2920" s="87" t="s">
        <v>8362</v>
      </c>
      <c r="D2920" s="88">
        <v>342</v>
      </c>
      <c r="E2920" s="85" t="s">
        <v>7893</v>
      </c>
      <c r="F2920" s="87">
        <v>976</v>
      </c>
      <c r="G2920" s="37"/>
      <c r="H2920" s="37">
        <f>COUNTIF('(参考)現行システム機能階層一覧'!$E$3:$E$1048576,sheet1!B2920)</f>
        <v>0</v>
      </c>
      <c r="I2920" s="37"/>
      <c r="J2920" s="37"/>
      <c r="K2920" s="37"/>
      <c r="L2920" s="37"/>
    </row>
    <row r="2921" spans="1:12" ht="15.75" customHeight="1">
      <c r="A2921" s="87" t="s">
        <v>3935</v>
      </c>
      <c r="B2921" s="87" t="s">
        <v>816</v>
      </c>
      <c r="C2921" s="87" t="s">
        <v>8363</v>
      </c>
      <c r="D2921" s="88">
        <v>218</v>
      </c>
      <c r="E2921" s="85" t="s">
        <v>7893</v>
      </c>
      <c r="F2921" s="87">
        <v>76</v>
      </c>
      <c r="G2921" s="37"/>
      <c r="H2921" s="37">
        <f>COUNTIF('(参考)現行システム機能階層一覧'!$E$3:$E$1048576,sheet1!B2921)</f>
        <v>1</v>
      </c>
      <c r="I2921" s="37"/>
      <c r="J2921" s="37"/>
      <c r="K2921" s="37"/>
      <c r="L2921" s="37"/>
    </row>
    <row r="2922" spans="1:12" ht="15.75" customHeight="1">
      <c r="A2922" s="87" t="s">
        <v>3853</v>
      </c>
      <c r="B2922" s="87" t="s">
        <v>8364</v>
      </c>
      <c r="C2922" s="87" t="s">
        <v>8365</v>
      </c>
      <c r="D2922" s="88">
        <v>55</v>
      </c>
      <c r="E2922" s="85" t="s">
        <v>7893</v>
      </c>
      <c r="F2922" s="87">
        <v>76</v>
      </c>
      <c r="G2922" s="37"/>
      <c r="H2922" s="37">
        <f>COUNTIF('(参考)現行システム機能階層一覧'!$E$3:$E$1048576,sheet1!B2922)</f>
        <v>0</v>
      </c>
      <c r="I2922" s="37"/>
      <c r="J2922" s="37"/>
      <c r="K2922" s="37"/>
      <c r="L2922" s="37"/>
    </row>
    <row r="2923" spans="1:12" ht="15.75" customHeight="1">
      <c r="A2923" s="87" t="s">
        <v>3935</v>
      </c>
      <c r="B2923" s="87" t="s">
        <v>8366</v>
      </c>
      <c r="C2923" s="87" t="s">
        <v>8367</v>
      </c>
      <c r="D2923" s="88">
        <v>431</v>
      </c>
      <c r="E2923" s="85" t="s">
        <v>7893</v>
      </c>
      <c r="F2923" s="87">
        <v>36</v>
      </c>
      <c r="G2923" s="37"/>
      <c r="H2923" s="37">
        <f>COUNTIF('(参考)現行システム機能階層一覧'!$E$3:$E$1048576,sheet1!B2923)</f>
        <v>0</v>
      </c>
      <c r="I2923" s="37"/>
      <c r="J2923" s="37"/>
      <c r="K2923" s="37"/>
      <c r="L2923" s="37"/>
    </row>
    <row r="2924" spans="1:12" ht="15.75" customHeight="1">
      <c r="A2924" s="87" t="s">
        <v>3935</v>
      </c>
      <c r="B2924" s="87" t="s">
        <v>819</v>
      </c>
      <c r="C2924" s="87" t="s">
        <v>8368</v>
      </c>
      <c r="D2924" s="88">
        <v>166</v>
      </c>
      <c r="E2924" s="85" t="s">
        <v>7893</v>
      </c>
      <c r="F2924" s="87">
        <v>210</v>
      </c>
      <c r="G2924" s="37"/>
      <c r="H2924" s="37">
        <f>COUNTIF('(参考)現行システム機能階層一覧'!$E$3:$E$1048576,sheet1!B2924)</f>
        <v>1</v>
      </c>
      <c r="I2924" s="37"/>
      <c r="J2924" s="37"/>
      <c r="K2924" s="37"/>
      <c r="L2924" s="37"/>
    </row>
    <row r="2925" spans="1:12" ht="15.75" customHeight="1">
      <c r="A2925" s="87" t="s">
        <v>3853</v>
      </c>
      <c r="B2925" s="87" t="s">
        <v>8369</v>
      </c>
      <c r="C2925" s="87" t="s">
        <v>820</v>
      </c>
      <c r="D2925" s="88">
        <v>34</v>
      </c>
      <c r="E2925" s="85" t="s">
        <v>7893</v>
      </c>
      <c r="F2925" s="87">
        <v>210</v>
      </c>
      <c r="G2925" s="37"/>
      <c r="H2925" s="37">
        <f>COUNTIF('(参考)現行システム機能階層一覧'!$E$3:$E$1048576,sheet1!B2925)</f>
        <v>0</v>
      </c>
      <c r="I2925" s="37"/>
      <c r="J2925" s="37"/>
      <c r="K2925" s="37"/>
      <c r="L2925" s="37"/>
    </row>
    <row r="2926" spans="1:12" ht="15.75" customHeight="1">
      <c r="A2926" s="87" t="s">
        <v>3935</v>
      </c>
      <c r="B2926" s="87" t="s">
        <v>8370</v>
      </c>
      <c r="C2926" s="87" t="s">
        <v>8371</v>
      </c>
      <c r="D2926" s="88">
        <v>308</v>
      </c>
      <c r="E2926" s="85" t="s">
        <v>7893</v>
      </c>
      <c r="F2926" s="87">
        <v>18</v>
      </c>
      <c r="G2926" s="37"/>
      <c r="H2926" s="37">
        <f>COUNTIF('(参考)現行システム機能階層一覧'!$E$3:$E$1048576,sheet1!B2926)</f>
        <v>0</v>
      </c>
      <c r="I2926" s="37"/>
      <c r="J2926" s="37"/>
      <c r="K2926" s="37"/>
      <c r="L2926" s="37"/>
    </row>
    <row r="2927" spans="1:12" ht="15.75" customHeight="1">
      <c r="A2927" s="87" t="s">
        <v>3935</v>
      </c>
      <c r="B2927" s="87" t="s">
        <v>822</v>
      </c>
      <c r="C2927" s="87" t="s">
        <v>8372</v>
      </c>
      <c r="D2927" s="88">
        <v>191</v>
      </c>
      <c r="E2927" s="85" t="s">
        <v>7893</v>
      </c>
      <c r="F2927" s="87">
        <v>65</v>
      </c>
      <c r="G2927" s="37"/>
      <c r="H2927" s="37">
        <f>COUNTIF('(参考)現行システム機能階層一覧'!$E$3:$E$1048576,sheet1!B2927)</f>
        <v>1</v>
      </c>
      <c r="I2927" s="37"/>
      <c r="J2927" s="37"/>
      <c r="K2927" s="37"/>
      <c r="L2927" s="37"/>
    </row>
    <row r="2928" spans="1:12" ht="15.75" customHeight="1">
      <c r="A2928" s="87" t="s">
        <v>3853</v>
      </c>
      <c r="B2928" s="87" t="s">
        <v>8373</v>
      </c>
      <c r="C2928" s="87" t="s">
        <v>8374</v>
      </c>
      <c r="D2928" s="88">
        <v>72</v>
      </c>
      <c r="E2928" s="85" t="s">
        <v>7893</v>
      </c>
      <c r="F2928" s="87">
        <v>65</v>
      </c>
      <c r="G2928" s="37"/>
      <c r="H2928" s="37">
        <f>COUNTIF('(参考)現行システム機能階層一覧'!$E$3:$E$1048576,sheet1!B2928)</f>
        <v>0</v>
      </c>
      <c r="I2928" s="37"/>
      <c r="J2928" s="37"/>
      <c r="K2928" s="37"/>
      <c r="L2928" s="37"/>
    </row>
    <row r="2929" spans="1:12" ht="15.75" customHeight="1">
      <c r="A2929" s="87" t="s">
        <v>3935</v>
      </c>
      <c r="B2929" s="87" t="s">
        <v>8375</v>
      </c>
      <c r="C2929" s="87" t="s">
        <v>8376</v>
      </c>
      <c r="D2929" s="88">
        <v>277</v>
      </c>
      <c r="E2929" s="85" t="s">
        <v>7893</v>
      </c>
      <c r="F2929" s="87">
        <v>33</v>
      </c>
      <c r="G2929" s="37"/>
      <c r="H2929" s="37">
        <f>COUNTIF('(参考)現行システム機能階層一覧'!$E$3:$E$1048576,sheet1!B2929)</f>
        <v>0</v>
      </c>
      <c r="I2929" s="37"/>
      <c r="J2929" s="37"/>
      <c r="K2929" s="37"/>
      <c r="L2929" s="37"/>
    </row>
    <row r="2930" spans="1:12" ht="15.75" customHeight="1">
      <c r="A2930" s="87" t="s">
        <v>3935</v>
      </c>
      <c r="B2930" s="87" t="s">
        <v>8377</v>
      </c>
      <c r="C2930" s="87" t="s">
        <v>8378</v>
      </c>
      <c r="D2930" s="88">
        <v>994</v>
      </c>
      <c r="E2930" s="85" t="s">
        <v>7893</v>
      </c>
      <c r="F2930" s="87">
        <v>24</v>
      </c>
      <c r="G2930" s="37"/>
      <c r="H2930" s="37">
        <f>COUNTIF('(参考)現行システム機能階層一覧'!$E$3:$E$1048576,sheet1!B2930)</f>
        <v>0</v>
      </c>
      <c r="I2930" s="37"/>
      <c r="J2930" s="37"/>
      <c r="K2930" s="37"/>
      <c r="L2930" s="37"/>
    </row>
    <row r="2931" spans="1:12" ht="15.75" customHeight="1">
      <c r="A2931" s="87" t="s">
        <v>3935</v>
      </c>
      <c r="B2931" s="87" t="s">
        <v>825</v>
      </c>
      <c r="C2931" s="87" t="s">
        <v>8379</v>
      </c>
      <c r="D2931" s="88">
        <v>202</v>
      </c>
      <c r="E2931" s="85" t="s">
        <v>7893</v>
      </c>
      <c r="F2931" s="87">
        <v>77</v>
      </c>
      <c r="G2931" s="37"/>
      <c r="H2931" s="37">
        <f>COUNTIF('(参考)現行システム機能階層一覧'!$E$3:$E$1048576,sheet1!B2931)</f>
        <v>1</v>
      </c>
      <c r="I2931" s="37"/>
      <c r="J2931" s="37"/>
      <c r="K2931" s="37"/>
      <c r="L2931" s="37"/>
    </row>
    <row r="2932" spans="1:12" ht="15.75" customHeight="1">
      <c r="A2932" s="87" t="s">
        <v>3853</v>
      </c>
      <c r="B2932" s="87" t="s">
        <v>8380</v>
      </c>
      <c r="C2932" s="87" t="s">
        <v>826</v>
      </c>
      <c r="D2932" s="88">
        <v>60</v>
      </c>
      <c r="E2932" s="85" t="s">
        <v>7893</v>
      </c>
      <c r="F2932" s="87">
        <v>77</v>
      </c>
      <c r="G2932" s="37"/>
      <c r="H2932" s="37">
        <f>COUNTIF('(参考)現行システム機能階層一覧'!$E$3:$E$1048576,sheet1!B2932)</f>
        <v>0</v>
      </c>
      <c r="I2932" s="37"/>
      <c r="J2932" s="37"/>
      <c r="K2932" s="37"/>
      <c r="L2932" s="37"/>
    </row>
    <row r="2933" spans="1:12" ht="15.75" customHeight="1">
      <c r="A2933" s="87" t="s">
        <v>3935</v>
      </c>
      <c r="B2933" s="87" t="s">
        <v>8381</v>
      </c>
      <c r="C2933" s="87" t="s">
        <v>8382</v>
      </c>
      <c r="D2933" s="88">
        <v>252</v>
      </c>
      <c r="E2933" s="85" t="s">
        <v>7893</v>
      </c>
      <c r="F2933" s="87">
        <v>39</v>
      </c>
      <c r="G2933" s="37"/>
      <c r="H2933" s="37">
        <f>COUNTIF('(参考)現行システム機能階層一覧'!$E$3:$E$1048576,sheet1!B2933)</f>
        <v>0</v>
      </c>
      <c r="I2933" s="37"/>
      <c r="J2933" s="37"/>
      <c r="K2933" s="37"/>
      <c r="L2933" s="37"/>
    </row>
    <row r="2934" spans="1:12" ht="15.75" customHeight="1">
      <c r="A2934" s="87" t="s">
        <v>3935</v>
      </c>
      <c r="B2934" s="87" t="s">
        <v>8383</v>
      </c>
      <c r="C2934" s="87" t="s">
        <v>8384</v>
      </c>
      <c r="D2934" s="88">
        <v>761</v>
      </c>
      <c r="E2934" s="85" t="s">
        <v>7893</v>
      </c>
      <c r="F2934" s="87">
        <v>22</v>
      </c>
      <c r="G2934" s="37"/>
      <c r="H2934" s="37">
        <f>COUNTIF('(参考)現行システム機能階層一覧'!$E$3:$E$1048576,sheet1!B2934)</f>
        <v>0</v>
      </c>
      <c r="I2934" s="37"/>
      <c r="J2934" s="37"/>
      <c r="K2934" s="37"/>
      <c r="L2934" s="37"/>
    </row>
    <row r="2935" spans="1:12" ht="15.75" customHeight="1">
      <c r="A2935" s="87" t="s">
        <v>3935</v>
      </c>
      <c r="B2935" s="87" t="s">
        <v>828</v>
      </c>
      <c r="C2935" s="87" t="s">
        <v>8385</v>
      </c>
      <c r="D2935" s="88">
        <v>796</v>
      </c>
      <c r="E2935" s="85" t="s">
        <v>7893</v>
      </c>
      <c r="F2935" s="87">
        <v>81</v>
      </c>
      <c r="G2935" s="37"/>
      <c r="H2935" s="37">
        <f>COUNTIF('(参考)現行システム機能階層一覧'!$E$3:$E$1048576,sheet1!B2935)</f>
        <v>1</v>
      </c>
      <c r="I2935" s="37"/>
      <c r="J2935" s="37"/>
      <c r="K2935" s="37"/>
      <c r="L2935" s="37"/>
    </row>
    <row r="2936" spans="1:12" ht="15.75" customHeight="1">
      <c r="A2936" s="87" t="s">
        <v>3853</v>
      </c>
      <c r="B2936" s="87" t="s">
        <v>8386</v>
      </c>
      <c r="C2936" s="87" t="s">
        <v>829</v>
      </c>
      <c r="D2936" s="88">
        <v>184</v>
      </c>
      <c r="E2936" s="85" t="s">
        <v>7893</v>
      </c>
      <c r="F2936" s="87">
        <v>81</v>
      </c>
      <c r="G2936" s="37"/>
      <c r="H2936" s="37">
        <f>COUNTIF('(参考)現行システム機能階層一覧'!$E$3:$E$1048576,sheet1!B2936)</f>
        <v>0</v>
      </c>
      <c r="I2936" s="37"/>
      <c r="J2936" s="37"/>
      <c r="K2936" s="37"/>
      <c r="L2936" s="37"/>
    </row>
    <row r="2937" spans="1:12" ht="15.75" customHeight="1">
      <c r="A2937" s="87" t="s">
        <v>3935</v>
      </c>
      <c r="B2937" s="87" t="s">
        <v>8387</v>
      </c>
      <c r="C2937" s="87" t="s">
        <v>8388</v>
      </c>
      <c r="D2937" s="88">
        <v>268</v>
      </c>
      <c r="E2937" s="85" t="s">
        <v>7893</v>
      </c>
      <c r="F2937" s="87">
        <v>27</v>
      </c>
      <c r="G2937" s="37"/>
      <c r="H2937" s="37">
        <f>COUNTIF('(参考)現行システム機能階層一覧'!$E$3:$E$1048576,sheet1!B2937)</f>
        <v>0</v>
      </c>
      <c r="I2937" s="37"/>
      <c r="J2937" s="37"/>
      <c r="K2937" s="37"/>
      <c r="L2937" s="37"/>
    </row>
    <row r="2938" spans="1:12" ht="15.75" customHeight="1">
      <c r="A2938" s="87" t="s">
        <v>3935</v>
      </c>
      <c r="B2938" s="87" t="s">
        <v>8389</v>
      </c>
      <c r="C2938" s="87" t="s">
        <v>8390</v>
      </c>
      <c r="D2938" s="88">
        <v>58</v>
      </c>
      <c r="E2938" s="85" t="s">
        <v>7893</v>
      </c>
      <c r="F2938" s="87">
        <v>6</v>
      </c>
      <c r="G2938" s="37"/>
      <c r="H2938" s="37">
        <f>COUNTIF('(参考)現行システム機能階層一覧'!$E$3:$E$1048576,sheet1!B2938)</f>
        <v>0</v>
      </c>
      <c r="I2938" s="37"/>
      <c r="J2938" s="37"/>
      <c r="K2938" s="37"/>
      <c r="L2938" s="37"/>
    </row>
    <row r="2939" spans="1:12" ht="15.75" customHeight="1">
      <c r="A2939" s="87" t="s">
        <v>3935</v>
      </c>
      <c r="B2939" s="87" t="s">
        <v>831</v>
      </c>
      <c r="C2939" s="87" t="s">
        <v>8391</v>
      </c>
      <c r="D2939" s="88">
        <v>178</v>
      </c>
      <c r="E2939" s="85" t="s">
        <v>7893</v>
      </c>
      <c r="F2939" s="87">
        <v>50</v>
      </c>
      <c r="G2939" s="37"/>
      <c r="H2939" s="37">
        <f>COUNTIF('(参考)現行システム機能階層一覧'!$E$3:$E$1048576,sheet1!B2939)</f>
        <v>1</v>
      </c>
      <c r="I2939" s="37"/>
      <c r="J2939" s="37"/>
      <c r="K2939" s="37"/>
      <c r="L2939" s="37"/>
    </row>
    <row r="2940" spans="1:12" ht="15.75" customHeight="1">
      <c r="A2940" s="87" t="s">
        <v>3853</v>
      </c>
      <c r="B2940" s="87" t="s">
        <v>8392</v>
      </c>
      <c r="C2940" s="87" t="s">
        <v>832</v>
      </c>
      <c r="D2940" s="88">
        <v>60</v>
      </c>
      <c r="E2940" s="85" t="s">
        <v>7893</v>
      </c>
      <c r="F2940" s="87">
        <v>50</v>
      </c>
      <c r="G2940" s="37"/>
      <c r="H2940" s="37">
        <f>COUNTIF('(参考)現行システム機能階層一覧'!$E$3:$E$1048576,sheet1!B2940)</f>
        <v>0</v>
      </c>
      <c r="I2940" s="37"/>
      <c r="J2940" s="37"/>
      <c r="K2940" s="37"/>
      <c r="L2940" s="37"/>
    </row>
    <row r="2941" spans="1:12" ht="15.75" customHeight="1">
      <c r="A2941" s="87" t="s">
        <v>3935</v>
      </c>
      <c r="B2941" s="87" t="s">
        <v>8393</v>
      </c>
      <c r="C2941" s="87" t="s">
        <v>8394</v>
      </c>
      <c r="D2941" s="88">
        <v>106</v>
      </c>
      <c r="E2941" s="85" t="s">
        <v>7893</v>
      </c>
      <c r="F2941" s="87">
        <v>17</v>
      </c>
      <c r="G2941" s="37"/>
      <c r="H2941" s="37">
        <f>COUNTIF('(参考)現行システム機能階層一覧'!$E$3:$E$1048576,sheet1!B2941)</f>
        <v>0</v>
      </c>
      <c r="I2941" s="37"/>
      <c r="J2941" s="37"/>
      <c r="K2941" s="37"/>
      <c r="L2941" s="37"/>
    </row>
    <row r="2942" spans="1:12" ht="15.75" customHeight="1">
      <c r="A2942" s="87" t="s">
        <v>3935</v>
      </c>
      <c r="B2942" s="87" t="s">
        <v>8395</v>
      </c>
      <c r="C2942" s="87" t="s">
        <v>8396</v>
      </c>
      <c r="D2942" s="88">
        <v>591</v>
      </c>
      <c r="E2942" s="85" t="s">
        <v>7893</v>
      </c>
      <c r="F2942" s="87">
        <v>8</v>
      </c>
      <c r="G2942" s="37"/>
      <c r="H2942" s="37">
        <f>COUNTIF('(参考)現行システム機能階層一覧'!$E$3:$E$1048576,sheet1!B2942)</f>
        <v>0</v>
      </c>
      <c r="I2942" s="37"/>
      <c r="J2942" s="37"/>
      <c r="K2942" s="37"/>
      <c r="L2942" s="37"/>
    </row>
    <row r="2943" spans="1:12" ht="15.75" customHeight="1">
      <c r="A2943" s="87" t="s">
        <v>3935</v>
      </c>
      <c r="B2943" s="87" t="s">
        <v>834</v>
      </c>
      <c r="C2943" s="87" t="s">
        <v>8397</v>
      </c>
      <c r="D2943" s="88">
        <v>160</v>
      </c>
      <c r="E2943" s="85" t="s">
        <v>7893</v>
      </c>
      <c r="F2943" s="87">
        <v>71</v>
      </c>
      <c r="G2943" s="37"/>
      <c r="H2943" s="37">
        <f>COUNTIF('(参考)現行システム機能階層一覧'!$E$3:$E$1048576,sheet1!B2943)</f>
        <v>1</v>
      </c>
      <c r="I2943" s="37"/>
      <c r="J2943" s="37"/>
      <c r="K2943" s="37"/>
      <c r="L2943" s="37"/>
    </row>
    <row r="2944" spans="1:12" ht="15.75" customHeight="1">
      <c r="A2944" s="87" t="s">
        <v>3853</v>
      </c>
      <c r="B2944" s="87" t="s">
        <v>8398</v>
      </c>
      <c r="C2944" s="87" t="s">
        <v>835</v>
      </c>
      <c r="D2944" s="88">
        <v>61</v>
      </c>
      <c r="E2944" s="85" t="s">
        <v>7893</v>
      </c>
      <c r="F2944" s="87">
        <v>71</v>
      </c>
      <c r="G2944" s="37"/>
      <c r="H2944" s="37">
        <f>COUNTIF('(参考)現行システム機能階層一覧'!$E$3:$E$1048576,sheet1!B2944)</f>
        <v>0</v>
      </c>
      <c r="I2944" s="37"/>
      <c r="J2944" s="37"/>
      <c r="K2944" s="37"/>
      <c r="L2944" s="37"/>
    </row>
    <row r="2945" spans="1:12" ht="15.75" customHeight="1">
      <c r="A2945" s="87" t="s">
        <v>3935</v>
      </c>
      <c r="B2945" s="87" t="s">
        <v>8399</v>
      </c>
      <c r="C2945" s="87" t="s">
        <v>8400</v>
      </c>
      <c r="D2945" s="88">
        <v>200</v>
      </c>
      <c r="E2945" s="85" t="s">
        <v>7893</v>
      </c>
      <c r="F2945" s="87">
        <v>16</v>
      </c>
      <c r="G2945" s="37"/>
      <c r="H2945" s="37">
        <f>COUNTIF('(参考)現行システム機能階層一覧'!$E$3:$E$1048576,sheet1!B2945)</f>
        <v>0</v>
      </c>
      <c r="I2945" s="37"/>
      <c r="J2945" s="37"/>
      <c r="K2945" s="37"/>
      <c r="L2945" s="37"/>
    </row>
    <row r="2946" spans="1:12" ht="15.75" customHeight="1">
      <c r="A2946" s="87" t="s">
        <v>3935</v>
      </c>
      <c r="B2946" s="87" t="s">
        <v>8401</v>
      </c>
      <c r="C2946" s="87" t="s">
        <v>8402</v>
      </c>
      <c r="D2946" s="88">
        <v>337</v>
      </c>
      <c r="E2946" s="85" t="s">
        <v>7893</v>
      </c>
      <c r="F2946" s="87">
        <v>16</v>
      </c>
      <c r="G2946" s="37"/>
      <c r="H2946" s="37">
        <f>COUNTIF('(参考)現行システム機能階層一覧'!$E$3:$E$1048576,sheet1!B2946)</f>
        <v>0</v>
      </c>
      <c r="I2946" s="37"/>
      <c r="J2946" s="37"/>
      <c r="K2946" s="37"/>
      <c r="L2946" s="37"/>
    </row>
    <row r="2947" spans="1:12" ht="15.75" customHeight="1">
      <c r="A2947" s="87" t="s">
        <v>3935</v>
      </c>
      <c r="B2947" s="87" t="s">
        <v>837</v>
      </c>
      <c r="C2947" s="87" t="s">
        <v>8403</v>
      </c>
      <c r="D2947" s="88">
        <v>243</v>
      </c>
      <c r="E2947" s="85" t="s">
        <v>7893</v>
      </c>
      <c r="F2947" s="87">
        <v>301</v>
      </c>
      <c r="G2947" s="37"/>
      <c r="H2947" s="37">
        <f>COUNTIF('(参考)現行システム機能階層一覧'!$E$3:$E$1048576,sheet1!B2947)</f>
        <v>2</v>
      </c>
      <c r="I2947" s="37"/>
      <c r="J2947" s="37"/>
      <c r="K2947" s="37"/>
      <c r="L2947" s="37"/>
    </row>
    <row r="2948" spans="1:12" ht="15.75" customHeight="1">
      <c r="A2948" s="87" t="s">
        <v>3853</v>
      </c>
      <c r="B2948" s="87" t="s">
        <v>8404</v>
      </c>
      <c r="C2948" s="87" t="s">
        <v>8405</v>
      </c>
      <c r="D2948" s="88">
        <v>62</v>
      </c>
      <c r="E2948" s="85" t="s">
        <v>7893</v>
      </c>
      <c r="F2948" s="87">
        <v>301</v>
      </c>
      <c r="G2948" s="37"/>
      <c r="H2948" s="37">
        <f>COUNTIF('(参考)現行システム機能階層一覧'!$E$3:$E$1048576,sheet1!B2948)</f>
        <v>0</v>
      </c>
      <c r="I2948" s="37"/>
      <c r="J2948" s="37"/>
      <c r="K2948" s="37"/>
      <c r="L2948" s="37"/>
    </row>
    <row r="2949" spans="1:12" ht="15.75" customHeight="1">
      <c r="A2949" s="87" t="s">
        <v>3935</v>
      </c>
      <c r="B2949" s="87" t="s">
        <v>8406</v>
      </c>
      <c r="C2949" s="87" t="s">
        <v>8407</v>
      </c>
      <c r="D2949" s="88">
        <v>348</v>
      </c>
      <c r="E2949" s="85" t="s">
        <v>7893</v>
      </c>
      <c r="F2949" s="87">
        <v>226</v>
      </c>
      <c r="G2949" s="37"/>
      <c r="H2949" s="37">
        <f>COUNTIF('(参考)現行システム機能階層一覧'!$E$3:$E$1048576,sheet1!B2949)</f>
        <v>0</v>
      </c>
      <c r="I2949" s="37"/>
      <c r="J2949" s="37"/>
      <c r="K2949" s="37"/>
      <c r="L2949" s="37"/>
    </row>
    <row r="2950" spans="1:12" ht="15.75" customHeight="1">
      <c r="A2950" s="87" t="s">
        <v>3935</v>
      </c>
      <c r="B2950" s="87" t="s">
        <v>840</v>
      </c>
      <c r="C2950" s="87" t="s">
        <v>8408</v>
      </c>
      <c r="D2950" s="88">
        <v>151</v>
      </c>
      <c r="E2950" s="85" t="s">
        <v>7893</v>
      </c>
      <c r="F2950" s="87">
        <v>16</v>
      </c>
      <c r="G2950" s="37"/>
      <c r="H2950" s="37">
        <f>COUNTIF('(参考)現行システム機能階層一覧'!$E$3:$E$1048576,sheet1!B2950)</f>
        <v>1</v>
      </c>
      <c r="I2950" s="37"/>
      <c r="J2950" s="37"/>
      <c r="K2950" s="37"/>
      <c r="L2950" s="37"/>
    </row>
    <row r="2951" spans="1:12" ht="15.75" customHeight="1">
      <c r="A2951" s="87" t="s">
        <v>3853</v>
      </c>
      <c r="B2951" s="87" t="s">
        <v>8409</v>
      </c>
      <c r="C2951" s="87" t="s">
        <v>841</v>
      </c>
      <c r="D2951" s="88">
        <v>61</v>
      </c>
      <c r="E2951" s="85" t="s">
        <v>7893</v>
      </c>
      <c r="F2951" s="87">
        <v>16</v>
      </c>
      <c r="G2951" s="37"/>
      <c r="H2951" s="37">
        <f>COUNTIF('(参考)現行システム機能階層一覧'!$E$3:$E$1048576,sheet1!B2951)</f>
        <v>0</v>
      </c>
      <c r="I2951" s="37"/>
      <c r="J2951" s="37"/>
      <c r="K2951" s="37"/>
      <c r="L2951" s="37"/>
    </row>
    <row r="2952" spans="1:12" ht="15.75" customHeight="1">
      <c r="A2952" s="87" t="s">
        <v>3935</v>
      </c>
      <c r="B2952" s="87" t="s">
        <v>8410</v>
      </c>
      <c r="C2952" s="87" t="s">
        <v>8411</v>
      </c>
      <c r="D2952" s="88">
        <v>214</v>
      </c>
      <c r="E2952" s="85" t="s">
        <v>7893</v>
      </c>
      <c r="F2952" s="87">
        <v>3</v>
      </c>
      <c r="G2952" s="37"/>
      <c r="H2952" s="37">
        <f>COUNTIF('(参考)現行システム機能階層一覧'!$E$3:$E$1048576,sheet1!B2952)</f>
        <v>0</v>
      </c>
      <c r="I2952" s="37"/>
      <c r="J2952" s="37"/>
      <c r="K2952" s="37"/>
      <c r="L2952" s="37"/>
    </row>
    <row r="2953" spans="1:12" ht="15.75" customHeight="1">
      <c r="A2953" s="87" t="s">
        <v>3935</v>
      </c>
      <c r="B2953" s="87" t="s">
        <v>8412</v>
      </c>
      <c r="C2953" s="87" t="s">
        <v>8413</v>
      </c>
      <c r="D2953" s="88">
        <v>443</v>
      </c>
      <c r="E2953" s="85" t="s">
        <v>7893</v>
      </c>
      <c r="F2953" s="87">
        <v>3</v>
      </c>
      <c r="G2953" s="37"/>
      <c r="H2953" s="37">
        <f>COUNTIF('(参考)現行システム機能階層一覧'!$E$3:$E$1048576,sheet1!B2953)</f>
        <v>0</v>
      </c>
      <c r="I2953" s="37"/>
      <c r="J2953" s="37"/>
      <c r="K2953" s="37"/>
      <c r="L2953" s="37"/>
    </row>
    <row r="2954" spans="1:12" ht="15.75" customHeight="1">
      <c r="A2954" s="87" t="s">
        <v>3935</v>
      </c>
      <c r="B2954" s="87" t="s">
        <v>843</v>
      </c>
      <c r="C2954" s="87" t="s">
        <v>8414</v>
      </c>
      <c r="D2954" s="88">
        <v>330</v>
      </c>
      <c r="E2954" s="85" t="s">
        <v>7893</v>
      </c>
      <c r="F2954" s="87">
        <v>9</v>
      </c>
      <c r="G2954" s="37"/>
      <c r="H2954" s="37">
        <f>COUNTIF('(参考)現行システム機能階層一覧'!$E$3:$E$1048576,sheet1!B2954)</f>
        <v>1</v>
      </c>
      <c r="I2954" s="37"/>
      <c r="J2954" s="37"/>
      <c r="K2954" s="37"/>
      <c r="L2954" s="37"/>
    </row>
    <row r="2955" spans="1:12" ht="15.75" customHeight="1">
      <c r="A2955" s="87" t="s">
        <v>3853</v>
      </c>
      <c r="B2955" s="87" t="s">
        <v>8415</v>
      </c>
      <c r="C2955" s="87" t="s">
        <v>844</v>
      </c>
      <c r="D2955" s="88">
        <v>64</v>
      </c>
      <c r="E2955" s="85" t="s">
        <v>7893</v>
      </c>
      <c r="F2955" s="87">
        <v>9</v>
      </c>
      <c r="G2955" s="37"/>
      <c r="H2955" s="37">
        <f>COUNTIF('(参考)現行システム機能階層一覧'!$E$3:$E$1048576,sheet1!B2955)</f>
        <v>0</v>
      </c>
      <c r="I2955" s="37"/>
      <c r="J2955" s="37"/>
      <c r="K2955" s="37"/>
      <c r="L2955" s="37"/>
    </row>
    <row r="2956" spans="1:12" ht="15.75" customHeight="1">
      <c r="A2956" s="87" t="s">
        <v>3935</v>
      </c>
      <c r="B2956" s="87" t="s">
        <v>8416</v>
      </c>
      <c r="C2956" s="87" t="s">
        <v>8417</v>
      </c>
      <c r="D2956" s="88">
        <v>299</v>
      </c>
      <c r="E2956" s="85" t="s">
        <v>7893</v>
      </c>
      <c r="F2956" s="87">
        <v>2</v>
      </c>
      <c r="G2956" s="37"/>
      <c r="H2956" s="37">
        <f>COUNTIF('(参考)現行システム機能階層一覧'!$E$3:$E$1048576,sheet1!B2956)</f>
        <v>0</v>
      </c>
      <c r="I2956" s="37"/>
      <c r="J2956" s="37"/>
      <c r="K2956" s="37"/>
      <c r="L2956" s="37"/>
    </row>
    <row r="2957" spans="1:12" ht="15.75" customHeight="1">
      <c r="A2957" s="87" t="s">
        <v>3935</v>
      </c>
      <c r="B2957" s="87" t="s">
        <v>8418</v>
      </c>
      <c r="C2957" s="87" t="s">
        <v>8419</v>
      </c>
      <c r="D2957" s="88">
        <v>376</v>
      </c>
      <c r="E2957" s="85" t="s">
        <v>7893</v>
      </c>
      <c r="F2957" s="87">
        <v>2</v>
      </c>
      <c r="G2957" s="37"/>
      <c r="H2957" s="37">
        <f>COUNTIF('(参考)現行システム機能階層一覧'!$E$3:$E$1048576,sheet1!B2957)</f>
        <v>0</v>
      </c>
      <c r="I2957" s="37"/>
      <c r="J2957" s="37"/>
      <c r="K2957" s="37"/>
      <c r="L2957" s="37"/>
    </row>
    <row r="2958" spans="1:12" ht="15.75" customHeight="1">
      <c r="A2958" s="87" t="s">
        <v>3935</v>
      </c>
      <c r="B2958" s="87" t="s">
        <v>846</v>
      </c>
      <c r="C2958" s="87" t="s">
        <v>8420</v>
      </c>
      <c r="D2958" s="88">
        <v>308</v>
      </c>
      <c r="E2958" s="85" t="s">
        <v>7893</v>
      </c>
      <c r="F2958" s="87">
        <v>14</v>
      </c>
      <c r="G2958" s="37"/>
      <c r="H2958" s="37">
        <f>COUNTIF('(参考)現行システム機能階層一覧'!$E$3:$E$1048576,sheet1!B2958)</f>
        <v>1</v>
      </c>
      <c r="I2958" s="37"/>
      <c r="J2958" s="37"/>
      <c r="K2958" s="37"/>
      <c r="L2958" s="37"/>
    </row>
    <row r="2959" spans="1:12" ht="15.75" customHeight="1">
      <c r="A2959" s="87" t="s">
        <v>3853</v>
      </c>
      <c r="B2959" s="87" t="s">
        <v>8421</v>
      </c>
      <c r="C2959" s="87" t="s">
        <v>847</v>
      </c>
      <c r="D2959" s="88">
        <v>65</v>
      </c>
      <c r="E2959" s="85" t="s">
        <v>7893</v>
      </c>
      <c r="F2959" s="87">
        <v>14</v>
      </c>
      <c r="G2959" s="37"/>
      <c r="H2959" s="37">
        <f>COUNTIF('(参考)現行システム機能階層一覧'!$E$3:$E$1048576,sheet1!B2959)</f>
        <v>0</v>
      </c>
      <c r="I2959" s="37"/>
      <c r="J2959" s="37"/>
      <c r="K2959" s="37"/>
      <c r="L2959" s="37"/>
    </row>
    <row r="2960" spans="1:12" ht="15.75" customHeight="1">
      <c r="A2960" s="87" t="s">
        <v>3935</v>
      </c>
      <c r="B2960" s="87" t="s">
        <v>8422</v>
      </c>
      <c r="C2960" s="87" t="s">
        <v>8423</v>
      </c>
      <c r="D2960" s="88">
        <v>419</v>
      </c>
      <c r="E2960" s="85" t="s">
        <v>7893</v>
      </c>
      <c r="F2960" s="87">
        <v>1</v>
      </c>
      <c r="G2960" s="37"/>
      <c r="H2960" s="37">
        <f>COUNTIF('(参考)現行システム機能階層一覧'!$E$3:$E$1048576,sheet1!B2960)</f>
        <v>0</v>
      </c>
      <c r="I2960" s="37"/>
      <c r="J2960" s="37"/>
      <c r="K2960" s="37"/>
      <c r="L2960" s="37"/>
    </row>
    <row r="2961" spans="1:12" ht="15.75" customHeight="1">
      <c r="A2961" s="87" t="s">
        <v>3935</v>
      </c>
      <c r="B2961" s="87" t="s">
        <v>8424</v>
      </c>
      <c r="C2961" s="87" t="s">
        <v>8425</v>
      </c>
      <c r="D2961" s="88">
        <v>363</v>
      </c>
      <c r="E2961" s="85" t="s">
        <v>7893</v>
      </c>
      <c r="F2961" s="87">
        <v>1</v>
      </c>
      <c r="G2961" s="37"/>
      <c r="H2961" s="37">
        <f>COUNTIF('(参考)現行システム機能階層一覧'!$E$3:$E$1048576,sheet1!B2961)</f>
        <v>0</v>
      </c>
      <c r="I2961" s="37"/>
      <c r="J2961" s="37"/>
      <c r="K2961" s="37"/>
      <c r="L2961" s="37"/>
    </row>
    <row r="2962" spans="1:12" ht="15.75" customHeight="1">
      <c r="A2962" s="87" t="s">
        <v>3935</v>
      </c>
      <c r="B2962" s="87" t="s">
        <v>849</v>
      </c>
      <c r="C2962" s="87" t="s">
        <v>8426</v>
      </c>
      <c r="D2962" s="88">
        <v>293</v>
      </c>
      <c r="E2962" s="85" t="s">
        <v>7893</v>
      </c>
      <c r="F2962" s="87">
        <v>9</v>
      </c>
      <c r="G2962" s="37"/>
      <c r="H2962" s="37">
        <f>COUNTIF('(参考)現行システム機能階層一覧'!$E$3:$E$1048576,sheet1!B2962)</f>
        <v>1</v>
      </c>
      <c r="I2962" s="37"/>
      <c r="J2962" s="37"/>
      <c r="K2962" s="37"/>
      <c r="L2962" s="37"/>
    </row>
    <row r="2963" spans="1:12" ht="15.75" customHeight="1">
      <c r="A2963" s="87" t="s">
        <v>3853</v>
      </c>
      <c r="B2963" s="87" t="s">
        <v>8427</v>
      </c>
      <c r="C2963" s="87" t="s">
        <v>850</v>
      </c>
      <c r="D2963" s="88">
        <v>69</v>
      </c>
      <c r="E2963" s="85" t="s">
        <v>7893</v>
      </c>
      <c r="F2963" s="87">
        <v>9</v>
      </c>
      <c r="G2963" s="37"/>
      <c r="H2963" s="37">
        <f>COUNTIF('(参考)現行システム機能階層一覧'!$E$3:$E$1048576,sheet1!B2963)</f>
        <v>0</v>
      </c>
      <c r="I2963" s="37"/>
      <c r="J2963" s="37"/>
      <c r="K2963" s="37"/>
      <c r="L2963" s="37"/>
    </row>
    <row r="2964" spans="1:12" ht="15.75" customHeight="1">
      <c r="A2964" s="87" t="s">
        <v>3935</v>
      </c>
      <c r="B2964" s="87" t="s">
        <v>8428</v>
      </c>
      <c r="C2964" s="87" t="s">
        <v>8429</v>
      </c>
      <c r="D2964" s="88">
        <v>301</v>
      </c>
      <c r="E2964" s="85" t="s">
        <v>7893</v>
      </c>
      <c r="F2964" s="87">
        <v>1</v>
      </c>
      <c r="G2964" s="37"/>
      <c r="H2964" s="37">
        <f>COUNTIF('(参考)現行システム機能階層一覧'!$E$3:$E$1048576,sheet1!B2964)</f>
        <v>0</v>
      </c>
      <c r="I2964" s="37"/>
      <c r="J2964" s="37"/>
      <c r="K2964" s="37"/>
      <c r="L2964" s="37"/>
    </row>
    <row r="2965" spans="1:12" ht="15.75" customHeight="1">
      <c r="A2965" s="87" t="s">
        <v>3935</v>
      </c>
      <c r="B2965" s="87" t="s">
        <v>8430</v>
      </c>
      <c r="C2965" s="87" t="s">
        <v>8431</v>
      </c>
      <c r="D2965" s="88">
        <v>624</v>
      </c>
      <c r="E2965" s="85" t="s">
        <v>7893</v>
      </c>
      <c r="F2965" s="87">
        <v>1</v>
      </c>
      <c r="G2965" s="37"/>
      <c r="H2965" s="37">
        <f>COUNTIF('(参考)現行システム機能階層一覧'!$E$3:$E$1048576,sheet1!B2965)</f>
        <v>0</v>
      </c>
      <c r="I2965" s="37"/>
      <c r="J2965" s="37"/>
      <c r="K2965" s="37"/>
      <c r="L2965" s="37"/>
    </row>
    <row r="2966" spans="1:12" ht="15.75" customHeight="1">
      <c r="A2966" s="87" t="s">
        <v>3935</v>
      </c>
      <c r="B2966" s="87" t="s">
        <v>885</v>
      </c>
      <c r="C2966" s="87" t="s">
        <v>8432</v>
      </c>
      <c r="D2966" s="88">
        <v>32</v>
      </c>
      <c r="E2966" s="85" t="s">
        <v>7893</v>
      </c>
      <c r="F2966" s="87">
        <v>21</v>
      </c>
      <c r="G2966" s="37"/>
      <c r="H2966" s="37">
        <f>COUNTIF('(参考)現行システム機能階層一覧'!$E$3:$E$1048576,sheet1!B2966)</f>
        <v>1</v>
      </c>
      <c r="I2966" s="37"/>
      <c r="J2966" s="37"/>
      <c r="K2966" s="37"/>
      <c r="L2966" s="37"/>
    </row>
    <row r="2967" spans="1:12" ht="15.75" customHeight="1">
      <c r="A2967" s="87" t="s">
        <v>3853</v>
      </c>
      <c r="B2967" s="87" t="s">
        <v>8433</v>
      </c>
      <c r="C2967" s="87" t="s">
        <v>886</v>
      </c>
      <c r="D2967" s="88">
        <v>65</v>
      </c>
      <c r="E2967" s="85" t="s">
        <v>7893</v>
      </c>
      <c r="F2967" s="87">
        <v>21</v>
      </c>
      <c r="G2967" s="37"/>
      <c r="H2967" s="37">
        <f>COUNTIF('(参考)現行システム機能階層一覧'!$E$3:$E$1048576,sheet1!B2967)</f>
        <v>0</v>
      </c>
      <c r="I2967" s="37"/>
      <c r="J2967" s="37"/>
      <c r="K2967" s="37"/>
      <c r="L2967" s="37"/>
    </row>
    <row r="2968" spans="1:12" ht="15.75" customHeight="1">
      <c r="A2968" s="87" t="s">
        <v>3935</v>
      </c>
      <c r="B2968" s="87" t="s">
        <v>8434</v>
      </c>
      <c r="C2968" s="87" t="s">
        <v>8435</v>
      </c>
      <c r="D2968" s="88">
        <v>32</v>
      </c>
      <c r="E2968" s="85" t="s">
        <v>7893</v>
      </c>
      <c r="F2968" s="87">
        <v>21</v>
      </c>
      <c r="G2968" s="37"/>
      <c r="H2968" s="37">
        <f>COUNTIF('(参考)現行システム機能階層一覧'!$E$3:$E$1048576,sheet1!B2968)</f>
        <v>0</v>
      </c>
      <c r="I2968" s="37"/>
      <c r="J2968" s="37"/>
      <c r="K2968" s="37"/>
      <c r="L2968" s="37"/>
    </row>
    <row r="2969" spans="1:12" ht="15.75" customHeight="1">
      <c r="A2969" s="87" t="s">
        <v>3935</v>
      </c>
      <c r="B2969" s="87" t="s">
        <v>8436</v>
      </c>
      <c r="C2969" s="87" t="s">
        <v>886</v>
      </c>
      <c r="D2969" s="88">
        <v>228</v>
      </c>
      <c r="E2969" s="85" t="s">
        <v>7893</v>
      </c>
      <c r="F2969" s="87">
        <v>5</v>
      </c>
      <c r="G2969" s="37"/>
      <c r="H2969" s="37">
        <f>COUNTIF('(参考)現行システム機能階層一覧'!$E$3:$E$1048576,sheet1!B2969)</f>
        <v>0</v>
      </c>
      <c r="I2969" s="37"/>
      <c r="J2969" s="37"/>
      <c r="K2969" s="37"/>
      <c r="L2969" s="37"/>
    </row>
    <row r="2970" spans="1:12" ht="15.75" customHeight="1">
      <c r="A2970" s="87" t="s">
        <v>3935</v>
      </c>
      <c r="B2970" s="87" t="s">
        <v>879</v>
      </c>
      <c r="C2970" s="87" t="s">
        <v>880</v>
      </c>
      <c r="D2970" s="88">
        <v>431</v>
      </c>
      <c r="E2970" s="85" t="s">
        <v>7893</v>
      </c>
      <c r="F2970" s="87">
        <v>9</v>
      </c>
      <c r="G2970" s="37"/>
      <c r="H2970" s="37">
        <f>COUNTIF('(参考)現行システム機能階層一覧'!$E$3:$E$1048576,sheet1!B2970)</f>
        <v>1</v>
      </c>
      <c r="I2970" s="37"/>
      <c r="J2970" s="37"/>
      <c r="K2970" s="37"/>
      <c r="L2970" s="37"/>
    </row>
    <row r="2971" spans="1:12" ht="15.75" customHeight="1">
      <c r="A2971" s="87" t="s">
        <v>3853</v>
      </c>
      <c r="B2971" s="87" t="s">
        <v>8437</v>
      </c>
      <c r="C2971" s="87" t="s">
        <v>880</v>
      </c>
      <c r="D2971" s="88">
        <v>3</v>
      </c>
      <c r="E2971" s="85" t="s">
        <v>7893</v>
      </c>
      <c r="F2971" s="87">
        <v>9</v>
      </c>
      <c r="G2971" s="37"/>
      <c r="H2971" s="37">
        <f>COUNTIF('(参考)現行システム機能階層一覧'!$E$3:$E$1048576,sheet1!B2971)</f>
        <v>0</v>
      </c>
      <c r="I2971" s="37"/>
      <c r="J2971" s="37"/>
      <c r="K2971" s="37"/>
      <c r="L2971" s="37"/>
    </row>
    <row r="2972" spans="1:12" ht="15.75" customHeight="1">
      <c r="A2972" s="87" t="s">
        <v>3935</v>
      </c>
      <c r="B2972" s="87" t="s">
        <v>882</v>
      </c>
      <c r="C2972" s="87" t="s">
        <v>883</v>
      </c>
      <c r="D2972" s="88">
        <v>705</v>
      </c>
      <c r="E2972" s="85" t="s">
        <v>7893</v>
      </c>
      <c r="F2972" s="87">
        <v>6</v>
      </c>
      <c r="G2972" s="37"/>
      <c r="H2972" s="37">
        <f>COUNTIF('(参考)現行システム機能階層一覧'!$E$3:$E$1048576,sheet1!B2972)</f>
        <v>1</v>
      </c>
      <c r="I2972" s="37"/>
      <c r="J2972" s="37"/>
      <c r="K2972" s="37"/>
      <c r="L2972" s="37"/>
    </row>
    <row r="2973" spans="1:12" ht="15.75" customHeight="1">
      <c r="A2973" s="87" t="s">
        <v>3853</v>
      </c>
      <c r="B2973" s="87" t="s">
        <v>8438</v>
      </c>
      <c r="C2973" s="87" t="s">
        <v>883</v>
      </c>
      <c r="D2973" s="88">
        <v>3</v>
      </c>
      <c r="E2973" s="85" t="s">
        <v>7893</v>
      </c>
      <c r="F2973" s="87">
        <v>6</v>
      </c>
      <c r="G2973" s="37"/>
      <c r="H2973" s="37">
        <f>COUNTIF('(参考)現行システム機能階層一覧'!$E$3:$E$1048576,sheet1!B2973)</f>
        <v>0</v>
      </c>
      <c r="I2973" s="37"/>
      <c r="J2973" s="37"/>
      <c r="K2973" s="37"/>
      <c r="L2973" s="37"/>
    </row>
    <row r="2974" spans="1:12" ht="15.75" customHeight="1">
      <c r="A2974" s="87" t="s">
        <v>3935</v>
      </c>
      <c r="B2974" s="87" t="s">
        <v>854</v>
      </c>
      <c r="C2974" s="87" t="s">
        <v>8439</v>
      </c>
      <c r="D2974" s="88">
        <v>247</v>
      </c>
      <c r="E2974" s="85" t="s">
        <v>7893</v>
      </c>
      <c r="F2974" s="87">
        <v>72</v>
      </c>
      <c r="G2974" s="37"/>
      <c r="H2974" s="37">
        <f>COUNTIF('(参考)現行システム機能階層一覧'!$E$3:$E$1048576,sheet1!B2974)</f>
        <v>1</v>
      </c>
      <c r="I2974" s="37"/>
      <c r="J2974" s="37"/>
      <c r="K2974" s="37"/>
      <c r="L2974" s="37"/>
    </row>
    <row r="2975" spans="1:12" ht="15.75" customHeight="1">
      <c r="A2975" s="87" t="s">
        <v>3853</v>
      </c>
      <c r="B2975" s="87" t="s">
        <v>8440</v>
      </c>
      <c r="C2975" s="87" t="s">
        <v>855</v>
      </c>
      <c r="D2975" s="88">
        <v>82</v>
      </c>
      <c r="E2975" s="85" t="s">
        <v>7893</v>
      </c>
      <c r="F2975" s="87">
        <v>72</v>
      </c>
      <c r="G2975" s="37"/>
      <c r="H2975" s="37">
        <f>COUNTIF('(参考)現行システム機能階層一覧'!$E$3:$E$1048576,sheet1!B2975)</f>
        <v>0</v>
      </c>
      <c r="I2975" s="37"/>
      <c r="J2975" s="37"/>
      <c r="K2975" s="37"/>
      <c r="L2975" s="37"/>
    </row>
    <row r="2976" spans="1:12" ht="15.75" customHeight="1">
      <c r="A2976" s="87" t="s">
        <v>3935</v>
      </c>
      <c r="B2976" s="87" t="s">
        <v>8441</v>
      </c>
      <c r="C2976" s="87" t="s">
        <v>8442</v>
      </c>
      <c r="D2976" s="88">
        <v>900</v>
      </c>
      <c r="E2976" s="85" t="s">
        <v>7893</v>
      </c>
      <c r="F2976" s="87">
        <v>61</v>
      </c>
      <c r="G2976" s="37"/>
      <c r="H2976" s="37">
        <f>COUNTIF('(参考)現行システム機能階層一覧'!$E$3:$E$1048576,sheet1!B2976)</f>
        <v>0</v>
      </c>
      <c r="I2976" s="37"/>
      <c r="J2976" s="37"/>
      <c r="K2976" s="37"/>
      <c r="L2976" s="37"/>
    </row>
    <row r="2977" spans="1:12" ht="15.75" customHeight="1">
      <c r="A2977" s="87" t="s">
        <v>3935</v>
      </c>
      <c r="B2977" s="87" t="s">
        <v>8443</v>
      </c>
      <c r="C2977" s="87" t="s">
        <v>8444</v>
      </c>
      <c r="D2977" s="88">
        <v>521</v>
      </c>
      <c r="E2977" s="85" t="s">
        <v>7893</v>
      </c>
      <c r="F2977" s="87">
        <v>16</v>
      </c>
      <c r="G2977" s="37"/>
      <c r="H2977" s="37">
        <f>COUNTIF('(参考)現行システム機能階層一覧'!$E$3:$E$1048576,sheet1!B2977)</f>
        <v>0</v>
      </c>
      <c r="I2977" s="37"/>
      <c r="J2977" s="37"/>
      <c r="K2977" s="37"/>
      <c r="L2977" s="37"/>
    </row>
    <row r="2978" spans="1:12" ht="15.75" customHeight="1">
      <c r="A2978" s="87" t="s">
        <v>3935</v>
      </c>
      <c r="B2978" s="87" t="s">
        <v>8445</v>
      </c>
      <c r="C2978" s="87" t="s">
        <v>8446</v>
      </c>
      <c r="D2978" s="88">
        <v>100</v>
      </c>
      <c r="E2978" s="85" t="s">
        <v>7893</v>
      </c>
      <c r="F2978" s="87">
        <v>61</v>
      </c>
      <c r="G2978" s="37"/>
      <c r="H2978" s="37">
        <f>COUNTIF('(参考)現行システム機能階層一覧'!$E$3:$E$1048576,sheet1!B2978)</f>
        <v>0</v>
      </c>
      <c r="I2978" s="37"/>
      <c r="J2978" s="37"/>
      <c r="K2978" s="37"/>
      <c r="L2978" s="37"/>
    </row>
    <row r="2979" spans="1:12" ht="15.75" customHeight="1">
      <c r="A2979" s="87" t="s">
        <v>3935</v>
      </c>
      <c r="B2979" s="87" t="s">
        <v>852</v>
      </c>
      <c r="C2979" s="87" t="s">
        <v>8397</v>
      </c>
      <c r="D2979" s="88">
        <v>160</v>
      </c>
      <c r="E2979" s="85" t="s">
        <v>7893</v>
      </c>
      <c r="F2979" s="87">
        <v>31</v>
      </c>
      <c r="G2979" s="37"/>
      <c r="H2979" s="37">
        <f>COUNTIF('(参考)現行システム機能階層一覧'!$E$3:$E$1048576,sheet1!B2979)</f>
        <v>1</v>
      </c>
      <c r="I2979" s="37"/>
      <c r="J2979" s="37"/>
      <c r="K2979" s="37"/>
      <c r="L2979" s="37"/>
    </row>
    <row r="2980" spans="1:12" ht="15.75" customHeight="1">
      <c r="A2980" s="87" t="s">
        <v>3853</v>
      </c>
      <c r="B2980" s="87" t="s">
        <v>8447</v>
      </c>
      <c r="C2980" s="87" t="s">
        <v>835</v>
      </c>
      <c r="D2980" s="88">
        <v>55</v>
      </c>
      <c r="E2980" s="85" t="s">
        <v>7893</v>
      </c>
      <c r="F2980" s="87">
        <v>31</v>
      </c>
      <c r="G2980" s="37"/>
      <c r="H2980" s="37">
        <f>COUNTIF('(参考)現行システム機能階層一覧'!$E$3:$E$1048576,sheet1!B2980)</f>
        <v>0</v>
      </c>
      <c r="I2980" s="37"/>
      <c r="J2980" s="37"/>
      <c r="K2980" s="37"/>
      <c r="L2980" s="37"/>
    </row>
    <row r="2981" spans="1:12" ht="15.75" customHeight="1">
      <c r="A2981" s="87" t="s">
        <v>3935</v>
      </c>
      <c r="B2981" s="87" t="s">
        <v>8448</v>
      </c>
      <c r="C2981" s="87" t="s">
        <v>8400</v>
      </c>
      <c r="D2981" s="88">
        <v>283</v>
      </c>
      <c r="E2981" s="85" t="s">
        <v>7893</v>
      </c>
      <c r="F2981" s="87">
        <v>6</v>
      </c>
      <c r="G2981" s="37"/>
      <c r="H2981" s="37">
        <f>COUNTIF('(参考)現行システム機能階層一覧'!$E$3:$E$1048576,sheet1!B2981)</f>
        <v>0</v>
      </c>
      <c r="I2981" s="37"/>
      <c r="J2981" s="37"/>
      <c r="K2981" s="37"/>
      <c r="L2981" s="37"/>
    </row>
    <row r="2982" spans="1:12" ht="15.75" customHeight="1">
      <c r="A2982" s="87" t="s">
        <v>3935</v>
      </c>
      <c r="B2982" s="87" t="s">
        <v>8449</v>
      </c>
      <c r="C2982" s="87" t="s">
        <v>8402</v>
      </c>
      <c r="D2982" s="88">
        <v>331</v>
      </c>
      <c r="E2982" s="85" t="s">
        <v>7893</v>
      </c>
      <c r="F2982" s="87">
        <v>6</v>
      </c>
      <c r="G2982" s="37"/>
      <c r="H2982" s="37">
        <f>COUNTIF('(参考)現行システム機能階層一覧'!$E$3:$E$1048576,sheet1!B2982)</f>
        <v>0</v>
      </c>
      <c r="I2982" s="37"/>
      <c r="J2982" s="37"/>
      <c r="K2982" s="37"/>
      <c r="L2982" s="37"/>
    </row>
    <row r="2983" spans="1:12" ht="15.75" customHeight="1">
      <c r="A2983" s="87" t="s">
        <v>3935</v>
      </c>
      <c r="B2983" s="87" t="s">
        <v>857</v>
      </c>
      <c r="C2983" s="87" t="s">
        <v>8450</v>
      </c>
      <c r="D2983" s="88">
        <v>252</v>
      </c>
      <c r="E2983" s="85" t="s">
        <v>7893</v>
      </c>
      <c r="F2983" s="87">
        <v>814</v>
      </c>
      <c r="G2983" s="37"/>
      <c r="H2983" s="37">
        <f>COUNTIF('(参考)現行システム機能階層一覧'!$E$3:$E$1048576,sheet1!B2983)</f>
        <v>1</v>
      </c>
      <c r="I2983" s="37"/>
      <c r="J2983" s="37"/>
      <c r="K2983" s="37"/>
      <c r="L2983" s="37"/>
    </row>
    <row r="2984" spans="1:12" ht="15.75" customHeight="1">
      <c r="A2984" s="87" t="s">
        <v>3853</v>
      </c>
      <c r="B2984" s="87" t="s">
        <v>8451</v>
      </c>
      <c r="C2984" s="87" t="s">
        <v>858</v>
      </c>
      <c r="D2984" s="88">
        <v>120</v>
      </c>
      <c r="E2984" s="85" t="s">
        <v>7893</v>
      </c>
      <c r="F2984" s="87">
        <v>286</v>
      </c>
      <c r="G2984" s="37"/>
      <c r="H2984" s="37">
        <f>COUNTIF('(参考)現行システム機能階層一覧'!$E$3:$E$1048576,sheet1!B2984)</f>
        <v>0</v>
      </c>
      <c r="I2984" s="37"/>
      <c r="J2984" s="37"/>
      <c r="K2984" s="37"/>
      <c r="L2984" s="37"/>
    </row>
    <row r="2985" spans="1:12" ht="15.75" customHeight="1">
      <c r="A2985" s="87" t="s">
        <v>3935</v>
      </c>
      <c r="B2985" s="87" t="s">
        <v>8452</v>
      </c>
      <c r="C2985" s="87" t="s">
        <v>8453</v>
      </c>
      <c r="D2985" s="88">
        <v>602</v>
      </c>
      <c r="E2985" s="85" t="s">
        <v>7893</v>
      </c>
      <c r="F2985" s="87">
        <v>513</v>
      </c>
      <c r="G2985" s="37"/>
      <c r="H2985" s="37">
        <f>COUNTIF('(参考)現行システム機能階層一覧'!$E$3:$E$1048576,sheet1!B2985)</f>
        <v>0</v>
      </c>
      <c r="I2985" s="37"/>
      <c r="J2985" s="37"/>
      <c r="K2985" s="37"/>
      <c r="L2985" s="37"/>
    </row>
    <row r="2986" spans="1:12" ht="15.75" customHeight="1">
      <c r="A2986" s="87" t="s">
        <v>3935</v>
      </c>
      <c r="B2986" s="87" t="s">
        <v>8454</v>
      </c>
      <c r="C2986" s="87" t="s">
        <v>8453</v>
      </c>
      <c r="D2986" s="88">
        <v>632</v>
      </c>
      <c r="E2986" s="85" t="s">
        <v>7893</v>
      </c>
      <c r="F2986" s="87">
        <v>270</v>
      </c>
      <c r="G2986" s="37"/>
      <c r="H2986" s="37">
        <f>COUNTIF('(参考)現行システム機能階層一覧'!$E$3:$E$1048576,sheet1!B2986)</f>
        <v>0</v>
      </c>
      <c r="I2986" s="37"/>
      <c r="J2986" s="37"/>
      <c r="K2986" s="37"/>
      <c r="L2986" s="37"/>
    </row>
    <row r="2987" spans="1:12" ht="15.75" customHeight="1">
      <c r="A2987" s="87" t="s">
        <v>3935</v>
      </c>
      <c r="B2987" s="87" t="s">
        <v>8455</v>
      </c>
      <c r="C2987" s="87" t="s">
        <v>8453</v>
      </c>
      <c r="D2987" s="88">
        <v>646</v>
      </c>
      <c r="E2987" s="85" t="s">
        <v>7893</v>
      </c>
      <c r="F2987" s="87">
        <v>2</v>
      </c>
      <c r="G2987" s="37"/>
      <c r="H2987" s="37">
        <f>COUNTIF('(参考)現行システム機能階層一覧'!$E$3:$E$1048576,sheet1!B2987)</f>
        <v>0</v>
      </c>
      <c r="I2987" s="37"/>
      <c r="J2987" s="37"/>
      <c r="K2987" s="37"/>
      <c r="L2987" s="37"/>
    </row>
    <row r="2988" spans="1:12" ht="15.75" customHeight="1">
      <c r="A2988" s="87" t="s">
        <v>3935</v>
      </c>
      <c r="B2988" s="87" t="s">
        <v>8456</v>
      </c>
      <c r="C2988" s="87" t="s">
        <v>8457</v>
      </c>
      <c r="D2988" s="88">
        <v>537</v>
      </c>
      <c r="E2988" s="85" t="s">
        <v>7893</v>
      </c>
      <c r="F2988" s="87">
        <v>511</v>
      </c>
      <c r="G2988" s="37"/>
      <c r="H2988" s="37">
        <f>COUNTIF('(参考)現行システム機能階層一覧'!$E$3:$E$1048576,sheet1!B2988)</f>
        <v>0</v>
      </c>
      <c r="I2988" s="37"/>
      <c r="J2988" s="37"/>
      <c r="K2988" s="37"/>
      <c r="L2988" s="37"/>
    </row>
    <row r="2989" spans="1:12" ht="15.75" customHeight="1">
      <c r="A2989" s="87" t="s">
        <v>3935</v>
      </c>
      <c r="B2989" s="87" t="s">
        <v>876</v>
      </c>
      <c r="C2989" s="87" t="s">
        <v>8458</v>
      </c>
      <c r="D2989" s="88">
        <v>193</v>
      </c>
      <c r="E2989" s="85" t="s">
        <v>7893</v>
      </c>
      <c r="F2989" s="87">
        <v>14</v>
      </c>
      <c r="G2989" s="37"/>
      <c r="H2989" s="37">
        <f>COUNTIF('(参考)現行システム機能階層一覧'!$E$3:$E$1048576,sheet1!B2989)</f>
        <v>1</v>
      </c>
      <c r="I2989" s="37"/>
      <c r="J2989" s="37"/>
      <c r="K2989" s="37"/>
      <c r="L2989" s="37"/>
    </row>
    <row r="2990" spans="1:12" ht="15.75" customHeight="1">
      <c r="A2990" s="87" t="s">
        <v>3853</v>
      </c>
      <c r="B2990" s="87" t="s">
        <v>8459</v>
      </c>
      <c r="C2990" s="87" t="s">
        <v>8460</v>
      </c>
      <c r="D2990" s="88">
        <v>28</v>
      </c>
      <c r="E2990" s="85" t="s">
        <v>7893</v>
      </c>
      <c r="F2990" s="87">
        <v>14</v>
      </c>
      <c r="G2990" s="37"/>
      <c r="H2990" s="37">
        <f>COUNTIF('(参考)現行システム機能階層一覧'!$E$3:$E$1048576,sheet1!B2990)</f>
        <v>0</v>
      </c>
      <c r="I2990" s="37"/>
      <c r="J2990" s="37"/>
      <c r="K2990" s="37"/>
      <c r="L2990" s="37"/>
    </row>
    <row r="2991" spans="1:12" ht="15.75" customHeight="1">
      <c r="A2991" s="87" t="s">
        <v>3935</v>
      </c>
      <c r="B2991" s="87" t="s">
        <v>8461</v>
      </c>
      <c r="C2991" s="87" t="s">
        <v>8462</v>
      </c>
      <c r="D2991" s="88">
        <v>592</v>
      </c>
      <c r="E2991" s="85" t="s">
        <v>7893</v>
      </c>
      <c r="F2991" s="87">
        <v>4</v>
      </c>
      <c r="G2991" s="37"/>
      <c r="H2991" s="37">
        <f>COUNTIF('(参考)現行システム機能階層一覧'!$E$3:$E$1048576,sheet1!B2991)</f>
        <v>0</v>
      </c>
      <c r="I2991" s="37"/>
      <c r="J2991" s="37"/>
      <c r="K2991" s="37"/>
      <c r="L2991" s="37"/>
    </row>
    <row r="2992" spans="1:12" ht="15.75" customHeight="1">
      <c r="A2992" s="87" t="s">
        <v>3935</v>
      </c>
      <c r="B2992" s="87" t="s">
        <v>8463</v>
      </c>
      <c r="C2992" s="87" t="s">
        <v>8464</v>
      </c>
      <c r="D2992" s="88">
        <v>577</v>
      </c>
      <c r="E2992" s="85" t="s">
        <v>7893</v>
      </c>
      <c r="F2992" s="87">
        <v>4</v>
      </c>
      <c r="G2992" s="37"/>
      <c r="H2992" s="37">
        <f>COUNTIF('(参考)現行システム機能階層一覧'!$E$3:$E$1048576,sheet1!B2992)</f>
        <v>0</v>
      </c>
      <c r="I2992" s="37"/>
      <c r="J2992" s="37"/>
      <c r="K2992" s="37"/>
      <c r="L2992" s="37"/>
    </row>
    <row r="2993" spans="1:12" ht="15.75" customHeight="1">
      <c r="A2993" s="87" t="s">
        <v>3935</v>
      </c>
      <c r="B2993" s="87" t="s">
        <v>2581</v>
      </c>
      <c r="C2993" s="87" t="s">
        <v>8465</v>
      </c>
      <c r="D2993" s="88">
        <v>199</v>
      </c>
      <c r="E2993" s="85" t="s">
        <v>7893</v>
      </c>
      <c r="F2993" s="87">
        <v>151</v>
      </c>
      <c r="G2993" s="37"/>
      <c r="H2993" s="37">
        <f>COUNTIF('(参考)現行システム機能階層一覧'!$E$3:$E$1048576,sheet1!B2993)</f>
        <v>1</v>
      </c>
      <c r="I2993" s="37"/>
      <c r="J2993" s="37"/>
      <c r="K2993" s="37"/>
      <c r="L2993" s="37"/>
    </row>
    <row r="2994" spans="1:12" ht="15.75" customHeight="1">
      <c r="A2994" s="87" t="s">
        <v>3853</v>
      </c>
      <c r="B2994" s="87" t="s">
        <v>8466</v>
      </c>
      <c r="C2994" s="87" t="s">
        <v>8467</v>
      </c>
      <c r="D2994" s="88">
        <v>66</v>
      </c>
      <c r="E2994" s="85" t="s">
        <v>7893</v>
      </c>
      <c r="F2994" s="87">
        <v>151</v>
      </c>
      <c r="G2994" s="37"/>
      <c r="H2994" s="37">
        <f>COUNTIF('(参考)現行システム機能階層一覧'!$E$3:$E$1048576,sheet1!B2994)</f>
        <v>0</v>
      </c>
      <c r="I2994" s="37"/>
      <c r="J2994" s="37"/>
      <c r="K2994" s="37"/>
      <c r="L2994" s="37"/>
    </row>
    <row r="2995" spans="1:12" ht="15.75" customHeight="1">
      <c r="A2995" s="87" t="s">
        <v>3935</v>
      </c>
      <c r="B2995" s="87" t="s">
        <v>8468</v>
      </c>
      <c r="C2995" s="87" t="s">
        <v>8469</v>
      </c>
      <c r="D2995" s="88">
        <v>207</v>
      </c>
      <c r="E2995" s="85" t="s">
        <v>7893</v>
      </c>
      <c r="F2995" s="87">
        <v>130</v>
      </c>
      <c r="G2995" s="37"/>
      <c r="H2995" s="37">
        <f>COUNTIF('(参考)現行システム機能階層一覧'!$E$3:$E$1048576,sheet1!B2995)</f>
        <v>0</v>
      </c>
      <c r="I2995" s="37"/>
      <c r="J2995" s="37"/>
      <c r="K2995" s="37"/>
      <c r="L2995" s="37"/>
    </row>
    <row r="2996" spans="1:12" ht="15.75" customHeight="1">
      <c r="A2996" s="87" t="s">
        <v>3935</v>
      </c>
      <c r="B2996" s="87" t="s">
        <v>8470</v>
      </c>
      <c r="C2996" s="87" t="s">
        <v>8471</v>
      </c>
      <c r="D2996" s="88">
        <v>484</v>
      </c>
      <c r="E2996" s="85" t="s">
        <v>7893</v>
      </c>
      <c r="F2996" s="87">
        <v>130</v>
      </c>
      <c r="G2996" s="37"/>
      <c r="H2996" s="37">
        <f>COUNTIF('(参考)現行システム機能階層一覧'!$E$3:$E$1048576,sheet1!B2996)</f>
        <v>0</v>
      </c>
      <c r="I2996" s="37"/>
      <c r="J2996" s="37"/>
      <c r="K2996" s="37"/>
      <c r="L2996" s="37"/>
    </row>
    <row r="2997" spans="1:12" ht="15.75" customHeight="1">
      <c r="A2997" s="87" t="s">
        <v>3935</v>
      </c>
      <c r="B2997" s="87" t="s">
        <v>862</v>
      </c>
      <c r="C2997" s="87" t="s">
        <v>8472</v>
      </c>
      <c r="D2997" s="88">
        <v>223</v>
      </c>
      <c r="E2997" s="85" t="s">
        <v>7893</v>
      </c>
      <c r="F2997" s="87">
        <v>159</v>
      </c>
      <c r="G2997" s="37"/>
      <c r="H2997" s="37">
        <f>COUNTIF('(参考)現行システム機能階層一覧'!$E$3:$E$1048576,sheet1!B2997)</f>
        <v>1</v>
      </c>
      <c r="I2997" s="37"/>
      <c r="J2997" s="37"/>
      <c r="K2997" s="37"/>
      <c r="L2997" s="37"/>
    </row>
    <row r="2998" spans="1:12" ht="15.75" customHeight="1">
      <c r="A2998" s="87" t="s">
        <v>3853</v>
      </c>
      <c r="B2998" s="87" t="s">
        <v>8473</v>
      </c>
      <c r="C2998" s="87" t="s">
        <v>8474</v>
      </c>
      <c r="D2998" s="88">
        <v>55</v>
      </c>
      <c r="E2998" s="85" t="s">
        <v>7893</v>
      </c>
      <c r="F2998" s="87">
        <v>159</v>
      </c>
      <c r="G2998" s="37"/>
      <c r="H2998" s="37">
        <f>COUNTIF('(参考)現行システム機能階層一覧'!$E$3:$E$1048576,sheet1!B2998)</f>
        <v>0</v>
      </c>
      <c r="I2998" s="37"/>
      <c r="J2998" s="37"/>
      <c r="K2998" s="37"/>
      <c r="L2998" s="37"/>
    </row>
    <row r="2999" spans="1:12" ht="15.75" customHeight="1">
      <c r="A2999" s="87" t="s">
        <v>3935</v>
      </c>
      <c r="B2999" s="87" t="s">
        <v>8475</v>
      </c>
      <c r="C2999" s="87" t="s">
        <v>8476</v>
      </c>
      <c r="D2999" s="88">
        <v>128</v>
      </c>
      <c r="E2999" s="85" t="s">
        <v>7893</v>
      </c>
      <c r="F2999" s="87">
        <v>126</v>
      </c>
      <c r="G2999" s="37"/>
      <c r="H2999" s="37">
        <f>COUNTIF('(参考)現行システム機能階層一覧'!$E$3:$E$1048576,sheet1!B2999)</f>
        <v>0</v>
      </c>
      <c r="I2999" s="37"/>
      <c r="J2999" s="37"/>
      <c r="K2999" s="37"/>
      <c r="L2999" s="37"/>
    </row>
    <row r="3000" spans="1:12" ht="15.75" customHeight="1">
      <c r="A3000" s="87" t="s">
        <v>3935</v>
      </c>
      <c r="B3000" s="87" t="s">
        <v>8477</v>
      </c>
      <c r="C3000" s="87" t="s">
        <v>8478</v>
      </c>
      <c r="D3000" s="88">
        <v>1020</v>
      </c>
      <c r="E3000" s="85" t="s">
        <v>7893</v>
      </c>
      <c r="F3000" s="87">
        <v>126</v>
      </c>
      <c r="G3000" s="37"/>
      <c r="H3000" s="37">
        <f>COUNTIF('(参考)現行システム機能階層一覧'!$E$3:$E$1048576,sheet1!B3000)</f>
        <v>0</v>
      </c>
      <c r="I3000" s="37"/>
      <c r="J3000" s="37"/>
      <c r="K3000" s="37"/>
      <c r="L3000" s="37"/>
    </row>
    <row r="3001" spans="1:12" ht="15.75" customHeight="1">
      <c r="A3001" s="87" t="s">
        <v>3935</v>
      </c>
      <c r="B3001" s="87" t="s">
        <v>873</v>
      </c>
      <c r="C3001" s="87" t="s">
        <v>874</v>
      </c>
      <c r="D3001" s="88">
        <v>789</v>
      </c>
      <c r="E3001" s="85" t="s">
        <v>7893</v>
      </c>
      <c r="F3001" s="87">
        <v>610</v>
      </c>
      <c r="G3001" s="37"/>
      <c r="H3001" s="37">
        <f>COUNTIF('(参考)現行システム機能階層一覧'!$E$3:$E$1048576,sheet1!B3001)</f>
        <v>1</v>
      </c>
      <c r="I3001" s="37"/>
      <c r="J3001" s="37"/>
      <c r="K3001" s="37"/>
      <c r="L3001" s="37"/>
    </row>
    <row r="3002" spans="1:12" ht="15.75" customHeight="1">
      <c r="A3002" s="87" t="s">
        <v>3853</v>
      </c>
      <c r="B3002" s="87" t="s">
        <v>8479</v>
      </c>
      <c r="C3002" s="87" t="s">
        <v>874</v>
      </c>
      <c r="D3002" s="88">
        <v>12</v>
      </c>
      <c r="E3002" s="85" t="s">
        <v>7893</v>
      </c>
      <c r="F3002" s="87">
        <v>610</v>
      </c>
      <c r="G3002" s="37"/>
      <c r="H3002" s="37">
        <f>COUNTIF('(参考)現行システム機能階層一覧'!$E$3:$E$1048576,sheet1!B3002)</f>
        <v>0</v>
      </c>
      <c r="I3002" s="37"/>
      <c r="J3002" s="37"/>
      <c r="K3002" s="37"/>
      <c r="L3002" s="37"/>
    </row>
    <row r="3003" spans="1:12" ht="15.75" customHeight="1">
      <c r="A3003" s="87" t="s">
        <v>3935</v>
      </c>
      <c r="B3003" s="87" t="s">
        <v>8480</v>
      </c>
      <c r="C3003" s="87" t="s">
        <v>8481</v>
      </c>
      <c r="D3003" s="88">
        <v>1655</v>
      </c>
      <c r="E3003" s="85" t="s">
        <v>7893</v>
      </c>
      <c r="F3003" s="87">
        <v>89</v>
      </c>
      <c r="G3003" s="37"/>
      <c r="H3003" s="37">
        <f>COUNTIF('(参考)現行システム機能階層一覧'!$E$3:$E$1048576,sheet1!B3003)</f>
        <v>0</v>
      </c>
      <c r="I3003" s="37"/>
      <c r="J3003" s="37"/>
      <c r="K3003" s="37"/>
      <c r="L3003" s="37"/>
    </row>
    <row r="3004" spans="1:12" ht="15.75" customHeight="1">
      <c r="A3004" s="87" t="s">
        <v>3853</v>
      </c>
      <c r="B3004" s="87" t="s">
        <v>1002</v>
      </c>
      <c r="C3004" s="87" t="s">
        <v>8482</v>
      </c>
      <c r="D3004" s="88">
        <v>49</v>
      </c>
      <c r="E3004" s="85" t="s">
        <v>7893</v>
      </c>
      <c r="F3004" s="87">
        <v>451</v>
      </c>
      <c r="G3004" s="37"/>
      <c r="H3004" s="37">
        <f>COUNTIF('(参考)現行システム機能階層一覧'!$E$3:$E$1048576,sheet1!B3004)</f>
        <v>1</v>
      </c>
      <c r="I3004" s="37"/>
      <c r="J3004" s="37"/>
      <c r="K3004" s="37"/>
      <c r="L3004" s="37"/>
    </row>
    <row r="3005" spans="1:12" ht="15.75" customHeight="1">
      <c r="A3005" s="87" t="s">
        <v>3935</v>
      </c>
      <c r="B3005" s="87" t="s">
        <v>8483</v>
      </c>
      <c r="C3005" s="87" t="s">
        <v>8484</v>
      </c>
      <c r="D3005" s="88">
        <v>408</v>
      </c>
      <c r="E3005" s="85" t="s">
        <v>7893</v>
      </c>
      <c r="F3005" s="87">
        <v>82</v>
      </c>
      <c r="G3005" s="37"/>
      <c r="H3005" s="37">
        <f>COUNTIF('(参考)現行システム機能階層一覧'!$E$3:$E$1048576,sheet1!B3005)</f>
        <v>0</v>
      </c>
      <c r="I3005" s="37"/>
      <c r="J3005" s="37"/>
      <c r="K3005" s="37"/>
      <c r="L3005" s="37"/>
    </row>
    <row r="3006" spans="1:12" ht="15.75" customHeight="1">
      <c r="A3006" s="87" t="s">
        <v>3935</v>
      </c>
      <c r="B3006" s="87" t="s">
        <v>8485</v>
      </c>
      <c r="C3006" s="87" t="s">
        <v>8486</v>
      </c>
      <c r="D3006" s="88">
        <v>554</v>
      </c>
      <c r="E3006" s="85" t="s">
        <v>7893</v>
      </c>
      <c r="F3006" s="87">
        <v>57</v>
      </c>
      <c r="G3006" s="37"/>
      <c r="H3006" s="37">
        <f>COUNTIF('(参考)現行システム機能階層一覧'!$E$3:$E$1048576,sheet1!B3006)</f>
        <v>0</v>
      </c>
      <c r="I3006" s="37"/>
      <c r="J3006" s="37"/>
      <c r="K3006" s="37"/>
      <c r="L3006" s="37"/>
    </row>
    <row r="3007" spans="1:12" ht="15.75" customHeight="1">
      <c r="A3007" s="87" t="s">
        <v>3853</v>
      </c>
      <c r="B3007" s="87" t="s">
        <v>8487</v>
      </c>
      <c r="C3007" s="87" t="s">
        <v>966</v>
      </c>
      <c r="D3007" s="88">
        <v>67</v>
      </c>
      <c r="E3007" s="85" t="s">
        <v>7893</v>
      </c>
      <c r="F3007" s="87">
        <v>36</v>
      </c>
      <c r="G3007" s="37"/>
      <c r="H3007" s="37">
        <f>COUNTIF('(参考)現行システム機能階層一覧'!$E$3:$E$1048576,sheet1!B3007)</f>
        <v>0</v>
      </c>
      <c r="I3007" s="37"/>
      <c r="J3007" s="37"/>
      <c r="K3007" s="37"/>
      <c r="L3007" s="37"/>
    </row>
    <row r="3008" spans="1:12" ht="15.75" customHeight="1">
      <c r="A3008" s="87" t="s">
        <v>3853</v>
      </c>
      <c r="B3008" s="87" t="s">
        <v>8488</v>
      </c>
      <c r="C3008" s="87" t="s">
        <v>8489</v>
      </c>
      <c r="D3008" s="88">
        <v>26</v>
      </c>
      <c r="E3008" s="85" t="s">
        <v>7893</v>
      </c>
      <c r="F3008" s="87">
        <v>51</v>
      </c>
      <c r="G3008" s="37"/>
      <c r="H3008" s="37">
        <f>COUNTIF('(参考)現行システム機能階層一覧'!$E$3:$E$1048576,sheet1!B3008)</f>
        <v>0</v>
      </c>
      <c r="I3008" s="37"/>
      <c r="J3008" s="37"/>
      <c r="K3008" s="37"/>
      <c r="L3008" s="37"/>
    </row>
    <row r="3009" spans="1:12" ht="15.75" customHeight="1">
      <c r="A3009" s="87" t="s">
        <v>3935</v>
      </c>
      <c r="B3009" s="87" t="s">
        <v>8490</v>
      </c>
      <c r="C3009" s="87" t="s">
        <v>8491</v>
      </c>
      <c r="D3009" s="88">
        <v>702</v>
      </c>
      <c r="E3009" s="85" t="s">
        <v>7893</v>
      </c>
      <c r="F3009" s="87">
        <v>24</v>
      </c>
      <c r="G3009" s="37"/>
      <c r="H3009" s="37">
        <f>COUNTIF('(参考)現行システム機能階層一覧'!$E$3:$E$1048576,sheet1!B3009)</f>
        <v>0</v>
      </c>
      <c r="I3009" s="37"/>
      <c r="J3009" s="37"/>
      <c r="K3009" s="37"/>
      <c r="L3009" s="37"/>
    </row>
    <row r="3010" spans="1:12" ht="15.75" customHeight="1">
      <c r="A3010" s="87" t="s">
        <v>3935</v>
      </c>
      <c r="B3010" s="87" t="s">
        <v>8492</v>
      </c>
      <c r="C3010" s="87" t="s">
        <v>3775</v>
      </c>
      <c r="D3010" s="88">
        <v>875</v>
      </c>
      <c r="E3010" s="85" t="s">
        <v>7893</v>
      </c>
      <c r="F3010" s="87">
        <v>3</v>
      </c>
      <c r="G3010" s="37"/>
      <c r="H3010" s="37">
        <f>COUNTIF('(参考)現行システム機能階層一覧'!$E$3:$E$1048576,sheet1!B3010)</f>
        <v>0</v>
      </c>
      <c r="I3010" s="37"/>
      <c r="J3010" s="37"/>
      <c r="K3010" s="37"/>
      <c r="L3010" s="37"/>
    </row>
    <row r="3011" spans="1:12" ht="15.75" customHeight="1">
      <c r="A3011" s="87" t="s">
        <v>3935</v>
      </c>
      <c r="B3011" s="87" t="s">
        <v>8493</v>
      </c>
      <c r="C3011" s="87" t="s">
        <v>3776</v>
      </c>
      <c r="D3011" s="88">
        <v>762</v>
      </c>
      <c r="E3011" s="85" t="s">
        <v>7893</v>
      </c>
      <c r="F3011" s="87">
        <v>3</v>
      </c>
      <c r="G3011" s="37"/>
      <c r="H3011" s="37">
        <f>COUNTIF('(参考)現行システム機能階層一覧'!$E$3:$E$1048576,sheet1!B3011)</f>
        <v>0</v>
      </c>
      <c r="I3011" s="37"/>
      <c r="J3011" s="37"/>
      <c r="K3011" s="37"/>
      <c r="L3011" s="37"/>
    </row>
    <row r="3012" spans="1:12" ht="15.75" customHeight="1">
      <c r="A3012" s="87" t="s">
        <v>3935</v>
      </c>
      <c r="B3012" s="87" t="s">
        <v>8494</v>
      </c>
      <c r="C3012" s="87" t="s">
        <v>8495</v>
      </c>
      <c r="D3012" s="88">
        <v>345</v>
      </c>
      <c r="E3012" s="85" t="s">
        <v>7893</v>
      </c>
      <c r="F3012" s="87">
        <v>3</v>
      </c>
      <c r="G3012" s="37"/>
      <c r="H3012" s="37">
        <f>COUNTIF('(参考)現行システム機能階層一覧'!$E$3:$E$1048576,sheet1!B3012)</f>
        <v>0</v>
      </c>
      <c r="I3012" s="37"/>
      <c r="J3012" s="37"/>
      <c r="K3012" s="37"/>
      <c r="L3012" s="37"/>
    </row>
    <row r="3013" spans="1:12" ht="15.75" customHeight="1">
      <c r="A3013" s="87" t="s">
        <v>3853</v>
      </c>
      <c r="B3013" s="87" t="s">
        <v>8496</v>
      </c>
      <c r="C3013" s="87" t="s">
        <v>3777</v>
      </c>
      <c r="D3013" s="88">
        <v>38</v>
      </c>
      <c r="E3013" s="85" t="s">
        <v>7893</v>
      </c>
      <c r="F3013" s="87">
        <v>3</v>
      </c>
      <c r="G3013" s="37"/>
      <c r="H3013" s="37">
        <f>COUNTIF('(参考)現行システム機能階層一覧'!$E$3:$E$1048576,sheet1!B3013)</f>
        <v>0</v>
      </c>
      <c r="I3013" s="37"/>
      <c r="J3013" s="37"/>
      <c r="K3013" s="37"/>
      <c r="L3013" s="37"/>
    </row>
    <row r="3014" spans="1:12" ht="15.75" customHeight="1">
      <c r="A3014" s="87" t="s">
        <v>3935</v>
      </c>
      <c r="B3014" s="87" t="s">
        <v>8497</v>
      </c>
      <c r="C3014" s="87" t="s">
        <v>8498</v>
      </c>
      <c r="D3014" s="88">
        <v>329</v>
      </c>
      <c r="E3014" s="85" t="s">
        <v>7893</v>
      </c>
      <c r="F3014" s="87">
        <v>1</v>
      </c>
      <c r="G3014" s="37"/>
      <c r="H3014" s="37">
        <f>COUNTIF('(参考)現行システム機能階層一覧'!$E$3:$E$1048576,sheet1!B3014)</f>
        <v>0</v>
      </c>
      <c r="I3014" s="37"/>
      <c r="J3014" s="37"/>
      <c r="K3014" s="37"/>
      <c r="L3014" s="37"/>
    </row>
    <row r="3015" spans="1:12" ht="15.75" customHeight="1">
      <c r="A3015" s="87" t="s">
        <v>3935</v>
      </c>
      <c r="B3015" s="87" t="s">
        <v>900</v>
      </c>
      <c r="C3015" s="87" t="s">
        <v>8499</v>
      </c>
      <c r="D3015" s="88">
        <v>1062</v>
      </c>
      <c r="E3015" s="85" t="s">
        <v>7893</v>
      </c>
      <c r="F3015" s="87">
        <v>220</v>
      </c>
      <c r="G3015" s="37"/>
      <c r="H3015" s="37">
        <f>COUNTIF('(参考)現行システム機能階層一覧'!$E$3:$E$1048576,sheet1!B3015)</f>
        <v>1</v>
      </c>
      <c r="I3015" s="37"/>
      <c r="J3015" s="37"/>
      <c r="K3015" s="37"/>
      <c r="L3015" s="37"/>
    </row>
    <row r="3016" spans="1:12" ht="15.75" customHeight="1">
      <c r="A3016" s="87" t="s">
        <v>3853</v>
      </c>
      <c r="B3016" s="87" t="s">
        <v>8500</v>
      </c>
      <c r="C3016" s="87" t="s">
        <v>8499</v>
      </c>
      <c r="D3016" s="88">
        <v>24</v>
      </c>
      <c r="E3016" s="85" t="s">
        <v>7893</v>
      </c>
      <c r="F3016" s="87">
        <v>220</v>
      </c>
      <c r="G3016" s="37"/>
      <c r="H3016" s="37">
        <f>COUNTIF('(参考)現行システム機能階層一覧'!$E$3:$E$1048576,sheet1!B3016)</f>
        <v>0</v>
      </c>
      <c r="I3016" s="37"/>
      <c r="J3016" s="37"/>
      <c r="K3016" s="37"/>
      <c r="L3016" s="37"/>
    </row>
    <row r="3017" spans="1:12" ht="15.75" customHeight="1">
      <c r="A3017" s="87" t="s">
        <v>3935</v>
      </c>
      <c r="B3017" s="87" t="s">
        <v>8501</v>
      </c>
      <c r="C3017" s="87" t="s">
        <v>8502</v>
      </c>
      <c r="D3017" s="88">
        <v>410</v>
      </c>
      <c r="E3017" s="85" t="s">
        <v>7893</v>
      </c>
      <c r="F3017" s="87">
        <v>1</v>
      </c>
      <c r="G3017" s="37"/>
      <c r="H3017" s="37">
        <f>COUNTIF('(参考)現行システム機能階層一覧'!$E$3:$E$1048576,sheet1!B3017)</f>
        <v>0</v>
      </c>
      <c r="I3017" s="37"/>
      <c r="J3017" s="37"/>
      <c r="K3017" s="37"/>
      <c r="L3017" s="37"/>
    </row>
    <row r="3018" spans="1:12" ht="15.75" customHeight="1">
      <c r="A3018" s="87" t="s">
        <v>3853</v>
      </c>
      <c r="B3018" s="87" t="s">
        <v>8503</v>
      </c>
      <c r="C3018" s="87" t="s">
        <v>8502</v>
      </c>
      <c r="D3018" s="88">
        <v>26</v>
      </c>
      <c r="E3018" s="85" t="s">
        <v>7893</v>
      </c>
      <c r="F3018" s="87">
        <v>1</v>
      </c>
      <c r="G3018" s="37"/>
      <c r="H3018" s="37">
        <f>COUNTIF('(参考)現行システム機能階層一覧'!$E$3:$E$1048576,sheet1!B3018)</f>
        <v>0</v>
      </c>
      <c r="I3018" s="37"/>
      <c r="J3018" s="37"/>
      <c r="K3018" s="37"/>
      <c r="L3018" s="37"/>
    </row>
    <row r="3019" spans="1:12" ht="15.75" customHeight="1">
      <c r="A3019" s="87" t="s">
        <v>3935</v>
      </c>
      <c r="B3019" s="87" t="s">
        <v>8504</v>
      </c>
      <c r="C3019" s="87" t="s">
        <v>8505</v>
      </c>
      <c r="D3019" s="88">
        <v>203</v>
      </c>
      <c r="E3019" s="85" t="s">
        <v>7893</v>
      </c>
      <c r="F3019" s="87">
        <v>1</v>
      </c>
      <c r="G3019" s="37"/>
      <c r="H3019" s="37">
        <f>COUNTIF('(参考)現行システム機能階層一覧'!$E$3:$E$1048576,sheet1!B3019)</f>
        <v>0</v>
      </c>
      <c r="I3019" s="37"/>
      <c r="J3019" s="37"/>
      <c r="K3019" s="37"/>
      <c r="L3019" s="37"/>
    </row>
    <row r="3020" spans="1:12" ht="15.75" customHeight="1">
      <c r="A3020" s="87" t="s">
        <v>3853</v>
      </c>
      <c r="B3020" s="87" t="s">
        <v>8506</v>
      </c>
      <c r="C3020" s="87" t="s">
        <v>8505</v>
      </c>
      <c r="D3020" s="88">
        <v>20</v>
      </c>
      <c r="E3020" s="85" t="s">
        <v>7893</v>
      </c>
      <c r="F3020" s="87">
        <v>1</v>
      </c>
      <c r="G3020" s="37"/>
      <c r="H3020" s="37">
        <f>COUNTIF('(参考)現行システム機能階層一覧'!$E$3:$E$1048576,sheet1!B3020)</f>
        <v>0</v>
      </c>
      <c r="I3020" s="37"/>
      <c r="J3020" s="37"/>
      <c r="K3020" s="37"/>
      <c r="L3020" s="37"/>
    </row>
    <row r="3021" spans="1:12" ht="15.75" customHeight="1">
      <c r="A3021" s="87" t="s">
        <v>3935</v>
      </c>
      <c r="B3021" s="87" t="s">
        <v>8507</v>
      </c>
      <c r="C3021" s="87" t="s">
        <v>8508</v>
      </c>
      <c r="D3021" s="88">
        <v>222</v>
      </c>
      <c r="E3021" s="85" t="s">
        <v>7893</v>
      </c>
      <c r="F3021" s="87">
        <v>1</v>
      </c>
      <c r="G3021" s="37"/>
      <c r="H3021" s="37">
        <f>COUNTIF('(参考)現行システム機能階層一覧'!$E$3:$E$1048576,sheet1!B3021)</f>
        <v>0</v>
      </c>
      <c r="I3021" s="37"/>
      <c r="J3021" s="37"/>
      <c r="K3021" s="37"/>
      <c r="L3021" s="37"/>
    </row>
    <row r="3022" spans="1:12" ht="15.75" customHeight="1">
      <c r="A3022" s="87" t="s">
        <v>3853</v>
      </c>
      <c r="B3022" s="87" t="s">
        <v>8509</v>
      </c>
      <c r="C3022" s="87" t="s">
        <v>8508</v>
      </c>
      <c r="D3022" s="88">
        <v>29</v>
      </c>
      <c r="E3022" s="85" t="s">
        <v>7893</v>
      </c>
      <c r="F3022" s="87">
        <v>1</v>
      </c>
      <c r="G3022" s="37"/>
      <c r="H3022" s="37">
        <f>COUNTIF('(参考)現行システム機能階層一覧'!$E$3:$E$1048576,sheet1!B3022)</f>
        <v>0</v>
      </c>
      <c r="I3022" s="37"/>
      <c r="J3022" s="37"/>
      <c r="K3022" s="37"/>
      <c r="L3022" s="37"/>
    </row>
    <row r="3023" spans="1:12" ht="15.75" customHeight="1">
      <c r="A3023" s="87" t="s">
        <v>3853</v>
      </c>
      <c r="B3023" s="87" t="s">
        <v>8510</v>
      </c>
      <c r="C3023" s="87" t="s">
        <v>8511</v>
      </c>
      <c r="D3023" s="88">
        <v>5</v>
      </c>
      <c r="E3023" s="85" t="s">
        <v>7893</v>
      </c>
      <c r="F3023" s="87">
        <v>1</v>
      </c>
      <c r="G3023" s="37"/>
      <c r="H3023" s="37">
        <f>COUNTIF('(参考)現行システム機能階層一覧'!$E$3:$E$1048576,sheet1!B3023)</f>
        <v>0</v>
      </c>
      <c r="I3023" s="37"/>
      <c r="J3023" s="37"/>
      <c r="K3023" s="37"/>
      <c r="L3023" s="37"/>
    </row>
    <row r="3024" spans="1:12" ht="15.75" customHeight="1">
      <c r="A3024" s="87" t="s">
        <v>3935</v>
      </c>
      <c r="B3024" s="87" t="s">
        <v>1017</v>
      </c>
      <c r="C3024" s="87" t="s">
        <v>8512</v>
      </c>
      <c r="D3024" s="88">
        <v>463</v>
      </c>
      <c r="E3024" s="85" t="s">
        <v>7893</v>
      </c>
      <c r="F3024" s="87">
        <v>120</v>
      </c>
      <c r="G3024" s="37"/>
      <c r="H3024" s="37">
        <f>COUNTIF('(参考)現行システム機能階層一覧'!$E$3:$E$1048576,sheet1!B3024)</f>
        <v>1</v>
      </c>
      <c r="I3024" s="37"/>
      <c r="J3024" s="37"/>
      <c r="K3024" s="37"/>
      <c r="L3024" s="37"/>
    </row>
    <row r="3025" spans="1:12" ht="15.75" customHeight="1">
      <c r="A3025" s="87" t="s">
        <v>3853</v>
      </c>
      <c r="B3025" s="87" t="s">
        <v>8513</v>
      </c>
      <c r="C3025" s="87" t="s">
        <v>8512</v>
      </c>
      <c r="D3025" s="88">
        <v>85</v>
      </c>
      <c r="E3025" s="85" t="s">
        <v>7893</v>
      </c>
      <c r="F3025" s="87">
        <v>120</v>
      </c>
      <c r="G3025" s="37"/>
      <c r="H3025" s="37">
        <f>COUNTIF('(参考)現行システム機能階層一覧'!$E$3:$E$1048576,sheet1!B3025)</f>
        <v>0</v>
      </c>
      <c r="I3025" s="37"/>
      <c r="J3025" s="37"/>
      <c r="K3025" s="37"/>
      <c r="L3025" s="37"/>
    </row>
    <row r="3026" spans="1:12" ht="15.75" customHeight="1">
      <c r="A3026" s="87" t="s">
        <v>3935</v>
      </c>
      <c r="B3026" s="87" t="s">
        <v>8514</v>
      </c>
      <c r="C3026" s="87" t="s">
        <v>8515</v>
      </c>
      <c r="D3026" s="88">
        <v>135</v>
      </c>
      <c r="E3026" s="85" t="s">
        <v>7893</v>
      </c>
      <c r="F3026" s="87">
        <v>1</v>
      </c>
      <c r="G3026" s="37"/>
      <c r="H3026" s="37">
        <f>COUNTIF('(参考)現行システム機能階層一覧'!$E$3:$E$1048576,sheet1!B3026)</f>
        <v>0</v>
      </c>
      <c r="I3026" s="37"/>
      <c r="J3026" s="37"/>
      <c r="K3026" s="37"/>
      <c r="L3026" s="37"/>
    </row>
    <row r="3027" spans="1:12" ht="15.75" customHeight="1">
      <c r="A3027" s="87" t="s">
        <v>3853</v>
      </c>
      <c r="B3027" s="87" t="s">
        <v>8516</v>
      </c>
      <c r="C3027" s="87" t="s">
        <v>8517</v>
      </c>
      <c r="D3027" s="88">
        <v>29</v>
      </c>
      <c r="E3027" s="85" t="s">
        <v>7893</v>
      </c>
      <c r="F3027" s="87">
        <v>1</v>
      </c>
      <c r="G3027" s="37"/>
      <c r="H3027" s="37">
        <f>COUNTIF('(参考)現行システム機能階層一覧'!$E$3:$E$1048576,sheet1!B3027)</f>
        <v>0</v>
      </c>
      <c r="I3027" s="37"/>
      <c r="J3027" s="37"/>
      <c r="K3027" s="37"/>
      <c r="L3027" s="37"/>
    </row>
    <row r="3028" spans="1:12" ht="15.75" customHeight="1">
      <c r="A3028" s="87" t="s">
        <v>3935</v>
      </c>
      <c r="B3028" s="87" t="s">
        <v>8518</v>
      </c>
      <c r="C3028" s="87" t="s">
        <v>8519</v>
      </c>
      <c r="D3028" s="88">
        <v>470</v>
      </c>
      <c r="E3028" s="85" t="s">
        <v>7893</v>
      </c>
      <c r="F3028" s="87">
        <v>1</v>
      </c>
      <c r="G3028" s="37"/>
      <c r="H3028" s="37">
        <f>COUNTIF('(参考)現行システム機能階層一覧'!$E$3:$E$1048576,sheet1!B3028)</f>
        <v>0</v>
      </c>
      <c r="I3028" s="37"/>
      <c r="J3028" s="37"/>
      <c r="K3028" s="37"/>
      <c r="L3028" s="37"/>
    </row>
    <row r="3029" spans="1:12" ht="15.75" customHeight="1">
      <c r="A3029" s="87" t="s">
        <v>3935</v>
      </c>
      <c r="B3029" s="87" t="s">
        <v>8520</v>
      </c>
      <c r="C3029" s="87" t="s">
        <v>8453</v>
      </c>
      <c r="D3029" s="88">
        <v>620</v>
      </c>
      <c r="E3029" s="85" t="s">
        <v>7893</v>
      </c>
      <c r="F3029" s="87">
        <v>1</v>
      </c>
      <c r="G3029" s="37"/>
      <c r="H3029" s="37">
        <f>COUNTIF('(参考)現行システム機能階層一覧'!$E$3:$E$1048576,sheet1!B3029)</f>
        <v>0</v>
      </c>
      <c r="I3029" s="37"/>
      <c r="J3029" s="37"/>
      <c r="K3029" s="37"/>
      <c r="L3029" s="37"/>
    </row>
    <row r="3030" spans="1:12" ht="15.75" customHeight="1">
      <c r="A3030" s="87" t="s">
        <v>3853</v>
      </c>
      <c r="B3030" s="87" t="s">
        <v>8521</v>
      </c>
      <c r="C3030" s="87" t="s">
        <v>858</v>
      </c>
      <c r="D3030" s="88">
        <v>72</v>
      </c>
      <c r="E3030" s="85" t="s">
        <v>7893</v>
      </c>
      <c r="F3030" s="87">
        <v>1</v>
      </c>
      <c r="G3030" s="37"/>
      <c r="H3030" s="37">
        <f>COUNTIF('(参考)現行システム機能階層一覧'!$E$3:$E$1048576,sheet1!B3030)</f>
        <v>0</v>
      </c>
      <c r="I3030" s="37"/>
      <c r="J3030" s="37"/>
      <c r="K3030" s="37"/>
      <c r="L3030" s="37"/>
    </row>
    <row r="3031" spans="1:12" ht="15.75" customHeight="1">
      <c r="A3031" s="87" t="s">
        <v>3935</v>
      </c>
      <c r="B3031" s="87" t="s">
        <v>775</v>
      </c>
      <c r="C3031" s="87" t="s">
        <v>8522</v>
      </c>
      <c r="D3031" s="88">
        <v>640</v>
      </c>
      <c r="E3031" s="85" t="s">
        <v>7893</v>
      </c>
      <c r="F3031" s="87">
        <v>1257</v>
      </c>
      <c r="G3031" s="37"/>
      <c r="H3031" s="37">
        <f>COUNTIF('(参考)現行システム機能階層一覧'!$E$3:$E$1048576,sheet1!B3031)</f>
        <v>1</v>
      </c>
      <c r="I3031" s="37"/>
      <c r="J3031" s="37"/>
      <c r="K3031" s="37"/>
      <c r="L3031" s="37"/>
    </row>
    <row r="3032" spans="1:12" ht="15.75" customHeight="1">
      <c r="A3032" s="87" t="s">
        <v>3853</v>
      </c>
      <c r="B3032" s="87" t="s">
        <v>8523</v>
      </c>
      <c r="C3032" s="87" t="s">
        <v>8522</v>
      </c>
      <c r="D3032" s="88">
        <v>22</v>
      </c>
      <c r="E3032" s="85" t="s">
        <v>7893</v>
      </c>
      <c r="F3032" s="87">
        <v>52</v>
      </c>
      <c r="G3032" s="37"/>
      <c r="H3032" s="37">
        <f>COUNTIF('(参考)現行システム機能階層一覧'!$E$3:$E$1048576,sheet1!B3032)</f>
        <v>0</v>
      </c>
      <c r="I3032" s="37"/>
      <c r="J3032" s="37"/>
      <c r="K3032" s="37"/>
      <c r="L3032" s="37"/>
    </row>
    <row r="3033" spans="1:12" ht="15.75" customHeight="1">
      <c r="A3033" s="87" t="s">
        <v>3935</v>
      </c>
      <c r="B3033" s="87" t="s">
        <v>8524</v>
      </c>
      <c r="C3033" s="87" t="s">
        <v>8525</v>
      </c>
      <c r="D3033" s="88">
        <v>642</v>
      </c>
      <c r="E3033" s="85" t="s">
        <v>7893</v>
      </c>
      <c r="F3033" s="87">
        <v>354</v>
      </c>
      <c r="G3033" s="37"/>
      <c r="H3033" s="37">
        <f>COUNTIF('(参考)現行システム機能階層一覧'!$E$3:$E$1048576,sheet1!B3033)</f>
        <v>0</v>
      </c>
      <c r="I3033" s="37"/>
      <c r="J3033" s="37"/>
      <c r="K3033" s="37"/>
      <c r="L3033" s="37"/>
    </row>
    <row r="3034" spans="1:12" ht="15.75" customHeight="1">
      <c r="A3034" s="87" t="s">
        <v>3853</v>
      </c>
      <c r="B3034" s="87" t="s">
        <v>8526</v>
      </c>
      <c r="C3034" s="87" t="s">
        <v>8527</v>
      </c>
      <c r="D3034" s="88">
        <v>18</v>
      </c>
      <c r="E3034" s="85" t="s">
        <v>7893</v>
      </c>
      <c r="F3034" s="87">
        <v>354</v>
      </c>
      <c r="G3034" s="37"/>
      <c r="H3034" s="37">
        <f>COUNTIF('(参考)現行システム機能階層一覧'!$E$3:$E$1048576,sheet1!B3034)</f>
        <v>0</v>
      </c>
      <c r="I3034" s="37"/>
      <c r="J3034" s="37"/>
      <c r="K3034" s="37"/>
      <c r="L3034" s="37"/>
    </row>
    <row r="3035" spans="1:12" ht="15.75" customHeight="1">
      <c r="A3035" s="87" t="s">
        <v>3853</v>
      </c>
      <c r="B3035" s="87" t="s">
        <v>8528</v>
      </c>
      <c r="C3035" s="87" t="s">
        <v>8529</v>
      </c>
      <c r="D3035" s="88">
        <v>22</v>
      </c>
      <c r="E3035" s="85" t="s">
        <v>7893</v>
      </c>
      <c r="F3035" s="87">
        <v>335</v>
      </c>
      <c r="G3035" s="37"/>
      <c r="H3035" s="37">
        <f>COUNTIF('(参考)現行システム機能階層一覧'!$E$3:$E$1048576,sheet1!B3035)</f>
        <v>0</v>
      </c>
      <c r="I3035" s="37"/>
      <c r="J3035" s="37"/>
      <c r="K3035" s="37"/>
      <c r="L3035" s="37"/>
    </row>
    <row r="3036" spans="1:12" ht="15.75" customHeight="1">
      <c r="A3036" s="87" t="s">
        <v>3935</v>
      </c>
      <c r="B3036" s="87" t="s">
        <v>8530</v>
      </c>
      <c r="C3036" s="87" t="s">
        <v>8531</v>
      </c>
      <c r="D3036" s="88">
        <v>642</v>
      </c>
      <c r="E3036" s="85" t="s">
        <v>7893</v>
      </c>
      <c r="F3036" s="87">
        <v>1</v>
      </c>
      <c r="G3036" s="37"/>
      <c r="H3036" s="37">
        <f>COUNTIF('(参考)現行システム機能階層一覧'!$E$3:$E$1048576,sheet1!B3036)</f>
        <v>0</v>
      </c>
      <c r="I3036" s="37"/>
      <c r="J3036" s="37"/>
      <c r="K3036" s="37"/>
      <c r="L3036" s="37"/>
    </row>
    <row r="3037" spans="1:12" ht="15.75" customHeight="1">
      <c r="A3037" s="87" t="s">
        <v>3853</v>
      </c>
      <c r="B3037" s="87" t="s">
        <v>8532</v>
      </c>
      <c r="C3037" s="87" t="s">
        <v>8531</v>
      </c>
      <c r="D3037" s="88">
        <v>19</v>
      </c>
      <c r="E3037" s="85" t="s">
        <v>7893</v>
      </c>
      <c r="F3037" s="87">
        <v>1</v>
      </c>
      <c r="G3037" s="37"/>
      <c r="H3037" s="37">
        <f>COUNTIF('(参考)現行システム機能階層一覧'!$E$3:$E$1048576,sheet1!B3037)</f>
        <v>0</v>
      </c>
      <c r="I3037" s="37"/>
      <c r="J3037" s="37"/>
      <c r="K3037" s="37"/>
      <c r="L3037" s="37"/>
    </row>
    <row r="3038" spans="1:12" ht="15.75" customHeight="1">
      <c r="A3038" s="87" t="s">
        <v>3935</v>
      </c>
      <c r="B3038" s="87" t="s">
        <v>8533</v>
      </c>
      <c r="C3038" s="87" t="s">
        <v>8522</v>
      </c>
      <c r="D3038" s="88">
        <v>633</v>
      </c>
      <c r="E3038" s="85" t="s">
        <v>7893</v>
      </c>
      <c r="F3038" s="87">
        <v>58</v>
      </c>
      <c r="G3038" s="37"/>
      <c r="H3038" s="37">
        <f>COUNTIF('(参考)現行システム機能階層一覧'!$E$3:$E$1048576,sheet1!B3038)</f>
        <v>0</v>
      </c>
      <c r="I3038" s="37"/>
      <c r="J3038" s="37"/>
      <c r="K3038" s="37"/>
      <c r="L3038" s="37"/>
    </row>
    <row r="3039" spans="1:12" ht="15.75" customHeight="1">
      <c r="A3039" s="87" t="s">
        <v>3853</v>
      </c>
      <c r="B3039" s="87" t="s">
        <v>8534</v>
      </c>
      <c r="C3039" s="87" t="s">
        <v>8522</v>
      </c>
      <c r="D3039" s="88">
        <v>18</v>
      </c>
      <c r="E3039" s="85" t="s">
        <v>7893</v>
      </c>
      <c r="F3039" s="87">
        <v>58</v>
      </c>
      <c r="G3039" s="37"/>
      <c r="H3039" s="37">
        <f>COUNTIF('(参考)現行システム機能階層一覧'!$E$3:$E$1048576,sheet1!B3039)</f>
        <v>0</v>
      </c>
      <c r="I3039" s="37"/>
      <c r="J3039" s="37"/>
      <c r="K3039" s="37"/>
      <c r="L3039" s="37"/>
    </row>
    <row r="3040" spans="1:12" ht="15.75" customHeight="1">
      <c r="A3040" s="87" t="s">
        <v>3853</v>
      </c>
      <c r="B3040" s="87" t="s">
        <v>8535</v>
      </c>
      <c r="C3040" s="87" t="s">
        <v>8536</v>
      </c>
      <c r="D3040" s="88">
        <v>11</v>
      </c>
      <c r="E3040" s="85" t="s">
        <v>7893</v>
      </c>
      <c r="F3040" s="87">
        <v>1</v>
      </c>
      <c r="G3040" s="37"/>
      <c r="H3040" s="37">
        <f>COUNTIF('(参考)現行システム機能階層一覧'!$E$3:$E$1048576,sheet1!B3040)</f>
        <v>0</v>
      </c>
      <c r="I3040" s="37"/>
      <c r="J3040" s="37"/>
      <c r="K3040" s="37"/>
      <c r="L3040" s="37"/>
    </row>
    <row r="3041" spans="1:12" ht="15.75" customHeight="1">
      <c r="A3041" s="87" t="s">
        <v>3853</v>
      </c>
      <c r="B3041" s="87" t="s">
        <v>8537</v>
      </c>
      <c r="C3041" s="87" t="s">
        <v>8538</v>
      </c>
      <c r="D3041" s="88">
        <v>40</v>
      </c>
      <c r="E3041" s="85" t="s">
        <v>7893</v>
      </c>
      <c r="F3041" s="87">
        <v>28</v>
      </c>
      <c r="G3041" s="37"/>
      <c r="H3041" s="37">
        <f>COUNTIF('(参考)現行システム機能階層一覧'!$E$3:$E$1048576,sheet1!B3041)</f>
        <v>0</v>
      </c>
      <c r="I3041" s="37"/>
      <c r="J3041" s="37"/>
      <c r="K3041" s="37"/>
      <c r="L3041" s="37"/>
    </row>
    <row r="3042" spans="1:12" ht="15.75" customHeight="1">
      <c r="A3042" s="87" t="s">
        <v>3935</v>
      </c>
      <c r="B3042" s="87" t="s">
        <v>8539</v>
      </c>
      <c r="C3042" s="87" t="s">
        <v>8540</v>
      </c>
      <c r="D3042" s="88">
        <v>146</v>
      </c>
      <c r="E3042" s="85" t="s">
        <v>7893</v>
      </c>
      <c r="F3042" s="87">
        <v>1891</v>
      </c>
      <c r="G3042" s="37"/>
      <c r="H3042" s="37">
        <f>COUNTIF('(参考)現行システム機能階層一覧'!$E$3:$E$1048576,sheet1!B3042)</f>
        <v>0</v>
      </c>
      <c r="I3042" s="37"/>
      <c r="J3042" s="37"/>
      <c r="K3042" s="37"/>
      <c r="L3042" s="37"/>
    </row>
    <row r="3043" spans="1:12" ht="15.75" customHeight="1">
      <c r="A3043" s="87" t="s">
        <v>3853</v>
      </c>
      <c r="B3043" s="87" t="s">
        <v>8541</v>
      </c>
      <c r="C3043" s="87" t="s">
        <v>8542</v>
      </c>
      <c r="D3043" s="88">
        <v>62</v>
      </c>
      <c r="E3043" s="85" t="s">
        <v>7893</v>
      </c>
      <c r="F3043" s="87">
        <v>1896</v>
      </c>
      <c r="G3043" s="37"/>
      <c r="H3043" s="37">
        <f>COUNTIF('(参考)現行システム機能階層一覧'!$E$3:$E$1048576,sheet1!B3043)</f>
        <v>0</v>
      </c>
      <c r="I3043" s="37"/>
      <c r="J3043" s="37"/>
      <c r="K3043" s="37"/>
      <c r="L3043" s="37"/>
    </row>
    <row r="3044" spans="1:12" ht="15.75" customHeight="1">
      <c r="A3044" s="87" t="s">
        <v>3853</v>
      </c>
      <c r="B3044" s="87" t="s">
        <v>8543</v>
      </c>
      <c r="C3044" s="87" t="s">
        <v>8544</v>
      </c>
      <c r="D3044" s="88">
        <v>25</v>
      </c>
      <c r="E3044" s="85" t="s">
        <v>7893</v>
      </c>
      <c r="F3044" s="87">
        <v>1</v>
      </c>
      <c r="G3044" s="37"/>
      <c r="H3044" s="37">
        <f>COUNTIF('(参考)現行システム機能階層一覧'!$E$3:$E$1048576,sheet1!B3044)</f>
        <v>0</v>
      </c>
      <c r="I3044" s="37"/>
      <c r="J3044" s="37"/>
      <c r="K3044" s="37"/>
      <c r="L3044" s="37"/>
    </row>
    <row r="3045" spans="1:12" ht="15.75" customHeight="1">
      <c r="A3045" s="87" t="s">
        <v>3935</v>
      </c>
      <c r="B3045" s="87" t="s">
        <v>8545</v>
      </c>
      <c r="C3045" s="87" t="s">
        <v>8546</v>
      </c>
      <c r="D3045" s="88">
        <v>308</v>
      </c>
      <c r="E3045" s="85" t="s">
        <v>7893</v>
      </c>
      <c r="F3045" s="87">
        <v>6</v>
      </c>
      <c r="G3045" s="37"/>
      <c r="H3045" s="37">
        <f>COUNTIF('(参考)現行システム機能階層一覧'!$E$3:$E$1048576,sheet1!B3045)</f>
        <v>0</v>
      </c>
      <c r="I3045" s="37"/>
      <c r="J3045" s="37"/>
      <c r="K3045" s="37"/>
      <c r="L3045" s="37"/>
    </row>
    <row r="3046" spans="1:12" ht="15.75" customHeight="1">
      <c r="A3046" s="87" t="s">
        <v>3853</v>
      </c>
      <c r="B3046" s="87" t="s">
        <v>8547</v>
      </c>
      <c r="C3046" s="87" t="s">
        <v>8546</v>
      </c>
      <c r="D3046" s="88">
        <v>46</v>
      </c>
      <c r="E3046" s="85" t="s">
        <v>7893</v>
      </c>
      <c r="F3046" s="87">
        <v>6</v>
      </c>
      <c r="G3046" s="37"/>
      <c r="H3046" s="37">
        <f>COUNTIF('(参考)現行システム機能階層一覧'!$E$3:$E$1048576,sheet1!B3046)</f>
        <v>0</v>
      </c>
      <c r="I3046" s="37"/>
      <c r="J3046" s="37"/>
      <c r="K3046" s="37"/>
      <c r="L3046" s="37"/>
    </row>
    <row r="3047" spans="1:12" ht="15.75" customHeight="1">
      <c r="A3047" s="87" t="s">
        <v>3935</v>
      </c>
      <c r="B3047" s="87" t="s">
        <v>8548</v>
      </c>
      <c r="C3047" s="87" t="s">
        <v>8549</v>
      </c>
      <c r="D3047" s="88">
        <v>110</v>
      </c>
      <c r="E3047" s="85" t="s">
        <v>7893</v>
      </c>
      <c r="F3047" s="87">
        <v>6</v>
      </c>
      <c r="G3047" s="37"/>
      <c r="H3047" s="37">
        <f>COUNTIF('(参考)現行システム機能階層一覧'!$E$3:$E$1048576,sheet1!B3047)</f>
        <v>0</v>
      </c>
      <c r="I3047" s="37"/>
      <c r="J3047" s="37"/>
      <c r="K3047" s="37"/>
      <c r="L3047" s="37"/>
    </row>
    <row r="3048" spans="1:12" ht="15.75" customHeight="1">
      <c r="A3048" s="87" t="s">
        <v>3853</v>
      </c>
      <c r="B3048" s="87" t="s">
        <v>8550</v>
      </c>
      <c r="C3048" s="87" t="s">
        <v>8551</v>
      </c>
      <c r="D3048" s="88">
        <v>39</v>
      </c>
      <c r="E3048" s="85" t="s">
        <v>7893</v>
      </c>
      <c r="F3048" s="87">
        <v>5</v>
      </c>
      <c r="G3048" s="37"/>
      <c r="H3048" s="37">
        <f>COUNTIF('(参考)現行システム機能階層一覧'!$E$3:$E$1048576,sheet1!B3048)</f>
        <v>0</v>
      </c>
      <c r="I3048" s="37"/>
      <c r="J3048" s="37"/>
      <c r="K3048" s="37"/>
      <c r="L3048" s="37"/>
    </row>
    <row r="3049" spans="1:12" ht="15.75" customHeight="1">
      <c r="A3049" s="87" t="s">
        <v>3853</v>
      </c>
      <c r="B3049" s="87" t="s">
        <v>8552</v>
      </c>
      <c r="C3049" s="87" t="s">
        <v>8553</v>
      </c>
      <c r="D3049" s="88">
        <v>34</v>
      </c>
      <c r="E3049" s="85" t="s">
        <v>7893</v>
      </c>
      <c r="F3049" s="87">
        <v>6</v>
      </c>
      <c r="G3049" s="37"/>
      <c r="H3049" s="37">
        <f>COUNTIF('(参考)現行システム機能階層一覧'!$E$3:$E$1048576,sheet1!B3049)</f>
        <v>0</v>
      </c>
      <c r="I3049" s="37"/>
      <c r="J3049" s="37"/>
      <c r="K3049" s="37"/>
      <c r="L3049" s="37"/>
    </row>
    <row r="3050" spans="1:12" ht="15.75" customHeight="1">
      <c r="A3050" s="87" t="s">
        <v>3935</v>
      </c>
      <c r="B3050" s="87" t="s">
        <v>8554</v>
      </c>
      <c r="C3050" s="87" t="s">
        <v>8555</v>
      </c>
      <c r="D3050" s="88">
        <v>638</v>
      </c>
      <c r="E3050" s="85" t="s">
        <v>7893</v>
      </c>
      <c r="F3050" s="87">
        <v>1896</v>
      </c>
      <c r="G3050" s="37"/>
      <c r="H3050" s="37">
        <f>COUNTIF('(参考)現行システム機能階層一覧'!$E$3:$E$1048576,sheet1!B3050)</f>
        <v>0</v>
      </c>
      <c r="I3050" s="37"/>
      <c r="J3050" s="37"/>
      <c r="K3050" s="37"/>
      <c r="L3050" s="37"/>
    </row>
    <row r="3051" spans="1:12" ht="15.75" customHeight="1">
      <c r="A3051" s="87" t="s">
        <v>3853</v>
      </c>
      <c r="B3051" s="87" t="s">
        <v>8556</v>
      </c>
      <c r="C3051" s="87" t="s">
        <v>8555</v>
      </c>
      <c r="D3051" s="88">
        <v>50</v>
      </c>
      <c r="E3051" s="85" t="s">
        <v>7893</v>
      </c>
      <c r="F3051" s="87">
        <v>1896</v>
      </c>
      <c r="G3051" s="37"/>
      <c r="H3051" s="37">
        <f>COUNTIF('(参考)現行システム機能階層一覧'!$E$3:$E$1048576,sheet1!B3051)</f>
        <v>0</v>
      </c>
      <c r="I3051" s="37"/>
      <c r="J3051" s="37"/>
      <c r="K3051" s="37"/>
      <c r="L3051" s="37"/>
    </row>
    <row r="3052" spans="1:12" ht="15.75" customHeight="1">
      <c r="A3052" s="87" t="s">
        <v>3935</v>
      </c>
      <c r="B3052" s="87" t="s">
        <v>8557</v>
      </c>
      <c r="C3052" s="87" t="s">
        <v>8558</v>
      </c>
      <c r="D3052" s="88">
        <v>1875</v>
      </c>
      <c r="E3052" s="85" t="s">
        <v>7893</v>
      </c>
      <c r="F3052" s="87">
        <v>1896</v>
      </c>
      <c r="G3052" s="37"/>
      <c r="H3052" s="37">
        <f>COUNTIF('(参考)現行システム機能階層一覧'!$E$3:$E$1048576,sheet1!B3052)</f>
        <v>0</v>
      </c>
      <c r="I3052" s="37"/>
      <c r="J3052" s="37"/>
      <c r="K3052" s="37"/>
      <c r="L3052" s="37"/>
    </row>
    <row r="3053" spans="1:12" ht="15.75" customHeight="1">
      <c r="A3053" s="87" t="s">
        <v>3935</v>
      </c>
      <c r="B3053" s="87" t="s">
        <v>8559</v>
      </c>
      <c r="C3053" s="87" t="s">
        <v>8560</v>
      </c>
      <c r="D3053" s="88">
        <v>1848</v>
      </c>
      <c r="E3053" s="85" t="s">
        <v>7893</v>
      </c>
      <c r="F3053" s="87">
        <v>1</v>
      </c>
      <c r="G3053" s="37"/>
      <c r="H3053" s="37">
        <f>COUNTIF('(参考)現行システム機能階層一覧'!$E$3:$E$1048576,sheet1!B3053)</f>
        <v>0</v>
      </c>
      <c r="I3053" s="37"/>
      <c r="J3053" s="37"/>
      <c r="K3053" s="37"/>
      <c r="L3053" s="37"/>
    </row>
    <row r="3054" spans="1:12" ht="15.75" customHeight="1">
      <c r="A3054" s="87" t="s">
        <v>3853</v>
      </c>
      <c r="B3054" s="87" t="s">
        <v>8561</v>
      </c>
      <c r="C3054" s="87" t="s">
        <v>8562</v>
      </c>
      <c r="D3054" s="88">
        <v>22</v>
      </c>
      <c r="E3054" s="85" t="s">
        <v>7893</v>
      </c>
      <c r="F3054" s="87">
        <v>1896</v>
      </c>
      <c r="G3054" s="37"/>
      <c r="H3054" s="37">
        <f>COUNTIF('(参考)現行システム機能階層一覧'!$E$3:$E$1048576,sheet1!B3054)</f>
        <v>0</v>
      </c>
      <c r="I3054" s="37"/>
      <c r="J3054" s="37"/>
      <c r="K3054" s="37"/>
      <c r="L3054" s="37"/>
    </row>
    <row r="3055" spans="1:12" ht="15.75" customHeight="1">
      <c r="A3055" s="87" t="s">
        <v>3853</v>
      </c>
      <c r="B3055" s="87" t="s">
        <v>8563</v>
      </c>
      <c r="C3055" s="87" t="s">
        <v>8562</v>
      </c>
      <c r="D3055" s="88">
        <v>22</v>
      </c>
      <c r="E3055" s="85" t="s">
        <v>7893</v>
      </c>
      <c r="F3055" s="87">
        <v>1</v>
      </c>
      <c r="G3055" s="37"/>
      <c r="H3055" s="37">
        <f>COUNTIF('(参考)現行システム機能階層一覧'!$E$3:$E$1048576,sheet1!B3055)</f>
        <v>0</v>
      </c>
      <c r="I3055" s="37"/>
      <c r="J3055" s="37"/>
      <c r="K3055" s="37"/>
      <c r="L3055" s="37"/>
    </row>
    <row r="3056" spans="1:12" ht="15.75" customHeight="1">
      <c r="A3056" s="87" t="s">
        <v>3853</v>
      </c>
      <c r="B3056" s="87" t="s">
        <v>8564</v>
      </c>
      <c r="C3056" s="87" t="s">
        <v>8562</v>
      </c>
      <c r="D3056" s="88">
        <v>22</v>
      </c>
      <c r="E3056" s="85" t="s">
        <v>7893</v>
      </c>
      <c r="F3056" s="87">
        <v>1</v>
      </c>
      <c r="G3056" s="37"/>
      <c r="H3056" s="37">
        <f>COUNTIF('(参考)現行システム機能階層一覧'!$E$3:$E$1048576,sheet1!B3056)</f>
        <v>0</v>
      </c>
      <c r="I3056" s="37"/>
      <c r="J3056" s="37"/>
      <c r="K3056" s="37"/>
      <c r="L3056" s="37"/>
    </row>
    <row r="3057" spans="1:12" ht="15.75" customHeight="1">
      <c r="A3057" s="87" t="s">
        <v>3853</v>
      </c>
      <c r="B3057" s="87" t="s">
        <v>8565</v>
      </c>
      <c r="C3057" s="87" t="s">
        <v>8566</v>
      </c>
      <c r="D3057" s="88">
        <v>123</v>
      </c>
      <c r="E3057" s="85" t="s">
        <v>7893</v>
      </c>
      <c r="F3057" s="87">
        <v>1896</v>
      </c>
      <c r="G3057" s="37"/>
      <c r="H3057" s="37">
        <f>COUNTIF('(参考)現行システム機能階層一覧'!$E$3:$E$1048576,sheet1!B3057)</f>
        <v>0</v>
      </c>
      <c r="I3057" s="37"/>
      <c r="J3057" s="37"/>
      <c r="K3057" s="37"/>
      <c r="L3057" s="37"/>
    </row>
    <row r="3058" spans="1:12" ht="15.75" customHeight="1">
      <c r="A3058" s="87" t="s">
        <v>3853</v>
      </c>
      <c r="B3058" s="87" t="s">
        <v>8567</v>
      </c>
      <c r="C3058" s="87" t="s">
        <v>8566</v>
      </c>
      <c r="D3058" s="88">
        <v>124</v>
      </c>
      <c r="E3058" s="85" t="s">
        <v>7893</v>
      </c>
      <c r="F3058" s="87">
        <v>1</v>
      </c>
      <c r="G3058" s="37"/>
      <c r="H3058" s="37">
        <f>COUNTIF('(参考)現行システム機能階層一覧'!$E$3:$E$1048576,sheet1!B3058)</f>
        <v>0</v>
      </c>
      <c r="I3058" s="37"/>
      <c r="J3058" s="37"/>
      <c r="K3058" s="37"/>
      <c r="L3058" s="37"/>
    </row>
    <row r="3059" spans="1:12" ht="15.75" customHeight="1">
      <c r="A3059" s="87" t="s">
        <v>3853</v>
      </c>
      <c r="B3059" s="87" t="s">
        <v>8568</v>
      </c>
      <c r="C3059" s="87" t="s">
        <v>8566</v>
      </c>
      <c r="D3059" s="88">
        <v>123</v>
      </c>
      <c r="E3059" s="85" t="s">
        <v>7893</v>
      </c>
      <c r="F3059" s="87">
        <v>1</v>
      </c>
      <c r="G3059" s="37"/>
      <c r="H3059" s="37">
        <f>COUNTIF('(参考)現行システム機能階層一覧'!$E$3:$E$1048576,sheet1!B3059)</f>
        <v>0</v>
      </c>
      <c r="I3059" s="37"/>
      <c r="J3059" s="37"/>
      <c r="K3059" s="37"/>
      <c r="L3059" s="37"/>
    </row>
    <row r="3060" spans="1:12" ht="15.75" customHeight="1">
      <c r="A3060" s="87" t="s">
        <v>3935</v>
      </c>
      <c r="B3060" s="87" t="s">
        <v>8569</v>
      </c>
      <c r="C3060" s="87" t="s">
        <v>8570</v>
      </c>
      <c r="D3060" s="88">
        <v>337</v>
      </c>
      <c r="E3060" s="85" t="s">
        <v>7893</v>
      </c>
      <c r="F3060" s="87">
        <v>1896</v>
      </c>
      <c r="G3060" s="37"/>
      <c r="H3060" s="37">
        <f>COUNTIF('(参考)現行システム機能階層一覧'!$E$3:$E$1048576,sheet1!B3060)</f>
        <v>0</v>
      </c>
      <c r="I3060" s="37"/>
      <c r="J3060" s="37"/>
      <c r="K3060" s="37"/>
      <c r="L3060" s="37"/>
    </row>
    <row r="3061" spans="1:12" ht="15.75" customHeight="1">
      <c r="A3061" s="87" t="s">
        <v>3853</v>
      </c>
      <c r="B3061" s="87" t="s">
        <v>8571</v>
      </c>
      <c r="C3061" s="87" t="s">
        <v>8572</v>
      </c>
      <c r="D3061" s="88">
        <v>7</v>
      </c>
      <c r="E3061" s="85" t="s">
        <v>7893</v>
      </c>
      <c r="F3061" s="87">
        <v>2</v>
      </c>
      <c r="G3061" s="37"/>
      <c r="H3061" s="37">
        <f>COUNTIF('(参考)現行システム機能階層一覧'!$E$3:$E$1048576,sheet1!B3061)</f>
        <v>0</v>
      </c>
      <c r="I3061" s="37"/>
      <c r="J3061" s="37"/>
      <c r="K3061" s="37"/>
      <c r="L3061" s="37"/>
    </row>
    <row r="3062" spans="1:12" ht="15.75" customHeight="1">
      <c r="A3062" s="87" t="s">
        <v>3853</v>
      </c>
      <c r="B3062" s="87" t="s">
        <v>8573</v>
      </c>
      <c r="C3062" s="87" t="s">
        <v>8574</v>
      </c>
      <c r="D3062" s="88">
        <v>63</v>
      </c>
      <c r="E3062" s="85" t="s">
        <v>8575</v>
      </c>
      <c r="F3062" s="87">
        <v>92</v>
      </c>
      <c r="G3062" s="37"/>
      <c r="H3062" s="37">
        <f>COUNTIF('(参考)現行システム機能階層一覧'!$E$3:$E$1048576,sheet1!B3062)</f>
        <v>0</v>
      </c>
      <c r="I3062" s="37"/>
      <c r="J3062" s="37"/>
      <c r="K3062" s="37"/>
      <c r="L3062" s="37"/>
    </row>
    <row r="3063" spans="1:12" ht="15.75" customHeight="1">
      <c r="A3063" s="87" t="s">
        <v>3935</v>
      </c>
      <c r="B3063" s="87" t="s">
        <v>3684</v>
      </c>
      <c r="C3063" s="87" t="s">
        <v>8576</v>
      </c>
      <c r="D3063" s="88">
        <v>848</v>
      </c>
      <c r="E3063" s="85" t="s">
        <v>8577</v>
      </c>
      <c r="F3063" s="87">
        <v>60</v>
      </c>
      <c r="G3063" s="37"/>
      <c r="H3063" s="37">
        <f>COUNTIF('(参考)現行システム機能階層一覧'!$E$3:$E$1048576,sheet1!B3063)</f>
        <v>1</v>
      </c>
      <c r="I3063" s="37"/>
      <c r="J3063" s="37"/>
      <c r="K3063" s="37"/>
      <c r="L3063" s="37"/>
    </row>
    <row r="3064" spans="1:12" ht="15.75" customHeight="1">
      <c r="A3064" s="87" t="s">
        <v>3853</v>
      </c>
      <c r="B3064" s="87" t="s">
        <v>8578</v>
      </c>
      <c r="C3064" s="87" t="s">
        <v>8576</v>
      </c>
      <c r="D3064" s="88">
        <v>25</v>
      </c>
      <c r="E3064" s="85" t="s">
        <v>8577</v>
      </c>
      <c r="F3064" s="87">
        <v>60</v>
      </c>
      <c r="G3064" s="37"/>
      <c r="H3064" s="37">
        <f>COUNTIF('(参考)現行システム機能階層一覧'!$E$3:$E$1048576,sheet1!B3064)</f>
        <v>0</v>
      </c>
      <c r="I3064" s="37"/>
      <c r="J3064" s="37"/>
      <c r="K3064" s="37"/>
      <c r="L3064" s="37"/>
    </row>
    <row r="3065" spans="1:12" ht="15.75" customHeight="1">
      <c r="A3065" s="87" t="s">
        <v>3935</v>
      </c>
      <c r="B3065" s="87" t="s">
        <v>3687</v>
      </c>
      <c r="C3065" s="87" t="s">
        <v>8579</v>
      </c>
      <c r="D3065" s="88">
        <v>672</v>
      </c>
      <c r="E3065" s="85" t="s">
        <v>8577</v>
      </c>
      <c r="F3065" s="87">
        <v>2</v>
      </c>
      <c r="G3065" s="37"/>
      <c r="H3065" s="37">
        <f>COUNTIF('(参考)現行システム機能階層一覧'!$E$3:$E$1048576,sheet1!B3065)</f>
        <v>1</v>
      </c>
      <c r="I3065" s="37"/>
      <c r="J3065" s="37"/>
      <c r="K3065" s="37"/>
      <c r="L3065" s="37"/>
    </row>
    <row r="3066" spans="1:12" ht="15.75" customHeight="1">
      <c r="A3066" s="87" t="s">
        <v>3935</v>
      </c>
      <c r="B3066" s="87" t="s">
        <v>3693</v>
      </c>
      <c r="C3066" s="87" t="s">
        <v>8580</v>
      </c>
      <c r="D3066" s="88">
        <v>579</v>
      </c>
      <c r="E3066" s="85" t="s">
        <v>8577</v>
      </c>
      <c r="F3066" s="87">
        <v>61</v>
      </c>
      <c r="G3066" s="37"/>
      <c r="H3066" s="37">
        <f>COUNTIF('(参考)現行システム機能階層一覧'!$E$3:$E$1048576,sheet1!B3066)</f>
        <v>1</v>
      </c>
      <c r="I3066" s="37"/>
      <c r="J3066" s="37"/>
      <c r="K3066" s="37"/>
      <c r="L3066" s="37"/>
    </row>
    <row r="3067" spans="1:12" ht="15.75" customHeight="1">
      <c r="A3067" s="87" t="s">
        <v>3935</v>
      </c>
      <c r="B3067" s="87" t="s">
        <v>3690</v>
      </c>
      <c r="C3067" s="87" t="s">
        <v>8581</v>
      </c>
      <c r="D3067" s="88">
        <v>663</v>
      </c>
      <c r="E3067" s="85" t="s">
        <v>8577</v>
      </c>
      <c r="F3067" s="87">
        <v>57</v>
      </c>
      <c r="G3067" s="37"/>
      <c r="H3067" s="37">
        <f>COUNTIF('(参考)現行システム機能階層一覧'!$E$3:$E$1048576,sheet1!B3067)</f>
        <v>1</v>
      </c>
      <c r="I3067" s="37"/>
      <c r="J3067" s="37"/>
      <c r="K3067" s="37"/>
      <c r="L3067" s="37"/>
    </row>
    <row r="3068" spans="1:12" ht="15.75" customHeight="1">
      <c r="A3068" s="87" t="s">
        <v>3935</v>
      </c>
      <c r="B3068" s="87" t="s">
        <v>3699</v>
      </c>
      <c r="C3068" s="87" t="s">
        <v>8582</v>
      </c>
      <c r="D3068" s="88">
        <v>151</v>
      </c>
      <c r="E3068" s="85" t="s">
        <v>8577</v>
      </c>
      <c r="F3068" s="87">
        <v>57</v>
      </c>
      <c r="G3068" s="37"/>
      <c r="H3068" s="37">
        <f>COUNTIF('(参考)現行システム機能階層一覧'!$E$3:$E$1048576,sheet1!B3068)</f>
        <v>1</v>
      </c>
      <c r="I3068" s="37"/>
      <c r="J3068" s="37"/>
      <c r="K3068" s="37"/>
      <c r="L3068" s="37"/>
    </row>
    <row r="3069" spans="1:12" ht="15.75" customHeight="1">
      <c r="A3069" s="87" t="s">
        <v>3853</v>
      </c>
      <c r="B3069" s="87" t="s">
        <v>8583</v>
      </c>
      <c r="C3069" s="87" t="s">
        <v>7724</v>
      </c>
      <c r="D3069" s="88">
        <v>45</v>
      </c>
      <c r="E3069" s="85" t="s">
        <v>8577</v>
      </c>
      <c r="F3069" s="87">
        <v>4</v>
      </c>
      <c r="G3069" s="37"/>
      <c r="H3069" s="37">
        <f>COUNTIF('(参考)現行システム機能階層一覧'!$E$3:$E$1048576,sheet1!B3069)</f>
        <v>0</v>
      </c>
      <c r="I3069" s="37"/>
      <c r="J3069" s="37"/>
      <c r="K3069" s="37"/>
      <c r="L3069" s="37"/>
    </row>
    <row r="3070" spans="1:12" ht="15.75" customHeight="1">
      <c r="A3070" s="87" t="s">
        <v>3935</v>
      </c>
      <c r="B3070" s="87" t="s">
        <v>8584</v>
      </c>
      <c r="C3070" s="87" t="s">
        <v>8585</v>
      </c>
      <c r="D3070" s="88">
        <v>216</v>
      </c>
      <c r="E3070" s="85" t="s">
        <v>8577</v>
      </c>
      <c r="F3070" s="87">
        <v>54</v>
      </c>
      <c r="G3070" s="37"/>
      <c r="H3070" s="37">
        <f>COUNTIF('(参考)現行システム機能階層一覧'!$E$3:$E$1048576,sheet1!B3070)</f>
        <v>0</v>
      </c>
      <c r="I3070" s="37"/>
      <c r="J3070" s="37"/>
      <c r="K3070" s="37"/>
      <c r="L3070" s="37"/>
    </row>
    <row r="3071" spans="1:12" ht="15.75" customHeight="1">
      <c r="A3071" s="87" t="s">
        <v>3935</v>
      </c>
      <c r="B3071" s="87" t="s">
        <v>8586</v>
      </c>
      <c r="C3071" s="87" t="s">
        <v>8587</v>
      </c>
      <c r="D3071" s="88">
        <v>216</v>
      </c>
      <c r="E3071" s="85" t="s">
        <v>8577</v>
      </c>
      <c r="F3071" s="87">
        <v>54</v>
      </c>
      <c r="G3071" s="37"/>
      <c r="H3071" s="37">
        <f>COUNTIF('(参考)現行システム機能階層一覧'!$E$3:$E$1048576,sheet1!B3071)</f>
        <v>0</v>
      </c>
      <c r="I3071" s="37"/>
      <c r="J3071" s="37"/>
      <c r="K3071" s="37"/>
      <c r="L3071" s="37"/>
    </row>
    <row r="3072" spans="1:12" ht="15.75" customHeight="1">
      <c r="A3072" s="87" t="s">
        <v>3935</v>
      </c>
      <c r="B3072" s="87" t="s">
        <v>8588</v>
      </c>
      <c r="C3072" s="87" t="s">
        <v>8589</v>
      </c>
      <c r="D3072" s="88">
        <v>226</v>
      </c>
      <c r="E3072" s="85" t="s">
        <v>8577</v>
      </c>
      <c r="F3072" s="87">
        <v>54</v>
      </c>
      <c r="G3072" s="37"/>
      <c r="H3072" s="37">
        <f>COUNTIF('(参考)現行システム機能階層一覧'!$E$3:$E$1048576,sheet1!B3072)</f>
        <v>0</v>
      </c>
      <c r="I3072" s="37"/>
      <c r="J3072" s="37"/>
      <c r="K3072" s="37"/>
      <c r="L3072" s="37"/>
    </row>
    <row r="3073" spans="1:12" ht="15.75" customHeight="1">
      <c r="A3073" s="87" t="s">
        <v>3935</v>
      </c>
      <c r="B3073" s="87" t="s">
        <v>8590</v>
      </c>
      <c r="C3073" s="87" t="s">
        <v>8591</v>
      </c>
      <c r="D3073" s="88">
        <v>226</v>
      </c>
      <c r="E3073" s="85" t="s">
        <v>8577</v>
      </c>
      <c r="F3073" s="87">
        <v>54</v>
      </c>
      <c r="G3073" s="37"/>
      <c r="H3073" s="37">
        <f>COUNTIF('(参考)現行システム機能階層一覧'!$E$3:$E$1048576,sheet1!B3073)</f>
        <v>0</v>
      </c>
      <c r="I3073" s="37"/>
      <c r="J3073" s="37"/>
      <c r="K3073" s="37"/>
      <c r="L3073" s="37"/>
    </row>
    <row r="3074" spans="1:12" ht="15.75" customHeight="1">
      <c r="A3074" s="87" t="s">
        <v>3935</v>
      </c>
      <c r="B3074" s="87" t="s">
        <v>8592</v>
      </c>
      <c r="C3074" s="87" t="s">
        <v>8593</v>
      </c>
      <c r="D3074" s="88">
        <v>227</v>
      </c>
      <c r="E3074" s="85" t="s">
        <v>8577</v>
      </c>
      <c r="F3074" s="87">
        <v>54</v>
      </c>
      <c r="G3074" s="37"/>
      <c r="H3074" s="37">
        <f>COUNTIF('(参考)現行システム機能階層一覧'!$E$3:$E$1048576,sheet1!B3074)</f>
        <v>0</v>
      </c>
      <c r="I3074" s="37"/>
      <c r="J3074" s="37"/>
      <c r="K3074" s="37"/>
      <c r="L3074" s="37"/>
    </row>
    <row r="3075" spans="1:12" ht="15.75" customHeight="1">
      <c r="A3075" s="87" t="s">
        <v>3935</v>
      </c>
      <c r="B3075" s="87" t="s">
        <v>8594</v>
      </c>
      <c r="C3075" s="87" t="s">
        <v>8595</v>
      </c>
      <c r="D3075" s="88">
        <v>226</v>
      </c>
      <c r="E3075" s="85" t="s">
        <v>8577</v>
      </c>
      <c r="F3075" s="87">
        <v>54</v>
      </c>
      <c r="G3075" s="37"/>
      <c r="H3075" s="37">
        <f>COUNTIF('(参考)現行システム機能階層一覧'!$E$3:$E$1048576,sheet1!B3075)</f>
        <v>0</v>
      </c>
      <c r="I3075" s="37"/>
      <c r="J3075" s="37"/>
      <c r="K3075" s="37"/>
      <c r="L3075" s="37"/>
    </row>
    <row r="3076" spans="1:12" ht="15.75" customHeight="1">
      <c r="A3076" s="87" t="s">
        <v>3935</v>
      </c>
      <c r="B3076" s="87" t="s">
        <v>8596</v>
      </c>
      <c r="C3076" s="87" t="s">
        <v>8597</v>
      </c>
      <c r="D3076" s="88">
        <v>227</v>
      </c>
      <c r="E3076" s="85" t="s">
        <v>8577</v>
      </c>
      <c r="F3076" s="87">
        <v>54</v>
      </c>
      <c r="G3076" s="37"/>
      <c r="H3076" s="37">
        <f>COUNTIF('(参考)現行システム機能階層一覧'!$E$3:$E$1048576,sheet1!B3076)</f>
        <v>0</v>
      </c>
      <c r="I3076" s="37"/>
      <c r="J3076" s="37"/>
      <c r="K3076" s="37"/>
      <c r="L3076" s="37"/>
    </row>
    <row r="3077" spans="1:12" ht="15.75" customHeight="1">
      <c r="A3077" s="87" t="s">
        <v>3935</v>
      </c>
      <c r="B3077" s="87" t="s">
        <v>8598</v>
      </c>
      <c r="C3077" s="87" t="s">
        <v>8599</v>
      </c>
      <c r="D3077" s="88">
        <v>226</v>
      </c>
      <c r="E3077" s="85" t="s">
        <v>8577</v>
      </c>
      <c r="F3077" s="87">
        <v>54</v>
      </c>
      <c r="G3077" s="37"/>
      <c r="H3077" s="37">
        <f>COUNTIF('(参考)現行システム機能階層一覧'!$E$3:$E$1048576,sheet1!B3077)</f>
        <v>0</v>
      </c>
      <c r="I3077" s="37"/>
      <c r="J3077" s="37"/>
      <c r="K3077" s="37"/>
      <c r="L3077" s="37"/>
    </row>
    <row r="3078" spans="1:12" ht="15.75" customHeight="1">
      <c r="A3078" s="87" t="s">
        <v>3935</v>
      </c>
      <c r="B3078" s="87" t="s">
        <v>8600</v>
      </c>
      <c r="C3078" s="87" t="s">
        <v>8601</v>
      </c>
      <c r="D3078" s="88">
        <v>218</v>
      </c>
      <c r="E3078" s="85" t="s">
        <v>8577</v>
      </c>
      <c r="F3078" s="87">
        <v>1</v>
      </c>
      <c r="G3078" s="37"/>
      <c r="H3078" s="37">
        <f>COUNTIF('(参考)現行システム機能階層一覧'!$E$3:$E$1048576,sheet1!B3078)</f>
        <v>0</v>
      </c>
      <c r="I3078" s="37"/>
      <c r="J3078" s="37"/>
      <c r="K3078" s="37"/>
      <c r="L3078" s="37"/>
    </row>
    <row r="3079" spans="1:12" ht="15.75" customHeight="1">
      <c r="A3079" s="87" t="s">
        <v>3935</v>
      </c>
      <c r="B3079" s="87" t="s">
        <v>8602</v>
      </c>
      <c r="C3079" s="87" t="s">
        <v>8603</v>
      </c>
      <c r="D3079" s="88">
        <v>81</v>
      </c>
      <c r="E3079" s="85" t="s">
        <v>8577</v>
      </c>
      <c r="F3079" s="87">
        <v>54</v>
      </c>
      <c r="G3079" s="37"/>
      <c r="H3079" s="37">
        <f>COUNTIF('(参考)現行システム機能階層一覧'!$E$3:$E$1048576,sheet1!B3079)</f>
        <v>0</v>
      </c>
      <c r="I3079" s="37"/>
      <c r="J3079" s="37"/>
      <c r="K3079" s="37"/>
      <c r="L3079" s="37"/>
    </row>
    <row r="3080" spans="1:12" ht="15.75" customHeight="1">
      <c r="A3080" s="87" t="s">
        <v>3935</v>
      </c>
      <c r="B3080" s="87" t="s">
        <v>8604</v>
      </c>
      <c r="C3080" s="87" t="s">
        <v>8605</v>
      </c>
      <c r="D3080" s="88">
        <v>226</v>
      </c>
      <c r="E3080" s="85" t="s">
        <v>8577</v>
      </c>
      <c r="F3080" s="87">
        <v>54</v>
      </c>
      <c r="G3080" s="37"/>
      <c r="H3080" s="37">
        <f>COUNTIF('(参考)現行システム機能階層一覧'!$E$3:$E$1048576,sheet1!B3080)</f>
        <v>0</v>
      </c>
      <c r="I3080" s="37"/>
      <c r="J3080" s="37"/>
      <c r="K3080" s="37"/>
      <c r="L3080" s="37"/>
    </row>
    <row r="3081" spans="1:12" ht="15.75" customHeight="1">
      <c r="A3081" s="87" t="s">
        <v>3935</v>
      </c>
      <c r="B3081" s="87" t="s">
        <v>8606</v>
      </c>
      <c r="C3081" s="87" t="s">
        <v>8607</v>
      </c>
      <c r="D3081" s="88">
        <v>216</v>
      </c>
      <c r="E3081" s="85" t="s">
        <v>8577</v>
      </c>
      <c r="F3081" s="87">
        <v>54</v>
      </c>
      <c r="G3081" s="37"/>
      <c r="H3081" s="37">
        <f>COUNTIF('(参考)現行システム機能階層一覧'!$E$3:$E$1048576,sheet1!B3081)</f>
        <v>0</v>
      </c>
      <c r="I3081" s="37"/>
      <c r="J3081" s="37"/>
      <c r="K3081" s="37"/>
      <c r="L3081" s="37"/>
    </row>
    <row r="3082" spans="1:12" ht="15.75" customHeight="1">
      <c r="A3082" s="87" t="s">
        <v>3935</v>
      </c>
      <c r="B3082" s="87" t="s">
        <v>8608</v>
      </c>
      <c r="C3082" s="87" t="s">
        <v>8609</v>
      </c>
      <c r="D3082" s="88">
        <v>226</v>
      </c>
      <c r="E3082" s="85" t="s">
        <v>8577</v>
      </c>
      <c r="F3082" s="87">
        <v>54</v>
      </c>
      <c r="G3082" s="37"/>
      <c r="H3082" s="37">
        <f>COUNTIF('(参考)現行システム機能階層一覧'!$E$3:$E$1048576,sheet1!B3082)</f>
        <v>0</v>
      </c>
      <c r="I3082" s="37"/>
      <c r="J3082" s="37"/>
      <c r="K3082" s="37"/>
      <c r="L3082" s="37"/>
    </row>
    <row r="3083" spans="1:12" ht="15.75" customHeight="1">
      <c r="A3083" s="87" t="s">
        <v>3935</v>
      </c>
      <c r="B3083" s="87" t="s">
        <v>8610</v>
      </c>
      <c r="C3083" s="87" t="s">
        <v>8611</v>
      </c>
      <c r="D3083" s="88">
        <v>224</v>
      </c>
      <c r="E3083" s="85" t="s">
        <v>8577</v>
      </c>
      <c r="F3083" s="87">
        <v>54</v>
      </c>
      <c r="G3083" s="37"/>
      <c r="H3083" s="37">
        <f>COUNTIF('(参考)現行システム機能階層一覧'!$E$3:$E$1048576,sheet1!B3083)</f>
        <v>0</v>
      </c>
      <c r="I3083" s="37"/>
      <c r="J3083" s="37"/>
      <c r="K3083" s="37"/>
      <c r="L3083" s="37"/>
    </row>
    <row r="3084" spans="1:12" ht="15.75" customHeight="1">
      <c r="A3084" s="87" t="s">
        <v>3935</v>
      </c>
      <c r="B3084" s="87" t="s">
        <v>3696</v>
      </c>
      <c r="C3084" s="87" t="s">
        <v>8612</v>
      </c>
      <c r="D3084" s="88">
        <v>144</v>
      </c>
      <c r="E3084" s="85" t="s">
        <v>8577</v>
      </c>
      <c r="F3084" s="87">
        <v>54</v>
      </c>
      <c r="G3084" s="37"/>
      <c r="H3084" s="37">
        <f>COUNTIF('(参考)現行システム機能階層一覧'!$E$3:$E$1048576,sheet1!B3084)</f>
        <v>1</v>
      </c>
      <c r="I3084" s="37"/>
      <c r="J3084" s="37"/>
      <c r="K3084" s="37"/>
      <c r="L3084" s="37"/>
    </row>
    <row r="3085" spans="1:12" ht="15.75" customHeight="1">
      <c r="A3085" s="87" t="s">
        <v>3935</v>
      </c>
      <c r="B3085" s="87" t="s">
        <v>8613</v>
      </c>
      <c r="C3085" s="87" t="s">
        <v>8614</v>
      </c>
      <c r="D3085" s="88">
        <v>227</v>
      </c>
      <c r="E3085" s="85" t="s">
        <v>8577</v>
      </c>
      <c r="F3085" s="87">
        <v>26</v>
      </c>
      <c r="G3085" s="37"/>
      <c r="H3085" s="37">
        <f>COUNTIF('(参考)現行システム機能階層一覧'!$E$3:$E$1048576,sheet1!B3085)</f>
        <v>0</v>
      </c>
      <c r="I3085" s="37"/>
      <c r="J3085" s="37"/>
      <c r="K3085" s="37"/>
      <c r="L3085" s="37"/>
    </row>
    <row r="3086" spans="1:12" ht="15.75" customHeight="1">
      <c r="A3086" s="87" t="s">
        <v>3935</v>
      </c>
      <c r="B3086" s="87" t="s">
        <v>8615</v>
      </c>
      <c r="C3086" s="87" t="s">
        <v>8616</v>
      </c>
      <c r="D3086" s="88">
        <v>230</v>
      </c>
      <c r="E3086" s="85" t="s">
        <v>8577</v>
      </c>
      <c r="F3086" s="87">
        <v>3</v>
      </c>
      <c r="G3086" s="37"/>
      <c r="H3086" s="37">
        <f>COUNTIF('(参考)現行システム機能階層一覧'!$E$3:$E$1048576,sheet1!B3086)</f>
        <v>0</v>
      </c>
      <c r="I3086" s="37"/>
      <c r="J3086" s="37"/>
      <c r="K3086" s="37"/>
      <c r="L3086" s="37"/>
    </row>
    <row r="3087" spans="1:12" ht="15.75" customHeight="1">
      <c r="A3087" s="87" t="s">
        <v>3935</v>
      </c>
      <c r="B3087" s="87" t="s">
        <v>3705</v>
      </c>
      <c r="C3087" s="87" t="s">
        <v>3734</v>
      </c>
      <c r="D3087" s="88">
        <v>470</v>
      </c>
      <c r="E3087" s="85" t="s">
        <v>8577</v>
      </c>
      <c r="F3087" s="87">
        <v>2</v>
      </c>
      <c r="G3087" s="37"/>
      <c r="H3087" s="37">
        <f>COUNTIF('(参考)現行システム機能階層一覧'!$E$3:$E$1048576,sheet1!B3087)</f>
        <v>1</v>
      </c>
      <c r="I3087" s="37"/>
      <c r="J3087" s="37"/>
      <c r="K3087" s="37"/>
      <c r="L3087" s="37"/>
    </row>
    <row r="3088" spans="1:12" ht="15.75" customHeight="1">
      <c r="A3088" s="87" t="s">
        <v>3935</v>
      </c>
      <c r="B3088" s="87" t="s">
        <v>8617</v>
      </c>
      <c r="C3088" s="87" t="s">
        <v>8618</v>
      </c>
      <c r="D3088" s="88">
        <v>151</v>
      </c>
      <c r="E3088" s="85" t="s">
        <v>8577</v>
      </c>
      <c r="F3088" s="87">
        <v>55</v>
      </c>
      <c r="G3088" s="37"/>
      <c r="H3088" s="37">
        <f>COUNTIF('(参考)現行システム機能階層一覧'!$E$3:$E$1048576,sheet1!B3088)</f>
        <v>0</v>
      </c>
      <c r="I3088" s="37"/>
      <c r="J3088" s="37"/>
      <c r="K3088" s="37"/>
      <c r="L3088" s="37"/>
    </row>
    <row r="3089" spans="1:12" ht="15.75" customHeight="1">
      <c r="A3089" s="87" t="s">
        <v>3853</v>
      </c>
      <c r="B3089" s="87" t="s">
        <v>8619</v>
      </c>
      <c r="C3089" s="87" t="s">
        <v>3737</v>
      </c>
      <c r="D3089" s="88">
        <v>79</v>
      </c>
      <c r="E3089" s="85" t="s">
        <v>8577</v>
      </c>
      <c r="F3089" s="87">
        <v>56</v>
      </c>
      <c r="G3089" s="37"/>
      <c r="H3089" s="37">
        <f>COUNTIF('(参考)現行システム機能階層一覧'!$E$3:$E$1048576,sheet1!B3089)</f>
        <v>0</v>
      </c>
      <c r="I3089" s="37"/>
      <c r="J3089" s="37"/>
      <c r="K3089" s="37"/>
      <c r="L3089" s="37"/>
    </row>
    <row r="3090" spans="1:12" ht="15.75" customHeight="1">
      <c r="A3090" s="87" t="s">
        <v>3935</v>
      </c>
      <c r="B3090" s="87" t="s">
        <v>3708</v>
      </c>
      <c r="C3090" s="87" t="s">
        <v>8620</v>
      </c>
      <c r="D3090" s="88">
        <v>120</v>
      </c>
      <c r="E3090" s="85" t="s">
        <v>8577</v>
      </c>
      <c r="F3090" s="87">
        <v>56</v>
      </c>
      <c r="G3090" s="37"/>
      <c r="H3090" s="37">
        <f>COUNTIF('(参考)現行システム機能階層一覧'!$E$3:$E$1048576,sheet1!B3090)</f>
        <v>1</v>
      </c>
      <c r="I3090" s="37"/>
      <c r="J3090" s="37"/>
      <c r="K3090" s="37"/>
      <c r="L3090" s="37"/>
    </row>
    <row r="3091" spans="1:12" ht="15.75" customHeight="1">
      <c r="A3091" s="87" t="s">
        <v>3935</v>
      </c>
      <c r="B3091" s="87" t="s">
        <v>8621</v>
      </c>
      <c r="C3091" s="87" t="s">
        <v>8622</v>
      </c>
      <c r="D3091" s="88">
        <v>457</v>
      </c>
      <c r="E3091" s="85" t="s">
        <v>8577</v>
      </c>
      <c r="F3091" s="87">
        <v>3</v>
      </c>
      <c r="G3091" s="37"/>
      <c r="H3091" s="37">
        <f>COUNTIF('(参考)現行システム機能階層一覧'!$E$3:$E$1048576,sheet1!B3091)</f>
        <v>0</v>
      </c>
      <c r="I3091" s="37"/>
      <c r="J3091" s="37"/>
      <c r="K3091" s="37"/>
      <c r="L3091" s="37"/>
    </row>
    <row r="3092" spans="1:12" ht="15.75" customHeight="1">
      <c r="A3092" s="87" t="s">
        <v>3853</v>
      </c>
      <c r="B3092" s="87" t="s">
        <v>8623</v>
      </c>
      <c r="C3092" s="87" t="s">
        <v>8624</v>
      </c>
      <c r="D3092" s="88">
        <v>60</v>
      </c>
      <c r="E3092" s="85" t="s">
        <v>8625</v>
      </c>
      <c r="F3092" s="87">
        <v>1</v>
      </c>
      <c r="G3092" s="37"/>
      <c r="H3092" s="37">
        <f>COUNTIF('(参考)現行システム機能階層一覧'!$E$3:$E$1048576,sheet1!B3092)</f>
        <v>0</v>
      </c>
      <c r="I3092" s="37"/>
      <c r="J3092" s="37"/>
      <c r="K3092" s="37"/>
      <c r="L3092" s="37"/>
    </row>
    <row r="3093" spans="1:12" ht="15.75" customHeight="1">
      <c r="A3093" s="87" t="s">
        <v>3935</v>
      </c>
      <c r="B3093" s="87" t="s">
        <v>8626</v>
      </c>
      <c r="C3093" s="87" t="s">
        <v>8627</v>
      </c>
      <c r="D3093" s="88">
        <v>26</v>
      </c>
      <c r="E3093" s="85" t="s">
        <v>8628</v>
      </c>
      <c r="F3093" s="87">
        <v>124</v>
      </c>
      <c r="G3093" s="37"/>
      <c r="H3093" s="37">
        <f>COUNTIF('(参考)現行システム機能階層一覧'!$E$3:$E$1048576,sheet1!B3093)</f>
        <v>0</v>
      </c>
      <c r="I3093" s="37"/>
      <c r="J3093" s="37"/>
      <c r="K3093" s="37"/>
      <c r="L3093" s="37"/>
    </row>
    <row r="3094" spans="1:12" ht="15.75" customHeight="1">
      <c r="A3094" s="87" t="s">
        <v>3853</v>
      </c>
      <c r="B3094" s="87" t="s">
        <v>8629</v>
      </c>
      <c r="C3094" s="87" t="s">
        <v>8630</v>
      </c>
      <c r="D3094" s="88">
        <v>62</v>
      </c>
      <c r="E3094" s="85" t="s">
        <v>8631</v>
      </c>
      <c r="F3094" s="87">
        <v>10</v>
      </c>
      <c r="G3094" s="37"/>
      <c r="H3094" s="37">
        <f>COUNTIF('(参考)現行システム機能階層一覧'!$E$3:$E$1048576,sheet1!B3094)</f>
        <v>0</v>
      </c>
      <c r="I3094" s="37"/>
      <c r="J3094" s="37"/>
      <c r="K3094" s="37"/>
      <c r="L3094" s="37"/>
    </row>
    <row r="3095" spans="1:12" ht="15.75" customHeight="1">
      <c r="A3095" s="87" t="s">
        <v>3853</v>
      </c>
      <c r="B3095" s="87" t="s">
        <v>8632</v>
      </c>
      <c r="C3095" s="87" t="s">
        <v>8633</v>
      </c>
      <c r="D3095" s="88">
        <v>80</v>
      </c>
      <c r="E3095" s="85" t="s">
        <v>8634</v>
      </c>
      <c r="F3095" s="87">
        <v>318</v>
      </c>
      <c r="G3095" s="37"/>
      <c r="H3095" s="37">
        <f>COUNTIF('(参考)現行システム機能階層一覧'!$E$3:$E$1048576,sheet1!B3095)</f>
        <v>0</v>
      </c>
      <c r="I3095" s="37"/>
      <c r="J3095" s="37"/>
      <c r="K3095" s="37"/>
      <c r="L3095" s="37"/>
    </row>
    <row r="3096" spans="1:12" ht="15.75" customHeight="1">
      <c r="A3096" s="87" t="s">
        <v>3935</v>
      </c>
      <c r="B3096" s="87" t="s">
        <v>8635</v>
      </c>
      <c r="C3096" s="87" t="s">
        <v>8636</v>
      </c>
      <c r="D3096" s="88">
        <v>567</v>
      </c>
      <c r="E3096" s="85" t="s">
        <v>8637</v>
      </c>
      <c r="F3096" s="87">
        <v>920</v>
      </c>
      <c r="G3096" s="37"/>
      <c r="H3096" s="37">
        <f>COUNTIF('(参考)現行システム機能階層一覧'!$E$3:$E$1048576,sheet1!B3096)</f>
        <v>0</v>
      </c>
      <c r="I3096" s="37"/>
      <c r="J3096" s="37"/>
      <c r="K3096" s="37"/>
      <c r="L3096" s="37"/>
    </row>
    <row r="3097" spans="1:12" ht="15.75" customHeight="1">
      <c r="A3097" s="87" t="s">
        <v>3935</v>
      </c>
      <c r="B3097" s="87" t="s">
        <v>8638</v>
      </c>
      <c r="C3097" s="87" t="s">
        <v>8639</v>
      </c>
      <c r="D3097" s="88">
        <v>22</v>
      </c>
      <c r="E3097" s="85" t="s">
        <v>8637</v>
      </c>
      <c r="F3097" s="87">
        <v>1</v>
      </c>
      <c r="G3097" s="37"/>
      <c r="H3097" s="37">
        <f>COUNTIF('(参考)現行システム機能階層一覧'!$E$3:$E$1048576,sheet1!B3097)</f>
        <v>0</v>
      </c>
      <c r="I3097" s="37"/>
      <c r="J3097" s="37"/>
      <c r="K3097" s="37"/>
      <c r="L3097" s="37"/>
    </row>
    <row r="3098" spans="1:12" ht="15.75" customHeight="1">
      <c r="A3098" s="87" t="s">
        <v>3935</v>
      </c>
      <c r="B3098" s="87" t="s">
        <v>8640</v>
      </c>
      <c r="C3098" s="87" t="s">
        <v>8641</v>
      </c>
      <c r="D3098" s="88">
        <v>81</v>
      </c>
      <c r="E3098" s="85" t="s">
        <v>8637</v>
      </c>
      <c r="F3098" s="87">
        <v>1</v>
      </c>
      <c r="G3098" s="37"/>
      <c r="H3098" s="37">
        <f>COUNTIF('(参考)現行システム機能階層一覧'!$E$3:$E$1048576,sheet1!B3098)</f>
        <v>0</v>
      </c>
      <c r="I3098" s="37"/>
      <c r="J3098" s="37"/>
      <c r="K3098" s="37"/>
      <c r="L3098" s="37"/>
    </row>
    <row r="3099" spans="1:12" ht="15.75" customHeight="1">
      <c r="A3099" s="87" t="s">
        <v>3935</v>
      </c>
      <c r="B3099" s="87" t="s">
        <v>8642</v>
      </c>
      <c r="C3099" s="87" t="s">
        <v>8643</v>
      </c>
      <c r="D3099" s="88">
        <v>110</v>
      </c>
      <c r="E3099" s="85" t="s">
        <v>8637</v>
      </c>
      <c r="F3099" s="87">
        <v>855</v>
      </c>
      <c r="G3099" s="37"/>
      <c r="H3099" s="37">
        <f>COUNTIF('(参考)現行システム機能階層一覧'!$E$3:$E$1048576,sheet1!B3099)</f>
        <v>0</v>
      </c>
      <c r="I3099" s="37"/>
      <c r="J3099" s="37"/>
      <c r="K3099" s="37"/>
      <c r="L3099" s="37"/>
    </row>
    <row r="3100" spans="1:12" ht="15.75" customHeight="1">
      <c r="A3100" s="87" t="s">
        <v>3853</v>
      </c>
      <c r="B3100" s="87" t="s">
        <v>8644</v>
      </c>
      <c r="C3100" s="87" t="s">
        <v>8645</v>
      </c>
      <c r="D3100" s="88">
        <v>14</v>
      </c>
      <c r="E3100" s="85" t="s">
        <v>8637</v>
      </c>
      <c r="F3100" s="87">
        <v>855</v>
      </c>
      <c r="G3100" s="37"/>
      <c r="H3100" s="37">
        <f>COUNTIF('(参考)現行システム機能階層一覧'!$E$3:$E$1048576,sheet1!B3100)</f>
        <v>0</v>
      </c>
      <c r="I3100" s="37"/>
      <c r="J3100" s="37"/>
      <c r="K3100" s="37"/>
      <c r="L3100" s="37"/>
    </row>
    <row r="3101" spans="1:12" ht="15.75" customHeight="1">
      <c r="A3101" s="87" t="s">
        <v>3853</v>
      </c>
      <c r="B3101" s="87" t="s">
        <v>8646</v>
      </c>
      <c r="C3101" s="87" t="s">
        <v>8647</v>
      </c>
      <c r="D3101" s="88">
        <v>10</v>
      </c>
      <c r="E3101" s="85" t="s">
        <v>8637</v>
      </c>
      <c r="F3101" s="87">
        <v>231</v>
      </c>
      <c r="G3101" s="37"/>
      <c r="H3101" s="37">
        <f>COUNTIF('(参考)現行システム機能階層一覧'!$E$3:$E$1048576,sheet1!B3101)</f>
        <v>0</v>
      </c>
      <c r="I3101" s="37"/>
      <c r="J3101" s="37"/>
      <c r="K3101" s="37"/>
      <c r="L3101" s="37"/>
    </row>
    <row r="3102" spans="1:12" ht="15.75" customHeight="1">
      <c r="A3102" s="87" t="s">
        <v>3853</v>
      </c>
      <c r="B3102" s="87" t="s">
        <v>8648</v>
      </c>
      <c r="C3102" s="87" t="s">
        <v>8649</v>
      </c>
      <c r="D3102" s="88">
        <v>10</v>
      </c>
      <c r="E3102" s="85" t="s">
        <v>8637</v>
      </c>
      <c r="F3102" s="87">
        <v>1</v>
      </c>
      <c r="G3102" s="37"/>
      <c r="H3102" s="37">
        <f>COUNTIF('(参考)現行システム機能階層一覧'!$E$3:$E$1048576,sheet1!B3102)</f>
        <v>0</v>
      </c>
      <c r="I3102" s="37"/>
      <c r="J3102" s="37"/>
      <c r="K3102" s="37"/>
      <c r="L3102" s="37"/>
    </row>
    <row r="3103" spans="1:12" ht="15.75" customHeight="1">
      <c r="A3103" s="87" t="s">
        <v>3853</v>
      </c>
      <c r="B3103" s="87" t="s">
        <v>8650</v>
      </c>
      <c r="C3103" s="87" t="s">
        <v>8651</v>
      </c>
      <c r="D3103" s="88">
        <v>10</v>
      </c>
      <c r="E3103" s="85" t="s">
        <v>8637</v>
      </c>
      <c r="F3103" s="87">
        <v>1</v>
      </c>
      <c r="G3103" s="37"/>
      <c r="H3103" s="37">
        <f>COUNTIF('(参考)現行システム機能階層一覧'!$E$3:$E$1048576,sheet1!B3103)</f>
        <v>0</v>
      </c>
      <c r="I3103" s="37"/>
      <c r="J3103" s="37"/>
      <c r="K3103" s="37"/>
      <c r="L3103" s="37"/>
    </row>
    <row r="3104" spans="1:12" ht="15.75" customHeight="1">
      <c r="A3104" s="87" t="s">
        <v>3853</v>
      </c>
      <c r="B3104" s="87" t="s">
        <v>8652</v>
      </c>
      <c r="C3104" s="87" t="s">
        <v>8653</v>
      </c>
      <c r="D3104" s="88">
        <v>86</v>
      </c>
      <c r="E3104" s="85" t="s">
        <v>8637</v>
      </c>
      <c r="F3104" s="87">
        <v>837</v>
      </c>
      <c r="G3104" s="37"/>
      <c r="H3104" s="37">
        <f>COUNTIF('(参考)現行システム機能階層一覧'!$E$3:$E$1048576,sheet1!B3104)</f>
        <v>0</v>
      </c>
      <c r="I3104" s="37"/>
      <c r="J3104" s="37"/>
      <c r="K3104" s="37"/>
      <c r="L3104" s="37"/>
    </row>
    <row r="3105" spans="1:12" ht="15.75" customHeight="1">
      <c r="A3105" s="87" t="s">
        <v>3853</v>
      </c>
      <c r="B3105" s="87" t="s">
        <v>8654</v>
      </c>
      <c r="C3105" s="87" t="s">
        <v>8655</v>
      </c>
      <c r="D3105" s="88">
        <v>5</v>
      </c>
      <c r="E3105" s="85" t="s">
        <v>8637</v>
      </c>
      <c r="F3105" s="87">
        <v>231</v>
      </c>
      <c r="G3105" s="37"/>
      <c r="H3105" s="37">
        <f>COUNTIF('(参考)現行システム機能階層一覧'!$E$3:$E$1048576,sheet1!B3105)</f>
        <v>0</v>
      </c>
      <c r="I3105" s="37"/>
      <c r="J3105" s="37"/>
      <c r="K3105" s="37"/>
      <c r="L3105" s="37"/>
    </row>
    <row r="3106" spans="1:12" ht="15.75" customHeight="1">
      <c r="A3106" s="87" t="s">
        <v>3853</v>
      </c>
      <c r="B3106" s="87" t="s">
        <v>8656</v>
      </c>
      <c r="C3106" s="87" t="s">
        <v>8657</v>
      </c>
      <c r="D3106" s="88">
        <v>9</v>
      </c>
      <c r="E3106" s="85" t="s">
        <v>8637</v>
      </c>
      <c r="F3106" s="87">
        <v>1</v>
      </c>
      <c r="G3106" s="37"/>
      <c r="H3106" s="37">
        <f>COUNTIF('(参考)現行システム機能階層一覧'!$E$3:$E$1048576,sheet1!B3106)</f>
        <v>0</v>
      </c>
      <c r="I3106" s="37"/>
      <c r="J3106" s="37"/>
      <c r="K3106" s="37"/>
      <c r="L3106" s="37"/>
    </row>
    <row r="3107" spans="1:12" ht="15.75" customHeight="1">
      <c r="A3107" s="87" t="s">
        <v>3853</v>
      </c>
      <c r="B3107" s="87" t="s">
        <v>8658</v>
      </c>
      <c r="C3107" s="87" t="s">
        <v>8659</v>
      </c>
      <c r="D3107" s="88">
        <v>5</v>
      </c>
      <c r="E3107" s="85" t="s">
        <v>8637</v>
      </c>
      <c r="F3107" s="87">
        <v>1</v>
      </c>
      <c r="G3107" s="37"/>
      <c r="H3107" s="37">
        <f>COUNTIF('(参考)現行システム機能階層一覧'!$E$3:$E$1048576,sheet1!B3107)</f>
        <v>0</v>
      </c>
      <c r="I3107" s="37"/>
      <c r="J3107" s="37"/>
      <c r="K3107" s="37"/>
      <c r="L3107" s="37"/>
    </row>
    <row r="3108" spans="1:12" ht="15.75" customHeight="1">
      <c r="A3108" s="87" t="s">
        <v>3853</v>
      </c>
      <c r="B3108" s="87" t="s">
        <v>8660</v>
      </c>
      <c r="C3108" s="87" t="s">
        <v>8661</v>
      </c>
      <c r="D3108" s="88">
        <v>6</v>
      </c>
      <c r="E3108" s="85" t="s">
        <v>8637</v>
      </c>
      <c r="F3108" s="87">
        <v>1</v>
      </c>
      <c r="G3108" s="37"/>
      <c r="H3108" s="37">
        <f>COUNTIF('(参考)現行システム機能階層一覧'!$E$3:$E$1048576,sheet1!B3108)</f>
        <v>0</v>
      </c>
      <c r="I3108" s="37"/>
      <c r="J3108" s="37"/>
      <c r="K3108" s="37"/>
      <c r="L3108" s="37"/>
    </row>
    <row r="3109" spans="1:12" ht="15.75" customHeight="1">
      <c r="A3109" s="87" t="s">
        <v>3853</v>
      </c>
      <c r="B3109" s="87" t="s">
        <v>8662</v>
      </c>
      <c r="C3109" s="87" t="s">
        <v>8663</v>
      </c>
      <c r="D3109" s="88">
        <v>42</v>
      </c>
      <c r="E3109" s="85" t="s">
        <v>8637</v>
      </c>
      <c r="F3109" s="87">
        <v>1</v>
      </c>
      <c r="G3109" s="37"/>
      <c r="H3109" s="37">
        <f>COUNTIF('(参考)現行システム機能階層一覧'!$E$3:$E$1048576,sheet1!B3109)</f>
        <v>0</v>
      </c>
      <c r="I3109" s="37"/>
      <c r="J3109" s="37"/>
      <c r="K3109" s="37"/>
      <c r="L3109" s="37"/>
    </row>
    <row r="3110" spans="1:12" ht="15.75" customHeight="1">
      <c r="A3110" s="87" t="s">
        <v>3935</v>
      </c>
      <c r="B3110" s="87" t="s">
        <v>8664</v>
      </c>
      <c r="C3110" s="87" t="s">
        <v>8665</v>
      </c>
      <c r="D3110" s="88">
        <v>720</v>
      </c>
      <c r="E3110" s="85" t="s">
        <v>8637</v>
      </c>
      <c r="F3110" s="87">
        <v>232</v>
      </c>
      <c r="G3110" s="37"/>
      <c r="H3110" s="37">
        <f>COUNTIF('(参考)現行システム機能階層一覧'!$E$3:$E$1048576,sheet1!B3110)</f>
        <v>0</v>
      </c>
      <c r="I3110" s="37"/>
      <c r="J3110" s="37"/>
      <c r="K3110" s="37"/>
      <c r="L3110" s="37"/>
    </row>
    <row r="3111" spans="1:12" ht="15.75" customHeight="1">
      <c r="A3111" s="87" t="s">
        <v>3853</v>
      </c>
      <c r="B3111" s="87" t="s">
        <v>8666</v>
      </c>
      <c r="C3111" s="87" t="s">
        <v>8665</v>
      </c>
      <c r="D3111" s="88">
        <v>9</v>
      </c>
      <c r="E3111" s="85" t="s">
        <v>8637</v>
      </c>
      <c r="F3111" s="87">
        <v>232</v>
      </c>
      <c r="G3111" s="37"/>
      <c r="H3111" s="37">
        <f>COUNTIF('(参考)現行システム機能階層一覧'!$E$3:$E$1048576,sheet1!B3111)</f>
        <v>0</v>
      </c>
      <c r="I3111" s="37"/>
      <c r="J3111" s="37"/>
      <c r="K3111" s="37"/>
      <c r="L3111" s="37"/>
    </row>
    <row r="3112" spans="1:12" ht="15.75" customHeight="1">
      <c r="A3112" s="87" t="s">
        <v>3935</v>
      </c>
      <c r="B3112" s="87" t="s">
        <v>8667</v>
      </c>
      <c r="C3112" s="87" t="s">
        <v>8668</v>
      </c>
      <c r="D3112" s="88">
        <v>3057</v>
      </c>
      <c r="E3112" s="85" t="s">
        <v>8637</v>
      </c>
      <c r="F3112" s="87">
        <v>195</v>
      </c>
      <c r="G3112" s="37"/>
      <c r="H3112" s="37">
        <f>COUNTIF('(参考)現行システム機能階層一覧'!$E$3:$E$1048576,sheet1!B3112)</f>
        <v>0</v>
      </c>
      <c r="I3112" s="37"/>
      <c r="J3112" s="37"/>
      <c r="K3112" s="37"/>
      <c r="L3112" s="37"/>
    </row>
    <row r="3113" spans="1:12" ht="15.75" customHeight="1">
      <c r="A3113" s="87" t="s">
        <v>3853</v>
      </c>
      <c r="B3113" s="87" t="s">
        <v>8669</v>
      </c>
      <c r="C3113" s="87" t="s">
        <v>8668</v>
      </c>
      <c r="D3113" s="88">
        <v>22</v>
      </c>
      <c r="E3113" s="85" t="s">
        <v>8637</v>
      </c>
      <c r="F3113" s="87">
        <v>195</v>
      </c>
      <c r="G3113" s="37"/>
      <c r="H3113" s="37">
        <f>COUNTIF('(参考)現行システム機能階層一覧'!$E$3:$E$1048576,sheet1!B3113)</f>
        <v>0</v>
      </c>
      <c r="I3113" s="37"/>
      <c r="J3113" s="37"/>
      <c r="K3113" s="37"/>
      <c r="L3113" s="37"/>
    </row>
    <row r="3114" spans="1:12" ht="15.75" customHeight="1">
      <c r="A3114" s="87" t="s">
        <v>3935</v>
      </c>
      <c r="B3114" s="87" t="s">
        <v>8670</v>
      </c>
      <c r="C3114" s="87" t="s">
        <v>8671</v>
      </c>
      <c r="D3114" s="88">
        <v>288</v>
      </c>
      <c r="E3114" s="85" t="s">
        <v>8637</v>
      </c>
      <c r="F3114" s="87">
        <v>1</v>
      </c>
      <c r="G3114" s="37"/>
      <c r="H3114" s="37">
        <f>COUNTIF('(参考)現行システム機能階層一覧'!$E$3:$E$1048576,sheet1!B3114)</f>
        <v>0</v>
      </c>
      <c r="I3114" s="37"/>
      <c r="J3114" s="37"/>
      <c r="K3114" s="37"/>
      <c r="L3114" s="37"/>
    </row>
    <row r="3115" spans="1:12" ht="15.75" customHeight="1">
      <c r="A3115" s="87" t="s">
        <v>3853</v>
      </c>
      <c r="B3115" s="87" t="s">
        <v>8672</v>
      </c>
      <c r="C3115" s="87" t="s">
        <v>8671</v>
      </c>
      <c r="D3115" s="88">
        <v>13</v>
      </c>
      <c r="E3115" s="85" t="s">
        <v>8637</v>
      </c>
      <c r="F3115" s="87">
        <v>1</v>
      </c>
      <c r="G3115" s="37"/>
      <c r="H3115" s="37">
        <f>COUNTIF('(参考)現行システム機能階層一覧'!$E$3:$E$1048576,sheet1!B3115)</f>
        <v>0</v>
      </c>
      <c r="I3115" s="37"/>
      <c r="J3115" s="37"/>
      <c r="K3115" s="37"/>
      <c r="L3115" s="37"/>
    </row>
    <row r="3116" spans="1:12" ht="15.75" customHeight="1">
      <c r="A3116" s="87" t="s">
        <v>3935</v>
      </c>
      <c r="B3116" s="87" t="s">
        <v>8673</v>
      </c>
      <c r="C3116" s="87" t="s">
        <v>8674</v>
      </c>
      <c r="D3116" s="88">
        <v>784</v>
      </c>
      <c r="E3116" s="85" t="s">
        <v>8637</v>
      </c>
      <c r="F3116" s="87">
        <v>451</v>
      </c>
      <c r="G3116" s="37"/>
      <c r="H3116" s="37">
        <f>COUNTIF('(参考)現行システム機能階層一覧'!$E$3:$E$1048576,sheet1!B3116)</f>
        <v>0</v>
      </c>
      <c r="I3116" s="37"/>
      <c r="J3116" s="37"/>
      <c r="K3116" s="37"/>
      <c r="L3116" s="37"/>
    </row>
    <row r="3117" spans="1:12" ht="15.75" customHeight="1">
      <c r="A3117" s="87" t="s">
        <v>3853</v>
      </c>
      <c r="B3117" s="87" t="s">
        <v>8675</v>
      </c>
      <c r="C3117" s="87" t="s">
        <v>8674</v>
      </c>
      <c r="D3117" s="88">
        <v>9</v>
      </c>
      <c r="E3117" s="85" t="s">
        <v>8637</v>
      </c>
      <c r="F3117" s="87">
        <v>451</v>
      </c>
      <c r="G3117" s="37"/>
      <c r="H3117" s="37">
        <f>COUNTIF('(参考)現行システム機能階層一覧'!$E$3:$E$1048576,sheet1!B3117)</f>
        <v>0</v>
      </c>
      <c r="I3117" s="37"/>
      <c r="J3117" s="37"/>
      <c r="K3117" s="37"/>
      <c r="L3117" s="37"/>
    </row>
    <row r="3118" spans="1:12" ht="15.75" customHeight="1">
      <c r="A3118" s="87" t="s">
        <v>3935</v>
      </c>
      <c r="B3118" s="87" t="s">
        <v>8676</v>
      </c>
      <c r="C3118" s="87" t="s">
        <v>8677</v>
      </c>
      <c r="D3118" s="88">
        <v>2699</v>
      </c>
      <c r="E3118" s="85" t="s">
        <v>8637</v>
      </c>
      <c r="F3118" s="87">
        <v>430</v>
      </c>
      <c r="G3118" s="37"/>
      <c r="H3118" s="37">
        <f>COUNTIF('(参考)現行システム機能階層一覧'!$E$3:$E$1048576,sheet1!B3118)</f>
        <v>0</v>
      </c>
      <c r="I3118" s="37"/>
      <c r="J3118" s="37"/>
      <c r="K3118" s="37"/>
      <c r="L3118" s="37"/>
    </row>
    <row r="3119" spans="1:12" ht="15.75" customHeight="1">
      <c r="A3119" s="87" t="s">
        <v>3853</v>
      </c>
      <c r="B3119" s="87" t="s">
        <v>8678</v>
      </c>
      <c r="C3119" s="87" t="s">
        <v>8677</v>
      </c>
      <c r="D3119" s="88">
        <v>26</v>
      </c>
      <c r="E3119" s="85" t="s">
        <v>8637</v>
      </c>
      <c r="F3119" s="87">
        <v>430</v>
      </c>
      <c r="G3119" s="37"/>
      <c r="H3119" s="37">
        <f>COUNTIF('(参考)現行システム機能階層一覧'!$E$3:$E$1048576,sheet1!B3119)</f>
        <v>0</v>
      </c>
      <c r="I3119" s="37"/>
      <c r="J3119" s="37"/>
      <c r="K3119" s="37"/>
      <c r="L3119" s="37"/>
    </row>
    <row r="3120" spans="1:12" ht="15.75" customHeight="1">
      <c r="A3120" s="87" t="s">
        <v>3935</v>
      </c>
      <c r="B3120" s="87" t="s">
        <v>8679</v>
      </c>
      <c r="C3120" s="87" t="s">
        <v>8680</v>
      </c>
      <c r="D3120" s="88">
        <v>288</v>
      </c>
      <c r="E3120" s="85" t="s">
        <v>8637</v>
      </c>
      <c r="F3120" s="87">
        <v>14</v>
      </c>
      <c r="G3120" s="37"/>
      <c r="H3120" s="37">
        <f>COUNTIF('(参考)現行システム機能階層一覧'!$E$3:$E$1048576,sheet1!B3120)</f>
        <v>0</v>
      </c>
      <c r="I3120" s="37"/>
      <c r="J3120" s="37"/>
      <c r="K3120" s="37"/>
      <c r="L3120" s="37"/>
    </row>
    <row r="3121" spans="1:12" ht="15.75" customHeight="1">
      <c r="A3121" s="87" t="s">
        <v>3853</v>
      </c>
      <c r="B3121" s="87" t="s">
        <v>8681</v>
      </c>
      <c r="C3121" s="87" t="s">
        <v>8680</v>
      </c>
      <c r="D3121" s="88">
        <v>13</v>
      </c>
      <c r="E3121" s="85" t="s">
        <v>8637</v>
      </c>
      <c r="F3121" s="87">
        <v>14</v>
      </c>
      <c r="G3121" s="37"/>
      <c r="H3121" s="37">
        <f>COUNTIF('(参考)現行システム機能階層一覧'!$E$3:$E$1048576,sheet1!B3121)</f>
        <v>0</v>
      </c>
      <c r="I3121" s="37"/>
      <c r="J3121" s="37"/>
      <c r="K3121" s="37"/>
      <c r="L3121" s="37"/>
    </row>
    <row r="3122" spans="1:12" ht="15.75" customHeight="1">
      <c r="A3122" s="87" t="s">
        <v>3935</v>
      </c>
      <c r="B3122" s="87" t="s">
        <v>8682</v>
      </c>
      <c r="C3122" s="87" t="s">
        <v>8683</v>
      </c>
      <c r="D3122" s="88">
        <v>736</v>
      </c>
      <c r="E3122" s="85" t="s">
        <v>8637</v>
      </c>
      <c r="F3122" s="87">
        <v>326</v>
      </c>
      <c r="G3122" s="37"/>
      <c r="H3122" s="37">
        <f>COUNTIF('(参考)現行システム機能階層一覧'!$E$3:$E$1048576,sheet1!B3122)</f>
        <v>0</v>
      </c>
      <c r="I3122" s="37"/>
      <c r="J3122" s="37"/>
      <c r="K3122" s="37"/>
      <c r="L3122" s="37"/>
    </row>
    <row r="3123" spans="1:12" ht="15.75" customHeight="1">
      <c r="A3123" s="87" t="s">
        <v>3853</v>
      </c>
      <c r="B3123" s="87" t="s">
        <v>8684</v>
      </c>
      <c r="C3123" s="87" t="s">
        <v>8683</v>
      </c>
      <c r="D3123" s="88">
        <v>9</v>
      </c>
      <c r="E3123" s="85" t="s">
        <v>8637</v>
      </c>
      <c r="F3123" s="87">
        <v>326</v>
      </c>
      <c r="G3123" s="37"/>
      <c r="H3123" s="37">
        <f>COUNTIF('(参考)現行システム機能階層一覧'!$E$3:$E$1048576,sheet1!B3123)</f>
        <v>0</v>
      </c>
      <c r="I3123" s="37"/>
      <c r="J3123" s="37"/>
      <c r="K3123" s="37"/>
      <c r="L3123" s="37"/>
    </row>
    <row r="3124" spans="1:12" ht="15.75" customHeight="1">
      <c r="A3124" s="87" t="s">
        <v>3935</v>
      </c>
      <c r="B3124" s="87" t="s">
        <v>8685</v>
      </c>
      <c r="C3124" s="87" t="s">
        <v>8686</v>
      </c>
      <c r="D3124" s="88">
        <v>1833</v>
      </c>
      <c r="E3124" s="85" t="s">
        <v>8637</v>
      </c>
      <c r="F3124" s="87">
        <v>310</v>
      </c>
      <c r="G3124" s="37"/>
      <c r="H3124" s="37">
        <f>COUNTIF('(参考)現行システム機能階層一覧'!$E$3:$E$1048576,sheet1!B3124)</f>
        <v>0</v>
      </c>
      <c r="I3124" s="37"/>
      <c r="J3124" s="37"/>
      <c r="K3124" s="37"/>
      <c r="L3124" s="37"/>
    </row>
    <row r="3125" spans="1:12" ht="15.75" customHeight="1">
      <c r="A3125" s="87" t="s">
        <v>3853</v>
      </c>
      <c r="B3125" s="87" t="s">
        <v>8687</v>
      </c>
      <c r="C3125" s="87" t="s">
        <v>8686</v>
      </c>
      <c r="D3125" s="88">
        <v>22</v>
      </c>
      <c r="E3125" s="85" t="s">
        <v>8637</v>
      </c>
      <c r="F3125" s="87">
        <v>310</v>
      </c>
      <c r="G3125" s="37"/>
      <c r="H3125" s="37">
        <f>COUNTIF('(参考)現行システム機能階層一覧'!$E$3:$E$1048576,sheet1!B3125)</f>
        <v>0</v>
      </c>
      <c r="I3125" s="37"/>
      <c r="J3125" s="37"/>
      <c r="K3125" s="37"/>
      <c r="L3125" s="37"/>
    </row>
    <row r="3126" spans="1:12" ht="15.75" customHeight="1">
      <c r="A3126" s="87" t="s">
        <v>3935</v>
      </c>
      <c r="B3126" s="87" t="s">
        <v>8688</v>
      </c>
      <c r="C3126" s="87" t="s">
        <v>8689</v>
      </c>
      <c r="D3126" s="88">
        <v>288</v>
      </c>
      <c r="E3126" s="85" t="s">
        <v>8637</v>
      </c>
      <c r="F3126" s="87">
        <v>1</v>
      </c>
      <c r="G3126" s="37"/>
      <c r="H3126" s="37">
        <f>COUNTIF('(参考)現行システム機能階層一覧'!$E$3:$E$1048576,sheet1!B3126)</f>
        <v>0</v>
      </c>
      <c r="I3126" s="37"/>
      <c r="J3126" s="37"/>
      <c r="K3126" s="37"/>
      <c r="L3126" s="37"/>
    </row>
    <row r="3127" spans="1:12" ht="15.75" customHeight="1">
      <c r="A3127" s="87" t="s">
        <v>3853</v>
      </c>
      <c r="B3127" s="87" t="s">
        <v>8690</v>
      </c>
      <c r="C3127" s="87" t="s">
        <v>8689</v>
      </c>
      <c r="D3127" s="88">
        <v>13</v>
      </c>
      <c r="E3127" s="85" t="s">
        <v>8637</v>
      </c>
      <c r="F3127" s="87">
        <v>1</v>
      </c>
      <c r="G3127" s="37"/>
      <c r="H3127" s="37">
        <f>COUNTIF('(参考)現行システム機能階層一覧'!$E$3:$E$1048576,sheet1!B3127)</f>
        <v>0</v>
      </c>
      <c r="I3127" s="37"/>
      <c r="J3127" s="37"/>
      <c r="K3127" s="37"/>
      <c r="L3127" s="37"/>
    </row>
    <row r="3128" spans="1:12" ht="15.75" customHeight="1">
      <c r="A3128" s="87" t="s">
        <v>3935</v>
      </c>
      <c r="B3128" s="87" t="s">
        <v>8691</v>
      </c>
      <c r="C3128" s="87" t="s">
        <v>8692</v>
      </c>
      <c r="D3128" s="88">
        <v>703</v>
      </c>
      <c r="E3128" s="85" t="s">
        <v>8637</v>
      </c>
      <c r="F3128" s="87">
        <v>43</v>
      </c>
      <c r="G3128" s="37"/>
      <c r="H3128" s="37">
        <f>COUNTIF('(参考)現行システム機能階層一覧'!$E$3:$E$1048576,sheet1!B3128)</f>
        <v>0</v>
      </c>
      <c r="I3128" s="37"/>
      <c r="J3128" s="37"/>
      <c r="K3128" s="37"/>
      <c r="L3128" s="37"/>
    </row>
    <row r="3129" spans="1:12" ht="15.75" customHeight="1">
      <c r="A3129" s="87" t="s">
        <v>3853</v>
      </c>
      <c r="B3129" s="87" t="s">
        <v>8693</v>
      </c>
      <c r="C3129" s="87" t="s">
        <v>8692</v>
      </c>
      <c r="D3129" s="88">
        <v>9</v>
      </c>
      <c r="E3129" s="85" t="s">
        <v>8637</v>
      </c>
      <c r="F3129" s="87">
        <v>43</v>
      </c>
      <c r="G3129" s="37"/>
      <c r="H3129" s="37">
        <f>COUNTIF('(参考)現行システム機能階層一覧'!$E$3:$E$1048576,sheet1!B3129)</f>
        <v>0</v>
      </c>
      <c r="I3129" s="37"/>
      <c r="J3129" s="37"/>
      <c r="K3129" s="37"/>
      <c r="L3129" s="37"/>
    </row>
    <row r="3130" spans="1:12" ht="15.75" customHeight="1">
      <c r="A3130" s="87" t="s">
        <v>3935</v>
      </c>
      <c r="B3130" s="87" t="s">
        <v>8694</v>
      </c>
      <c r="C3130" s="87" t="s">
        <v>8695</v>
      </c>
      <c r="D3130" s="88">
        <v>2049</v>
      </c>
      <c r="E3130" s="85" t="s">
        <v>8637</v>
      </c>
      <c r="F3130" s="87">
        <v>36</v>
      </c>
      <c r="G3130" s="37"/>
      <c r="H3130" s="37">
        <f>COUNTIF('(参考)現行システム機能階層一覧'!$E$3:$E$1048576,sheet1!B3130)</f>
        <v>0</v>
      </c>
      <c r="I3130" s="37"/>
      <c r="J3130" s="37"/>
      <c r="K3130" s="37"/>
      <c r="L3130" s="37"/>
    </row>
    <row r="3131" spans="1:12" ht="15.75" customHeight="1">
      <c r="A3131" s="87" t="s">
        <v>3853</v>
      </c>
      <c r="B3131" s="87" t="s">
        <v>8696</v>
      </c>
      <c r="C3131" s="87" t="s">
        <v>8695</v>
      </c>
      <c r="D3131" s="88">
        <v>24</v>
      </c>
      <c r="E3131" s="85" t="s">
        <v>8637</v>
      </c>
      <c r="F3131" s="87">
        <v>36</v>
      </c>
      <c r="G3131" s="37"/>
      <c r="H3131" s="37">
        <f>COUNTIF('(参考)現行システム機能階層一覧'!$E$3:$E$1048576,sheet1!B3131)</f>
        <v>0</v>
      </c>
      <c r="I3131" s="37"/>
      <c r="J3131" s="37"/>
      <c r="K3131" s="37"/>
      <c r="L3131" s="37"/>
    </row>
    <row r="3132" spans="1:12" ht="15.75" customHeight="1">
      <c r="A3132" s="87" t="s">
        <v>3935</v>
      </c>
      <c r="B3132" s="87" t="s">
        <v>8697</v>
      </c>
      <c r="C3132" s="87" t="s">
        <v>8698</v>
      </c>
      <c r="D3132" s="88">
        <v>288</v>
      </c>
      <c r="E3132" s="85" t="s">
        <v>8637</v>
      </c>
      <c r="F3132" s="87">
        <v>1</v>
      </c>
      <c r="G3132" s="37"/>
      <c r="H3132" s="37">
        <f>COUNTIF('(参考)現行システム機能階層一覧'!$E$3:$E$1048576,sheet1!B3132)</f>
        <v>0</v>
      </c>
      <c r="I3132" s="37"/>
      <c r="J3132" s="37"/>
      <c r="K3132" s="37"/>
      <c r="L3132" s="37"/>
    </row>
    <row r="3133" spans="1:12" ht="15.75" customHeight="1">
      <c r="A3133" s="87" t="s">
        <v>3853</v>
      </c>
      <c r="B3133" s="87" t="s">
        <v>8699</v>
      </c>
      <c r="C3133" s="87" t="s">
        <v>8698</v>
      </c>
      <c r="D3133" s="88">
        <v>13</v>
      </c>
      <c r="E3133" s="85" t="s">
        <v>8637</v>
      </c>
      <c r="F3133" s="87">
        <v>1</v>
      </c>
      <c r="G3133" s="37"/>
      <c r="H3133" s="37">
        <f>COUNTIF('(参考)現行システム機能階層一覧'!$E$3:$E$1048576,sheet1!B3133)</f>
        <v>0</v>
      </c>
      <c r="I3133" s="37"/>
      <c r="J3133" s="37"/>
      <c r="K3133" s="37"/>
      <c r="L3133" s="37"/>
    </row>
    <row r="3134" spans="1:12" ht="15.75" customHeight="1">
      <c r="A3134" s="87" t="s">
        <v>3935</v>
      </c>
      <c r="B3134" s="87" t="s">
        <v>8700</v>
      </c>
      <c r="C3134" s="87" t="s">
        <v>8701</v>
      </c>
      <c r="D3134" s="88">
        <v>776</v>
      </c>
      <c r="E3134" s="85" t="s">
        <v>8637</v>
      </c>
      <c r="F3134" s="87">
        <v>152</v>
      </c>
      <c r="G3134" s="37"/>
      <c r="H3134" s="37">
        <f>COUNTIF('(参考)現行システム機能階層一覧'!$E$3:$E$1048576,sheet1!B3134)</f>
        <v>0</v>
      </c>
      <c r="I3134" s="37"/>
      <c r="J3134" s="37"/>
      <c r="K3134" s="37"/>
      <c r="L3134" s="37"/>
    </row>
    <row r="3135" spans="1:12" ht="15.75" customHeight="1">
      <c r="A3135" s="87" t="s">
        <v>3853</v>
      </c>
      <c r="B3135" s="87" t="s">
        <v>8702</v>
      </c>
      <c r="C3135" s="87" t="s">
        <v>8701</v>
      </c>
      <c r="D3135" s="88">
        <v>9</v>
      </c>
      <c r="E3135" s="85" t="s">
        <v>8637</v>
      </c>
      <c r="F3135" s="87">
        <v>152</v>
      </c>
      <c r="G3135" s="37"/>
      <c r="H3135" s="37">
        <f>COUNTIF('(参考)現行システム機能階層一覧'!$E$3:$E$1048576,sheet1!B3135)</f>
        <v>0</v>
      </c>
      <c r="I3135" s="37"/>
      <c r="J3135" s="37"/>
      <c r="K3135" s="37"/>
      <c r="L3135" s="37"/>
    </row>
    <row r="3136" spans="1:12" ht="15.75" customHeight="1">
      <c r="A3136" s="87" t="s">
        <v>3935</v>
      </c>
      <c r="B3136" s="87" t="s">
        <v>8703</v>
      </c>
      <c r="C3136" s="87" t="s">
        <v>8704</v>
      </c>
      <c r="D3136" s="88">
        <v>2850</v>
      </c>
      <c r="E3136" s="85" t="s">
        <v>8637</v>
      </c>
      <c r="F3136" s="87">
        <v>132</v>
      </c>
      <c r="G3136" s="37"/>
      <c r="H3136" s="37">
        <f>COUNTIF('(参考)現行システム機能階層一覧'!$E$3:$E$1048576,sheet1!B3136)</f>
        <v>0</v>
      </c>
      <c r="I3136" s="37"/>
      <c r="J3136" s="37"/>
      <c r="K3136" s="37"/>
      <c r="L3136" s="37"/>
    </row>
    <row r="3137" spans="1:12" ht="15.75" customHeight="1">
      <c r="A3137" s="87" t="s">
        <v>3853</v>
      </c>
      <c r="B3137" s="87" t="s">
        <v>8705</v>
      </c>
      <c r="C3137" s="87" t="s">
        <v>8704</v>
      </c>
      <c r="D3137" s="88">
        <v>24</v>
      </c>
      <c r="E3137" s="85" t="s">
        <v>8637</v>
      </c>
      <c r="F3137" s="87">
        <v>132</v>
      </c>
      <c r="G3137" s="37"/>
      <c r="H3137" s="37">
        <f>COUNTIF('(参考)現行システム機能階層一覧'!$E$3:$E$1048576,sheet1!B3137)</f>
        <v>0</v>
      </c>
      <c r="I3137" s="37"/>
      <c r="J3137" s="37"/>
      <c r="K3137" s="37"/>
      <c r="L3137" s="37"/>
    </row>
    <row r="3138" spans="1:12" ht="15.75" customHeight="1">
      <c r="A3138" s="87" t="s">
        <v>3935</v>
      </c>
      <c r="B3138" s="87" t="s">
        <v>8706</v>
      </c>
      <c r="C3138" s="87" t="s">
        <v>8707</v>
      </c>
      <c r="D3138" s="88">
        <v>288</v>
      </c>
      <c r="E3138" s="85" t="s">
        <v>8637</v>
      </c>
      <c r="F3138" s="87">
        <v>1</v>
      </c>
      <c r="G3138" s="37"/>
      <c r="H3138" s="37">
        <f>COUNTIF('(参考)現行システム機能階層一覧'!$E$3:$E$1048576,sheet1!B3138)</f>
        <v>0</v>
      </c>
      <c r="I3138" s="37"/>
      <c r="J3138" s="37"/>
      <c r="K3138" s="37"/>
      <c r="L3138" s="37"/>
    </row>
    <row r="3139" spans="1:12" ht="15.75" customHeight="1">
      <c r="A3139" s="87" t="s">
        <v>3853</v>
      </c>
      <c r="B3139" s="87" t="s">
        <v>8708</v>
      </c>
      <c r="C3139" s="87" t="s">
        <v>8707</v>
      </c>
      <c r="D3139" s="88">
        <v>13</v>
      </c>
      <c r="E3139" s="85" t="s">
        <v>8637</v>
      </c>
      <c r="F3139" s="87">
        <v>1</v>
      </c>
      <c r="G3139" s="37"/>
      <c r="H3139" s="37">
        <f>COUNTIF('(参考)現行システム機能階層一覧'!$E$3:$E$1048576,sheet1!B3139)</f>
        <v>0</v>
      </c>
      <c r="I3139" s="37"/>
      <c r="J3139" s="37"/>
      <c r="K3139" s="37"/>
      <c r="L3139" s="37"/>
    </row>
    <row r="3140" spans="1:12" ht="15.75" customHeight="1">
      <c r="A3140" s="87" t="s">
        <v>3935</v>
      </c>
      <c r="B3140" s="87" t="s">
        <v>8709</v>
      </c>
      <c r="C3140" s="87" t="s">
        <v>8710</v>
      </c>
      <c r="D3140" s="88">
        <v>703</v>
      </c>
      <c r="E3140" s="85" t="s">
        <v>8637</v>
      </c>
      <c r="F3140" s="87">
        <v>393</v>
      </c>
      <c r="G3140" s="37"/>
      <c r="H3140" s="37">
        <f>COUNTIF('(参考)現行システム機能階層一覧'!$E$3:$E$1048576,sheet1!B3140)</f>
        <v>0</v>
      </c>
      <c r="I3140" s="37"/>
      <c r="J3140" s="37"/>
      <c r="K3140" s="37"/>
      <c r="L3140" s="37"/>
    </row>
    <row r="3141" spans="1:12" ht="15.75" customHeight="1">
      <c r="A3141" s="87" t="s">
        <v>3853</v>
      </c>
      <c r="B3141" s="87" t="s">
        <v>8711</v>
      </c>
      <c r="C3141" s="87" t="s">
        <v>8710</v>
      </c>
      <c r="D3141" s="88">
        <v>9</v>
      </c>
      <c r="E3141" s="85" t="s">
        <v>8637</v>
      </c>
      <c r="F3141" s="87">
        <v>393</v>
      </c>
      <c r="G3141" s="37"/>
      <c r="H3141" s="37">
        <f>COUNTIF('(参考)現行システム機能階層一覧'!$E$3:$E$1048576,sheet1!B3141)</f>
        <v>0</v>
      </c>
      <c r="I3141" s="37"/>
      <c r="J3141" s="37"/>
      <c r="K3141" s="37"/>
      <c r="L3141" s="37"/>
    </row>
    <row r="3142" spans="1:12" ht="15.75" customHeight="1">
      <c r="A3142" s="87" t="s">
        <v>3935</v>
      </c>
      <c r="B3142" s="87" t="s">
        <v>8712</v>
      </c>
      <c r="C3142" s="87" t="s">
        <v>8713</v>
      </c>
      <c r="D3142" s="88">
        <v>1711</v>
      </c>
      <c r="E3142" s="85" t="s">
        <v>8637</v>
      </c>
      <c r="F3142" s="87">
        <v>362</v>
      </c>
      <c r="G3142" s="37"/>
      <c r="H3142" s="37">
        <f>COUNTIF('(参考)現行システム機能階層一覧'!$E$3:$E$1048576,sheet1!B3142)</f>
        <v>0</v>
      </c>
      <c r="I3142" s="37"/>
      <c r="J3142" s="37"/>
      <c r="K3142" s="37"/>
      <c r="L3142" s="37"/>
    </row>
    <row r="3143" spans="1:12" ht="15.75" customHeight="1">
      <c r="A3143" s="87" t="s">
        <v>3853</v>
      </c>
      <c r="B3143" s="87" t="s">
        <v>8714</v>
      </c>
      <c r="C3143" s="87" t="s">
        <v>8713</v>
      </c>
      <c r="D3143" s="88">
        <v>22</v>
      </c>
      <c r="E3143" s="85" t="s">
        <v>8637</v>
      </c>
      <c r="F3143" s="87">
        <v>362</v>
      </c>
      <c r="G3143" s="37"/>
      <c r="H3143" s="37">
        <f>COUNTIF('(参考)現行システム機能階層一覧'!$E$3:$E$1048576,sheet1!B3143)</f>
        <v>0</v>
      </c>
      <c r="I3143" s="37"/>
      <c r="J3143" s="37"/>
      <c r="K3143" s="37"/>
      <c r="L3143" s="37"/>
    </row>
    <row r="3144" spans="1:12" ht="15.75" customHeight="1">
      <c r="A3144" s="87" t="s">
        <v>3935</v>
      </c>
      <c r="B3144" s="87" t="s">
        <v>8715</v>
      </c>
      <c r="C3144" s="87" t="s">
        <v>8716</v>
      </c>
      <c r="D3144" s="88">
        <v>288</v>
      </c>
      <c r="E3144" s="85" t="s">
        <v>8637</v>
      </c>
      <c r="F3144" s="87">
        <v>61</v>
      </c>
      <c r="G3144" s="37"/>
      <c r="H3144" s="37">
        <f>COUNTIF('(参考)現行システム機能階層一覧'!$E$3:$E$1048576,sheet1!B3144)</f>
        <v>0</v>
      </c>
      <c r="I3144" s="37"/>
      <c r="J3144" s="37"/>
      <c r="K3144" s="37"/>
      <c r="L3144" s="37"/>
    </row>
    <row r="3145" spans="1:12" ht="15.75" customHeight="1">
      <c r="A3145" s="87" t="s">
        <v>3853</v>
      </c>
      <c r="B3145" s="87" t="s">
        <v>8717</v>
      </c>
      <c r="C3145" s="87" t="s">
        <v>8716</v>
      </c>
      <c r="D3145" s="88">
        <v>13</v>
      </c>
      <c r="E3145" s="85" t="s">
        <v>8637</v>
      </c>
      <c r="F3145" s="87">
        <v>61</v>
      </c>
      <c r="G3145" s="37"/>
      <c r="H3145" s="37">
        <f>COUNTIF('(参考)現行システム機能階層一覧'!$E$3:$E$1048576,sheet1!B3145)</f>
        <v>0</v>
      </c>
      <c r="I3145" s="37"/>
      <c r="J3145" s="37"/>
      <c r="K3145" s="37"/>
      <c r="L3145" s="37"/>
    </row>
    <row r="3146" spans="1:12" ht="15.75" customHeight="1">
      <c r="A3146" s="87" t="s">
        <v>3935</v>
      </c>
      <c r="B3146" s="87" t="s">
        <v>8718</v>
      </c>
      <c r="C3146" s="87" t="s">
        <v>8719</v>
      </c>
      <c r="D3146" s="88">
        <v>166</v>
      </c>
      <c r="E3146" s="85" t="s">
        <v>8637</v>
      </c>
      <c r="F3146" s="87">
        <v>855</v>
      </c>
      <c r="G3146" s="37"/>
      <c r="H3146" s="37">
        <f>COUNTIF('(参考)現行システム機能階層一覧'!$E$3:$E$1048576,sheet1!B3146)</f>
        <v>0</v>
      </c>
      <c r="I3146" s="37"/>
      <c r="J3146" s="37"/>
      <c r="K3146" s="37"/>
      <c r="L3146" s="37"/>
    </row>
    <row r="3147" spans="1:12" ht="15.75" customHeight="1">
      <c r="A3147" s="87" t="s">
        <v>3935</v>
      </c>
      <c r="B3147" s="87" t="s">
        <v>8720</v>
      </c>
      <c r="C3147" s="87" t="s">
        <v>8721</v>
      </c>
      <c r="D3147" s="88">
        <v>43</v>
      </c>
      <c r="E3147" s="85" t="s">
        <v>8637</v>
      </c>
      <c r="F3147" s="87">
        <v>1</v>
      </c>
      <c r="G3147" s="37"/>
      <c r="H3147" s="37">
        <f>COUNTIF('(参考)現行システム機能階層一覧'!$E$3:$E$1048576,sheet1!B3147)</f>
        <v>0</v>
      </c>
      <c r="I3147" s="37"/>
      <c r="J3147" s="37"/>
      <c r="K3147" s="37"/>
      <c r="L3147" s="37"/>
    </row>
    <row r="3148" spans="1:12" ht="15.75" customHeight="1">
      <c r="A3148" s="87" t="s">
        <v>3853</v>
      </c>
      <c r="B3148" s="87" t="s">
        <v>8722</v>
      </c>
      <c r="C3148" s="87" t="s">
        <v>8723</v>
      </c>
      <c r="D3148" s="88">
        <v>7</v>
      </c>
      <c r="E3148" s="85" t="s">
        <v>8724</v>
      </c>
      <c r="F3148" s="87">
        <v>2</v>
      </c>
      <c r="G3148" s="37"/>
      <c r="H3148" s="37">
        <f>COUNTIF('(参考)現行システム機能階層一覧'!$E$3:$E$1048576,sheet1!B3148)</f>
        <v>0</v>
      </c>
      <c r="I3148" s="37"/>
      <c r="J3148" s="37"/>
      <c r="K3148" s="37"/>
      <c r="L3148" s="37"/>
    </row>
    <row r="3149" spans="1:12" ht="15.75" customHeight="1">
      <c r="A3149" s="87" t="s">
        <v>3853</v>
      </c>
      <c r="B3149" s="87" t="s">
        <v>8725</v>
      </c>
      <c r="C3149" s="87" t="s">
        <v>858</v>
      </c>
      <c r="D3149" s="88">
        <v>121</v>
      </c>
      <c r="E3149" s="85" t="s">
        <v>8726</v>
      </c>
      <c r="F3149" s="87">
        <v>2</v>
      </c>
      <c r="G3149" s="37"/>
      <c r="H3149" s="37">
        <f>COUNTIF('(参考)現行システム機能階層一覧'!$E$3:$E$1048576,sheet1!B3149)</f>
        <v>0</v>
      </c>
      <c r="I3149" s="37"/>
      <c r="J3149" s="37"/>
      <c r="K3149" s="37"/>
      <c r="L3149" s="37"/>
    </row>
    <row r="3150" spans="1:12" ht="15.75" customHeight="1">
      <c r="A3150" s="87" t="s">
        <v>3853</v>
      </c>
      <c r="B3150" s="87" t="s">
        <v>8727</v>
      </c>
      <c r="C3150" s="87" t="s">
        <v>8728</v>
      </c>
      <c r="D3150" s="88">
        <v>62</v>
      </c>
      <c r="E3150" s="85" t="s">
        <v>8726</v>
      </c>
      <c r="F3150" s="87">
        <v>24</v>
      </c>
      <c r="G3150" s="37"/>
      <c r="H3150" s="37">
        <f>COUNTIF('(参考)現行システム機能階層一覧'!$E$3:$E$1048576,sheet1!B3150)</f>
        <v>0</v>
      </c>
      <c r="I3150" s="37"/>
      <c r="J3150" s="37"/>
      <c r="K3150" s="37"/>
      <c r="L3150" s="37"/>
    </row>
    <row r="3151" spans="1:12" ht="15.75" customHeight="1">
      <c r="A3151" s="87" t="s">
        <v>3935</v>
      </c>
      <c r="B3151" s="87" t="s">
        <v>8729</v>
      </c>
      <c r="C3151" s="87" t="s">
        <v>7495</v>
      </c>
      <c r="D3151" s="88">
        <v>182</v>
      </c>
      <c r="E3151" s="85" t="s">
        <v>8730</v>
      </c>
      <c r="F3151" s="87">
        <v>1</v>
      </c>
      <c r="G3151" s="37"/>
      <c r="H3151" s="37">
        <f>COUNTIF('(参考)現行システム機能階層一覧'!$E$3:$E$1048576,sheet1!B3151)</f>
        <v>0</v>
      </c>
      <c r="I3151" s="37"/>
      <c r="J3151" s="37"/>
      <c r="K3151" s="37"/>
      <c r="L3151" s="37"/>
    </row>
    <row r="3152" spans="1:12" ht="15.75" customHeight="1">
      <c r="A3152" s="87" t="s">
        <v>3853</v>
      </c>
      <c r="B3152" s="87" t="s">
        <v>8731</v>
      </c>
      <c r="C3152" s="87" t="s">
        <v>7724</v>
      </c>
      <c r="D3152" s="88">
        <v>22</v>
      </c>
      <c r="E3152" s="85" t="s">
        <v>8732</v>
      </c>
      <c r="F3152" s="87">
        <v>2</v>
      </c>
      <c r="G3152" s="37"/>
      <c r="H3152" s="37">
        <f>COUNTIF('(参考)現行システム機能階層一覧'!$E$3:$E$1048576,sheet1!B3152)</f>
        <v>0</v>
      </c>
      <c r="I3152" s="37"/>
      <c r="J3152" s="37"/>
      <c r="K3152" s="37"/>
      <c r="L3152" s="37"/>
    </row>
    <row r="3153" spans="1:12" ht="15.75" customHeight="1">
      <c r="A3153" s="87" t="s">
        <v>3935</v>
      </c>
      <c r="B3153" s="87" t="s">
        <v>8733</v>
      </c>
      <c r="C3153" s="87" t="s">
        <v>8734</v>
      </c>
      <c r="D3153" s="88">
        <v>202</v>
      </c>
      <c r="E3153" s="85" t="s">
        <v>8735</v>
      </c>
      <c r="F3153" s="87">
        <v>1</v>
      </c>
      <c r="G3153" s="37"/>
      <c r="H3153" s="37">
        <f>COUNTIF('(参考)現行システム機能階層一覧'!$E$3:$E$1048576,sheet1!B3153)</f>
        <v>0</v>
      </c>
      <c r="I3153" s="37"/>
      <c r="J3153" s="37"/>
      <c r="K3153" s="37"/>
      <c r="L3153" s="37"/>
    </row>
    <row r="3154" spans="1:12" ht="15.75" customHeight="1">
      <c r="A3154" s="87" t="s">
        <v>3935</v>
      </c>
      <c r="B3154" s="87" t="s">
        <v>8736</v>
      </c>
      <c r="C3154" s="87" t="s">
        <v>8737</v>
      </c>
      <c r="D3154" s="88">
        <v>487</v>
      </c>
      <c r="E3154" s="85" t="s">
        <v>8735</v>
      </c>
      <c r="F3154" s="87">
        <v>161</v>
      </c>
      <c r="G3154" s="37"/>
      <c r="H3154" s="37">
        <f>COUNTIF('(参考)現行システム機能階層一覧'!$E$3:$E$1048576,sheet1!B3154)</f>
        <v>0</v>
      </c>
      <c r="I3154" s="37"/>
      <c r="J3154" s="37"/>
      <c r="K3154" s="37"/>
      <c r="L3154" s="37"/>
    </row>
    <row r="3155" spans="1:12" ht="15.75" customHeight="1">
      <c r="A3155" s="87" t="s">
        <v>3935</v>
      </c>
      <c r="B3155" s="87" t="s">
        <v>8738</v>
      </c>
      <c r="C3155" s="87" t="s">
        <v>8739</v>
      </c>
      <c r="D3155" s="88">
        <v>413</v>
      </c>
      <c r="E3155" s="85" t="s">
        <v>8735</v>
      </c>
      <c r="F3155" s="87">
        <v>901</v>
      </c>
      <c r="G3155" s="37"/>
      <c r="H3155" s="37">
        <f>COUNTIF('(参考)現行システム機能階層一覧'!$E$3:$E$1048576,sheet1!B3155)</f>
        <v>0</v>
      </c>
      <c r="I3155" s="37"/>
      <c r="J3155" s="37"/>
      <c r="K3155" s="37"/>
      <c r="L3155" s="37"/>
    </row>
    <row r="3156" spans="1:12" ht="15.75" customHeight="1">
      <c r="A3156" s="87" t="s">
        <v>3935</v>
      </c>
      <c r="B3156" s="87" t="s">
        <v>8740</v>
      </c>
      <c r="C3156" s="87" t="s">
        <v>8741</v>
      </c>
      <c r="D3156" s="88">
        <v>419</v>
      </c>
      <c r="E3156" s="85" t="s">
        <v>8735</v>
      </c>
      <c r="F3156" s="87">
        <v>822</v>
      </c>
      <c r="G3156" s="37"/>
      <c r="H3156" s="37">
        <f>COUNTIF('(参考)現行システム機能階層一覧'!$E$3:$E$1048576,sheet1!B3156)</f>
        <v>0</v>
      </c>
      <c r="I3156" s="37"/>
      <c r="J3156" s="37"/>
      <c r="K3156" s="37"/>
      <c r="L3156" s="37"/>
    </row>
    <row r="3157" spans="1:12" ht="15.75" customHeight="1">
      <c r="A3157" s="87" t="s">
        <v>3935</v>
      </c>
      <c r="B3157" s="87" t="s">
        <v>8742</v>
      </c>
      <c r="C3157" s="87" t="s">
        <v>8743</v>
      </c>
      <c r="D3157" s="88">
        <v>487</v>
      </c>
      <c r="E3157" s="85" t="s">
        <v>8735</v>
      </c>
      <c r="F3157" s="87">
        <v>724</v>
      </c>
      <c r="G3157" s="37"/>
      <c r="H3157" s="37">
        <f>COUNTIF('(参考)現行システム機能階層一覧'!$E$3:$E$1048576,sheet1!B3157)</f>
        <v>0</v>
      </c>
      <c r="I3157" s="37"/>
      <c r="J3157" s="37"/>
      <c r="K3157" s="37"/>
      <c r="L3157" s="37"/>
    </row>
    <row r="3158" spans="1:12" ht="15.75" customHeight="1">
      <c r="A3158" s="87" t="s">
        <v>3935</v>
      </c>
      <c r="B3158" s="87" t="s">
        <v>2839</v>
      </c>
      <c r="C3158" s="87" t="s">
        <v>8744</v>
      </c>
      <c r="D3158" s="88">
        <v>878</v>
      </c>
      <c r="E3158" s="85" t="s">
        <v>8735</v>
      </c>
      <c r="F3158" s="87">
        <v>1282</v>
      </c>
      <c r="G3158" s="37"/>
      <c r="H3158" s="37">
        <f>COUNTIF('(参考)現行システム機能階層一覧'!$E$3:$E$1048576,sheet1!B3158)</f>
        <v>2</v>
      </c>
      <c r="I3158" s="37"/>
      <c r="J3158" s="37"/>
      <c r="K3158" s="37"/>
      <c r="L3158" s="37"/>
    </row>
    <row r="3159" spans="1:12" ht="15.75" customHeight="1">
      <c r="A3159" s="87" t="s">
        <v>3853</v>
      </c>
      <c r="B3159" s="87" t="s">
        <v>8745</v>
      </c>
      <c r="C3159" s="87" t="s">
        <v>8744</v>
      </c>
      <c r="D3159" s="88">
        <v>33</v>
      </c>
      <c r="E3159" s="85" t="s">
        <v>8735</v>
      </c>
      <c r="F3159" s="87">
        <v>1282</v>
      </c>
      <c r="G3159" s="37"/>
      <c r="H3159" s="37">
        <f>COUNTIF('(参考)現行システム機能階層一覧'!$E$3:$E$1048576,sheet1!B3159)</f>
        <v>0</v>
      </c>
      <c r="I3159" s="37"/>
      <c r="J3159" s="37"/>
      <c r="K3159" s="37"/>
      <c r="L3159" s="37"/>
    </row>
    <row r="3160" spans="1:12" ht="15.75" customHeight="1">
      <c r="A3160" s="87" t="s">
        <v>3935</v>
      </c>
      <c r="B3160" s="87" t="s">
        <v>8746</v>
      </c>
      <c r="C3160" s="87" t="s">
        <v>8747</v>
      </c>
      <c r="D3160" s="88">
        <v>164</v>
      </c>
      <c r="E3160" s="85" t="s">
        <v>8735</v>
      </c>
      <c r="F3160" s="87">
        <v>1015</v>
      </c>
      <c r="G3160" s="37"/>
      <c r="H3160" s="37">
        <f>COUNTIF('(参考)現行システム機能階層一覧'!$E$3:$E$1048576,sheet1!B3160)</f>
        <v>0</v>
      </c>
      <c r="I3160" s="37"/>
      <c r="J3160" s="37"/>
      <c r="K3160" s="37"/>
      <c r="L3160" s="37"/>
    </row>
    <row r="3161" spans="1:12" ht="15.75" customHeight="1">
      <c r="A3161" s="87" t="s">
        <v>3935</v>
      </c>
      <c r="B3161" s="87" t="s">
        <v>2835</v>
      </c>
      <c r="C3161" s="87" t="s">
        <v>8748</v>
      </c>
      <c r="D3161" s="88">
        <v>482</v>
      </c>
      <c r="E3161" s="85" t="s">
        <v>8735</v>
      </c>
      <c r="F3161" s="87">
        <v>115</v>
      </c>
      <c r="G3161" s="37"/>
      <c r="H3161" s="37">
        <f>COUNTIF('(参考)現行システム機能階層一覧'!$E$3:$E$1048576,sheet1!B3161)</f>
        <v>2</v>
      </c>
      <c r="I3161" s="37"/>
      <c r="J3161" s="37"/>
      <c r="K3161" s="37"/>
      <c r="L3161" s="37"/>
    </row>
    <row r="3162" spans="1:12" ht="15.75" customHeight="1">
      <c r="A3162" s="87" t="s">
        <v>3853</v>
      </c>
      <c r="B3162" s="87" t="s">
        <v>8749</v>
      </c>
      <c r="C3162" s="87" t="s">
        <v>8748</v>
      </c>
      <c r="D3162" s="88">
        <v>32</v>
      </c>
      <c r="E3162" s="85" t="s">
        <v>8735</v>
      </c>
      <c r="F3162" s="87">
        <v>115</v>
      </c>
      <c r="G3162" s="37"/>
      <c r="H3162" s="37">
        <f>COUNTIF('(参考)現行システム機能階層一覧'!$E$3:$E$1048576,sheet1!B3162)</f>
        <v>0</v>
      </c>
      <c r="I3162" s="37"/>
      <c r="J3162" s="37"/>
      <c r="K3162" s="37"/>
      <c r="L3162" s="37"/>
    </row>
    <row r="3163" spans="1:12" ht="15.75" customHeight="1">
      <c r="A3163" s="87" t="s">
        <v>3935</v>
      </c>
      <c r="B3163" s="87" t="s">
        <v>8750</v>
      </c>
      <c r="C3163" s="87" t="s">
        <v>8751</v>
      </c>
      <c r="D3163" s="88">
        <v>1289</v>
      </c>
      <c r="E3163" s="85" t="s">
        <v>8735</v>
      </c>
      <c r="F3163" s="87">
        <v>1</v>
      </c>
      <c r="G3163" s="37"/>
      <c r="H3163" s="37">
        <f>COUNTIF('(参考)現行システム機能階層一覧'!$E$3:$E$1048576,sheet1!B3163)</f>
        <v>0</v>
      </c>
      <c r="I3163" s="37"/>
      <c r="J3163" s="37"/>
      <c r="K3163" s="37"/>
      <c r="L3163" s="37"/>
    </row>
    <row r="3164" spans="1:12" ht="15.75" customHeight="1">
      <c r="A3164" s="87" t="s">
        <v>3935</v>
      </c>
      <c r="B3164" s="87" t="s">
        <v>3253</v>
      </c>
      <c r="C3164" s="87" t="s">
        <v>3282</v>
      </c>
      <c r="D3164" s="88">
        <v>1118</v>
      </c>
      <c r="E3164" s="85" t="s">
        <v>8735</v>
      </c>
      <c r="F3164" s="87">
        <v>1</v>
      </c>
      <c r="G3164" s="37"/>
      <c r="H3164" s="37">
        <f>COUNTIF('(参考)現行システム機能階層一覧'!$E$3:$E$1048576,sheet1!B3164)</f>
        <v>1</v>
      </c>
      <c r="I3164" s="37"/>
      <c r="J3164" s="37"/>
      <c r="K3164" s="37"/>
      <c r="L3164" s="37"/>
    </row>
    <row r="3165" spans="1:12" ht="15.75" customHeight="1">
      <c r="A3165" s="87" t="s">
        <v>3853</v>
      </c>
      <c r="B3165" s="87" t="s">
        <v>8752</v>
      </c>
      <c r="C3165" s="87" t="s">
        <v>3282</v>
      </c>
      <c r="D3165" s="88">
        <v>35</v>
      </c>
      <c r="E3165" s="85" t="s">
        <v>8735</v>
      </c>
      <c r="F3165" s="87">
        <v>1</v>
      </c>
      <c r="G3165" s="37"/>
      <c r="H3165" s="37">
        <f>COUNTIF('(参考)現行システム機能階層一覧'!$E$3:$E$1048576,sheet1!B3165)</f>
        <v>0</v>
      </c>
      <c r="I3165" s="37"/>
      <c r="J3165" s="37"/>
      <c r="K3165" s="37"/>
      <c r="L3165" s="37"/>
    </row>
    <row r="3166" spans="1:12" ht="15.75" customHeight="1">
      <c r="A3166" s="87" t="s">
        <v>3935</v>
      </c>
      <c r="B3166" s="87" t="s">
        <v>2811</v>
      </c>
      <c r="C3166" s="87" t="s">
        <v>8753</v>
      </c>
      <c r="D3166" s="88">
        <v>1800</v>
      </c>
      <c r="E3166" s="85" t="s">
        <v>8735</v>
      </c>
      <c r="F3166" s="87">
        <v>693</v>
      </c>
      <c r="G3166" s="37"/>
      <c r="H3166" s="37">
        <f>COUNTIF('(参考)現行システム機能階層一覧'!$E$3:$E$1048576,sheet1!B3166)</f>
        <v>4</v>
      </c>
      <c r="I3166" s="37"/>
      <c r="J3166" s="37"/>
      <c r="K3166" s="37"/>
      <c r="L3166" s="37"/>
    </row>
    <row r="3167" spans="1:12" ht="15.75" customHeight="1">
      <c r="A3167" s="87" t="s">
        <v>3853</v>
      </c>
      <c r="B3167" s="87" t="s">
        <v>8754</v>
      </c>
      <c r="C3167" s="87" t="s">
        <v>2861</v>
      </c>
      <c r="D3167" s="88">
        <v>73</v>
      </c>
      <c r="E3167" s="85" t="s">
        <v>8735</v>
      </c>
      <c r="F3167" s="87">
        <v>693</v>
      </c>
      <c r="G3167" s="37"/>
      <c r="H3167" s="37">
        <f>COUNTIF('(参考)現行システム機能階層一覧'!$E$3:$E$1048576,sheet1!B3167)</f>
        <v>0</v>
      </c>
      <c r="I3167" s="37"/>
      <c r="J3167" s="37"/>
      <c r="K3167" s="37"/>
      <c r="L3167" s="37"/>
    </row>
    <row r="3168" spans="1:12" ht="15.75" customHeight="1">
      <c r="A3168" s="87" t="s">
        <v>3935</v>
      </c>
      <c r="B3168" s="87" t="s">
        <v>2814</v>
      </c>
      <c r="C3168" s="87" t="s">
        <v>2865</v>
      </c>
      <c r="D3168" s="88">
        <v>488</v>
      </c>
      <c r="E3168" s="85" t="s">
        <v>8735</v>
      </c>
      <c r="F3168" s="87">
        <v>182</v>
      </c>
      <c r="G3168" s="37"/>
      <c r="H3168" s="37">
        <f>COUNTIF('(参考)現行システム機能階層一覧'!$E$3:$E$1048576,sheet1!B3168)</f>
        <v>2</v>
      </c>
      <c r="I3168" s="37"/>
      <c r="J3168" s="37"/>
      <c r="K3168" s="37"/>
      <c r="L3168" s="37"/>
    </row>
    <row r="3169" spans="1:12" ht="15.75" customHeight="1">
      <c r="A3169" s="87" t="s">
        <v>3935</v>
      </c>
      <c r="B3169" s="87" t="s">
        <v>2818</v>
      </c>
      <c r="C3169" s="87" t="s">
        <v>8755</v>
      </c>
      <c r="D3169" s="88">
        <v>1156</v>
      </c>
      <c r="E3169" s="85" t="s">
        <v>8735</v>
      </c>
      <c r="F3169" s="87">
        <v>392</v>
      </c>
      <c r="G3169" s="37"/>
      <c r="H3169" s="37">
        <f>COUNTIF('(参考)現行システム機能階層一覧'!$E$3:$E$1048576,sheet1!B3169)</f>
        <v>3</v>
      </c>
      <c r="I3169" s="37"/>
      <c r="J3169" s="37"/>
      <c r="K3169" s="37"/>
      <c r="L3169" s="37"/>
    </row>
    <row r="3170" spans="1:12" ht="15.75" customHeight="1">
      <c r="A3170" s="87" t="s">
        <v>3853</v>
      </c>
      <c r="B3170" s="87" t="s">
        <v>8756</v>
      </c>
      <c r="C3170" s="87" t="s">
        <v>2869</v>
      </c>
      <c r="D3170" s="88">
        <v>110</v>
      </c>
      <c r="E3170" s="85" t="s">
        <v>8735</v>
      </c>
      <c r="F3170" s="87">
        <v>392</v>
      </c>
      <c r="G3170" s="37"/>
      <c r="H3170" s="37">
        <f>COUNTIF('(参考)現行システム機能階層一覧'!$E$3:$E$1048576,sheet1!B3170)</f>
        <v>0</v>
      </c>
      <c r="I3170" s="37"/>
      <c r="J3170" s="37"/>
      <c r="K3170" s="37"/>
      <c r="L3170" s="37"/>
    </row>
    <row r="3171" spans="1:12" ht="15.75" customHeight="1">
      <c r="A3171" s="87" t="s">
        <v>3935</v>
      </c>
      <c r="B3171" s="87" t="s">
        <v>2821</v>
      </c>
      <c r="C3171" s="87" t="s">
        <v>8757</v>
      </c>
      <c r="D3171" s="88">
        <v>939</v>
      </c>
      <c r="E3171" s="85" t="s">
        <v>8735</v>
      </c>
      <c r="F3171" s="87">
        <v>159</v>
      </c>
      <c r="G3171" s="37"/>
      <c r="H3171" s="37">
        <f>COUNTIF('(参考)現行システム機能階層一覧'!$E$3:$E$1048576,sheet1!B3171)</f>
        <v>1</v>
      </c>
      <c r="I3171" s="37"/>
      <c r="J3171" s="37"/>
      <c r="K3171" s="37"/>
      <c r="L3171" s="37"/>
    </row>
    <row r="3172" spans="1:12" ht="15.75" customHeight="1">
      <c r="A3172" s="87" t="s">
        <v>3853</v>
      </c>
      <c r="B3172" s="87" t="s">
        <v>8758</v>
      </c>
      <c r="C3172" s="87" t="s">
        <v>8757</v>
      </c>
      <c r="D3172" s="88">
        <v>20</v>
      </c>
      <c r="E3172" s="85" t="s">
        <v>8735</v>
      </c>
      <c r="F3172" s="87">
        <v>333</v>
      </c>
      <c r="G3172" s="37"/>
      <c r="H3172" s="37">
        <f>COUNTIF('(参考)現行システム機能階層一覧'!$E$3:$E$1048576,sheet1!B3172)</f>
        <v>0</v>
      </c>
      <c r="I3172" s="37"/>
      <c r="J3172" s="37"/>
      <c r="K3172" s="37"/>
      <c r="L3172" s="37"/>
    </row>
    <row r="3173" spans="1:12" ht="15.75" customHeight="1">
      <c r="A3173" s="87" t="s">
        <v>3935</v>
      </c>
      <c r="B3173" s="87" t="s">
        <v>2796</v>
      </c>
      <c r="C3173" s="87" t="s">
        <v>8759</v>
      </c>
      <c r="D3173" s="88">
        <v>1524</v>
      </c>
      <c r="E3173" s="85" t="s">
        <v>8735</v>
      </c>
      <c r="F3173" s="87">
        <v>591</v>
      </c>
      <c r="G3173" s="37"/>
      <c r="H3173" s="37">
        <f>COUNTIF('(参考)現行システム機能階層一覧'!$E$3:$E$1048576,sheet1!B3173)</f>
        <v>2</v>
      </c>
      <c r="I3173" s="37"/>
      <c r="J3173" s="37"/>
      <c r="K3173" s="37"/>
      <c r="L3173" s="37"/>
    </row>
    <row r="3174" spans="1:12" ht="15.75" customHeight="1">
      <c r="A3174" s="87" t="s">
        <v>3853</v>
      </c>
      <c r="B3174" s="87" t="s">
        <v>8760</v>
      </c>
      <c r="C3174" s="87" t="s">
        <v>8761</v>
      </c>
      <c r="D3174" s="88">
        <v>64</v>
      </c>
      <c r="E3174" s="85" t="s">
        <v>8735</v>
      </c>
      <c r="F3174" s="87">
        <v>591</v>
      </c>
      <c r="G3174" s="37"/>
      <c r="H3174" s="37">
        <f>COUNTIF('(参考)現行システム機能階層一覧'!$E$3:$E$1048576,sheet1!B3174)</f>
        <v>0</v>
      </c>
      <c r="I3174" s="37"/>
      <c r="J3174" s="37"/>
      <c r="K3174" s="37"/>
      <c r="L3174" s="37"/>
    </row>
    <row r="3175" spans="1:12" ht="15.75" customHeight="1">
      <c r="A3175" s="87" t="s">
        <v>3935</v>
      </c>
      <c r="B3175" s="87" t="s">
        <v>2799</v>
      </c>
      <c r="C3175" s="87" t="s">
        <v>2830</v>
      </c>
      <c r="D3175" s="88">
        <v>2773</v>
      </c>
      <c r="E3175" s="85" t="s">
        <v>8735</v>
      </c>
      <c r="F3175" s="87">
        <v>1304</v>
      </c>
      <c r="G3175" s="37"/>
      <c r="H3175" s="37">
        <f>COUNTIF('(参考)現行システム機能階層一覧'!$E$3:$E$1048576,sheet1!B3175)</f>
        <v>2</v>
      </c>
      <c r="I3175" s="37"/>
      <c r="J3175" s="37"/>
      <c r="K3175" s="37"/>
      <c r="L3175" s="37"/>
    </row>
    <row r="3176" spans="1:12" ht="15.75" customHeight="1">
      <c r="A3176" s="87" t="s">
        <v>3935</v>
      </c>
      <c r="B3176" s="87" t="s">
        <v>8762</v>
      </c>
      <c r="C3176" s="87" t="s">
        <v>2830</v>
      </c>
      <c r="D3176" s="88">
        <v>2773</v>
      </c>
      <c r="E3176" s="85" t="s">
        <v>8735</v>
      </c>
      <c r="F3176" s="87">
        <v>1</v>
      </c>
      <c r="G3176" s="37"/>
      <c r="H3176" s="37">
        <f>COUNTIF('(参考)現行システム機能階層一覧'!$E$3:$E$1048576,sheet1!B3176)</f>
        <v>0</v>
      </c>
      <c r="I3176" s="37"/>
      <c r="J3176" s="37"/>
      <c r="K3176" s="37"/>
      <c r="L3176" s="37"/>
    </row>
    <row r="3177" spans="1:12" ht="15.75" customHeight="1">
      <c r="A3177" s="87" t="s">
        <v>3853</v>
      </c>
      <c r="B3177" s="87" t="s">
        <v>8763</v>
      </c>
      <c r="C3177" s="87" t="s">
        <v>2830</v>
      </c>
      <c r="D3177" s="88">
        <v>96</v>
      </c>
      <c r="E3177" s="85" t="s">
        <v>8735</v>
      </c>
      <c r="F3177" s="87">
        <v>1304</v>
      </c>
      <c r="G3177" s="37"/>
      <c r="H3177" s="37">
        <f>COUNTIF('(参考)現行システム機能階層一覧'!$E$3:$E$1048576,sheet1!B3177)</f>
        <v>0</v>
      </c>
      <c r="I3177" s="37"/>
      <c r="J3177" s="37"/>
      <c r="K3177" s="37"/>
      <c r="L3177" s="37"/>
    </row>
    <row r="3178" spans="1:12" ht="15.75" customHeight="1">
      <c r="A3178" s="87" t="s">
        <v>3935</v>
      </c>
      <c r="B3178" s="87" t="s">
        <v>8764</v>
      </c>
      <c r="C3178" s="87" t="s">
        <v>8765</v>
      </c>
      <c r="D3178" s="88">
        <v>548</v>
      </c>
      <c r="E3178" s="85" t="s">
        <v>8735</v>
      </c>
      <c r="F3178" s="87">
        <v>1</v>
      </c>
      <c r="G3178" s="37"/>
      <c r="H3178" s="37">
        <f>COUNTIF('(参考)現行システム機能階層一覧'!$E$3:$E$1048576,sheet1!B3178)</f>
        <v>0</v>
      </c>
      <c r="I3178" s="37"/>
      <c r="J3178" s="37"/>
      <c r="K3178" s="37"/>
      <c r="L3178" s="37"/>
    </row>
    <row r="3179" spans="1:12" ht="15.75" customHeight="1">
      <c r="A3179" s="87" t="s">
        <v>3935</v>
      </c>
      <c r="B3179" s="87" t="s">
        <v>2805</v>
      </c>
      <c r="C3179" s="87" t="s">
        <v>2837</v>
      </c>
      <c r="D3179" s="88">
        <v>1028</v>
      </c>
      <c r="E3179" s="85" t="s">
        <v>8735</v>
      </c>
      <c r="F3179" s="87">
        <v>1065</v>
      </c>
      <c r="G3179" s="37"/>
      <c r="H3179" s="37">
        <f>COUNTIF('(参考)現行システム機能階層一覧'!$E$3:$E$1048576,sheet1!B3179)</f>
        <v>1</v>
      </c>
      <c r="I3179" s="37"/>
      <c r="J3179" s="37"/>
      <c r="K3179" s="37"/>
      <c r="L3179" s="37"/>
    </row>
    <row r="3180" spans="1:12" ht="15.75" customHeight="1">
      <c r="A3180" s="87" t="s">
        <v>3853</v>
      </c>
      <c r="B3180" s="87" t="s">
        <v>8766</v>
      </c>
      <c r="C3180" s="87" t="s">
        <v>2837</v>
      </c>
      <c r="D3180" s="88">
        <v>64</v>
      </c>
      <c r="E3180" s="85" t="s">
        <v>8735</v>
      </c>
      <c r="F3180" s="87">
        <v>1065</v>
      </c>
      <c r="G3180" s="37"/>
      <c r="H3180" s="37">
        <f>COUNTIF('(参考)現行システム機能階層一覧'!$E$3:$E$1048576,sheet1!B3180)</f>
        <v>0</v>
      </c>
      <c r="I3180" s="37"/>
      <c r="J3180" s="37"/>
      <c r="K3180" s="37"/>
      <c r="L3180" s="37"/>
    </row>
    <row r="3181" spans="1:12" ht="15.75" customHeight="1">
      <c r="A3181" s="87" t="s">
        <v>3935</v>
      </c>
      <c r="B3181" s="87" t="s">
        <v>8767</v>
      </c>
      <c r="C3181" s="87" t="s">
        <v>2837</v>
      </c>
      <c r="D3181" s="88">
        <v>1075</v>
      </c>
      <c r="E3181" s="85" t="s">
        <v>8735</v>
      </c>
      <c r="F3181" s="87">
        <v>2</v>
      </c>
      <c r="G3181" s="37"/>
      <c r="H3181" s="37">
        <f>COUNTIF('(参考)現行システム機能階層一覧'!$E$3:$E$1048576,sheet1!B3181)</f>
        <v>0</v>
      </c>
      <c r="I3181" s="37"/>
      <c r="J3181" s="37"/>
      <c r="K3181" s="37"/>
      <c r="L3181" s="37"/>
    </row>
    <row r="3182" spans="1:12" ht="15.75" customHeight="1">
      <c r="A3182" s="87" t="s">
        <v>3935</v>
      </c>
      <c r="B3182" s="87" t="s">
        <v>8768</v>
      </c>
      <c r="C3182" s="87" t="s">
        <v>8769</v>
      </c>
      <c r="D3182" s="88">
        <v>178</v>
      </c>
      <c r="E3182" s="85" t="s">
        <v>8735</v>
      </c>
      <c r="F3182" s="87">
        <v>56</v>
      </c>
      <c r="G3182" s="37"/>
      <c r="H3182" s="37">
        <f>COUNTIF('(参考)現行システム機能階層一覧'!$E$3:$E$1048576,sheet1!B3182)</f>
        <v>0</v>
      </c>
      <c r="I3182" s="37"/>
      <c r="J3182" s="37"/>
      <c r="K3182" s="37"/>
      <c r="L3182" s="37"/>
    </row>
    <row r="3183" spans="1:12" ht="15.75" customHeight="1">
      <c r="A3183" s="87" t="s">
        <v>3935</v>
      </c>
      <c r="B3183" s="87" t="s">
        <v>8770</v>
      </c>
      <c r="C3183" s="87" t="s">
        <v>8771</v>
      </c>
      <c r="D3183" s="88">
        <v>547</v>
      </c>
      <c r="E3183" s="85" t="s">
        <v>8735</v>
      </c>
      <c r="F3183" s="87">
        <v>1</v>
      </c>
      <c r="G3183" s="37"/>
      <c r="H3183" s="37">
        <f>COUNTIF('(参考)現行システム機能階層一覧'!$E$3:$E$1048576,sheet1!B3183)</f>
        <v>0</v>
      </c>
      <c r="I3183" s="37"/>
      <c r="J3183" s="37"/>
      <c r="K3183" s="37"/>
      <c r="L3183" s="37"/>
    </row>
    <row r="3184" spans="1:12" ht="15.75" customHeight="1">
      <c r="A3184" s="87" t="s">
        <v>3853</v>
      </c>
      <c r="B3184" s="87" t="s">
        <v>8772</v>
      </c>
      <c r="C3184" s="87" t="s">
        <v>8773</v>
      </c>
      <c r="D3184" s="88">
        <v>17</v>
      </c>
      <c r="E3184" s="85" t="s">
        <v>8735</v>
      </c>
      <c r="F3184" s="87">
        <v>1</v>
      </c>
      <c r="G3184" s="37"/>
      <c r="H3184" s="37">
        <f>COUNTIF('(参考)現行システム機能階層一覧'!$E$3:$E$1048576,sheet1!B3184)</f>
        <v>0</v>
      </c>
      <c r="I3184" s="37"/>
      <c r="J3184" s="37"/>
      <c r="K3184" s="37"/>
      <c r="L3184" s="37"/>
    </row>
    <row r="3185" spans="1:12" ht="15.75" customHeight="1">
      <c r="A3185" s="87" t="s">
        <v>3935</v>
      </c>
      <c r="B3185" s="87" t="s">
        <v>8774</v>
      </c>
      <c r="C3185" s="87" t="s">
        <v>8773</v>
      </c>
      <c r="D3185" s="88">
        <v>812</v>
      </c>
      <c r="E3185" s="85" t="s">
        <v>8735</v>
      </c>
      <c r="F3185" s="87">
        <v>1</v>
      </c>
      <c r="G3185" s="37"/>
      <c r="H3185" s="37">
        <f>COUNTIF('(参考)現行システム機能階層一覧'!$E$3:$E$1048576,sheet1!B3185)</f>
        <v>0</v>
      </c>
      <c r="I3185" s="37"/>
      <c r="J3185" s="37"/>
      <c r="K3185" s="37"/>
      <c r="L3185" s="37"/>
    </row>
    <row r="3186" spans="1:12" ht="15.75" customHeight="1">
      <c r="A3186" s="87" t="s">
        <v>3935</v>
      </c>
      <c r="B3186" s="87" t="s">
        <v>8775</v>
      </c>
      <c r="C3186" s="87" t="s">
        <v>8776</v>
      </c>
      <c r="D3186" s="88">
        <v>571</v>
      </c>
      <c r="E3186" s="85" t="s">
        <v>8735</v>
      </c>
      <c r="F3186" s="87">
        <v>1</v>
      </c>
      <c r="G3186" s="37"/>
      <c r="H3186" s="37">
        <f>COUNTIF('(参考)現行システム機能階層一覧'!$E$3:$E$1048576,sheet1!B3186)</f>
        <v>0</v>
      </c>
      <c r="I3186" s="37"/>
      <c r="J3186" s="37"/>
      <c r="K3186" s="37"/>
      <c r="L3186" s="37"/>
    </row>
    <row r="3187" spans="1:12" ht="15.75" customHeight="1">
      <c r="A3187" s="87" t="s">
        <v>3853</v>
      </c>
      <c r="B3187" s="87" t="s">
        <v>8777</v>
      </c>
      <c r="C3187" s="87" t="s">
        <v>8778</v>
      </c>
      <c r="D3187" s="88">
        <v>33</v>
      </c>
      <c r="E3187" s="85" t="s">
        <v>8735</v>
      </c>
      <c r="F3187" s="87">
        <v>1</v>
      </c>
      <c r="G3187" s="37"/>
      <c r="H3187" s="37">
        <f>COUNTIF('(参考)現行システム機能階層一覧'!$E$3:$E$1048576,sheet1!B3187)</f>
        <v>0</v>
      </c>
      <c r="I3187" s="37"/>
      <c r="J3187" s="37"/>
      <c r="K3187" s="37"/>
      <c r="L3187" s="37"/>
    </row>
    <row r="3188" spans="1:12" ht="15.75" customHeight="1">
      <c r="A3188" s="87" t="s">
        <v>3935</v>
      </c>
      <c r="B3188" s="87" t="s">
        <v>8779</v>
      </c>
      <c r="C3188" s="87" t="s">
        <v>3285</v>
      </c>
      <c r="D3188" s="88">
        <v>1890</v>
      </c>
      <c r="E3188" s="85" t="s">
        <v>8735</v>
      </c>
      <c r="F3188" s="87">
        <v>2</v>
      </c>
      <c r="G3188" s="37"/>
      <c r="H3188" s="37">
        <f>COUNTIF('(参考)現行システム機能階層一覧'!$E$3:$E$1048576,sheet1!B3188)</f>
        <v>0</v>
      </c>
      <c r="I3188" s="37"/>
      <c r="J3188" s="37"/>
      <c r="K3188" s="37"/>
      <c r="L3188" s="37"/>
    </row>
    <row r="3189" spans="1:12" ht="15.75" customHeight="1">
      <c r="A3189" s="87" t="s">
        <v>3853</v>
      </c>
      <c r="B3189" s="87" t="s">
        <v>8780</v>
      </c>
      <c r="C3189" s="87" t="s">
        <v>3285</v>
      </c>
      <c r="D3189" s="88">
        <v>40</v>
      </c>
      <c r="E3189" s="85" t="s">
        <v>8735</v>
      </c>
      <c r="F3189" s="87">
        <v>2</v>
      </c>
      <c r="G3189" s="37"/>
      <c r="H3189" s="37">
        <f>COUNTIF('(参考)現行システム機能階層一覧'!$E$3:$E$1048576,sheet1!B3189)</f>
        <v>0</v>
      </c>
      <c r="I3189" s="37"/>
      <c r="J3189" s="37"/>
      <c r="K3189" s="37"/>
      <c r="L3189" s="37"/>
    </row>
    <row r="3190" spans="1:12" ht="15.75" customHeight="1">
      <c r="A3190" s="87" t="s">
        <v>3935</v>
      </c>
      <c r="B3190" s="87" t="s">
        <v>8781</v>
      </c>
      <c r="C3190" s="87" t="s">
        <v>8782</v>
      </c>
      <c r="D3190" s="88">
        <v>1272</v>
      </c>
      <c r="E3190" s="85" t="s">
        <v>8735</v>
      </c>
      <c r="F3190" s="87">
        <v>1</v>
      </c>
      <c r="G3190" s="37"/>
      <c r="H3190" s="37">
        <f>COUNTIF('(参考)現行システム機能階層一覧'!$E$3:$E$1048576,sheet1!B3190)</f>
        <v>0</v>
      </c>
      <c r="I3190" s="37"/>
      <c r="J3190" s="37"/>
      <c r="K3190" s="37"/>
      <c r="L3190" s="37"/>
    </row>
    <row r="3191" spans="1:12" ht="15.75" customHeight="1">
      <c r="A3191" s="87" t="s">
        <v>3853</v>
      </c>
      <c r="B3191" s="87" t="s">
        <v>8783</v>
      </c>
      <c r="C3191" s="87" t="s">
        <v>8782</v>
      </c>
      <c r="D3191" s="88">
        <v>39</v>
      </c>
      <c r="E3191" s="85" t="s">
        <v>8735</v>
      </c>
      <c r="F3191" s="87">
        <v>1</v>
      </c>
      <c r="G3191" s="37"/>
      <c r="H3191" s="37">
        <f>COUNTIF('(参考)現行システム機能階層一覧'!$E$3:$E$1048576,sheet1!B3191)</f>
        <v>0</v>
      </c>
      <c r="I3191" s="37"/>
      <c r="J3191" s="37"/>
      <c r="K3191" s="37"/>
      <c r="L3191" s="37"/>
    </row>
    <row r="3192" spans="1:12" ht="15.75" customHeight="1">
      <c r="A3192" s="87" t="s">
        <v>3935</v>
      </c>
      <c r="B3192" s="87" t="s">
        <v>3258</v>
      </c>
      <c r="C3192" s="87" t="s">
        <v>8784</v>
      </c>
      <c r="D3192" s="88">
        <v>153</v>
      </c>
      <c r="E3192" s="85" t="s">
        <v>8735</v>
      </c>
      <c r="F3192" s="87">
        <v>2</v>
      </c>
      <c r="G3192" s="37"/>
      <c r="H3192" s="37">
        <f>COUNTIF('(参考)現行システム機能階層一覧'!$E$3:$E$1048576,sheet1!B3192)</f>
        <v>1</v>
      </c>
      <c r="I3192" s="37"/>
      <c r="J3192" s="37"/>
      <c r="K3192" s="37"/>
      <c r="L3192" s="37"/>
    </row>
    <row r="3193" spans="1:12" ht="15.75" customHeight="1">
      <c r="A3193" s="87" t="s">
        <v>3853</v>
      </c>
      <c r="B3193" s="87" t="s">
        <v>8785</v>
      </c>
      <c r="C3193" s="87" t="s">
        <v>8786</v>
      </c>
      <c r="D3193" s="88">
        <v>244</v>
      </c>
      <c r="E3193" s="85" t="s">
        <v>8735</v>
      </c>
      <c r="F3193" s="87">
        <v>2</v>
      </c>
      <c r="G3193" s="37"/>
      <c r="H3193" s="37">
        <f>COUNTIF('(参考)現行システム機能階層一覧'!$E$3:$E$1048576,sheet1!B3193)</f>
        <v>0</v>
      </c>
      <c r="I3193" s="37"/>
      <c r="J3193" s="37"/>
      <c r="K3193" s="37"/>
      <c r="L3193" s="37"/>
    </row>
    <row r="3194" spans="1:12" ht="15.75" customHeight="1">
      <c r="A3194" s="87" t="s">
        <v>3935</v>
      </c>
      <c r="B3194" s="87" t="s">
        <v>8787</v>
      </c>
      <c r="C3194" s="87" t="s">
        <v>8788</v>
      </c>
      <c r="D3194" s="88">
        <v>351</v>
      </c>
      <c r="E3194" s="85" t="s">
        <v>8735</v>
      </c>
      <c r="F3194" s="87">
        <v>1</v>
      </c>
      <c r="G3194" s="37"/>
      <c r="H3194" s="37">
        <f>COUNTIF('(参考)現行システム機能階層一覧'!$E$3:$E$1048576,sheet1!B3194)</f>
        <v>0</v>
      </c>
      <c r="I3194" s="37"/>
      <c r="J3194" s="37"/>
      <c r="K3194" s="37"/>
      <c r="L3194" s="37"/>
    </row>
    <row r="3195" spans="1:12" ht="15.75" customHeight="1">
      <c r="A3195" s="87" t="s">
        <v>3935</v>
      </c>
      <c r="B3195" s="87" t="s">
        <v>8789</v>
      </c>
      <c r="C3195" s="87" t="s">
        <v>8790</v>
      </c>
      <c r="D3195" s="88">
        <v>363</v>
      </c>
      <c r="E3195" s="85" t="s">
        <v>8735</v>
      </c>
      <c r="F3195" s="87">
        <v>2</v>
      </c>
      <c r="G3195" s="37"/>
      <c r="H3195" s="37">
        <f>COUNTIF('(参考)現行システム機能階層一覧'!$E$3:$E$1048576,sheet1!B3195)</f>
        <v>0</v>
      </c>
      <c r="I3195" s="37"/>
      <c r="J3195" s="37"/>
      <c r="K3195" s="37"/>
      <c r="L3195" s="37"/>
    </row>
    <row r="3196" spans="1:12" ht="15.75" customHeight="1">
      <c r="A3196" s="87" t="s">
        <v>3935</v>
      </c>
      <c r="B3196" s="87" t="s">
        <v>8791</v>
      </c>
      <c r="C3196" s="87" t="s">
        <v>8792</v>
      </c>
      <c r="D3196" s="88">
        <v>597</v>
      </c>
      <c r="E3196" s="85" t="s">
        <v>8735</v>
      </c>
      <c r="F3196" s="87">
        <v>1</v>
      </c>
      <c r="G3196" s="37"/>
      <c r="H3196" s="37">
        <f>COUNTIF('(参考)現行システム機能階層一覧'!$E$3:$E$1048576,sheet1!B3196)</f>
        <v>0</v>
      </c>
      <c r="I3196" s="37"/>
      <c r="J3196" s="37"/>
      <c r="K3196" s="37"/>
      <c r="L3196" s="37"/>
    </row>
    <row r="3197" spans="1:12" ht="15.75" customHeight="1">
      <c r="A3197" s="87" t="s">
        <v>3935</v>
      </c>
      <c r="B3197" s="87" t="s">
        <v>8793</v>
      </c>
      <c r="C3197" s="87" t="s">
        <v>8794</v>
      </c>
      <c r="D3197" s="88">
        <v>410</v>
      </c>
      <c r="E3197" s="85" t="s">
        <v>8735</v>
      </c>
      <c r="F3197" s="87">
        <v>38</v>
      </c>
      <c r="G3197" s="37"/>
      <c r="H3197" s="37">
        <f>COUNTIF('(参考)現行システム機能階層一覧'!$E$3:$E$1048576,sheet1!B3197)</f>
        <v>0</v>
      </c>
      <c r="I3197" s="37"/>
      <c r="J3197" s="37"/>
      <c r="K3197" s="37"/>
      <c r="L3197" s="37"/>
    </row>
    <row r="3198" spans="1:12" ht="15.75" customHeight="1">
      <c r="A3198" s="87" t="s">
        <v>3853</v>
      </c>
      <c r="B3198" s="87" t="s">
        <v>8795</v>
      </c>
      <c r="C3198" s="87" t="s">
        <v>8796</v>
      </c>
      <c r="D3198" s="88">
        <v>25</v>
      </c>
      <c r="E3198" s="85" t="s">
        <v>8735</v>
      </c>
      <c r="F3198" s="87">
        <v>38</v>
      </c>
      <c r="G3198" s="37"/>
      <c r="H3198" s="37">
        <f>COUNTIF('(参考)現行システム機能階層一覧'!$E$3:$E$1048576,sheet1!B3198)</f>
        <v>0</v>
      </c>
      <c r="I3198" s="37"/>
      <c r="J3198" s="37"/>
      <c r="K3198" s="37"/>
      <c r="L3198" s="37"/>
    </row>
    <row r="3199" spans="1:12" ht="15.75" customHeight="1">
      <c r="A3199" s="87" t="s">
        <v>3853</v>
      </c>
      <c r="B3199" s="87" t="s">
        <v>8797</v>
      </c>
      <c r="C3199" s="87" t="s">
        <v>8798</v>
      </c>
      <c r="D3199" s="88">
        <v>27</v>
      </c>
      <c r="E3199" s="85" t="s">
        <v>8735</v>
      </c>
      <c r="F3199" s="87">
        <v>7</v>
      </c>
      <c r="G3199" s="37"/>
      <c r="H3199" s="37">
        <f>COUNTIF('(参考)現行システム機能階層一覧'!$E$3:$E$1048576,sheet1!B3199)</f>
        <v>0</v>
      </c>
      <c r="I3199" s="37"/>
      <c r="J3199" s="37"/>
      <c r="K3199" s="37"/>
      <c r="L3199" s="37"/>
    </row>
    <row r="3200" spans="1:12" ht="15.75" customHeight="1">
      <c r="A3200" s="87" t="s">
        <v>3935</v>
      </c>
      <c r="B3200" s="87" t="s">
        <v>2832</v>
      </c>
      <c r="C3200" s="87" t="s">
        <v>8799</v>
      </c>
      <c r="D3200" s="88">
        <v>761</v>
      </c>
      <c r="E3200" s="85" t="s">
        <v>8735</v>
      </c>
      <c r="F3200" s="87">
        <v>408</v>
      </c>
      <c r="G3200" s="37"/>
      <c r="H3200" s="37">
        <f>COUNTIF('(参考)現行システム機能階層一覧'!$E$3:$E$1048576,sheet1!B3200)</f>
        <v>2</v>
      </c>
      <c r="I3200" s="37"/>
      <c r="J3200" s="37"/>
      <c r="K3200" s="37"/>
      <c r="L3200" s="37"/>
    </row>
    <row r="3201" spans="1:12" ht="15.75" customHeight="1">
      <c r="A3201" s="87" t="s">
        <v>3853</v>
      </c>
      <c r="B3201" s="87" t="s">
        <v>8800</v>
      </c>
      <c r="C3201" s="87" t="s">
        <v>8801</v>
      </c>
      <c r="D3201" s="88">
        <v>168</v>
      </c>
      <c r="E3201" s="85" t="s">
        <v>8735</v>
      </c>
      <c r="F3201" s="87">
        <v>408</v>
      </c>
      <c r="G3201" s="37"/>
      <c r="H3201" s="37">
        <f>COUNTIF('(参考)現行システム機能階層一覧'!$E$3:$E$1048576,sheet1!B3201)</f>
        <v>0</v>
      </c>
      <c r="I3201" s="37"/>
      <c r="J3201" s="37"/>
      <c r="K3201" s="37"/>
      <c r="L3201" s="37"/>
    </row>
    <row r="3202" spans="1:12" ht="15.75" customHeight="1">
      <c r="A3202" s="87" t="s">
        <v>3935</v>
      </c>
      <c r="B3202" s="87" t="s">
        <v>8802</v>
      </c>
      <c r="C3202" s="87" t="s">
        <v>8803</v>
      </c>
      <c r="D3202" s="88">
        <v>526</v>
      </c>
      <c r="E3202" s="85" t="s">
        <v>8735</v>
      </c>
      <c r="F3202" s="87">
        <v>790</v>
      </c>
      <c r="G3202" s="37"/>
      <c r="H3202" s="37">
        <f>COUNTIF('(参考)現行システム機能階層一覧'!$E$3:$E$1048576,sheet1!B3202)</f>
        <v>0</v>
      </c>
      <c r="I3202" s="37"/>
      <c r="J3202" s="37"/>
      <c r="K3202" s="37"/>
      <c r="L3202" s="37"/>
    </row>
    <row r="3203" spans="1:12" ht="15.75" customHeight="1">
      <c r="A3203" s="87" t="s">
        <v>3935</v>
      </c>
      <c r="B3203" s="87" t="s">
        <v>8804</v>
      </c>
      <c r="C3203" s="87" t="s">
        <v>2873</v>
      </c>
      <c r="D3203" s="88">
        <v>546</v>
      </c>
      <c r="E3203" s="85" t="s">
        <v>8735</v>
      </c>
      <c r="F3203" s="87">
        <v>394</v>
      </c>
      <c r="G3203" s="37"/>
      <c r="H3203" s="37">
        <f>COUNTIF('(参考)現行システム機能階層一覧'!$E$3:$E$1048576,sheet1!B3203)</f>
        <v>0</v>
      </c>
      <c r="I3203" s="37"/>
      <c r="J3203" s="37"/>
      <c r="K3203" s="37"/>
      <c r="L3203" s="37"/>
    </row>
    <row r="3204" spans="1:12" ht="15.75" customHeight="1">
      <c r="A3204" s="87" t="s">
        <v>3935</v>
      </c>
      <c r="B3204" s="87" t="s">
        <v>2844</v>
      </c>
      <c r="C3204" s="87" t="s">
        <v>8805</v>
      </c>
      <c r="D3204" s="88">
        <v>717</v>
      </c>
      <c r="E3204" s="85" t="s">
        <v>8735</v>
      </c>
      <c r="F3204" s="87">
        <v>167</v>
      </c>
      <c r="G3204" s="37"/>
      <c r="H3204" s="37">
        <f>COUNTIF('(参考)現行システム機能階層一覧'!$E$3:$E$1048576,sheet1!B3204)</f>
        <v>2</v>
      </c>
      <c r="I3204" s="37"/>
      <c r="J3204" s="37"/>
      <c r="K3204" s="37"/>
      <c r="L3204" s="37"/>
    </row>
    <row r="3205" spans="1:12" ht="15.75" customHeight="1">
      <c r="A3205" s="87" t="s">
        <v>3853</v>
      </c>
      <c r="B3205" s="87" t="s">
        <v>8806</v>
      </c>
      <c r="C3205" s="87" t="s">
        <v>2883</v>
      </c>
      <c r="D3205" s="88">
        <v>155</v>
      </c>
      <c r="E3205" s="85" t="s">
        <v>8735</v>
      </c>
      <c r="F3205" s="87">
        <v>167</v>
      </c>
      <c r="G3205" s="37"/>
      <c r="H3205" s="37">
        <f>COUNTIF('(参考)現行システム機能階層一覧'!$E$3:$E$1048576,sheet1!B3205)</f>
        <v>0</v>
      </c>
      <c r="I3205" s="37"/>
      <c r="J3205" s="37"/>
      <c r="K3205" s="37"/>
      <c r="L3205" s="37"/>
    </row>
    <row r="3206" spans="1:12" ht="15.75" customHeight="1">
      <c r="A3206" s="87" t="s">
        <v>3935</v>
      </c>
      <c r="B3206" s="87" t="s">
        <v>8807</v>
      </c>
      <c r="C3206" s="87" t="s">
        <v>8808</v>
      </c>
      <c r="D3206" s="88">
        <v>448</v>
      </c>
      <c r="E3206" s="85" t="s">
        <v>8735</v>
      </c>
      <c r="F3206" s="87">
        <v>643</v>
      </c>
      <c r="G3206" s="37"/>
      <c r="H3206" s="37">
        <f>COUNTIF('(参考)現行システム機能階層一覧'!$E$3:$E$1048576,sheet1!B3206)</f>
        <v>0</v>
      </c>
      <c r="I3206" s="37"/>
      <c r="J3206" s="37"/>
      <c r="K3206" s="37"/>
      <c r="L3206" s="37"/>
    </row>
    <row r="3207" spans="1:12" ht="15.75" customHeight="1">
      <c r="A3207" s="87" t="s">
        <v>3935</v>
      </c>
      <c r="B3207" s="87" t="s">
        <v>8809</v>
      </c>
      <c r="C3207" s="87" t="s">
        <v>8810</v>
      </c>
      <c r="D3207" s="88">
        <v>589</v>
      </c>
      <c r="E3207" s="85" t="s">
        <v>8735</v>
      </c>
      <c r="F3207" s="87">
        <v>1305</v>
      </c>
      <c r="G3207" s="37"/>
      <c r="H3207" s="37">
        <f>COUNTIF('(参考)現行システム機能階層一覧'!$E$3:$E$1048576,sheet1!B3207)</f>
        <v>0</v>
      </c>
      <c r="I3207" s="37"/>
      <c r="J3207" s="37"/>
      <c r="K3207" s="37"/>
      <c r="L3207" s="37"/>
    </row>
    <row r="3208" spans="1:12" ht="15.75" customHeight="1">
      <c r="A3208" s="87" t="s">
        <v>3935</v>
      </c>
      <c r="B3208" s="87" t="s">
        <v>8811</v>
      </c>
      <c r="C3208" s="87" t="s">
        <v>8812</v>
      </c>
      <c r="D3208" s="88">
        <v>85</v>
      </c>
      <c r="E3208" s="85" t="s">
        <v>8735</v>
      </c>
      <c r="F3208" s="87">
        <v>1887</v>
      </c>
      <c r="G3208" s="37"/>
      <c r="H3208" s="37">
        <f>COUNTIF('(参考)現行システム機能階層一覧'!$E$3:$E$1048576,sheet1!B3208)</f>
        <v>0</v>
      </c>
      <c r="I3208" s="37"/>
      <c r="J3208" s="37"/>
      <c r="K3208" s="37"/>
      <c r="L3208" s="37"/>
    </row>
    <row r="3209" spans="1:12" ht="15.75" customHeight="1">
      <c r="A3209" s="87" t="s">
        <v>3853</v>
      </c>
      <c r="B3209" s="87" t="s">
        <v>8813</v>
      </c>
      <c r="C3209" s="87" t="s">
        <v>8814</v>
      </c>
      <c r="D3209" s="88">
        <v>82</v>
      </c>
      <c r="E3209" s="85" t="s">
        <v>8815</v>
      </c>
      <c r="F3209" s="87">
        <v>45</v>
      </c>
      <c r="G3209" s="37"/>
      <c r="H3209" s="37">
        <f>COUNTIF('(参考)現行システム機能階層一覧'!$E$3:$E$1048576,sheet1!B3209)</f>
        <v>0</v>
      </c>
      <c r="I3209" s="37"/>
      <c r="J3209" s="37"/>
      <c r="K3209" s="37"/>
      <c r="L3209" s="37"/>
    </row>
    <row r="3210" spans="1:12" ht="15.75" customHeight="1">
      <c r="A3210" s="37"/>
      <c r="B3210" s="37"/>
      <c r="C3210" s="89" t="str">
        <f>TRIM(B3210)</f>
        <v/>
      </c>
      <c r="D3210" s="37"/>
      <c r="E3210" s="37"/>
      <c r="F3210" s="37"/>
      <c r="G3210" s="37"/>
      <c r="H3210" s="37"/>
      <c r="I3210" s="37"/>
      <c r="J3210" s="37"/>
      <c r="K3210" s="37"/>
      <c r="L3210" s="37"/>
    </row>
  </sheetData>
  <autoFilter ref="A1:L3210" xr:uid="{00000000-0001-0000-0300-000000000000}"/>
  <phoneticPr fontId="31"/>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4" ma:contentTypeDescription="新しいドキュメントを作成します。" ma:contentTypeScope="" ma:versionID="95912e78f6ccdadfdc971eb246a5f79b">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7137c6400623faac65e4cabe95a9ca19"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97d1adc-e1c3-4253-a9ea-1e921474ee82" xsi:nil="true"/>
    <lcf76f155ced4ddcb4097134ff3c332f xmlns="0b721b13-ddf6-42b9-b056-4726a200733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242A13-EAD9-4147-860B-30DA7BBFFA7A}">
  <ds:schemaRefs>
    <ds:schemaRef ds:uri="http://schemas.microsoft.com/office/2006/metadata/contentType"/>
    <ds:schemaRef ds:uri="http://schemas.microsoft.com/office/2006/metadata/properties/metaAttributes"/>
    <ds:schemaRef ds:uri="http://www.w3.org/2000/xmlns/"/>
    <ds:schemaRef ds:uri="http://www.w3.org/2001/XMLSchema"/>
    <ds:schemaRef ds:uri="0b721b13-ddf6-42b9-b056-4726a200733f"/>
    <ds:schemaRef ds:uri="b97d1adc-e1c3-4253-a9ea-1e921474ee82"/>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07E20A-C465-461D-8670-DDD280F31878}">
  <ds:schemaRefs>
    <ds:schemaRef ds:uri="http://schemas.microsoft.com/sharepoint/v3/contenttype/forms"/>
  </ds:schemaRefs>
</ds:datastoreItem>
</file>

<file path=customXml/itemProps3.xml><?xml version="1.0" encoding="utf-8"?>
<ds:datastoreItem xmlns:ds="http://schemas.openxmlformats.org/officeDocument/2006/customXml" ds:itemID="{94710137-5AED-4FDB-95AD-3A5F2259D5F4}">
  <ds:schemaRefs>
    <ds:schemaRef ds:uri="http://www.w3.org/XML/1998/namespace"/>
    <ds:schemaRef ds:uri="http://purl.org/dc/terms/"/>
    <ds:schemaRef ds:uri="http://schemas.microsoft.com/office/2006/metadata/properties"/>
    <ds:schemaRef ds:uri="http://purl.org/dc/dcmitype/"/>
    <ds:schemaRef ds:uri="0b721b13-ddf6-42b9-b056-4726a200733f"/>
    <ds:schemaRef ds:uri="b97d1adc-e1c3-4253-a9ea-1e921474ee82"/>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表紙</vt:lpstr>
      <vt:lpstr>要求機能一覧</vt:lpstr>
      <vt:lpstr>(参考)現行システム機能階層一覧</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添付資料８.要求機能一覧.xlsx</dc:title>
  <dc:creator/>
  <cp:lastModifiedBy/>
  <dcterms:created xsi:type="dcterms:W3CDTF">2026-01-25T14:16:10Z</dcterms:created>
  <dcterms:modified xsi:type="dcterms:W3CDTF">2026-02-20T04:55:02Z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y fmtid="{D5CDD505-2E9C-101B-9397-08002B2CF9AE}" pid="3" name="MediaServiceImageTags">
    <vt:lpwstr/>
  </property>
</Properties>
</file>